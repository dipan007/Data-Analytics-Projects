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an\Desktop\Data Analytics\Excel\All Practiced Files\C6\"/>
    </mc:Choice>
  </mc:AlternateContent>
  <xr:revisionPtr revIDLastSave="0" documentId="13_ncr:1_{23CA0B5E-A8C6-4D57-AB57-734E5512BCC5}" xr6:coauthVersionLast="47" xr6:coauthVersionMax="47" xr10:uidLastSave="{00000000-0000-0000-0000-000000000000}"/>
  <bookViews>
    <workbookView xWindow="-108" yWindow="-108" windowWidth="23256" windowHeight="12456" tabRatio="932" xr2:uid="{773A24DF-5BAE-4B06-BA94-F535D7BE4A0F}"/>
  </bookViews>
  <sheets>
    <sheet name="Vlookup 1" sheetId="1" r:id="rId1"/>
    <sheet name="Vlookup 2" sheetId="2" r:id="rId2"/>
    <sheet name="Vlookup 3" sheetId="3" r:id="rId3"/>
    <sheet name="Vlookup 4" sheetId="4" r:id="rId4"/>
    <sheet name="Vlookup 5" sheetId="5" r:id="rId5"/>
    <sheet name="Vlookup 6" sheetId="6" r:id="rId6"/>
    <sheet name="Vlookup 7" sheetId="7" r:id="rId7"/>
    <sheet name="Vlookup 9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 a="1"/>
  <c r="G7" i="2" s="1"/>
  <c r="H18" i="3"/>
  <c r="C20" i="9" a="1"/>
  <c r="C20" i="9" s="1"/>
  <c r="D18" i="9"/>
  <c r="E18" i="9"/>
  <c r="F18" i="9"/>
  <c r="G18" i="9"/>
  <c r="C18" i="9"/>
  <c r="H11" i="5"/>
  <c r="H4" i="4"/>
  <c r="G9" i="7"/>
  <c r="J12" i="1"/>
  <c r="I12" i="1"/>
  <c r="H12" i="1"/>
  <c r="K4" i="1"/>
  <c r="H4" i="1"/>
  <c r="H8" i="1"/>
  <c r="J4" i="9" a="1"/>
  <c r="J4" i="9" s="1"/>
  <c r="H4" i="7"/>
  <c r="I4" i="6"/>
  <c r="A5" i="6"/>
  <c r="A6" i="6"/>
  <c r="A7" i="6"/>
  <c r="A8" i="6"/>
  <c r="A9" i="6"/>
  <c r="A10" i="6"/>
  <c r="A11" i="6"/>
  <c r="A12" i="6"/>
  <c r="A13" i="6"/>
  <c r="A14" i="6"/>
  <c r="A15" i="6"/>
  <c r="A4" i="6"/>
  <c r="H5" i="5"/>
  <c r="I5" i="5"/>
  <c r="J5" i="5"/>
  <c r="H6" i="5"/>
  <c r="I6" i="5"/>
  <c r="J6" i="5"/>
  <c r="H7" i="5"/>
  <c r="I7" i="5"/>
  <c r="J7" i="5"/>
  <c r="I4" i="5"/>
  <c r="J4" i="5"/>
  <c r="H4" i="5"/>
  <c r="J4" i="3"/>
  <c r="I4" i="3"/>
  <c r="H4" i="3"/>
  <c r="H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<sst xmlns="http://schemas.openxmlformats.org/spreadsheetml/2006/main" count="499" uniqueCount="51">
  <si>
    <t>Product ID</t>
  </si>
  <si>
    <t>Product</t>
  </si>
  <si>
    <t>Mouse</t>
  </si>
  <si>
    <t>Monitor</t>
  </si>
  <si>
    <t>Printer</t>
  </si>
  <si>
    <t>Processor i3</t>
  </si>
  <si>
    <t>Processor i4</t>
  </si>
  <si>
    <t>Speaker</t>
  </si>
  <si>
    <t>RGB Light</t>
  </si>
  <si>
    <t>Keyboard</t>
  </si>
  <si>
    <t>Mouse 3.0</t>
  </si>
  <si>
    <t>HDD 256 GB</t>
  </si>
  <si>
    <t>RAM</t>
  </si>
  <si>
    <t>ROM</t>
  </si>
  <si>
    <t>Juicer</t>
  </si>
  <si>
    <t>Wireless Mouse</t>
  </si>
  <si>
    <t>Region</t>
  </si>
  <si>
    <t>Qty Sold</t>
  </si>
  <si>
    <t>East</t>
  </si>
  <si>
    <t>West</t>
  </si>
  <si>
    <t>South</t>
  </si>
  <si>
    <t>North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</si>
  <si>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</si>
  <si>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</si>
  <si>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</si>
  <si>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</si>
  <si>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</si>
  <si>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</si>
  <si>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</si>
  <si>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</si>
  <si>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</si>
  <si>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</si>
  <si>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</si>
  <si>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</si>
  <si>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</si>
  <si>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</si>
  <si>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</si>
  <si>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 xml:space="preserve"> Basic Vlookup Formula</t>
  </si>
  <si>
    <t xml:space="preserve"> Vlookup + Iferror - Removing #N/A Error</t>
  </si>
  <si>
    <t xml:space="preserve"> Vlookup + Columns Magic</t>
  </si>
  <si>
    <t>Abc</t>
  </si>
  <si>
    <t xml:space="preserve"> Dynamic Vlookup - Auto Updated Vlookup Formula With DROPDOWN List</t>
  </si>
  <si>
    <t xml:space="preserve"> Vlookup To Extract Multiple Records</t>
  </si>
  <si>
    <t xml:space="preserve"> Vlookup With Multiple Criteria ( Multiple Lookup Values )</t>
  </si>
  <si>
    <t xml:space="preserve"> Vlookup + Match Formula</t>
  </si>
  <si>
    <t>Jan</t>
  </si>
  <si>
    <t>Feb</t>
  </si>
  <si>
    <t>Mar</t>
  </si>
  <si>
    <t>Apr</t>
  </si>
  <si>
    <t xml:space="preserve"> Vlookup Hack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</si>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</sst>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theme="4"/>
      </patternFill>
    </fill>
    <fill>
      <patternFill patternType="solid">
        <fgColor theme="4" tint="0.79998168889431442"/>
        <bgColor theme="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2" fillId="4" borderId="2" xfId="0" applyFont="1" applyFill="1" applyBorder="1"/>
    <xf numFmtId="0" fontId="1" fillId="0" borderId="0" xfId="0" applyFont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0" borderId="3" xfId="0" applyBorder="1"/>
    <xf numFmtId="0" fontId="0" fillId="0" borderId="2" xfId="0" quotePrefix="1" applyBorder="1"/>
    <xf numFmtId="0" fontId="4" fillId="4" borderId="5" xfId="0" applyFont="1" applyFill="1" applyBorder="1"/>
    <xf numFmtId="0" fontId="4" fillId="4" borderId="4" xfId="0" applyFont="1" applyFill="1" applyBorder="1"/>
    <xf numFmtId="0" fontId="0" fillId="3" borderId="5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1" xfId="0" applyFill="1" applyBorder="1"/>
    <xf numFmtId="0" fontId="0" fillId="6" borderId="2" xfId="0" quotePrefix="1" applyFill="1" applyBorder="1"/>
    <xf numFmtId="0" fontId="0" fillId="6" borderId="2" xfId="0" applyFill="1" applyBorder="1"/>
    <xf numFmtId="0" fontId="2" fillId="7" borderId="2" xfId="0" applyFont="1" applyFill="1" applyBorder="1"/>
    <xf numFmtId="0" fontId="2" fillId="8" borderId="2" xfId="0" applyFont="1" applyFill="1" applyBorder="1"/>
    <xf numFmtId="0" fontId="4" fillId="4" borderId="2" xfId="0" applyFont="1" applyFill="1" applyBorder="1"/>
    <xf numFmtId="0" fontId="4" fillId="4" borderId="6" xfId="0" applyFont="1" applyFill="1" applyBorder="1"/>
    <xf numFmtId="0" fontId="0" fillId="3" borderId="7" xfId="0" applyFill="1" applyBorder="1"/>
    <xf numFmtId="0" fontId="4" fillId="4" borderId="0" xfId="0" applyFont="1" applyFill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Aptos Narrow"/>
        <family val="2"/>
        <scheme val="minor"/>
      </font>
      <fill>
        <patternFill patternType="solid">
          <fgColor theme="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3F7A43-FF8B-48E6-B007-1786FE0FDF3E}" name="Table2" displayName="Table2" ref="B3:E16" totalsRowShown="0" headerRowDxfId="6" dataDxfId="5" tableBorderDxfId="4">
  <autoFilter ref="B3:E16" xr:uid="{C73F7A43-FF8B-48E6-B007-1786FE0FDF3E}"/>
  <tableColumns count="4">
    <tableColumn id="1" xr3:uid="{39FE527E-DDB6-4B3F-ABBE-AE4B91181818}" name="Product ID" dataDxfId="3"/>
    <tableColumn id="2" xr3:uid="{C2F4987C-923F-4D47-BAD1-891189EC8D31}" name="Product" dataDxfId="2"/>
    <tableColumn id="3" xr3:uid="{C7FDB22E-3E56-486A-AA8D-8C5D3947A500}" name="Region" dataDxfId="1"/>
    <tableColumn id="4" xr3:uid="{00A8E9F9-DA26-42A0-A3AC-6FB0C8E39CCC}" name="Qty Sol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8C61-4C89-4D02-945E-860FACDF0322}">
  <dimension ref="A1:K18"/>
  <sheetViews>
    <sheetView tabSelected="1" zoomScaleNormal="100" workbookViewId="0">
      <selection activeCell="G16" sqref="G16"/>
    </sheetView>
  </sheetViews>
  <sheetFormatPr defaultRowHeight="18" x14ac:dyDescent="0.35"/>
  <cols>
    <col min="1" max="1" width="4.5" customWidth="1"/>
    <col min="2" max="2" width="10.9140625" customWidth="1"/>
    <col min="3" max="3" width="13.4140625" customWidth="1"/>
    <col min="4" max="5" width="9.1640625" customWidth="1"/>
    <col min="6" max="6" width="7.58203125" customWidth="1"/>
    <col min="7" max="7" width="11.08203125" customWidth="1"/>
    <col min="8" max="8" width="12.33203125" customWidth="1"/>
  </cols>
  <sheetData>
    <row r="1" spans="1:11" s="7" customFormat="1" ht="18.600000000000001" thickBot="1" x14ac:dyDescent="0.4">
      <c r="A1" s="6">
        <v>1</v>
      </c>
      <c r="B1" s="7" t="s">
        <v>37</v>
      </c>
    </row>
    <row r="2" spans="1:11" x14ac:dyDescent="0.35">
      <c r="A2" s="5"/>
    </row>
    <row r="3" spans="1:11" x14ac:dyDescent="0.35">
      <c r="B3" s="4" t="s">
        <v>0</v>
      </c>
      <c r="C3" s="4" t="s">
        <v>1</v>
      </c>
      <c r="D3" s="4" t="s">
        <v>16</v>
      </c>
      <c r="E3" s="4" t="s">
        <v>17</v>
      </c>
      <c r="G3" s="4" t="s">
        <v>0</v>
      </c>
      <c r="H3" s="4" t="s">
        <v>1</v>
      </c>
      <c r="J3" s="4" t="s">
        <v>0</v>
      </c>
      <c r="K3" s="4" t="s">
        <v>1</v>
      </c>
    </row>
    <row r="4" spans="1:11" x14ac:dyDescent="0.35">
      <c r="B4" s="1" t="s">
        <v>22</v>
      </c>
      <c r="C4" s="2" t="s">
        <v>2</v>
      </c>
      <c r="D4" s="2" t="s">
        <v>18</v>
      </c>
      <c r="E4" s="1">
        <v>100</v>
      </c>
      <c r="G4" s="1" t="s">
        <v>23</v>
      </c>
      <c r="H4" s="1" t="str">
        <f>VLOOKUP(G4,B3:E18,2,0)</f>
        <v>Monitor</v>
      </c>
      <c r="J4" s="1" t="s">
        <v>25</v>
      </c>
      <c r="K4" s="1" t="str">
        <f>VLOOKUP(J4,B3:E18,2,TRUE)</f>
        <v>Processor i3</v>
      </c>
    </row>
    <row r="5" spans="1:11" x14ac:dyDescent="0.35">
      <c r="B5" s="1" t="s">
        <v>23</v>
      </c>
      <c r="C5" s="3" t="s">
        <v>3</v>
      </c>
      <c r="D5" s="3" t="s">
        <v>19</v>
      </c>
      <c r="E5" s="1">
        <v>230</v>
      </c>
    </row>
    <row r="6" spans="1:11" x14ac:dyDescent="0.35">
      <c r="B6" s="1" t="s">
        <v>24</v>
      </c>
      <c r="C6" s="2" t="s">
        <v>4</v>
      </c>
      <c r="D6" s="2" t="s">
        <v>20</v>
      </c>
      <c r="E6" s="1">
        <v>120</v>
      </c>
    </row>
    <row r="7" spans="1:11" x14ac:dyDescent="0.35">
      <c r="B7" s="1" t="s">
        <v>25</v>
      </c>
      <c r="C7" s="3" t="s">
        <v>5</v>
      </c>
      <c r="D7" s="3" t="s">
        <v>21</v>
      </c>
      <c r="E7" s="1">
        <v>144</v>
      </c>
      <c r="G7" s="4" t="s">
        <v>1</v>
      </c>
      <c r="H7" s="4" t="s">
        <v>17</v>
      </c>
    </row>
    <row r="8" spans="1:11" x14ac:dyDescent="0.35">
      <c r="B8" s="1" t="s">
        <v>26</v>
      </c>
      <c r="C8" s="2" t="s">
        <v>6</v>
      </c>
      <c r="D8" s="2" t="s">
        <v>18</v>
      </c>
      <c r="E8" s="1">
        <v>50</v>
      </c>
      <c r="G8" s="2" t="s">
        <v>2</v>
      </c>
      <c r="H8" s="1">
        <f>VLOOKUP(G8,C3:E18,3,0)</f>
        <v>100</v>
      </c>
    </row>
    <row r="9" spans="1:11" x14ac:dyDescent="0.35">
      <c r="B9" s="1" t="s">
        <v>27</v>
      </c>
      <c r="C9" s="3" t="s">
        <v>7</v>
      </c>
      <c r="D9" s="3" t="s">
        <v>19</v>
      </c>
      <c r="E9" s="1">
        <v>340</v>
      </c>
    </row>
    <row r="10" spans="1:11" x14ac:dyDescent="0.35">
      <c r="B10" s="1" t="s">
        <v>28</v>
      </c>
      <c r="C10" s="2" t="s">
        <v>8</v>
      </c>
      <c r="D10" s="2" t="s">
        <v>20</v>
      </c>
      <c r="E10" s="1">
        <v>210</v>
      </c>
    </row>
    <row r="11" spans="1:11" x14ac:dyDescent="0.35">
      <c r="B11" s="1" t="s">
        <v>29</v>
      </c>
      <c r="C11" s="3" t="s">
        <v>3</v>
      </c>
      <c r="D11" s="3" t="s">
        <v>21</v>
      </c>
      <c r="E11" s="1">
        <v>170</v>
      </c>
      <c r="G11" s="4" t="s">
        <v>0</v>
      </c>
      <c r="H11" s="4" t="s">
        <v>1</v>
      </c>
      <c r="I11" s="4" t="s">
        <v>16</v>
      </c>
      <c r="J11" s="4" t="s">
        <v>17</v>
      </c>
    </row>
    <row r="12" spans="1:11" x14ac:dyDescent="0.35">
      <c r="B12" s="1" t="s">
        <v>30</v>
      </c>
      <c r="C12" s="2" t="s">
        <v>9</v>
      </c>
      <c r="D12" s="2" t="s">
        <v>18</v>
      </c>
      <c r="E12" s="1">
        <v>55</v>
      </c>
      <c r="G12" s="1" t="s">
        <v>23</v>
      </c>
      <c r="H12" s="1" t="str">
        <f>VLOOKUP($G$12,$B$3:$E$18,2,FALSE)</f>
        <v>Monitor</v>
      </c>
      <c r="I12" s="1" t="str">
        <f>VLOOKUP($G$12,$B$3:$E$18,3,FALSE)</f>
        <v>West</v>
      </c>
      <c r="J12" s="1">
        <f>VLOOKUP($G$12,$B$3:$E$18,4,FALSE)</f>
        <v>230</v>
      </c>
    </row>
    <row r="13" spans="1:11" x14ac:dyDescent="0.35">
      <c r="B13" s="1" t="s">
        <v>31</v>
      </c>
      <c r="C13" s="3" t="s">
        <v>10</v>
      </c>
      <c r="D13" s="3" t="s">
        <v>19</v>
      </c>
      <c r="E13" s="1">
        <v>77</v>
      </c>
    </row>
    <row r="14" spans="1:11" x14ac:dyDescent="0.35">
      <c r="B14" s="1" t="s">
        <v>32</v>
      </c>
      <c r="C14" s="3" t="s">
        <v>15</v>
      </c>
      <c r="D14" s="2" t="s">
        <v>20</v>
      </c>
      <c r="E14" s="1">
        <v>154</v>
      </c>
    </row>
    <row r="15" spans="1:11" x14ac:dyDescent="0.35">
      <c r="B15" s="1" t="s">
        <v>33</v>
      </c>
      <c r="C15" s="3" t="s">
        <v>11</v>
      </c>
      <c r="D15" s="3" t="s">
        <v>21</v>
      </c>
      <c r="E15" s="1">
        <v>230</v>
      </c>
    </row>
    <row r="16" spans="1:11" x14ac:dyDescent="0.35">
      <c r="B16" s="1" t="s">
        <v>34</v>
      </c>
      <c r="C16" s="2" t="s">
        <v>12</v>
      </c>
      <c r="D16" s="2" t="s">
        <v>18</v>
      </c>
      <c r="E16" s="1">
        <v>450</v>
      </c>
    </row>
    <row r="17" spans="2:5" x14ac:dyDescent="0.35">
      <c r="B17" s="1" t="s">
        <v>35</v>
      </c>
      <c r="C17" s="3" t="s">
        <v>13</v>
      </c>
      <c r="D17" s="3" t="s">
        <v>19</v>
      </c>
      <c r="E17" s="1">
        <v>230</v>
      </c>
    </row>
    <row r="18" spans="2:5" x14ac:dyDescent="0.35">
      <c r="B18" s="1" t="s">
        <v>36</v>
      </c>
      <c r="C18" s="2" t="s">
        <v>14</v>
      </c>
      <c r="D18" s="2" t="s">
        <v>20</v>
      </c>
      <c r="E18" s="1">
        <v>450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72EE-25F6-4251-BB64-2DA8BFBF941E}">
  <dimension ref="A1:J18"/>
  <sheetViews>
    <sheetView zoomScale="110" zoomScaleNormal="110" workbookViewId="0">
      <selection activeCell="H4" sqref="H4"/>
    </sheetView>
  </sheetViews>
  <sheetFormatPr defaultRowHeight="18" x14ac:dyDescent="0.35"/>
  <cols>
    <col min="1" max="1" width="4.5" customWidth="1"/>
    <col min="2" max="2" width="10.9140625" customWidth="1"/>
    <col min="3" max="3" width="13.4140625" customWidth="1"/>
    <col min="4" max="5" width="9.1640625" customWidth="1"/>
    <col min="6" max="6" width="7.58203125" customWidth="1"/>
    <col min="7" max="7" width="11.08203125" customWidth="1"/>
    <col min="8" max="8" width="17.75" customWidth="1"/>
  </cols>
  <sheetData>
    <row r="1" spans="1:10" s="7" customFormat="1" ht="18.600000000000001" thickBot="1" x14ac:dyDescent="0.4">
      <c r="A1" s="6">
        <v>2</v>
      </c>
      <c r="B1" s="7" t="s">
        <v>38</v>
      </c>
    </row>
    <row r="2" spans="1:10" x14ac:dyDescent="0.35">
      <c r="A2" s="5"/>
    </row>
    <row r="3" spans="1:10" x14ac:dyDescent="0.35">
      <c r="B3" s="4" t="s">
        <v>0</v>
      </c>
      <c r="C3" s="4" t="s">
        <v>1</v>
      </c>
      <c r="D3" s="4" t="s">
        <v>16</v>
      </c>
      <c r="E3" s="4" t="s">
        <v>17</v>
      </c>
      <c r="G3" s="4" t="s">
        <v>0</v>
      </c>
      <c r="H3" s="4" t="s">
        <v>1</v>
      </c>
    </row>
    <row r="4" spans="1:10" x14ac:dyDescent="0.35">
      <c r="B4" s="1" t="s">
        <v>22</v>
      </c>
      <c r="C4" s="2" t="s">
        <v>2</v>
      </c>
      <c r="D4" s="2" t="s">
        <v>18</v>
      </c>
      <c r="E4" s="1">
        <v>100</v>
      </c>
      <c r="G4" s="1" t="s">
        <v>26</v>
      </c>
      <c r="H4" s="1" t="str">
        <f>IFERROR(VLOOKUP(G4,B3:E18,2,0),"")</f>
        <v>Processor i4</v>
      </c>
    </row>
    <row r="5" spans="1:10" x14ac:dyDescent="0.35">
      <c r="B5" s="1" t="s">
        <v>23</v>
      </c>
      <c r="C5" s="3" t="s">
        <v>3</v>
      </c>
      <c r="D5" s="3" t="s">
        <v>19</v>
      </c>
      <c r="E5" s="1">
        <v>230</v>
      </c>
    </row>
    <row r="6" spans="1:10" x14ac:dyDescent="0.35">
      <c r="B6" s="1" t="s">
        <v>24</v>
      </c>
      <c r="C6" s="2" t="s">
        <v>4</v>
      </c>
      <c r="D6" s="2" t="s">
        <v>20</v>
      </c>
      <c r="E6" s="1">
        <v>120</v>
      </c>
    </row>
    <row r="7" spans="1:10" x14ac:dyDescent="0.35">
      <c r="B7" s="1" t="s">
        <v>25</v>
      </c>
      <c r="C7" s="3" t="s">
        <v>5</v>
      </c>
      <c r="D7" s="3" t="s">
        <v>21</v>
      </c>
      <c r="E7" s="1">
        <v>144</v>
      </c>
      <c r="G7" t="str" cm="1">
        <f t="array" ref="G7:J7">VLOOKUP(G4,B4:E18,{1,2,3,4},)</f>
        <v>P05</v>
      </c>
      <c r="H7" t="str">
        <v>Processor i4</v>
      </c>
      <c r="I7" t="str">
        <v>East</v>
      </c>
      <c r="J7">
        <v>50</v>
      </c>
    </row>
    <row r="8" spans="1:10" x14ac:dyDescent="0.35">
      <c r="B8" s="1" t="s">
        <v>26</v>
      </c>
      <c r="C8" s="2" t="s">
        <v>6</v>
      </c>
      <c r="D8" s="2" t="s">
        <v>18</v>
      </c>
      <c r="E8" s="1">
        <v>50</v>
      </c>
    </row>
    <row r="9" spans="1:10" x14ac:dyDescent="0.35">
      <c r="B9" s="1" t="s">
        <v>27</v>
      </c>
      <c r="C9" s="3" t="s">
        <v>7</v>
      </c>
      <c r="D9" s="3" t="s">
        <v>19</v>
      </c>
      <c r="E9" s="1">
        <v>340</v>
      </c>
    </row>
    <row r="10" spans="1:10" x14ac:dyDescent="0.35">
      <c r="B10" s="1" t="s">
        <v>28</v>
      </c>
      <c r="C10" s="2" t="s">
        <v>8</v>
      </c>
      <c r="D10" s="2" t="s">
        <v>20</v>
      </c>
      <c r="E10" s="1">
        <v>210</v>
      </c>
    </row>
    <row r="11" spans="1:10" x14ac:dyDescent="0.35">
      <c r="B11" s="1" t="s">
        <v>29</v>
      </c>
      <c r="C11" s="3" t="s">
        <v>3</v>
      </c>
      <c r="D11" s="3" t="s">
        <v>21</v>
      </c>
      <c r="E11" s="1">
        <v>170</v>
      </c>
    </row>
    <row r="12" spans="1:10" x14ac:dyDescent="0.35">
      <c r="B12" s="1" t="s">
        <v>30</v>
      </c>
      <c r="C12" s="2" t="s">
        <v>9</v>
      </c>
      <c r="D12" s="2" t="s">
        <v>18</v>
      </c>
      <c r="E12" s="1">
        <v>55</v>
      </c>
    </row>
    <row r="13" spans="1:10" x14ac:dyDescent="0.35">
      <c r="B13" s="1" t="s">
        <v>31</v>
      </c>
      <c r="C13" s="3" t="s">
        <v>10</v>
      </c>
      <c r="D13" s="3" t="s">
        <v>19</v>
      </c>
      <c r="E13" s="1">
        <v>77</v>
      </c>
    </row>
    <row r="14" spans="1:10" x14ac:dyDescent="0.35">
      <c r="B14" s="1" t="s">
        <v>32</v>
      </c>
      <c r="C14" s="3" t="s">
        <v>15</v>
      </c>
      <c r="D14" s="2" t="s">
        <v>20</v>
      </c>
      <c r="E14" s="1">
        <v>154</v>
      </c>
    </row>
    <row r="15" spans="1:10" x14ac:dyDescent="0.35">
      <c r="B15" s="1" t="s">
        <v>33</v>
      </c>
      <c r="C15" s="3" t="s">
        <v>11</v>
      </c>
      <c r="D15" s="3" t="s">
        <v>21</v>
      </c>
      <c r="E15" s="1">
        <v>230</v>
      </c>
    </row>
    <row r="16" spans="1:10" x14ac:dyDescent="0.35">
      <c r="B16" s="1" t="s">
        <v>34</v>
      </c>
      <c r="C16" s="2" t="s">
        <v>12</v>
      </c>
      <c r="D16" s="2" t="s">
        <v>18</v>
      </c>
      <c r="E16" s="1">
        <v>450</v>
      </c>
    </row>
    <row r="17" spans="2:5" x14ac:dyDescent="0.35">
      <c r="B17" s="1" t="s">
        <v>35</v>
      </c>
      <c r="C17" s="3" t="s">
        <v>13</v>
      </c>
      <c r="D17" s="3" t="s">
        <v>19</v>
      </c>
      <c r="E17" s="1">
        <v>230</v>
      </c>
    </row>
    <row r="18" spans="2:5" x14ac:dyDescent="0.35">
      <c r="B18" s="1" t="s">
        <v>36</v>
      </c>
      <c r="C18" s="2" t="s">
        <v>14</v>
      </c>
      <c r="D18" s="2" t="s">
        <v>20</v>
      </c>
      <c r="E18" s="1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A3A0-DFC0-46B6-8492-E17F18750709}">
  <dimension ref="A1:V21"/>
  <sheetViews>
    <sheetView zoomScale="80" zoomScaleNormal="80" workbookViewId="0">
      <selection activeCell="H18" sqref="H18"/>
    </sheetView>
  </sheetViews>
  <sheetFormatPr defaultRowHeight="18" x14ac:dyDescent="0.35"/>
  <cols>
    <col min="1" max="1" width="4.5" customWidth="1"/>
    <col min="2" max="2" width="10.9140625" customWidth="1"/>
    <col min="3" max="3" width="12.33203125" customWidth="1"/>
    <col min="4" max="5" width="9.1640625" customWidth="1"/>
    <col min="6" max="6" width="7.58203125" customWidth="1"/>
    <col min="7" max="7" width="11.08203125" customWidth="1"/>
    <col min="8" max="8" width="12.33203125" customWidth="1"/>
  </cols>
  <sheetData>
    <row r="1" spans="1:22" s="7" customFormat="1" ht="18.600000000000001" thickBot="1" x14ac:dyDescent="0.4">
      <c r="A1" s="6">
        <v>3</v>
      </c>
      <c r="B1" s="7" t="s">
        <v>39</v>
      </c>
    </row>
    <row r="2" spans="1:22" x14ac:dyDescent="0.35">
      <c r="A2" s="5"/>
    </row>
    <row r="3" spans="1:22" x14ac:dyDescent="0.35">
      <c r="G3" s="4" t="s">
        <v>0</v>
      </c>
      <c r="H3" s="4" t="s">
        <v>1</v>
      </c>
      <c r="I3" s="4" t="s">
        <v>16</v>
      </c>
      <c r="J3" s="4" t="s">
        <v>17</v>
      </c>
    </row>
    <row r="4" spans="1:22" x14ac:dyDescent="0.35">
      <c r="G4" s="1" t="s">
        <v>27</v>
      </c>
      <c r="H4" s="8" t="str">
        <f>VLOOKUP($G$4,$B$6:$E$21,COLUMNS($G$2:H2),0)</f>
        <v>Speaker</v>
      </c>
      <c r="I4" s="8" t="str">
        <f>VLOOKUP($G$4,$B$6:$E$21,COLUMNS($G$2:I2),0)</f>
        <v>West</v>
      </c>
      <c r="J4" s="8">
        <f>VLOOKUP($G$4,$B$6:$E$21,COLUMNS($G$2:J2),0)</f>
        <v>340</v>
      </c>
    </row>
    <row r="6" spans="1:22" x14ac:dyDescent="0.35">
      <c r="B6" s="4" t="s">
        <v>0</v>
      </c>
      <c r="C6" s="4" t="s">
        <v>1</v>
      </c>
      <c r="D6" s="4" t="s">
        <v>16</v>
      </c>
      <c r="E6" s="4" t="s">
        <v>17</v>
      </c>
    </row>
    <row r="7" spans="1:22" x14ac:dyDescent="0.35">
      <c r="B7" s="1" t="s">
        <v>22</v>
      </c>
      <c r="C7" s="2" t="s">
        <v>2</v>
      </c>
      <c r="D7" s="2" t="s">
        <v>18</v>
      </c>
      <c r="E7" s="1">
        <v>100</v>
      </c>
    </row>
    <row r="8" spans="1:22" x14ac:dyDescent="0.35">
      <c r="B8" s="1" t="s">
        <v>23</v>
      </c>
      <c r="C8" s="3" t="s">
        <v>3</v>
      </c>
      <c r="D8" s="3" t="s">
        <v>19</v>
      </c>
      <c r="E8" s="1">
        <v>230</v>
      </c>
    </row>
    <row r="9" spans="1:22" x14ac:dyDescent="0.35">
      <c r="B9" s="1" t="s">
        <v>24</v>
      </c>
      <c r="C9" s="2" t="s">
        <v>4</v>
      </c>
      <c r="D9" s="2" t="s">
        <v>20</v>
      </c>
      <c r="E9" s="1">
        <v>120</v>
      </c>
    </row>
    <row r="10" spans="1:22" x14ac:dyDescent="0.35">
      <c r="B10" s="1" t="s">
        <v>25</v>
      </c>
      <c r="C10" s="3" t="s">
        <v>5</v>
      </c>
      <c r="D10" s="3" t="s">
        <v>21</v>
      </c>
      <c r="E10" s="1">
        <v>144</v>
      </c>
    </row>
    <row r="11" spans="1:22" x14ac:dyDescent="0.35">
      <c r="B11" s="1" t="s">
        <v>26</v>
      </c>
      <c r="C11" s="2" t="s">
        <v>6</v>
      </c>
      <c r="D11" s="2" t="s">
        <v>18</v>
      </c>
      <c r="E11" s="1">
        <v>50</v>
      </c>
      <c r="G11" s="4" t="s">
        <v>0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29</v>
      </c>
      <c r="P11" s="1" t="s">
        <v>30</v>
      </c>
      <c r="Q11" s="1" t="s">
        <v>31</v>
      </c>
      <c r="R11" s="1" t="s">
        <v>32</v>
      </c>
      <c r="S11" s="1" t="s">
        <v>33</v>
      </c>
      <c r="T11" s="1" t="s">
        <v>34</v>
      </c>
      <c r="U11" s="1" t="s">
        <v>35</v>
      </c>
      <c r="V11" s="1" t="s">
        <v>36</v>
      </c>
    </row>
    <row r="12" spans="1:22" x14ac:dyDescent="0.35">
      <c r="B12" s="1" t="s">
        <v>27</v>
      </c>
      <c r="C12" s="3" t="s">
        <v>7</v>
      </c>
      <c r="D12" s="3" t="s">
        <v>19</v>
      </c>
      <c r="E12" s="1">
        <v>340</v>
      </c>
      <c r="G12" s="4" t="s">
        <v>1</v>
      </c>
      <c r="H12" s="2" t="s">
        <v>2</v>
      </c>
      <c r="I12" s="3" t="s">
        <v>3</v>
      </c>
      <c r="J12" s="2" t="s">
        <v>4</v>
      </c>
      <c r="K12" s="3" t="s">
        <v>5</v>
      </c>
      <c r="L12" s="2" t="s">
        <v>6</v>
      </c>
      <c r="M12" s="3" t="s">
        <v>7</v>
      </c>
      <c r="N12" s="2" t="s">
        <v>8</v>
      </c>
      <c r="O12" s="3" t="s">
        <v>3</v>
      </c>
      <c r="P12" s="2" t="s">
        <v>9</v>
      </c>
      <c r="Q12" s="3" t="s">
        <v>10</v>
      </c>
      <c r="R12" s="3" t="s">
        <v>15</v>
      </c>
      <c r="S12" s="3" t="s">
        <v>11</v>
      </c>
      <c r="T12" s="2" t="s">
        <v>12</v>
      </c>
      <c r="U12" s="3" t="s">
        <v>13</v>
      </c>
      <c r="V12" s="2" t="s">
        <v>14</v>
      </c>
    </row>
    <row r="13" spans="1:22" x14ac:dyDescent="0.35">
      <c r="B13" s="1" t="s">
        <v>28</v>
      </c>
      <c r="C13" s="2" t="s">
        <v>8</v>
      </c>
      <c r="D13" s="2" t="s">
        <v>20</v>
      </c>
      <c r="E13" s="1">
        <v>210</v>
      </c>
      <c r="G13" s="4" t="s">
        <v>16</v>
      </c>
      <c r="H13" s="2" t="s">
        <v>18</v>
      </c>
      <c r="I13" s="3" t="s">
        <v>19</v>
      </c>
      <c r="J13" s="2" t="s">
        <v>20</v>
      </c>
      <c r="K13" s="3" t="s">
        <v>21</v>
      </c>
      <c r="L13" s="2" t="s">
        <v>18</v>
      </c>
      <c r="M13" s="3" t="s">
        <v>19</v>
      </c>
      <c r="N13" s="2" t="s">
        <v>20</v>
      </c>
      <c r="O13" s="3" t="s">
        <v>21</v>
      </c>
      <c r="P13" s="2" t="s">
        <v>18</v>
      </c>
      <c r="Q13" s="3" t="s">
        <v>19</v>
      </c>
      <c r="R13" s="2" t="s">
        <v>20</v>
      </c>
      <c r="S13" s="3" t="s">
        <v>21</v>
      </c>
      <c r="T13" s="2" t="s">
        <v>18</v>
      </c>
      <c r="U13" s="3" t="s">
        <v>19</v>
      </c>
      <c r="V13" s="2" t="s">
        <v>20</v>
      </c>
    </row>
    <row r="14" spans="1:22" x14ac:dyDescent="0.35">
      <c r="B14" s="1" t="s">
        <v>29</v>
      </c>
      <c r="C14" s="3" t="s">
        <v>3</v>
      </c>
      <c r="D14" s="3" t="s">
        <v>21</v>
      </c>
      <c r="E14" s="1">
        <v>170</v>
      </c>
      <c r="G14" s="4" t="s">
        <v>17</v>
      </c>
      <c r="H14" s="1">
        <v>100</v>
      </c>
      <c r="I14" s="1">
        <v>230</v>
      </c>
      <c r="J14" s="1">
        <v>120</v>
      </c>
      <c r="K14" s="1">
        <v>144</v>
      </c>
      <c r="L14" s="1">
        <v>50</v>
      </c>
      <c r="M14" s="1">
        <v>340</v>
      </c>
      <c r="N14" s="1">
        <v>210</v>
      </c>
      <c r="O14" s="1">
        <v>170</v>
      </c>
      <c r="P14" s="1">
        <v>55</v>
      </c>
      <c r="Q14" s="1">
        <v>77</v>
      </c>
      <c r="R14" s="1">
        <v>154</v>
      </c>
      <c r="S14" s="1">
        <v>230</v>
      </c>
      <c r="T14" s="1">
        <v>450</v>
      </c>
      <c r="U14" s="1">
        <v>230</v>
      </c>
      <c r="V14" s="1">
        <v>450</v>
      </c>
    </row>
    <row r="15" spans="1:22" x14ac:dyDescent="0.35">
      <c r="B15" s="1" t="s">
        <v>30</v>
      </c>
      <c r="C15" s="2" t="s">
        <v>9</v>
      </c>
      <c r="D15" s="2" t="s">
        <v>18</v>
      </c>
      <c r="E15" s="1">
        <v>55</v>
      </c>
    </row>
    <row r="16" spans="1:22" x14ac:dyDescent="0.35">
      <c r="B16" s="1" t="s">
        <v>31</v>
      </c>
      <c r="C16" s="3" t="s">
        <v>10</v>
      </c>
      <c r="D16" s="3" t="s">
        <v>19</v>
      </c>
      <c r="E16" s="1">
        <v>77</v>
      </c>
    </row>
    <row r="17" spans="2:8" x14ac:dyDescent="0.35">
      <c r="B17" s="1" t="s">
        <v>32</v>
      </c>
      <c r="C17" s="3" t="s">
        <v>15</v>
      </c>
      <c r="D17" s="2" t="s">
        <v>20</v>
      </c>
      <c r="E17" s="1">
        <v>154</v>
      </c>
      <c r="G17" s="4" t="s">
        <v>0</v>
      </c>
    </row>
    <row r="18" spans="2:8" x14ac:dyDescent="0.35">
      <c r="B18" s="1" t="s">
        <v>33</v>
      </c>
      <c r="C18" s="3" t="s">
        <v>11</v>
      </c>
      <c r="D18" s="3" t="s">
        <v>21</v>
      </c>
      <c r="E18" s="1">
        <v>230</v>
      </c>
      <c r="G18" s="1" t="s">
        <v>22</v>
      </c>
      <c r="H18" t="str">
        <f>HLOOKUP(G18,G11:V14,2,)</f>
        <v>Mouse</v>
      </c>
    </row>
    <row r="19" spans="2:8" x14ac:dyDescent="0.35">
      <c r="B19" s="1" t="s">
        <v>34</v>
      </c>
      <c r="C19" s="2" t="s">
        <v>12</v>
      </c>
      <c r="D19" s="2" t="s">
        <v>18</v>
      </c>
      <c r="E19" s="1">
        <v>450</v>
      </c>
      <c r="G19" s="4" t="s">
        <v>16</v>
      </c>
    </row>
    <row r="20" spans="2:8" x14ac:dyDescent="0.35">
      <c r="B20" s="1" t="s">
        <v>35</v>
      </c>
      <c r="C20" s="3" t="s">
        <v>13</v>
      </c>
      <c r="D20" s="3" t="s">
        <v>19</v>
      </c>
      <c r="E20" s="1">
        <v>230</v>
      </c>
      <c r="G20" s="4" t="s">
        <v>17</v>
      </c>
    </row>
    <row r="21" spans="2:8" x14ac:dyDescent="0.35">
      <c r="B21" s="1" t="s">
        <v>36</v>
      </c>
      <c r="C21" s="2" t="s">
        <v>14</v>
      </c>
      <c r="D21" s="2" t="s">
        <v>20</v>
      </c>
      <c r="E21" s="1">
        <v>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DC9F-12D4-4075-924F-1C8D98017C5E}">
  <dimension ref="A1:H16"/>
  <sheetViews>
    <sheetView zoomScale="130" zoomScaleNormal="130" workbookViewId="0">
      <selection activeCell="H3" sqref="H3"/>
    </sheetView>
  </sheetViews>
  <sheetFormatPr defaultRowHeight="18" x14ac:dyDescent="0.35"/>
  <cols>
    <col min="1" max="1" width="4.5" customWidth="1"/>
    <col min="2" max="2" width="10.9140625" customWidth="1"/>
    <col min="3" max="3" width="12.33203125" customWidth="1"/>
    <col min="4" max="5" width="9.1640625" customWidth="1"/>
    <col min="6" max="6" width="7.58203125" customWidth="1"/>
    <col min="7" max="7" width="11.08203125" customWidth="1"/>
    <col min="8" max="8" width="12.33203125" customWidth="1"/>
  </cols>
  <sheetData>
    <row r="1" spans="1:8" s="7" customFormat="1" ht="18.600000000000001" thickBot="1" x14ac:dyDescent="0.4">
      <c r="A1" s="6">
        <v>4</v>
      </c>
      <c r="B1" s="7" t="s">
        <v>41</v>
      </c>
    </row>
    <row r="2" spans="1:8" x14ac:dyDescent="0.35">
      <c r="A2" s="5"/>
    </row>
    <row r="3" spans="1:8" x14ac:dyDescent="0.35">
      <c r="B3" s="22" t="s">
        <v>0</v>
      </c>
      <c r="C3" s="20" t="s">
        <v>1</v>
      </c>
      <c r="D3" s="20" t="s">
        <v>16</v>
      </c>
      <c r="E3" s="20" t="s">
        <v>17</v>
      </c>
      <c r="G3" s="4" t="s">
        <v>0</v>
      </c>
      <c r="H3" s="10" t="s">
        <v>17</v>
      </c>
    </row>
    <row r="4" spans="1:8" x14ac:dyDescent="0.35">
      <c r="B4" s="21" t="s">
        <v>22</v>
      </c>
      <c r="C4" s="12" t="s">
        <v>2</v>
      </c>
      <c r="D4" s="12" t="s">
        <v>18</v>
      </c>
      <c r="E4" s="11">
        <v>100</v>
      </c>
      <c r="G4" s="1" t="s">
        <v>32</v>
      </c>
      <c r="H4" s="8">
        <f>VLOOKUP(G4,Table2[#All],4,0)</f>
        <v>154</v>
      </c>
    </row>
    <row r="5" spans="1:8" x14ac:dyDescent="0.35">
      <c r="B5" s="21" t="s">
        <v>23</v>
      </c>
      <c r="C5" s="11" t="s">
        <v>3</v>
      </c>
      <c r="D5" s="11" t="s">
        <v>19</v>
      </c>
      <c r="E5" s="11">
        <v>230</v>
      </c>
    </row>
    <row r="6" spans="1:8" x14ac:dyDescent="0.35">
      <c r="B6" s="21" t="s">
        <v>24</v>
      </c>
      <c r="C6" s="12" t="s">
        <v>4</v>
      </c>
      <c r="D6" s="12" t="s">
        <v>20</v>
      </c>
      <c r="E6" s="11">
        <v>120</v>
      </c>
    </row>
    <row r="7" spans="1:8" x14ac:dyDescent="0.35">
      <c r="B7" s="21" t="s">
        <v>25</v>
      </c>
      <c r="C7" s="11" t="s">
        <v>5</v>
      </c>
      <c r="D7" s="11" t="s">
        <v>21</v>
      </c>
      <c r="E7" s="11">
        <v>144</v>
      </c>
    </row>
    <row r="8" spans="1:8" x14ac:dyDescent="0.35">
      <c r="B8" s="21" t="s">
        <v>26</v>
      </c>
      <c r="C8" s="12" t="s">
        <v>6</v>
      </c>
      <c r="D8" s="12" t="s">
        <v>18</v>
      </c>
      <c r="E8" s="11">
        <v>50</v>
      </c>
    </row>
    <row r="9" spans="1:8" x14ac:dyDescent="0.35">
      <c r="B9" s="21" t="s">
        <v>27</v>
      </c>
      <c r="C9" s="11" t="s">
        <v>7</v>
      </c>
      <c r="D9" s="11" t="s">
        <v>19</v>
      </c>
      <c r="E9" s="11">
        <v>340</v>
      </c>
    </row>
    <row r="10" spans="1:8" x14ac:dyDescent="0.35">
      <c r="B10" s="21" t="s">
        <v>28</v>
      </c>
      <c r="C10" s="12" t="s">
        <v>8</v>
      </c>
      <c r="D10" s="12" t="s">
        <v>20</v>
      </c>
      <c r="E10" s="11">
        <v>210</v>
      </c>
    </row>
    <row r="11" spans="1:8" x14ac:dyDescent="0.35">
      <c r="B11" s="21" t="s">
        <v>29</v>
      </c>
      <c r="C11" s="11" t="s">
        <v>3</v>
      </c>
      <c r="D11" s="11" t="s">
        <v>21</v>
      </c>
      <c r="E11" s="11">
        <v>170</v>
      </c>
    </row>
    <row r="12" spans="1:8" x14ac:dyDescent="0.35">
      <c r="B12" s="21" t="s">
        <v>30</v>
      </c>
      <c r="C12" s="12" t="s">
        <v>9</v>
      </c>
      <c r="D12" s="12" t="s">
        <v>18</v>
      </c>
      <c r="E12" s="11">
        <v>55</v>
      </c>
    </row>
    <row r="13" spans="1:8" x14ac:dyDescent="0.35">
      <c r="B13" s="21" t="s">
        <v>31</v>
      </c>
      <c r="C13" s="11" t="s">
        <v>10</v>
      </c>
      <c r="D13" s="11" t="s">
        <v>19</v>
      </c>
      <c r="E13" s="11">
        <v>77</v>
      </c>
    </row>
    <row r="14" spans="1:8" x14ac:dyDescent="0.35">
      <c r="B14" s="21" t="s">
        <v>32</v>
      </c>
      <c r="C14" s="11" t="s">
        <v>15</v>
      </c>
      <c r="D14" s="12" t="s">
        <v>20</v>
      </c>
      <c r="E14" s="11">
        <v>154</v>
      </c>
    </row>
    <row r="15" spans="1:8" x14ac:dyDescent="0.35">
      <c r="B15" s="21" t="s">
        <v>33</v>
      </c>
      <c r="C15" s="11" t="s">
        <v>11</v>
      </c>
      <c r="D15" s="11" t="s">
        <v>21</v>
      </c>
      <c r="E15" s="11">
        <v>230</v>
      </c>
    </row>
    <row r="16" spans="1:8" x14ac:dyDescent="0.35">
      <c r="B16" s="21" t="s">
        <v>34</v>
      </c>
      <c r="C16" s="11" t="s">
        <v>40</v>
      </c>
      <c r="D16" s="11" t="s">
        <v>21</v>
      </c>
      <c r="E16" s="11">
        <v>234</v>
      </c>
    </row>
  </sheetData>
  <dataValidations count="1">
    <dataValidation type="list" allowBlank="1" showInputMessage="1" showErrorMessage="1" sqref="G4" xr:uid="{732987C4-B241-4802-9737-A8FA121E8E3B}">
      <formula1>$B$4:$B$16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C5B0-A58E-4772-BF83-9F2E83995410}">
  <dimension ref="A1:J15"/>
  <sheetViews>
    <sheetView zoomScale="130" zoomScaleNormal="130" workbookViewId="0">
      <selection activeCell="H6" sqref="H6:H7"/>
    </sheetView>
  </sheetViews>
  <sheetFormatPr defaultRowHeight="18" x14ac:dyDescent="0.35"/>
  <cols>
    <col min="1" max="1" width="4.5" customWidth="1"/>
    <col min="2" max="2" width="10.9140625" customWidth="1"/>
    <col min="3" max="3" width="12.33203125" customWidth="1"/>
    <col min="4" max="5" width="9.1640625" customWidth="1"/>
    <col min="6" max="6" width="7.58203125" customWidth="1"/>
    <col min="7" max="7" width="11.08203125" customWidth="1"/>
    <col min="8" max="8" width="12.33203125" customWidth="1"/>
  </cols>
  <sheetData>
    <row r="1" spans="1:10" s="7" customFormat="1" ht="18.600000000000001" thickBot="1" x14ac:dyDescent="0.4">
      <c r="A1" s="6">
        <v>5</v>
      </c>
      <c r="B1" s="7" t="s">
        <v>42</v>
      </c>
    </row>
    <row r="2" spans="1:10" x14ac:dyDescent="0.35">
      <c r="A2" s="5"/>
    </row>
    <row r="3" spans="1:10" x14ac:dyDescent="0.35">
      <c r="B3" s="9" t="s">
        <v>0</v>
      </c>
      <c r="C3" s="9" t="s">
        <v>1</v>
      </c>
      <c r="D3" s="9" t="s">
        <v>16</v>
      </c>
      <c r="E3" s="10" t="s">
        <v>17</v>
      </c>
      <c r="G3" s="4" t="s">
        <v>0</v>
      </c>
      <c r="H3" s="4" t="s">
        <v>1</v>
      </c>
      <c r="I3" s="9" t="s">
        <v>16</v>
      </c>
      <c r="J3" s="10" t="s">
        <v>17</v>
      </c>
    </row>
    <row r="4" spans="1:10" x14ac:dyDescent="0.35">
      <c r="B4" s="11" t="s">
        <v>22</v>
      </c>
      <c r="C4" s="12" t="s">
        <v>2</v>
      </c>
      <c r="D4" s="12" t="s">
        <v>18</v>
      </c>
      <c r="E4" s="13">
        <v>100</v>
      </c>
      <c r="G4" s="11" t="s">
        <v>23</v>
      </c>
      <c r="H4" s="8" t="str">
        <f>VLOOKUP($G4,$B$3:$E$15,COLUMNS($G$2:H2),0)</f>
        <v>Monitor</v>
      </c>
      <c r="I4" s="8" t="str">
        <f>VLOOKUP($G4,$B$3:$E$15,COLUMNS($G$2:I2),0)</f>
        <v>West</v>
      </c>
      <c r="J4" s="8">
        <f>VLOOKUP($G4,$B$3:$E$15,COLUMNS($G$2:J2),0)</f>
        <v>230</v>
      </c>
    </row>
    <row r="5" spans="1:10" x14ac:dyDescent="0.35">
      <c r="B5" s="11" t="s">
        <v>23</v>
      </c>
      <c r="C5" s="11" t="s">
        <v>3</v>
      </c>
      <c r="D5" s="11" t="s">
        <v>19</v>
      </c>
      <c r="E5" s="13">
        <v>230</v>
      </c>
      <c r="G5" s="11" t="s">
        <v>26</v>
      </c>
      <c r="H5" s="8" t="str">
        <f>VLOOKUP($G5,$B$3:$E$15,COLUMNS($G$2:H3),0)</f>
        <v>Processor i4</v>
      </c>
      <c r="I5" s="8" t="str">
        <f>VLOOKUP($G5,$B$3:$E$15,COLUMNS($G$2:I3),0)</f>
        <v>East</v>
      </c>
      <c r="J5" s="8">
        <f>VLOOKUP($G5,$B$3:$E$15,COLUMNS($G$2:J3),0)</f>
        <v>50</v>
      </c>
    </row>
    <row r="6" spans="1:10" x14ac:dyDescent="0.35">
      <c r="B6" s="11" t="s">
        <v>24</v>
      </c>
      <c r="C6" s="12" t="s">
        <v>4</v>
      </c>
      <c r="D6" s="12" t="s">
        <v>20</v>
      </c>
      <c r="E6" s="13">
        <v>120</v>
      </c>
      <c r="G6" s="11" t="s">
        <v>27</v>
      </c>
      <c r="H6" s="8" t="str">
        <f>VLOOKUP($G6,$B$3:$E$15,COLUMNS($G$2:H4),0)</f>
        <v>Speaker</v>
      </c>
      <c r="I6" s="8" t="str">
        <f>VLOOKUP($G6,$B$3:$E$15,COLUMNS($G$2:I4),0)</f>
        <v>West</v>
      </c>
      <c r="J6" s="8">
        <f>VLOOKUP($G6,$B$3:$E$15,COLUMNS($G$2:J4),0)</f>
        <v>340</v>
      </c>
    </row>
    <row r="7" spans="1:10" x14ac:dyDescent="0.35">
      <c r="B7" s="11" t="s">
        <v>25</v>
      </c>
      <c r="C7" s="11" t="s">
        <v>5</v>
      </c>
      <c r="D7" s="11" t="s">
        <v>21</v>
      </c>
      <c r="E7" s="13">
        <v>144</v>
      </c>
      <c r="G7" s="3" t="s">
        <v>30</v>
      </c>
      <c r="H7" s="8" t="str">
        <f>VLOOKUP($G7,$B$3:$E$15,COLUMNS($G$2:H5),0)</f>
        <v>Keyboard</v>
      </c>
      <c r="I7" s="8" t="str">
        <f>VLOOKUP($G7,$B$3:$E$15,COLUMNS($G$2:I5),0)</f>
        <v>East</v>
      </c>
      <c r="J7" s="8">
        <f>VLOOKUP($G7,$B$3:$E$15,COLUMNS($G$2:J5),0)</f>
        <v>55</v>
      </c>
    </row>
    <row r="8" spans="1:10" x14ac:dyDescent="0.35">
      <c r="B8" s="11" t="s">
        <v>26</v>
      </c>
      <c r="C8" s="12" t="s">
        <v>6</v>
      </c>
      <c r="D8" s="12" t="s">
        <v>18</v>
      </c>
      <c r="E8" s="13">
        <v>50</v>
      </c>
    </row>
    <row r="9" spans="1:10" x14ac:dyDescent="0.35">
      <c r="B9" s="11" t="s">
        <v>27</v>
      </c>
      <c r="C9" s="11" t="s">
        <v>7</v>
      </c>
      <c r="D9" s="11" t="s">
        <v>19</v>
      </c>
      <c r="E9" s="13">
        <v>340</v>
      </c>
    </row>
    <row r="10" spans="1:10" x14ac:dyDescent="0.35">
      <c r="B10" s="11" t="s">
        <v>28</v>
      </c>
      <c r="C10" s="12" t="s">
        <v>8</v>
      </c>
      <c r="D10" s="12" t="s">
        <v>20</v>
      </c>
      <c r="E10" s="13">
        <v>210</v>
      </c>
      <c r="G10" s="4" t="s">
        <v>0</v>
      </c>
      <c r="H10" t="s">
        <v>17</v>
      </c>
    </row>
    <row r="11" spans="1:10" x14ac:dyDescent="0.35">
      <c r="B11" s="11" t="s">
        <v>29</v>
      </c>
      <c r="C11" s="11" t="s">
        <v>3</v>
      </c>
      <c r="D11" s="11" t="s">
        <v>21</v>
      </c>
      <c r="E11" s="13">
        <v>170</v>
      </c>
      <c r="G11" s="11" t="s">
        <v>26</v>
      </c>
      <c r="H11">
        <f>VLOOKUP(G11,B3:E15,MATCH(H10,B3:E3,0),FALSE)</f>
        <v>50</v>
      </c>
    </row>
    <row r="12" spans="1:10" x14ac:dyDescent="0.35">
      <c r="B12" s="11" t="s">
        <v>30</v>
      </c>
      <c r="C12" s="12" t="s">
        <v>9</v>
      </c>
      <c r="D12" s="12" t="s">
        <v>18</v>
      </c>
      <c r="E12" s="13">
        <v>55</v>
      </c>
    </row>
    <row r="13" spans="1:10" x14ac:dyDescent="0.35">
      <c r="B13" s="11" t="s">
        <v>31</v>
      </c>
      <c r="C13" s="11" t="s">
        <v>10</v>
      </c>
      <c r="D13" s="11" t="s">
        <v>19</v>
      </c>
      <c r="E13" s="13">
        <v>77</v>
      </c>
    </row>
    <row r="14" spans="1:10" x14ac:dyDescent="0.35">
      <c r="B14" s="11" t="s">
        <v>32</v>
      </c>
      <c r="C14" s="11" t="s">
        <v>15</v>
      </c>
      <c r="D14" s="12" t="s">
        <v>20</v>
      </c>
      <c r="E14" s="13">
        <v>154</v>
      </c>
    </row>
    <row r="15" spans="1:10" x14ac:dyDescent="0.35">
      <c r="B15" s="14" t="s">
        <v>33</v>
      </c>
      <c r="C15" s="14" t="s">
        <v>11</v>
      </c>
      <c r="D15" s="14" t="s">
        <v>21</v>
      </c>
      <c r="E15" s="3">
        <v>230</v>
      </c>
    </row>
  </sheetData>
  <phoneticPr fontId="3" type="noConversion"/>
  <dataValidations count="1">
    <dataValidation type="list" allowBlank="1" showInputMessage="1" showErrorMessage="1" sqref="H10" xr:uid="{9274BA34-20E6-48AD-9158-AF5E52E450A0}">
      <formula1>$H$3:$J$3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D1B5-F0ED-4CA2-8DAC-E5C8FA669D9A}">
  <dimension ref="A1:I30"/>
  <sheetViews>
    <sheetView zoomScale="130" zoomScaleNormal="130" workbookViewId="0">
      <selection activeCell="H20" sqref="H20"/>
    </sheetView>
  </sheetViews>
  <sheetFormatPr defaultRowHeight="18" x14ac:dyDescent="0.35"/>
  <cols>
    <col min="1" max="1" width="15.08203125" customWidth="1"/>
    <col min="2" max="2" width="10.9140625" customWidth="1"/>
    <col min="3" max="3" width="12.33203125" customWidth="1"/>
    <col min="4" max="5" width="9.1640625" customWidth="1"/>
    <col min="6" max="6" width="4.1640625" customWidth="1"/>
    <col min="7" max="7" width="11.08203125" customWidth="1"/>
    <col min="8" max="8" width="12.33203125" customWidth="1"/>
  </cols>
  <sheetData>
    <row r="1" spans="1:9" s="7" customFormat="1" ht="18.600000000000001" thickBot="1" x14ac:dyDescent="0.4">
      <c r="A1" s="6">
        <v>6</v>
      </c>
      <c r="B1" s="7" t="s">
        <v>43</v>
      </c>
    </row>
    <row r="2" spans="1:9" x14ac:dyDescent="0.35">
      <c r="A2" s="5"/>
    </row>
    <row r="3" spans="1:9" x14ac:dyDescent="0.35">
      <c r="A3" t="s">
        <v>50</v>
      </c>
      <c r="B3" s="9" t="s">
        <v>0</v>
      </c>
      <c r="C3" s="9" t="s">
        <v>1</v>
      </c>
      <c r="D3" s="9" t="s">
        <v>16</v>
      </c>
      <c r="E3" s="10" t="s">
        <v>17</v>
      </c>
      <c r="G3" s="17" t="s">
        <v>0</v>
      </c>
      <c r="H3" s="17" t="s">
        <v>1</v>
      </c>
      <c r="I3" s="10" t="s">
        <v>17</v>
      </c>
    </row>
    <row r="4" spans="1:9" x14ac:dyDescent="0.35">
      <c r="A4" t="str">
        <f>B4&amp;C4</f>
        <v>P01Mouse</v>
      </c>
      <c r="B4" s="11" t="s">
        <v>22</v>
      </c>
      <c r="C4" s="12" t="s">
        <v>2</v>
      </c>
      <c r="D4" s="12" t="s">
        <v>18</v>
      </c>
      <c r="E4" s="13">
        <v>100</v>
      </c>
      <c r="G4" s="16" t="s">
        <v>29</v>
      </c>
      <c r="H4" s="16" t="s">
        <v>3</v>
      </c>
      <c r="I4" s="8">
        <f>VLOOKUP(G4&amp;H4,A3:E15,5,0)</f>
        <v>170</v>
      </c>
    </row>
    <row r="5" spans="1:9" x14ac:dyDescent="0.35">
      <c r="A5" t="str">
        <f t="shared" ref="A5:A15" si="0">B5&amp;C5</f>
        <v>P02Monitor</v>
      </c>
      <c r="B5" s="11" t="s">
        <v>23</v>
      </c>
      <c r="C5" s="11" t="s">
        <v>3</v>
      </c>
      <c r="D5" s="11" t="s">
        <v>19</v>
      </c>
      <c r="E5" s="13">
        <v>230</v>
      </c>
    </row>
    <row r="6" spans="1:9" x14ac:dyDescent="0.35">
      <c r="A6" t="str">
        <f t="shared" si="0"/>
        <v>P03Printer</v>
      </c>
      <c r="B6" s="11" t="s">
        <v>24</v>
      </c>
      <c r="C6" s="12" t="s">
        <v>4</v>
      </c>
      <c r="D6" s="12" t="s">
        <v>20</v>
      </c>
      <c r="E6" s="13">
        <v>120</v>
      </c>
    </row>
    <row r="7" spans="1:9" x14ac:dyDescent="0.35">
      <c r="A7" t="str">
        <f t="shared" si="0"/>
        <v>P04Processor i3</v>
      </c>
      <c r="B7" s="11" t="s">
        <v>25</v>
      </c>
      <c r="C7" s="11" t="s">
        <v>5</v>
      </c>
      <c r="D7" s="11" t="s">
        <v>21</v>
      </c>
      <c r="E7" s="13">
        <v>144</v>
      </c>
    </row>
    <row r="8" spans="1:9" x14ac:dyDescent="0.35">
      <c r="A8" t="str">
        <f t="shared" si="0"/>
        <v>P05Processor i4</v>
      </c>
      <c r="B8" s="11" t="s">
        <v>26</v>
      </c>
      <c r="C8" s="12" t="s">
        <v>6</v>
      </c>
      <c r="D8" s="12" t="s">
        <v>18</v>
      </c>
      <c r="E8" s="13">
        <v>50</v>
      </c>
    </row>
    <row r="9" spans="1:9" x14ac:dyDescent="0.35">
      <c r="A9" t="str">
        <f t="shared" si="0"/>
        <v>P06Speaker</v>
      </c>
      <c r="B9" s="11" t="s">
        <v>27</v>
      </c>
      <c r="C9" s="11" t="s">
        <v>7</v>
      </c>
      <c r="D9" s="11" t="s">
        <v>19</v>
      </c>
      <c r="E9" s="13">
        <v>340</v>
      </c>
    </row>
    <row r="10" spans="1:9" x14ac:dyDescent="0.35">
      <c r="A10" t="str">
        <f t="shared" si="0"/>
        <v>P07RGB Light</v>
      </c>
      <c r="B10" s="11" t="s">
        <v>28</v>
      </c>
      <c r="C10" s="12" t="s">
        <v>8</v>
      </c>
      <c r="D10" s="12" t="s">
        <v>20</v>
      </c>
      <c r="E10" s="13">
        <v>210</v>
      </c>
    </row>
    <row r="11" spans="1:9" x14ac:dyDescent="0.35">
      <c r="A11" t="str">
        <f t="shared" si="0"/>
        <v>P08Monitor</v>
      </c>
      <c r="B11" s="11" t="s">
        <v>29</v>
      </c>
      <c r="C11" s="11" t="s">
        <v>3</v>
      </c>
      <c r="D11" s="11" t="s">
        <v>21</v>
      </c>
      <c r="E11" s="13">
        <v>170</v>
      </c>
    </row>
    <row r="12" spans="1:9" x14ac:dyDescent="0.35">
      <c r="A12" t="str">
        <f t="shared" si="0"/>
        <v>P09Keyboard</v>
      </c>
      <c r="B12" s="11" t="s">
        <v>30</v>
      </c>
      <c r="C12" s="12" t="s">
        <v>9</v>
      </c>
      <c r="D12" s="12" t="s">
        <v>18</v>
      </c>
      <c r="E12" s="13">
        <v>55</v>
      </c>
    </row>
    <row r="13" spans="1:9" x14ac:dyDescent="0.35">
      <c r="A13" t="str">
        <f t="shared" si="0"/>
        <v>P10Mouse 3.0</v>
      </c>
      <c r="B13" s="11" t="s">
        <v>31</v>
      </c>
      <c r="C13" s="11" t="s">
        <v>10</v>
      </c>
      <c r="D13" s="11" t="s">
        <v>19</v>
      </c>
      <c r="E13" s="13">
        <v>77</v>
      </c>
    </row>
    <row r="14" spans="1:9" x14ac:dyDescent="0.35">
      <c r="A14" t="str">
        <f t="shared" si="0"/>
        <v>P11Wireless Mouse</v>
      </c>
      <c r="B14" s="11" t="s">
        <v>32</v>
      </c>
      <c r="C14" s="11" t="s">
        <v>15</v>
      </c>
      <c r="D14" s="12" t="s">
        <v>20</v>
      </c>
      <c r="E14" s="13">
        <v>154</v>
      </c>
    </row>
    <row r="15" spans="1:9" x14ac:dyDescent="0.35">
      <c r="A15" t="str">
        <f t="shared" si="0"/>
        <v>P12HDD 256 GB</v>
      </c>
      <c r="B15" s="14" t="s">
        <v>33</v>
      </c>
      <c r="C15" s="14" t="s">
        <v>11</v>
      </c>
      <c r="D15" s="14" t="s">
        <v>21</v>
      </c>
      <c r="E15" s="3">
        <v>230</v>
      </c>
    </row>
    <row r="18" spans="2:5" x14ac:dyDescent="0.35">
      <c r="B18" s="9" t="s">
        <v>0</v>
      </c>
      <c r="C18" s="9" t="s">
        <v>1</v>
      </c>
      <c r="D18" s="9" t="s">
        <v>16</v>
      </c>
      <c r="E18" s="10" t="s">
        <v>17</v>
      </c>
    </row>
    <row r="19" spans="2:5" x14ac:dyDescent="0.35">
      <c r="B19" s="11" t="s">
        <v>22</v>
      </c>
      <c r="C19" s="12" t="s">
        <v>2</v>
      </c>
      <c r="D19" s="12" t="s">
        <v>18</v>
      </c>
      <c r="E19" s="13">
        <v>100</v>
      </c>
    </row>
    <row r="20" spans="2:5" x14ac:dyDescent="0.35">
      <c r="B20" s="11" t="s">
        <v>23</v>
      </c>
      <c r="C20" s="11" t="s">
        <v>3</v>
      </c>
      <c r="D20" s="11" t="s">
        <v>19</v>
      </c>
      <c r="E20" s="13">
        <v>230</v>
      </c>
    </row>
    <row r="21" spans="2:5" x14ac:dyDescent="0.35">
      <c r="B21" s="11" t="s">
        <v>24</v>
      </c>
      <c r="C21" s="12" t="s">
        <v>4</v>
      </c>
      <c r="D21" s="12" t="s">
        <v>20</v>
      </c>
      <c r="E21" s="13">
        <v>120</v>
      </c>
    </row>
    <row r="22" spans="2:5" x14ac:dyDescent="0.35">
      <c r="B22" s="11" t="s">
        <v>25</v>
      </c>
      <c r="C22" s="11" t="s">
        <v>5</v>
      </c>
      <c r="D22" s="11" t="s">
        <v>21</v>
      </c>
      <c r="E22" s="13">
        <v>144</v>
      </c>
    </row>
    <row r="23" spans="2:5" x14ac:dyDescent="0.35">
      <c r="B23" s="11" t="s">
        <v>26</v>
      </c>
      <c r="C23" s="12" t="s">
        <v>6</v>
      </c>
      <c r="D23" s="12" t="s">
        <v>18</v>
      </c>
      <c r="E23" s="13">
        <v>50</v>
      </c>
    </row>
    <row r="24" spans="2:5" x14ac:dyDescent="0.35">
      <c r="B24" s="11" t="s">
        <v>27</v>
      </c>
      <c r="C24" s="11" t="s">
        <v>7</v>
      </c>
      <c r="D24" s="11" t="s">
        <v>19</v>
      </c>
      <c r="E24" s="13">
        <v>340</v>
      </c>
    </row>
    <row r="25" spans="2:5" x14ac:dyDescent="0.35">
      <c r="B25" s="11" t="s">
        <v>28</v>
      </c>
      <c r="C25" s="12" t="s">
        <v>8</v>
      </c>
      <c r="D25" s="12" t="s">
        <v>20</v>
      </c>
      <c r="E25" s="13">
        <v>210</v>
      </c>
    </row>
    <row r="26" spans="2:5" x14ac:dyDescent="0.35">
      <c r="B26" s="11" t="s">
        <v>29</v>
      </c>
      <c r="C26" s="11" t="s">
        <v>3</v>
      </c>
      <c r="D26" s="11" t="s">
        <v>21</v>
      </c>
      <c r="E26" s="13">
        <v>170</v>
      </c>
    </row>
    <row r="27" spans="2:5" x14ac:dyDescent="0.35">
      <c r="B27" s="11" t="s">
        <v>30</v>
      </c>
      <c r="C27" s="12" t="s">
        <v>9</v>
      </c>
      <c r="D27" s="12" t="s">
        <v>18</v>
      </c>
      <c r="E27" s="13">
        <v>55</v>
      </c>
    </row>
    <row r="28" spans="2:5" x14ac:dyDescent="0.35">
      <c r="B28" s="11" t="s">
        <v>31</v>
      </c>
      <c r="C28" s="11" t="s">
        <v>10</v>
      </c>
      <c r="D28" s="11" t="s">
        <v>19</v>
      </c>
      <c r="E28" s="13">
        <v>77</v>
      </c>
    </row>
    <row r="29" spans="2:5" x14ac:dyDescent="0.35">
      <c r="B29" s="11" t="s">
        <v>32</v>
      </c>
      <c r="C29" s="11" t="s">
        <v>15</v>
      </c>
      <c r="D29" s="12" t="s">
        <v>20</v>
      </c>
      <c r="E29" s="13">
        <v>154</v>
      </c>
    </row>
    <row r="30" spans="2:5" x14ac:dyDescent="0.35">
      <c r="B30" s="14" t="s">
        <v>33</v>
      </c>
      <c r="C30" s="14" t="s">
        <v>11</v>
      </c>
      <c r="D30" s="14" t="s">
        <v>21</v>
      </c>
      <c r="E30" s="3">
        <v>230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AA55-6B6F-4671-B01A-CDA8D74CE78C}">
  <dimension ref="A1:H15"/>
  <sheetViews>
    <sheetView zoomScale="130" zoomScaleNormal="130" workbookViewId="0">
      <selection activeCell="H6" sqref="H6"/>
    </sheetView>
  </sheetViews>
  <sheetFormatPr defaultRowHeight="18" x14ac:dyDescent="0.35"/>
  <cols>
    <col min="1" max="1" width="4.4140625" customWidth="1"/>
    <col min="2" max="2" width="10.9140625" customWidth="1"/>
    <col min="3" max="3" width="12.33203125" customWidth="1"/>
    <col min="4" max="5" width="9.1640625" customWidth="1"/>
    <col min="6" max="6" width="4.1640625" customWidth="1"/>
    <col min="7" max="7" width="11.08203125" customWidth="1"/>
    <col min="8" max="8" width="12.33203125" customWidth="1"/>
  </cols>
  <sheetData>
    <row r="1" spans="1:8" s="7" customFormat="1" ht="18.600000000000001" thickBot="1" x14ac:dyDescent="0.4">
      <c r="A1" s="6">
        <v>7</v>
      </c>
      <c r="B1" s="7" t="s">
        <v>44</v>
      </c>
    </row>
    <row r="2" spans="1:8" x14ac:dyDescent="0.35">
      <c r="A2" s="5"/>
    </row>
    <row r="3" spans="1:8" x14ac:dyDescent="0.35">
      <c r="B3" s="9" t="s">
        <v>0</v>
      </c>
      <c r="C3" s="9" t="s">
        <v>1</v>
      </c>
      <c r="D3" s="9" t="s">
        <v>16</v>
      </c>
      <c r="E3" s="10" t="s">
        <v>17</v>
      </c>
      <c r="G3" s="4" t="s">
        <v>0</v>
      </c>
      <c r="H3" s="18" t="s">
        <v>1</v>
      </c>
    </row>
    <row r="4" spans="1:8" x14ac:dyDescent="0.35">
      <c r="B4" s="11" t="s">
        <v>22</v>
      </c>
      <c r="C4" s="12" t="s">
        <v>2</v>
      </c>
      <c r="D4" s="12" t="s">
        <v>18</v>
      </c>
      <c r="E4" s="13">
        <v>100</v>
      </c>
      <c r="G4" s="16" t="s">
        <v>29</v>
      </c>
      <c r="H4" s="15" t="str">
        <f>VLOOKUP(G4,B3:E15,MATCH(H3,B3:E3,0),0)</f>
        <v>Monitor</v>
      </c>
    </row>
    <row r="5" spans="1:8" x14ac:dyDescent="0.35">
      <c r="B5" s="11" t="s">
        <v>23</v>
      </c>
      <c r="C5" s="11" t="s">
        <v>3</v>
      </c>
      <c r="D5" s="11" t="s">
        <v>19</v>
      </c>
      <c r="E5" s="13">
        <v>230</v>
      </c>
    </row>
    <row r="6" spans="1:8" x14ac:dyDescent="0.35">
      <c r="B6" s="11" t="s">
        <v>24</v>
      </c>
      <c r="C6" s="12" t="s">
        <v>4</v>
      </c>
      <c r="D6" s="12" t="s">
        <v>20</v>
      </c>
      <c r="E6" s="13">
        <v>120</v>
      </c>
    </row>
    <row r="7" spans="1:8" x14ac:dyDescent="0.35">
      <c r="B7" s="11" t="s">
        <v>25</v>
      </c>
      <c r="C7" s="11" t="s">
        <v>5</v>
      </c>
      <c r="D7" s="11" t="s">
        <v>21</v>
      </c>
      <c r="E7" s="13">
        <v>144</v>
      </c>
    </row>
    <row r="8" spans="1:8" x14ac:dyDescent="0.35">
      <c r="B8" s="11" t="s">
        <v>26</v>
      </c>
      <c r="C8" s="12" t="s">
        <v>6</v>
      </c>
      <c r="D8" s="12" t="s">
        <v>18</v>
      </c>
      <c r="E8" s="13">
        <v>50</v>
      </c>
    </row>
    <row r="9" spans="1:8" x14ac:dyDescent="0.35">
      <c r="B9" s="11" t="s">
        <v>27</v>
      </c>
      <c r="C9" s="11" t="s">
        <v>7</v>
      </c>
      <c r="D9" s="11" t="s">
        <v>19</v>
      </c>
      <c r="E9" s="13">
        <v>340</v>
      </c>
      <c r="G9">
        <f>MATCH(H3,B3:E3,0)</f>
        <v>2</v>
      </c>
    </row>
    <row r="10" spans="1:8" x14ac:dyDescent="0.35">
      <c r="B10" s="11" t="s">
        <v>28</v>
      </c>
      <c r="C10" s="12" t="s">
        <v>8</v>
      </c>
      <c r="D10" s="12" t="s">
        <v>20</v>
      </c>
      <c r="E10" s="13">
        <v>210</v>
      </c>
    </row>
    <row r="11" spans="1:8" x14ac:dyDescent="0.35">
      <c r="B11" s="11" t="s">
        <v>29</v>
      </c>
      <c r="C11" s="11" t="s">
        <v>3</v>
      </c>
      <c r="D11" s="11" t="s">
        <v>21</v>
      </c>
      <c r="E11" s="13">
        <v>170</v>
      </c>
    </row>
    <row r="12" spans="1:8" x14ac:dyDescent="0.35">
      <c r="B12" s="11" t="s">
        <v>30</v>
      </c>
      <c r="C12" s="12" t="s">
        <v>9</v>
      </c>
      <c r="D12" s="12" t="s">
        <v>18</v>
      </c>
      <c r="E12" s="13">
        <v>55</v>
      </c>
    </row>
    <row r="13" spans="1:8" x14ac:dyDescent="0.35">
      <c r="B13" s="11" t="s">
        <v>31</v>
      </c>
      <c r="C13" s="11" t="s">
        <v>10</v>
      </c>
      <c r="D13" s="11" t="s">
        <v>19</v>
      </c>
      <c r="E13" s="13">
        <v>77</v>
      </c>
    </row>
    <row r="14" spans="1:8" x14ac:dyDescent="0.35">
      <c r="B14" s="11" t="s">
        <v>32</v>
      </c>
      <c r="C14" s="11" t="s">
        <v>15</v>
      </c>
      <c r="D14" s="12" t="s">
        <v>20</v>
      </c>
      <c r="E14" s="13">
        <v>154</v>
      </c>
    </row>
    <row r="15" spans="1:8" x14ac:dyDescent="0.35">
      <c r="B15" s="14" t="s">
        <v>33</v>
      </c>
      <c r="C15" s="14" t="s">
        <v>11</v>
      </c>
      <c r="D15" s="14" t="s">
        <v>21</v>
      </c>
      <c r="E15" s="3">
        <v>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7328-577E-48DF-88FC-D82F126C3FB6}">
  <dimension ref="A1:L20"/>
  <sheetViews>
    <sheetView zoomScaleNormal="100" workbookViewId="0">
      <selection activeCell="B21" sqref="B21"/>
    </sheetView>
  </sheetViews>
  <sheetFormatPr defaultRowHeight="18" x14ac:dyDescent="0.35"/>
  <cols>
    <col min="1" max="1" width="4.4140625" customWidth="1"/>
    <col min="2" max="2" width="10.9140625" customWidth="1"/>
    <col min="3" max="3" width="13.08203125" customWidth="1"/>
    <col min="4" max="7" width="7.4140625" customWidth="1"/>
    <col min="8" max="8" width="4.9140625" customWidth="1"/>
    <col min="9" max="9" width="10" customWidth="1"/>
    <col min="10" max="12" width="6.9140625" customWidth="1"/>
  </cols>
  <sheetData>
    <row r="1" spans="1:12" s="7" customFormat="1" ht="18.600000000000001" thickBot="1" x14ac:dyDescent="0.4">
      <c r="A1" s="6">
        <v>9</v>
      </c>
      <c r="B1" s="7" t="s">
        <v>49</v>
      </c>
    </row>
    <row r="2" spans="1:12" x14ac:dyDescent="0.35">
      <c r="A2" s="5"/>
    </row>
    <row r="3" spans="1:12" x14ac:dyDescent="0.35">
      <c r="B3" s="9" t="s">
        <v>0</v>
      </c>
      <c r="C3" s="9" t="s">
        <v>1</v>
      </c>
      <c r="D3" s="19" t="s">
        <v>45</v>
      </c>
      <c r="E3" s="19" t="s">
        <v>46</v>
      </c>
      <c r="F3" s="19" t="s">
        <v>47</v>
      </c>
      <c r="G3" s="19" t="s">
        <v>48</v>
      </c>
      <c r="I3" s="9" t="s">
        <v>0</v>
      </c>
      <c r="J3" s="10" t="s">
        <v>45</v>
      </c>
      <c r="K3" s="10" t="s">
        <v>46</v>
      </c>
      <c r="L3" s="10" t="s">
        <v>47</v>
      </c>
    </row>
    <row r="4" spans="1:12" x14ac:dyDescent="0.35">
      <c r="B4" s="11" t="s">
        <v>22</v>
      </c>
      <c r="C4" s="12" t="s">
        <v>2</v>
      </c>
      <c r="D4" s="2">
        <v>1200</v>
      </c>
      <c r="E4" s="3">
        <v>70000</v>
      </c>
      <c r="F4" s="2">
        <v>1200</v>
      </c>
      <c r="G4" s="3">
        <v>2300</v>
      </c>
      <c r="I4" s="3" t="s">
        <v>28</v>
      </c>
      <c r="J4" s="1" cm="1">
        <f t="array" ref="J4:L4">VLOOKUP(I4,B3:G15,{3,4,5},0)</f>
        <v>54000</v>
      </c>
      <c r="K4" s="1">
        <v>7800</v>
      </c>
      <c r="L4" s="1">
        <v>23900</v>
      </c>
    </row>
    <row r="5" spans="1:12" x14ac:dyDescent="0.35">
      <c r="B5" s="11" t="s">
        <v>23</v>
      </c>
      <c r="C5" s="11" t="s">
        <v>3</v>
      </c>
      <c r="D5" s="3">
        <v>2300</v>
      </c>
      <c r="E5" s="3">
        <v>50000</v>
      </c>
      <c r="F5" s="3">
        <v>2330</v>
      </c>
      <c r="G5" s="3">
        <v>540000</v>
      </c>
    </row>
    <row r="6" spans="1:12" x14ac:dyDescent="0.35">
      <c r="B6" s="11" t="s">
        <v>24</v>
      </c>
      <c r="C6" s="12" t="s">
        <v>4</v>
      </c>
      <c r="D6" s="2">
        <v>34000</v>
      </c>
      <c r="E6" s="3">
        <v>3400</v>
      </c>
      <c r="F6" s="2">
        <v>54000</v>
      </c>
      <c r="G6" s="3">
        <v>7800</v>
      </c>
    </row>
    <row r="7" spans="1:12" x14ac:dyDescent="0.35">
      <c r="B7" s="11" t="s">
        <v>25</v>
      </c>
      <c r="C7" s="11" t="s">
        <v>5</v>
      </c>
      <c r="D7" s="3">
        <v>45000</v>
      </c>
      <c r="E7" s="3">
        <v>3400</v>
      </c>
      <c r="F7" s="3">
        <v>6500</v>
      </c>
      <c r="G7" s="3">
        <v>3400</v>
      </c>
    </row>
    <row r="8" spans="1:12" x14ac:dyDescent="0.35">
      <c r="B8" s="11" t="s">
        <v>26</v>
      </c>
      <c r="C8" s="12" t="s">
        <v>6</v>
      </c>
      <c r="D8" s="2">
        <v>1200</v>
      </c>
      <c r="E8" s="3">
        <v>2300</v>
      </c>
      <c r="F8" s="2">
        <v>44500</v>
      </c>
      <c r="G8" s="3">
        <v>2300</v>
      </c>
    </row>
    <row r="9" spans="1:12" x14ac:dyDescent="0.35">
      <c r="B9" s="11" t="s">
        <v>27</v>
      </c>
      <c r="C9" s="11" t="s">
        <v>7</v>
      </c>
      <c r="D9" s="3">
        <v>2330</v>
      </c>
      <c r="E9" s="3">
        <v>540000</v>
      </c>
      <c r="F9" s="3">
        <v>4300</v>
      </c>
      <c r="G9" s="3">
        <v>5440</v>
      </c>
    </row>
    <row r="10" spans="1:12" x14ac:dyDescent="0.35">
      <c r="B10" s="11" t="s">
        <v>28</v>
      </c>
      <c r="C10" s="12" t="s">
        <v>8</v>
      </c>
      <c r="D10" s="2">
        <v>54000</v>
      </c>
      <c r="E10" s="3">
        <v>7800</v>
      </c>
      <c r="F10" s="2">
        <v>23900</v>
      </c>
      <c r="G10" s="3">
        <v>8700</v>
      </c>
    </row>
    <row r="11" spans="1:12" x14ac:dyDescent="0.35">
      <c r="B11" s="11" t="s">
        <v>29</v>
      </c>
      <c r="C11" s="11" t="s">
        <v>3</v>
      </c>
      <c r="D11" s="3">
        <v>6500</v>
      </c>
      <c r="E11" s="3">
        <v>3400</v>
      </c>
      <c r="F11" s="3">
        <v>3400</v>
      </c>
      <c r="G11" s="2">
        <v>54000</v>
      </c>
    </row>
    <row r="12" spans="1:12" x14ac:dyDescent="0.35">
      <c r="B12" s="11" t="s">
        <v>30</v>
      </c>
      <c r="C12" s="12" t="s">
        <v>9</v>
      </c>
      <c r="D12" s="2">
        <v>44500</v>
      </c>
      <c r="E12" s="3">
        <v>2300</v>
      </c>
      <c r="F12" s="3">
        <v>3400</v>
      </c>
      <c r="G12" s="3">
        <v>6500</v>
      </c>
    </row>
    <row r="13" spans="1:12" x14ac:dyDescent="0.35">
      <c r="B13" s="11" t="s">
        <v>31</v>
      </c>
      <c r="C13" s="11" t="s">
        <v>10</v>
      </c>
      <c r="D13" s="3">
        <v>4300</v>
      </c>
      <c r="E13" s="3">
        <v>5440</v>
      </c>
      <c r="F13" s="3">
        <v>2300</v>
      </c>
      <c r="G13" s="2">
        <v>44500</v>
      </c>
    </row>
    <row r="14" spans="1:12" x14ac:dyDescent="0.35">
      <c r="B14" s="11" t="s">
        <v>32</v>
      </c>
      <c r="C14" s="11" t="s">
        <v>15</v>
      </c>
      <c r="D14" s="2">
        <v>23900</v>
      </c>
      <c r="E14" s="3">
        <v>8700</v>
      </c>
      <c r="F14" s="3">
        <v>540000</v>
      </c>
      <c r="G14" s="3">
        <v>4300</v>
      </c>
    </row>
    <row r="15" spans="1:12" x14ac:dyDescent="0.35">
      <c r="B15" s="14" t="s">
        <v>33</v>
      </c>
      <c r="C15" s="14" t="s">
        <v>11</v>
      </c>
      <c r="D15" s="3">
        <v>23000</v>
      </c>
      <c r="E15" s="3">
        <v>23000</v>
      </c>
      <c r="F15" s="3">
        <v>2300</v>
      </c>
      <c r="G15" s="2">
        <v>44500</v>
      </c>
    </row>
    <row r="16" spans="1:12" ht="12.9" customHeight="1" x14ac:dyDescent="0.35"/>
    <row r="17" spans="2:7" x14ac:dyDescent="0.35">
      <c r="B17" s="9" t="s">
        <v>0</v>
      </c>
      <c r="C17" s="9" t="s">
        <v>1</v>
      </c>
      <c r="D17" s="10" t="s">
        <v>45</v>
      </c>
      <c r="E17" s="10" t="s">
        <v>46</v>
      </c>
      <c r="F17" s="10" t="s">
        <v>47</v>
      </c>
      <c r="G17" s="10" t="s">
        <v>48</v>
      </c>
    </row>
    <row r="18" spans="2:7" x14ac:dyDescent="0.35">
      <c r="B18" s="1" t="s">
        <v>33</v>
      </c>
      <c r="C18" s="1" t="str">
        <f>VLOOKUP($B$18,$B$3:$G$15,COLUMNS($B$2:C2),0)</f>
        <v>HDD 256 GB</v>
      </c>
      <c r="D18" s="1">
        <f>VLOOKUP($B$18,$B$3:$G$15,COLUMNS($B$2:D2),0)</f>
        <v>23000</v>
      </c>
      <c r="E18" s="1">
        <f>VLOOKUP($B$18,$B$3:$G$15,COLUMNS($B$2:E2),0)</f>
        <v>23000</v>
      </c>
      <c r="F18" s="1">
        <f>VLOOKUP($B$18,$B$3:$G$15,COLUMNS($B$2:F2),0)</f>
        <v>2300</v>
      </c>
      <c r="G18" s="1">
        <f>VLOOKUP($B$18,$B$3:$G$15,COLUMNS($B$2:G2),0)</f>
        <v>44500</v>
      </c>
    </row>
    <row r="20" spans="2:7" x14ac:dyDescent="0.35">
      <c r="B20" t="s">
        <v>31</v>
      </c>
      <c r="C20" t="str" cm="1">
        <f t="array" ref="C20:G20">IFERROR(VLOOKUP(B20,B4:G15,{2,3,4,5,6},FALSE)," ")</f>
        <v>Mouse 3.0</v>
      </c>
      <c r="D20">
        <v>4300</v>
      </c>
      <c r="E20">
        <v>5440</v>
      </c>
      <c r="F20">
        <v>2300</v>
      </c>
      <c r="G20">
        <v>44500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Vlookup 1</vt:lpstr>
      <vt:lpstr>Vlookup 2</vt:lpstr>
      <vt:lpstr>Vlookup 3</vt:lpstr>
      <vt:lpstr>Vlookup 4</vt:lpstr>
      <vt:lpstr>Vlookup 5</vt:lpstr>
      <vt:lpstr>Vlookup 6</vt:lpstr>
      <vt:lpstr>Vlookup 7</vt:lpstr>
      <vt:lpstr>Vlookup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nehra</dc:creator>
  <cp:lastModifiedBy>Dipan Nandi</cp:lastModifiedBy>
  <dcterms:created xsi:type="dcterms:W3CDTF">2024-10-12T10:44:00Z</dcterms:created>
  <dcterms:modified xsi:type="dcterms:W3CDTF">2026-08-10T07:39:22Z</dcterms:modified>
</cp:coreProperties>
</file>