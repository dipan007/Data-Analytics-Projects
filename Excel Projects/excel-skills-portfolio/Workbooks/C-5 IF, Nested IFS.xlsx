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C6\"/>
    </mc:Choice>
  </mc:AlternateContent>
  <xr:revisionPtr revIDLastSave="0" documentId="13_ncr:1_{14550155-6326-4592-9E2F-81003C50695A}" xr6:coauthVersionLast="47" xr6:coauthVersionMax="47" xr10:uidLastSave="{00000000-0000-0000-0000-000000000000}"/>
  <bookViews>
    <workbookView xWindow="-108" yWindow="-108" windowWidth="23256" windowHeight="12456" activeTab="2" xr2:uid="{0B1A21F5-0EBF-437B-AA7F-A9B5D8C66365}"/>
  </bookViews>
  <sheets>
    <sheet name="IF" sheetId="1" r:id="rId1"/>
    <sheet name="IFS" sheetId="2" r:id="rId2"/>
    <sheet name="Nasted IFs" sheetId="9" r:id="rId3"/>
  </sheets>
  <definedNames>
    <definedName name="_xlnm._FilterDatabase" localSheetId="1" hidden="1">IFS!$A$21:$J$26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9" l="1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" i="9" a="1"/>
  <c r="E2" i="9" s="1"/>
  <c r="G31" i="2"/>
  <c r="G29" i="2"/>
  <c r="L23" i="2" a="1"/>
  <c r="L23" i="2"/>
  <c r="L24" i="2" a="1"/>
  <c r="L24" i="2" s="1"/>
  <c r="L25" i="2" a="1"/>
  <c r="L25" i="2" s="1"/>
  <c r="L26" i="2" a="1"/>
  <c r="L26" i="2"/>
  <c r="L22" i="2" a="1"/>
  <c r="L22" i="2" s="1"/>
  <c r="K23" i="2" a="1"/>
  <c r="K23" i="2"/>
  <c r="K24" i="2" a="1"/>
  <c r="K24" i="2"/>
  <c r="K25" i="2" a="1"/>
  <c r="K25" i="2" s="1"/>
  <c r="K26" i="2" a="1"/>
  <c r="K26" i="2" s="1"/>
  <c r="K22" i="2" a="1"/>
  <c r="K22" i="2" s="1"/>
  <c r="J23" i="2"/>
  <c r="J24" i="2"/>
  <c r="J25" i="2"/>
  <c r="J26" i="2"/>
  <c r="J22" i="2"/>
  <c r="I23" i="2"/>
  <c r="I24" i="2"/>
  <c r="I25" i="2"/>
  <c r="I26" i="2"/>
  <c r="I22" i="2"/>
  <c r="H23" i="2"/>
  <c r="H24" i="2"/>
  <c r="H25" i="2"/>
  <c r="H26" i="2"/>
  <c r="H22" i="2"/>
  <c r="H6" i="2"/>
  <c r="H7" i="2"/>
  <c r="H8" i="2"/>
  <c r="H9" i="2"/>
  <c r="H10" i="2"/>
  <c r="H11" i="2"/>
  <c r="H12" i="2"/>
  <c r="H13" i="2"/>
  <c r="H14" i="2"/>
  <c r="H5" i="2"/>
  <c r="G6" i="2"/>
  <c r="G7" i="2"/>
  <c r="G8" i="2"/>
  <c r="G9" i="2"/>
  <c r="G10" i="2"/>
  <c r="G11" i="2"/>
  <c r="G12" i="2"/>
  <c r="G13" i="2"/>
  <c r="G14" i="2"/>
  <c r="G5" i="2"/>
  <c r="K19" i="1"/>
  <c r="K20" i="1"/>
  <c r="K21" i="1"/>
  <c r="K22" i="1"/>
  <c r="K23" i="1"/>
  <c r="K24" i="1"/>
  <c r="K25" i="1"/>
  <c r="K26" i="1"/>
  <c r="K27" i="1"/>
  <c r="K18" i="1"/>
  <c r="L6" i="1"/>
  <c r="L7" i="1"/>
  <c r="L8" i="1"/>
  <c r="L9" i="1"/>
  <c r="L10" i="1"/>
  <c r="L11" i="1"/>
  <c r="L12" i="1"/>
  <c r="L13" i="1"/>
  <c r="L14" i="1"/>
  <c r="L5" i="1"/>
  <c r="D19" i="1"/>
  <c r="D20" i="1"/>
  <c r="D21" i="1"/>
  <c r="D22" i="1"/>
  <c r="D23" i="1"/>
  <c r="D24" i="1"/>
  <c r="D25" i="1"/>
  <c r="D26" i="1"/>
  <c r="D27" i="1"/>
  <c r="D18" i="1"/>
  <c r="E5" i="1"/>
  <c r="E6" i="1"/>
  <c r="E7" i="1"/>
  <c r="E8" i="1"/>
  <c r="E9" i="1"/>
  <c r="E10" i="1"/>
  <c r="E11" i="1"/>
  <c r="E12" i="1"/>
  <c r="E13" i="1"/>
  <c r="E14" i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" i="9"/>
  <c r="C31" i="9" a="1"/>
  <c r="C3" i="9" a="1"/>
  <c r="C4" i="9" a="1"/>
  <c r="C5" i="9" a="1"/>
  <c r="C6" i="9" a="1"/>
  <c r="C7" i="9" a="1"/>
  <c r="C8" i="9" a="1"/>
  <c r="C9" i="9" a="1"/>
  <c r="C10" i="9" a="1"/>
  <c r="C11" i="9" a="1"/>
  <c r="C12" i="9" a="1"/>
  <c r="C13" i="9" a="1"/>
  <c r="C14" i="9" a="1"/>
  <c r="C15" i="9" a="1"/>
  <c r="C16" i="9" a="1"/>
  <c r="C17" i="9" a="1"/>
  <c r="C18" i="9" a="1"/>
  <c r="C19" i="9" a="1"/>
  <c r="C20" i="9" a="1"/>
  <c r="C21" i="9" a="1"/>
  <c r="C22" i="9" a="1"/>
  <c r="C23" i="9" a="1"/>
  <c r="C24" i="9" a="1"/>
  <c r="C25" i="9" a="1"/>
  <c r="C26" i="9" a="1"/>
  <c r="C27" i="9" a="1"/>
  <c r="C2" i="9" a="1"/>
  <c r="B3" i="9" a="1"/>
  <c r="B4" i="9" a="1"/>
  <c r="B5" i="9" a="1"/>
  <c r="B6" i="9" a="1"/>
  <c r="B7" i="9" a="1"/>
  <c r="B8" i="9" a="1"/>
  <c r="B9" i="9" a="1"/>
  <c r="B10" i="9" a="1"/>
  <c r="B11" i="9" a="1"/>
  <c r="B12" i="9" a="1"/>
  <c r="B13" i="9" a="1"/>
  <c r="B14" i="9" a="1"/>
  <c r="B15" i="9" a="1"/>
  <c r="B16" i="9" a="1"/>
  <c r="B17" i="9" a="1"/>
  <c r="B18" i="9" a="1"/>
  <c r="B19" i="9" a="1"/>
  <c r="B20" i="9" a="1"/>
  <c r="B21" i="9" a="1"/>
  <c r="B22" i="9" a="1"/>
  <c r="B23" i="9" a="1"/>
  <c r="B24" i="9" a="1"/>
  <c r="B25" i="9" a="1"/>
  <c r="B26" i="9" a="1"/>
  <c r="B27" i="9" a="1"/>
  <c r="B2" i="9" a="1"/>
  <c r="B32" i="2"/>
  <c r="B31" i="2"/>
  <c r="B30" i="2"/>
  <c r="B29" i="2"/>
  <c r="G26" i="2"/>
  <c r="G25" i="2"/>
  <c r="G24" i="2"/>
  <c r="G23" i="2"/>
  <c r="G22" i="2"/>
  <c r="C31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<sst xmlns="http://schemas.openxmlformats.org/spreadsheetml/2006/main" count="184" uniqueCount="76">
  <si>
    <t>Student Roll</t>
  </si>
  <si>
    <t>Student Name</t>
  </si>
  <si>
    <t>Status</t>
  </si>
  <si>
    <t>Arif Hossain</t>
  </si>
  <si>
    <t>Jihad Ahmed</t>
  </si>
  <si>
    <t>Farhan Shikder</t>
  </si>
  <si>
    <t>Khadija Akther</t>
  </si>
  <si>
    <t>Rahul Mia</t>
  </si>
  <si>
    <t>Raiyan</t>
  </si>
  <si>
    <t>Shneha Akther</t>
  </si>
  <si>
    <t>Karim Uddin</t>
  </si>
  <si>
    <t>Arafat Hossain</t>
  </si>
  <si>
    <t>Saiful Islam</t>
  </si>
  <si>
    <t>Gender</t>
  </si>
  <si>
    <t>Male</t>
  </si>
  <si>
    <t>Female</t>
  </si>
  <si>
    <t>Total Sales</t>
  </si>
  <si>
    <t>Name MD/Miss</t>
  </si>
  <si>
    <t>Ban</t>
  </si>
  <si>
    <t>Math</t>
  </si>
  <si>
    <t>Eng</t>
  </si>
  <si>
    <t>Salary</t>
  </si>
  <si>
    <t>EMP Name</t>
  </si>
  <si>
    <t>Sajib Khan</t>
  </si>
  <si>
    <t>Rifat Hossain</t>
  </si>
  <si>
    <t>Sagor Khan</t>
  </si>
  <si>
    <t>Raiyan Ahmed</t>
  </si>
  <si>
    <t>Week 1</t>
  </si>
  <si>
    <t>Week 2</t>
  </si>
  <si>
    <t>Week 3</t>
  </si>
  <si>
    <t>Week 4</t>
  </si>
  <si>
    <t>Toal Sales</t>
  </si>
  <si>
    <t>Bonus Status</t>
  </si>
  <si>
    <t>Bonus Amount</t>
  </si>
  <si>
    <t>Bonus With salary</t>
  </si>
  <si>
    <t>Bonus &gt;</t>
  </si>
  <si>
    <t>Bonus %</t>
  </si>
  <si>
    <t>Team Bonus</t>
  </si>
  <si>
    <t>Avg Sales</t>
  </si>
  <si>
    <t>Max Sales</t>
  </si>
  <si>
    <t>Min Sales</t>
  </si>
  <si>
    <t>Age</t>
  </si>
  <si>
    <t>Age Group</t>
  </si>
  <si>
    <t xml:space="preserve"> =IFS(A22&gt;=20,"21-29",A22&gt;30,"31-39",A22&gt;40,"41-59",A22&gt;50,"51-59",A22&gt;60,"61-69",A22&gt;=70,"70+")</t>
  </si>
  <si>
    <t>Age G 2</t>
  </si>
  <si>
    <t>Age G 3</t>
  </si>
  <si>
    <t>Total Sale &gt;=</t>
  </si>
  <si>
    <t>Avg Sale &gt;</t>
  </si>
  <si>
    <t>AND</t>
  </si>
  <si>
    <t>Logic Test</t>
  </si>
  <si>
    <t>IF False</t>
  </si>
  <si>
    <t>IF True</t>
  </si>
  <si>
    <t>MIXED AND OR</t>
  </si>
  <si>
    <t>IF</t>
  </si>
  <si>
    <t>&gt;5000</t>
  </si>
  <si>
    <t>Out Put</t>
  </si>
  <si>
    <t>Marks</t>
  </si>
  <si>
    <t xml:space="preserve"> =IF(D10&gt;32,"Pass","Fail")</t>
  </si>
  <si>
    <t xml:space="preserve"> =IF(C18="Male","MD "&amp;B18,"Miss "&amp;B18)</t>
  </si>
  <si>
    <t xml:space="preserve">IFS </t>
  </si>
  <si>
    <t>Multi Logic &amp;  1 /Multi Ans</t>
  </si>
  <si>
    <t>Multi Logic &amp;  1 IF+AND/Or</t>
  </si>
  <si>
    <t>Multi Ans = Nated IF / IFS</t>
  </si>
  <si>
    <t>And</t>
  </si>
  <si>
    <r>
      <t xml:space="preserve"> =IF(</t>
    </r>
    <r>
      <rPr>
        <b/>
        <sz val="11"/>
        <color theme="1"/>
        <rFont val="Calibri"/>
        <family val="2"/>
        <scheme val="minor"/>
      </rPr>
      <t>AND(D5&gt;32,E5&gt;32,F5&gt;32)</t>
    </r>
    <r>
      <rPr>
        <sz val="11"/>
        <color theme="1"/>
        <rFont val="Calibri"/>
        <family val="2"/>
        <scheme val="minor"/>
      </rPr>
      <t>,"Pass","Fail")</t>
    </r>
  </si>
  <si>
    <t xml:space="preserve"> =IF(G22&gt;$I$16,G22*$J$16,0)</t>
  </si>
  <si>
    <t>20-29</t>
  </si>
  <si>
    <t>30-39</t>
  </si>
  <si>
    <t>40-49</t>
  </si>
  <si>
    <t>50-59</t>
  </si>
  <si>
    <t>60-69</t>
  </si>
  <si>
    <t>Senior Citizen</t>
  </si>
  <si>
    <t>IFS</t>
  </si>
  <si>
    <t xml:space="preserve"> =SWITCH(TRUE,A2&gt;=70,"70+",A2&gt;60,"61-69",A2&gt;50,"51-59",A2&gt;40,"41-49",A2&gt;30,"31-39",A2&gt;20,"21-29",A2&lt;=20,"Under 21")</t>
  </si>
  <si>
    <r>
      <t xml:space="preserve"> =IF(A2&gt;=</t>
    </r>
    <r>
      <rPr>
        <b/>
        <sz val="11"/>
        <color theme="1"/>
        <rFont val="Calibri"/>
        <family val="2"/>
        <scheme val="minor"/>
      </rPr>
      <t>70,"70+"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>(A2&gt;60,"61-69",IF(A2&gt;50,"51-59",IF(A2&gt;40,"41-49",IF(A2&gt;30,"31-39",IF(A2&gt;20,"21-29","Under 21"))))))</t>
    </r>
  </si>
  <si>
    <t xml:space="preserve"> =IFS(A2&gt;=70,"70+",A2&gt;60,"61-69",A2&gt;50,"51-59",A2&gt;40,"41-49",A2&gt;30,"31-39",A2&gt;20,"21-29",A2&lt;=20,"Under 21")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</si>
</sst>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8" fillId="9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2" fillId="3" borderId="0" xfId="0" applyFont="1" applyFill="1"/>
    <xf numFmtId="0" fontId="7" fillId="10" borderId="1" xfId="0" applyFont="1" applyFill="1" applyBorder="1" applyAlignment="1">
      <alignment horizontal="center"/>
    </xf>
    <xf numFmtId="0" fontId="0" fillId="10" borderId="1" xfId="0" applyFill="1" applyBorder="1"/>
    <xf numFmtId="0" fontId="0" fillId="2" borderId="0" xfId="0" applyFill="1"/>
    <xf numFmtId="1" fontId="0" fillId="0" borderId="1" xfId="0" applyNumberFormat="1" applyBorder="1"/>
    <xf numFmtId="1" fontId="0" fillId="0" borderId="0" xfId="0" applyNumberFormat="1"/>
    <xf numFmtId="0" fontId="4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7" borderId="0" xfId="0" applyFont="1" applyFill="1" applyAlignment="1">
      <alignment horizontal="center"/>
    </xf>
    <xf numFmtId="165" fontId="10" fillId="8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3A16-C83B-4CB7-BF26-52D96DDFF224}">
  <dimension ref="A2:R27"/>
  <sheetViews>
    <sheetView zoomScaleNormal="100" workbookViewId="0">
      <selection activeCell="M22" sqref="M22"/>
    </sheetView>
  </sheetViews>
  <sheetFormatPr defaultColWidth="12.6640625" defaultRowHeight="14.4" x14ac:dyDescent="0.3"/>
  <cols>
    <col min="2" max="2" width="14.44140625" bestFit="1" customWidth="1"/>
    <col min="3" max="3" width="14.44140625" customWidth="1"/>
    <col min="4" max="4" width="18.6640625" bestFit="1" customWidth="1"/>
    <col min="5" max="5" width="15.6640625" customWidth="1"/>
    <col min="7" max="7" width="23.6640625" bestFit="1" customWidth="1"/>
    <col min="9" max="9" width="25.109375" customWidth="1"/>
    <col min="11" max="11" width="16.6640625" customWidth="1"/>
  </cols>
  <sheetData>
    <row r="2" spans="1:18" x14ac:dyDescent="0.3">
      <c r="P2" t="s">
        <v>53</v>
      </c>
    </row>
    <row r="4" spans="1:18" ht="15.6" x14ac:dyDescent="0.3">
      <c r="A4" s="4" t="s">
        <v>0</v>
      </c>
      <c r="B4" s="4" t="s">
        <v>1</v>
      </c>
      <c r="C4" s="4" t="s">
        <v>13</v>
      </c>
      <c r="D4" s="4" t="s">
        <v>56</v>
      </c>
      <c r="E4" s="4" t="s">
        <v>2</v>
      </c>
      <c r="H4" s="4" t="s">
        <v>0</v>
      </c>
      <c r="I4" s="4" t="s">
        <v>1</v>
      </c>
      <c r="J4" s="4" t="s">
        <v>13</v>
      </c>
      <c r="K4" s="4" t="s">
        <v>56</v>
      </c>
      <c r="L4" s="4" t="s">
        <v>2</v>
      </c>
    </row>
    <row r="5" spans="1:18" x14ac:dyDescent="0.3">
      <c r="A5" s="3">
        <v>1</v>
      </c>
      <c r="B5" s="3" t="s">
        <v>3</v>
      </c>
      <c r="C5" s="3" t="s">
        <v>14</v>
      </c>
      <c r="D5" s="3">
        <v>97</v>
      </c>
      <c r="E5" s="3" t="str">
        <f>IF(D5&gt;=32,"Pass","Fail")</f>
        <v>Pass</v>
      </c>
      <c r="H5" s="3">
        <v>1</v>
      </c>
      <c r="I5" s="3" t="s">
        <v>3</v>
      </c>
      <c r="J5" s="3" t="s">
        <v>14</v>
      </c>
      <c r="K5" s="3">
        <v>97</v>
      </c>
      <c r="L5" s="3" t="str">
        <f>IF(K5&gt;=33,"Pass","Fail")</f>
        <v>Pass</v>
      </c>
      <c r="P5" t="s">
        <v>54</v>
      </c>
      <c r="Q5" s="12" t="s">
        <v>49</v>
      </c>
      <c r="R5" s="12" t="s">
        <v>60</v>
      </c>
    </row>
    <row r="6" spans="1:18" x14ac:dyDescent="0.3">
      <c r="A6" s="3">
        <v>2</v>
      </c>
      <c r="B6" s="3" t="s">
        <v>4</v>
      </c>
      <c r="C6" s="3" t="s">
        <v>14</v>
      </c>
      <c r="D6" s="3">
        <v>23</v>
      </c>
      <c r="E6" s="3" t="str">
        <f t="shared" ref="E6:E14" si="0">IF(D6&gt;=32,"Pass","Fail")</f>
        <v>Fail</v>
      </c>
      <c r="H6" s="3">
        <v>2</v>
      </c>
      <c r="I6" s="3" t="s">
        <v>4</v>
      </c>
      <c r="J6" s="3" t="s">
        <v>14</v>
      </c>
      <c r="K6" s="3">
        <v>23</v>
      </c>
      <c r="L6" s="3" t="str">
        <f t="shared" ref="L6:L14" si="1">IF(K6&gt;=33,"Pass","Fail")</f>
        <v>Fail</v>
      </c>
      <c r="P6" t="s">
        <v>55</v>
      </c>
      <c r="Q6" s="12" t="s">
        <v>51</v>
      </c>
    </row>
    <row r="7" spans="1:18" x14ac:dyDescent="0.3">
      <c r="A7" s="3">
        <v>3</v>
      </c>
      <c r="B7" s="3" t="s">
        <v>5</v>
      </c>
      <c r="C7" s="3" t="s">
        <v>14</v>
      </c>
      <c r="D7" s="3">
        <v>97</v>
      </c>
      <c r="E7" s="3" t="str">
        <f t="shared" si="0"/>
        <v>Pass</v>
      </c>
      <c r="H7" s="3">
        <v>3</v>
      </c>
      <c r="I7" s="3" t="s">
        <v>5</v>
      </c>
      <c r="J7" s="3" t="s">
        <v>14</v>
      </c>
      <c r="K7" s="3">
        <v>97</v>
      </c>
      <c r="L7" s="3" t="str">
        <f t="shared" si="1"/>
        <v>Pass</v>
      </c>
      <c r="P7" t="s">
        <v>55</v>
      </c>
      <c r="Q7" s="12" t="s">
        <v>50</v>
      </c>
      <c r="R7" s="12" t="s">
        <v>52</v>
      </c>
    </row>
    <row r="8" spans="1:18" x14ac:dyDescent="0.3">
      <c r="A8" s="3">
        <v>4</v>
      </c>
      <c r="B8" s="3" t="s">
        <v>6</v>
      </c>
      <c r="C8" s="3" t="s">
        <v>15</v>
      </c>
      <c r="D8" s="3">
        <v>33</v>
      </c>
      <c r="E8" s="3" t="str">
        <f t="shared" si="0"/>
        <v>Pass</v>
      </c>
      <c r="H8" s="3">
        <v>4</v>
      </c>
      <c r="I8" s="3" t="s">
        <v>6</v>
      </c>
      <c r="J8" s="3" t="s">
        <v>15</v>
      </c>
      <c r="K8" s="3">
        <v>33</v>
      </c>
      <c r="L8" s="3" t="str">
        <f t="shared" si="1"/>
        <v>Pass</v>
      </c>
    </row>
    <row r="9" spans="1:18" x14ac:dyDescent="0.3">
      <c r="A9" s="3">
        <v>5</v>
      </c>
      <c r="B9" s="3" t="s">
        <v>7</v>
      </c>
      <c r="C9" s="3" t="s">
        <v>14</v>
      </c>
      <c r="D9" s="3">
        <v>71</v>
      </c>
      <c r="E9" s="3" t="str">
        <f t="shared" si="0"/>
        <v>Pass</v>
      </c>
      <c r="H9" s="3">
        <v>5</v>
      </c>
      <c r="I9" s="3" t="s">
        <v>7</v>
      </c>
      <c r="J9" s="3" t="s">
        <v>14</v>
      </c>
      <c r="K9" s="3">
        <v>71</v>
      </c>
      <c r="L9" s="3" t="str">
        <f t="shared" si="1"/>
        <v>Pass</v>
      </c>
    </row>
    <row r="10" spans="1:18" x14ac:dyDescent="0.3">
      <c r="A10" s="3">
        <v>6</v>
      </c>
      <c r="B10" s="3" t="s">
        <v>8</v>
      </c>
      <c r="C10" s="3" t="s">
        <v>14</v>
      </c>
      <c r="D10" s="3">
        <v>35</v>
      </c>
      <c r="E10" s="3" t="str">
        <f t="shared" si="0"/>
        <v>Pass</v>
      </c>
      <c r="H10" s="3">
        <v>6</v>
      </c>
      <c r="I10" s="3" t="s">
        <v>8</v>
      </c>
      <c r="J10" s="3" t="s">
        <v>14</v>
      </c>
      <c r="K10" s="3">
        <v>35</v>
      </c>
      <c r="L10" s="3" t="str">
        <f t="shared" si="1"/>
        <v>Pass</v>
      </c>
      <c r="P10" t="s">
        <v>57</v>
      </c>
      <c r="R10" t="s">
        <v>61</v>
      </c>
    </row>
    <row r="11" spans="1:18" x14ac:dyDescent="0.3">
      <c r="A11" s="3">
        <v>7</v>
      </c>
      <c r="B11" s="3" t="s">
        <v>9</v>
      </c>
      <c r="C11" s="3" t="s">
        <v>15</v>
      </c>
      <c r="D11" s="3">
        <v>75</v>
      </c>
      <c r="E11" s="3" t="str">
        <f t="shared" si="0"/>
        <v>Pass</v>
      </c>
      <c r="H11" s="3">
        <v>7</v>
      </c>
      <c r="I11" s="3" t="s">
        <v>9</v>
      </c>
      <c r="J11" s="3" t="s">
        <v>15</v>
      </c>
      <c r="K11" s="3">
        <v>75</v>
      </c>
      <c r="L11" s="3" t="str">
        <f t="shared" si="1"/>
        <v>Pass</v>
      </c>
    </row>
    <row r="12" spans="1:18" x14ac:dyDescent="0.3">
      <c r="A12" s="3">
        <v>8</v>
      </c>
      <c r="B12" s="3" t="s">
        <v>10</v>
      </c>
      <c r="C12" s="3" t="s">
        <v>14</v>
      </c>
      <c r="D12" s="3">
        <v>50</v>
      </c>
      <c r="E12" s="3" t="str">
        <f t="shared" si="0"/>
        <v>Pass</v>
      </c>
      <c r="H12" s="3">
        <v>8</v>
      </c>
      <c r="I12" s="3" t="s">
        <v>10</v>
      </c>
      <c r="J12" s="3" t="s">
        <v>14</v>
      </c>
      <c r="K12" s="3">
        <v>50</v>
      </c>
      <c r="L12" s="3" t="str">
        <f t="shared" si="1"/>
        <v>Pass</v>
      </c>
      <c r="R12" t="s">
        <v>62</v>
      </c>
    </row>
    <row r="13" spans="1:18" x14ac:dyDescent="0.3">
      <c r="A13" s="3">
        <v>9</v>
      </c>
      <c r="B13" s="3" t="s">
        <v>11</v>
      </c>
      <c r="C13" s="3" t="s">
        <v>14</v>
      </c>
      <c r="D13" s="3">
        <v>47</v>
      </c>
      <c r="E13" s="3" t="str">
        <f t="shared" si="0"/>
        <v>Pass</v>
      </c>
      <c r="H13" s="3">
        <v>9</v>
      </c>
      <c r="I13" s="3" t="s">
        <v>11</v>
      </c>
      <c r="J13" s="3" t="s">
        <v>14</v>
      </c>
      <c r="K13" s="3">
        <v>47</v>
      </c>
      <c r="L13" s="3" t="str">
        <f t="shared" si="1"/>
        <v>Pass</v>
      </c>
    </row>
    <row r="14" spans="1:18" x14ac:dyDescent="0.3">
      <c r="A14" s="3">
        <v>10</v>
      </c>
      <c r="B14" s="3" t="s">
        <v>12</v>
      </c>
      <c r="C14" s="3" t="s">
        <v>14</v>
      </c>
      <c r="D14" s="3">
        <v>23</v>
      </c>
      <c r="E14" s="3" t="str">
        <f t="shared" si="0"/>
        <v>Fail</v>
      </c>
      <c r="H14" s="3">
        <v>10</v>
      </c>
      <c r="I14" s="3" t="s">
        <v>12</v>
      </c>
      <c r="J14" s="3" t="s">
        <v>14</v>
      </c>
      <c r="K14" s="3">
        <v>23</v>
      </c>
      <c r="L14" s="3" t="str">
        <f t="shared" si="1"/>
        <v>Fail</v>
      </c>
    </row>
    <row r="16" spans="1:18" x14ac:dyDescent="0.3">
      <c r="P16" t="s">
        <v>58</v>
      </c>
    </row>
    <row r="17" spans="1:11" ht="15.6" x14ac:dyDescent="0.3">
      <c r="A17" s="4" t="s">
        <v>0</v>
      </c>
      <c r="B17" s="4" t="s">
        <v>1</v>
      </c>
      <c r="C17" s="4" t="s">
        <v>13</v>
      </c>
      <c r="D17" s="4" t="s">
        <v>17</v>
      </c>
      <c r="H17" s="4" t="s">
        <v>0</v>
      </c>
      <c r="I17" s="4" t="s">
        <v>1</v>
      </c>
      <c r="J17" s="4" t="s">
        <v>13</v>
      </c>
      <c r="K17" s="4" t="s">
        <v>17</v>
      </c>
    </row>
    <row r="18" spans="1:11" x14ac:dyDescent="0.3">
      <c r="A18" s="3">
        <v>1</v>
      </c>
      <c r="B18" s="3" t="s">
        <v>3</v>
      </c>
      <c r="C18" s="3" t="s">
        <v>14</v>
      </c>
      <c r="D18" s="7" t="str">
        <f>IF(C18="Male","MD "&amp;$B18,"Miss "&amp;$B18)</f>
        <v>MD Arif Hossain</v>
      </c>
      <c r="H18" s="3">
        <v>1</v>
      </c>
      <c r="I18" s="3" t="s">
        <v>3</v>
      </c>
      <c r="J18" s="3" t="s">
        <v>14</v>
      </c>
      <c r="K18" s="7" t="str">
        <f>IF(J18="Male","MD "&amp;I18,"Miss "&amp;I18)</f>
        <v>MD Arif Hossain</v>
      </c>
    </row>
    <row r="19" spans="1:11" x14ac:dyDescent="0.3">
      <c r="A19" s="3">
        <v>2</v>
      </c>
      <c r="B19" s="3" t="s">
        <v>4</v>
      </c>
      <c r="C19" s="3" t="s">
        <v>14</v>
      </c>
      <c r="D19" s="7" t="str">
        <f t="shared" ref="D19:D27" si="2">IF(C19="Male","MD "&amp;$B19,"Miss "&amp;$B19)</f>
        <v>MD Jihad Ahmed</v>
      </c>
      <c r="H19" s="3">
        <v>2</v>
      </c>
      <c r="I19" s="3" t="s">
        <v>4</v>
      </c>
      <c r="J19" s="3" t="s">
        <v>14</v>
      </c>
      <c r="K19" s="7" t="str">
        <f t="shared" ref="K19:K27" si="3">IF(J19="Male","MD "&amp;I19,"Miss "&amp;I19)</f>
        <v>MD Jihad Ahmed</v>
      </c>
    </row>
    <row r="20" spans="1:11" x14ac:dyDescent="0.3">
      <c r="A20" s="3">
        <v>3</v>
      </c>
      <c r="B20" s="3" t="s">
        <v>5</v>
      </c>
      <c r="C20" s="3" t="s">
        <v>14</v>
      </c>
      <c r="D20" s="7" t="str">
        <f t="shared" si="2"/>
        <v>MD Farhan Shikder</v>
      </c>
      <c r="H20" s="3">
        <v>3</v>
      </c>
      <c r="I20" s="3" t="s">
        <v>5</v>
      </c>
      <c r="J20" s="3" t="s">
        <v>14</v>
      </c>
      <c r="K20" s="7" t="str">
        <f t="shared" si="3"/>
        <v>MD Farhan Shikder</v>
      </c>
    </row>
    <row r="21" spans="1:11" x14ac:dyDescent="0.3">
      <c r="A21" s="3">
        <v>4</v>
      </c>
      <c r="B21" s="3" t="s">
        <v>6</v>
      </c>
      <c r="C21" s="3" t="s">
        <v>15</v>
      </c>
      <c r="D21" s="7" t="str">
        <f t="shared" si="2"/>
        <v>Miss Khadija Akther</v>
      </c>
      <c r="H21" s="3">
        <v>4</v>
      </c>
      <c r="I21" s="3" t="s">
        <v>6</v>
      </c>
      <c r="J21" s="3" t="s">
        <v>15</v>
      </c>
      <c r="K21" s="7" t="str">
        <f t="shared" si="3"/>
        <v>Miss Khadija Akther</v>
      </c>
    </row>
    <row r="22" spans="1:11" x14ac:dyDescent="0.3">
      <c r="A22" s="3">
        <v>5</v>
      </c>
      <c r="B22" s="3" t="s">
        <v>7</v>
      </c>
      <c r="C22" s="3" t="s">
        <v>14</v>
      </c>
      <c r="D22" s="7" t="str">
        <f t="shared" si="2"/>
        <v>MD Rahul Mia</v>
      </c>
      <c r="H22" s="3">
        <v>5</v>
      </c>
      <c r="I22" s="3" t="s">
        <v>7</v>
      </c>
      <c r="J22" s="3" t="s">
        <v>14</v>
      </c>
      <c r="K22" s="7" t="str">
        <f t="shared" si="3"/>
        <v>MD Rahul Mia</v>
      </c>
    </row>
    <row r="23" spans="1:11" x14ac:dyDescent="0.3">
      <c r="A23" s="3">
        <v>6</v>
      </c>
      <c r="B23" s="3" t="s">
        <v>8</v>
      </c>
      <c r="C23" s="3" t="s">
        <v>14</v>
      </c>
      <c r="D23" s="7" t="str">
        <f t="shared" si="2"/>
        <v>MD Raiyan</v>
      </c>
      <c r="H23" s="3">
        <v>6</v>
      </c>
      <c r="I23" s="3" t="s">
        <v>8</v>
      </c>
      <c r="J23" s="3" t="s">
        <v>14</v>
      </c>
      <c r="K23" s="7" t="str">
        <f t="shared" si="3"/>
        <v>MD Raiyan</v>
      </c>
    </row>
    <row r="24" spans="1:11" x14ac:dyDescent="0.3">
      <c r="A24" s="3">
        <v>7</v>
      </c>
      <c r="B24" s="3" t="s">
        <v>9</v>
      </c>
      <c r="C24" s="3" t="s">
        <v>15</v>
      </c>
      <c r="D24" s="7" t="str">
        <f t="shared" si="2"/>
        <v>Miss Shneha Akther</v>
      </c>
      <c r="H24" s="3">
        <v>7</v>
      </c>
      <c r="I24" s="3" t="s">
        <v>9</v>
      </c>
      <c r="J24" s="3" t="s">
        <v>15</v>
      </c>
      <c r="K24" s="7" t="str">
        <f t="shared" si="3"/>
        <v>Miss Shneha Akther</v>
      </c>
    </row>
    <row r="25" spans="1:11" x14ac:dyDescent="0.3">
      <c r="A25" s="3">
        <v>8</v>
      </c>
      <c r="B25" s="3" t="s">
        <v>10</v>
      </c>
      <c r="C25" s="3" t="s">
        <v>14</v>
      </c>
      <c r="D25" s="7" t="str">
        <f t="shared" si="2"/>
        <v>MD Karim Uddin</v>
      </c>
      <c r="H25" s="3">
        <v>8</v>
      </c>
      <c r="I25" s="3" t="s">
        <v>10</v>
      </c>
      <c r="J25" s="3" t="s">
        <v>14</v>
      </c>
      <c r="K25" s="7" t="str">
        <f t="shared" si="3"/>
        <v>MD Karim Uddin</v>
      </c>
    </row>
    <row r="26" spans="1:11" x14ac:dyDescent="0.3">
      <c r="A26" s="3">
        <v>9</v>
      </c>
      <c r="B26" s="3" t="s">
        <v>11</v>
      </c>
      <c r="C26" s="3" t="s">
        <v>14</v>
      </c>
      <c r="D26" s="7" t="str">
        <f t="shared" si="2"/>
        <v>MD Arafat Hossain</v>
      </c>
      <c r="H26" s="3">
        <v>9</v>
      </c>
      <c r="I26" s="3" t="s">
        <v>11</v>
      </c>
      <c r="J26" s="3" t="s">
        <v>14</v>
      </c>
      <c r="K26" s="7" t="str">
        <f t="shared" si="3"/>
        <v>MD Arafat Hossain</v>
      </c>
    </row>
    <row r="27" spans="1:11" x14ac:dyDescent="0.3">
      <c r="A27" s="3">
        <v>10</v>
      </c>
      <c r="B27" s="3" t="s">
        <v>12</v>
      </c>
      <c r="C27" s="3" t="s">
        <v>14</v>
      </c>
      <c r="D27" s="7" t="str">
        <f t="shared" si="2"/>
        <v>MD Saiful Islam</v>
      </c>
      <c r="H27" s="3">
        <v>10</v>
      </c>
      <c r="I27" s="3" t="s">
        <v>12</v>
      </c>
      <c r="J27" s="3" t="s">
        <v>14</v>
      </c>
      <c r="K27" s="7" t="str">
        <f t="shared" si="3"/>
        <v>MD Saiful Islam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69C7-6BED-483C-981E-E5BFE5BDBE18}">
  <dimension ref="A2:Q32"/>
  <sheetViews>
    <sheetView zoomScale="80" zoomScaleNormal="80" workbookViewId="0">
      <selection activeCell="K35" sqref="K34:K35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2.33203125" customWidth="1"/>
    <col min="4" max="4" width="15.44140625" bestFit="1" customWidth="1"/>
    <col min="5" max="6" width="15.44140625" customWidth="1"/>
    <col min="7" max="7" width="11.6640625" customWidth="1"/>
    <col min="8" max="8" width="11.88671875" bestFit="1" customWidth="1"/>
    <col min="9" max="9" width="18.6640625" bestFit="1" customWidth="1"/>
    <col min="10" max="10" width="40" bestFit="1" customWidth="1"/>
    <col min="11" max="11" width="21.5546875" customWidth="1"/>
    <col min="15" max="15" width="9.33203125" customWidth="1"/>
  </cols>
  <sheetData>
    <row r="2" spans="1:17" x14ac:dyDescent="0.3">
      <c r="J2" t="s">
        <v>53</v>
      </c>
      <c r="K2">
        <v>1</v>
      </c>
    </row>
    <row r="3" spans="1:17" x14ac:dyDescent="0.3">
      <c r="J3" t="s">
        <v>59</v>
      </c>
    </row>
    <row r="4" spans="1:17" x14ac:dyDescent="0.3">
      <c r="A4" s="5" t="s">
        <v>0</v>
      </c>
      <c r="B4" s="6" t="s">
        <v>1</v>
      </c>
      <c r="C4" s="5" t="s">
        <v>13</v>
      </c>
      <c r="D4" s="5" t="s">
        <v>18</v>
      </c>
      <c r="E4" s="5" t="s">
        <v>20</v>
      </c>
      <c r="F4" s="5" t="s">
        <v>19</v>
      </c>
      <c r="G4" s="5" t="s">
        <v>2</v>
      </c>
      <c r="Q4" t="s">
        <v>63</v>
      </c>
    </row>
    <row r="5" spans="1:17" x14ac:dyDescent="0.3">
      <c r="A5" s="3">
        <v>1</v>
      </c>
      <c r="B5" s="3" t="s">
        <v>3</v>
      </c>
      <c r="C5" s="3" t="s">
        <v>14</v>
      </c>
      <c r="D5" s="3">
        <v>97</v>
      </c>
      <c r="E5" s="3">
        <v>51</v>
      </c>
      <c r="F5" s="3">
        <v>97</v>
      </c>
      <c r="G5" s="3" t="str">
        <f>IF(AND(D5&gt;32,E5&gt;32,F5&gt;32),"Pass","Fail")</f>
        <v>Pass</v>
      </c>
      <c r="H5" t="str">
        <f>IF(AND(D5&gt;32,E5&gt;32,F5&gt;32),"Pass","Fail")</f>
        <v>Pass</v>
      </c>
    </row>
    <row r="6" spans="1:17" x14ac:dyDescent="0.3">
      <c r="A6" s="3">
        <v>2</v>
      </c>
      <c r="B6" s="3" t="s">
        <v>4</v>
      </c>
      <c r="C6" s="3" t="s">
        <v>14</v>
      </c>
      <c r="D6" s="3">
        <v>23</v>
      </c>
      <c r="E6" s="3">
        <v>15</v>
      </c>
      <c r="F6" s="3">
        <v>29</v>
      </c>
      <c r="G6" s="3" t="str">
        <f t="shared" ref="G6:G14" si="0">IF(AND(D6&gt;32,E6&gt;32,F6&gt;32),"Pass","Fail")</f>
        <v>Fail</v>
      </c>
      <c r="H6" t="str">
        <f t="shared" ref="H6:H14" si="1">IF(AND(D6&gt;32,E6&gt;32,F6&gt;32),"Pass","Fail")</f>
        <v>Fail</v>
      </c>
      <c r="J6" t="s">
        <v>64</v>
      </c>
    </row>
    <row r="7" spans="1:17" x14ac:dyDescent="0.3">
      <c r="A7" s="3">
        <v>3</v>
      </c>
      <c r="B7" s="3" t="s">
        <v>5</v>
      </c>
      <c r="C7" s="3" t="s">
        <v>14</v>
      </c>
      <c r="D7" s="3">
        <v>97</v>
      </c>
      <c r="E7" s="3">
        <v>74</v>
      </c>
      <c r="F7" s="3">
        <v>30</v>
      </c>
      <c r="G7" s="3" t="str">
        <f t="shared" si="0"/>
        <v>Fail</v>
      </c>
      <c r="H7" t="str">
        <f t="shared" si="1"/>
        <v>Fail</v>
      </c>
    </row>
    <row r="8" spans="1:17" x14ac:dyDescent="0.3">
      <c r="A8" s="3">
        <v>4</v>
      </c>
      <c r="B8" s="3" t="s">
        <v>6</v>
      </c>
      <c r="C8" s="3" t="s">
        <v>15</v>
      </c>
      <c r="D8" s="3">
        <v>33</v>
      </c>
      <c r="E8" s="3">
        <v>90</v>
      </c>
      <c r="F8" s="3">
        <v>99</v>
      </c>
      <c r="G8" s="3" t="str">
        <f t="shared" si="0"/>
        <v>Pass</v>
      </c>
      <c r="H8" t="str">
        <f t="shared" si="1"/>
        <v>Pass</v>
      </c>
    </row>
    <row r="9" spans="1:17" x14ac:dyDescent="0.3">
      <c r="A9" s="3">
        <v>5</v>
      </c>
      <c r="B9" s="3" t="s">
        <v>7</v>
      </c>
      <c r="C9" s="3" t="s">
        <v>14</v>
      </c>
      <c r="D9" s="3">
        <v>71</v>
      </c>
      <c r="E9" s="3">
        <v>79</v>
      </c>
      <c r="F9" s="3">
        <v>80</v>
      </c>
      <c r="G9" s="3" t="str">
        <f t="shared" si="0"/>
        <v>Pass</v>
      </c>
      <c r="H9" t="str">
        <f t="shared" si="1"/>
        <v>Pass</v>
      </c>
      <c r="I9" t="s">
        <v>65</v>
      </c>
    </row>
    <row r="10" spans="1:17" x14ac:dyDescent="0.3">
      <c r="A10" s="3">
        <v>6</v>
      </c>
      <c r="B10" s="3" t="s">
        <v>8</v>
      </c>
      <c r="C10" s="3" t="s">
        <v>14</v>
      </c>
      <c r="D10" s="3">
        <v>23</v>
      </c>
      <c r="E10" s="3">
        <v>95</v>
      </c>
      <c r="F10" s="3">
        <v>35</v>
      </c>
      <c r="G10" s="3" t="str">
        <f t="shared" si="0"/>
        <v>Fail</v>
      </c>
      <c r="H10" t="str">
        <f t="shared" si="1"/>
        <v>Fail</v>
      </c>
    </row>
    <row r="11" spans="1:17" x14ac:dyDescent="0.3">
      <c r="A11" s="3">
        <v>7</v>
      </c>
      <c r="B11" s="3" t="s">
        <v>9</v>
      </c>
      <c r="C11" s="3" t="s">
        <v>15</v>
      </c>
      <c r="D11" s="3">
        <v>75</v>
      </c>
      <c r="E11" s="3">
        <v>80</v>
      </c>
      <c r="F11" s="3">
        <v>100</v>
      </c>
      <c r="G11" s="3" t="str">
        <f t="shared" si="0"/>
        <v>Pass</v>
      </c>
      <c r="H11" t="str">
        <f t="shared" si="1"/>
        <v>Pass</v>
      </c>
    </row>
    <row r="12" spans="1:17" x14ac:dyDescent="0.3">
      <c r="A12" s="3">
        <v>8</v>
      </c>
      <c r="B12" s="3" t="s">
        <v>10</v>
      </c>
      <c r="C12" s="3" t="s">
        <v>14</v>
      </c>
      <c r="D12" s="3">
        <v>50</v>
      </c>
      <c r="E12" s="3">
        <v>97</v>
      </c>
      <c r="F12" s="3">
        <v>82</v>
      </c>
      <c r="G12" s="3" t="str">
        <f t="shared" si="0"/>
        <v>Pass</v>
      </c>
      <c r="H12" t="str">
        <f t="shared" si="1"/>
        <v>Pass</v>
      </c>
    </row>
    <row r="13" spans="1:17" x14ac:dyDescent="0.3">
      <c r="A13" s="3">
        <v>9</v>
      </c>
      <c r="B13" s="3" t="s">
        <v>11</v>
      </c>
      <c r="C13" s="3" t="s">
        <v>14</v>
      </c>
      <c r="D13" s="3">
        <v>47</v>
      </c>
      <c r="E13" s="3">
        <v>80</v>
      </c>
      <c r="F13" s="3">
        <v>71</v>
      </c>
      <c r="G13" s="3" t="str">
        <f t="shared" si="0"/>
        <v>Pass</v>
      </c>
      <c r="H13" t="str">
        <f t="shared" si="1"/>
        <v>Pass</v>
      </c>
    </row>
    <row r="14" spans="1:17" x14ac:dyDescent="0.3">
      <c r="A14" s="3">
        <v>10</v>
      </c>
      <c r="B14" s="3" t="s">
        <v>12</v>
      </c>
      <c r="C14" s="3" t="s">
        <v>14</v>
      </c>
      <c r="D14" s="3">
        <v>33</v>
      </c>
      <c r="E14" s="3">
        <v>67</v>
      </c>
      <c r="F14" s="3">
        <v>33</v>
      </c>
      <c r="G14" s="3" t="str">
        <f t="shared" si="0"/>
        <v>Pass</v>
      </c>
      <c r="H14" t="str">
        <f t="shared" si="1"/>
        <v>Pass</v>
      </c>
    </row>
    <row r="15" spans="1:17" ht="18" x14ac:dyDescent="0.35">
      <c r="A15" s="1"/>
      <c r="B15" s="1"/>
      <c r="C15" s="1"/>
      <c r="D15" s="1"/>
      <c r="E15" s="1"/>
      <c r="F15" s="1"/>
      <c r="G15" s="1"/>
      <c r="I15" s="14" t="s">
        <v>35</v>
      </c>
      <c r="J15" s="14" t="s">
        <v>36</v>
      </c>
      <c r="L15" s="23" t="s">
        <v>46</v>
      </c>
      <c r="M15" s="23"/>
      <c r="N15" s="23"/>
    </row>
    <row r="16" spans="1:17" ht="23.4" x14ac:dyDescent="0.45">
      <c r="A16" s="1"/>
      <c r="B16" s="1"/>
      <c r="C16" s="1"/>
      <c r="D16" s="1"/>
      <c r="E16" s="1"/>
      <c r="F16" s="1"/>
      <c r="G16" s="1"/>
      <c r="I16" s="3">
        <v>85000</v>
      </c>
      <c r="J16" s="8">
        <v>0.05</v>
      </c>
      <c r="L16" s="24">
        <v>400000</v>
      </c>
      <c r="M16" s="24"/>
      <c r="N16" s="24"/>
    </row>
    <row r="17" spans="1:16" ht="28.8" x14ac:dyDescent="0.55000000000000004">
      <c r="M17" s="13" t="s">
        <v>48</v>
      </c>
    </row>
    <row r="18" spans="1:16" ht="18" x14ac:dyDescent="0.35">
      <c r="L18" s="23" t="s">
        <v>47</v>
      </c>
      <c r="M18" s="23"/>
      <c r="N18" s="23"/>
    </row>
    <row r="19" spans="1:16" ht="23.4" x14ac:dyDescent="0.45">
      <c r="L19" s="24">
        <v>85000</v>
      </c>
      <c r="M19" s="24"/>
      <c r="N19" s="24"/>
    </row>
    <row r="21" spans="1:16" x14ac:dyDescent="0.3">
      <c r="A21" s="5" t="s">
        <v>21</v>
      </c>
      <c r="B21" s="6" t="s">
        <v>22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16" t="s">
        <v>32</v>
      </c>
      <c r="I21" s="16" t="s">
        <v>33</v>
      </c>
      <c r="J21" s="5" t="s">
        <v>34</v>
      </c>
    </row>
    <row r="22" spans="1:16" x14ac:dyDescent="0.3">
      <c r="A22" s="3">
        <v>20000</v>
      </c>
      <c r="B22" s="7" t="s">
        <v>11</v>
      </c>
      <c r="C22" s="3">
        <v>24382</v>
      </c>
      <c r="D22" s="3">
        <v>15000</v>
      </c>
      <c r="E22" s="3">
        <v>24382</v>
      </c>
      <c r="F22" s="3">
        <v>18000</v>
      </c>
      <c r="G22" s="2">
        <f>SUM(C22:F22)</f>
        <v>81764</v>
      </c>
      <c r="H22" s="17" t="str">
        <f>IF(G22&gt;$I$16,"Get Bonus","--")</f>
        <v>--</v>
      </c>
      <c r="I22" s="17">
        <f>IF(G22&gt;$I$16,G22*$J$16,0)</f>
        <v>0</v>
      </c>
      <c r="J22" s="19">
        <f>A22+I22</f>
        <v>20000</v>
      </c>
      <c r="K22" s="20" cm="1">
        <f t="array" ref="K22">_xlfn.IFS(G22&gt;$I$16,G22*$J$16+A22,G22&lt;$I$16,A22)</f>
        <v>20000</v>
      </c>
      <c r="L22" s="20" cm="1">
        <f t="array" ref="L22">_xlfn.IFS(G22&gt;$I$16,G22*$J$16+A22,G22&lt;$I$16,A22)</f>
        <v>20000</v>
      </c>
      <c r="P22">
        <v>15000</v>
      </c>
    </row>
    <row r="23" spans="1:16" x14ac:dyDescent="0.3">
      <c r="A23" s="3">
        <v>35000</v>
      </c>
      <c r="B23" s="7" t="s">
        <v>23</v>
      </c>
      <c r="C23" s="3">
        <v>24382</v>
      </c>
      <c r="D23" s="3">
        <v>24382</v>
      </c>
      <c r="E23" s="3">
        <v>10000</v>
      </c>
      <c r="F23" s="3">
        <v>24382</v>
      </c>
      <c r="G23" s="2">
        <f t="shared" ref="G23:G26" si="2">SUM(C23:F23)</f>
        <v>83146</v>
      </c>
      <c r="H23" s="17" t="str">
        <f t="shared" ref="H23:H26" si="3">IF(G23&gt;$I$16,"Get Bonus","--")</f>
        <v>--</v>
      </c>
      <c r="I23" s="17">
        <f t="shared" ref="I23:I26" si="4">IF(G23&gt;$I$16,G23*$J$16,0)</f>
        <v>0</v>
      </c>
      <c r="J23" s="19">
        <f t="shared" ref="J23:J26" si="5">A23+I23</f>
        <v>35000</v>
      </c>
      <c r="K23" s="20" cm="1">
        <f t="array" ref="K23">_xlfn.IFS(G23&gt;$I$16,G23*$J$16+A23,G23&lt;$I$16,A23)</f>
        <v>35000</v>
      </c>
      <c r="L23" s="20" cm="1">
        <f t="array" ref="L23">_xlfn.IFS(G23&gt;$I$16,G23*$J$16+A23,G23&lt;$I$16,A23)</f>
        <v>35000</v>
      </c>
    </row>
    <row r="24" spans="1:16" x14ac:dyDescent="0.3">
      <c r="A24" s="3">
        <v>40000</v>
      </c>
      <c r="B24" s="7" t="s">
        <v>24</v>
      </c>
      <c r="C24" s="3">
        <v>23088</v>
      </c>
      <c r="D24" s="3">
        <v>25110</v>
      </c>
      <c r="E24" s="3">
        <v>21498</v>
      </c>
      <c r="F24" s="3">
        <v>15998</v>
      </c>
      <c r="G24" s="2">
        <f t="shared" si="2"/>
        <v>85694</v>
      </c>
      <c r="H24" s="17" t="str">
        <f t="shared" si="3"/>
        <v>Get Bonus</v>
      </c>
      <c r="I24" s="17">
        <f t="shared" si="4"/>
        <v>4284.7</v>
      </c>
      <c r="J24" s="19">
        <f t="shared" si="5"/>
        <v>44284.7</v>
      </c>
      <c r="K24" s="20" cm="1">
        <f t="array" ref="K24">_xlfn.IFS(G24&gt;$I$16,G24*$J$16+A24,G24&lt;$I$16,A24)</f>
        <v>44284.7</v>
      </c>
      <c r="L24" s="20" cm="1">
        <f t="array" ref="L24">_xlfn.IFS(G24&gt;$I$16,G24*$J$16+A24,G24&lt;$I$16,A24)</f>
        <v>44284.7</v>
      </c>
    </row>
    <row r="25" spans="1:16" x14ac:dyDescent="0.3">
      <c r="A25" s="3">
        <v>25000</v>
      </c>
      <c r="B25" s="7" t="s">
        <v>25</v>
      </c>
      <c r="C25" s="3">
        <v>20725</v>
      </c>
      <c r="D25" s="3">
        <v>25321</v>
      </c>
      <c r="E25" s="3">
        <v>19312</v>
      </c>
      <c r="F25" s="3">
        <v>28131</v>
      </c>
      <c r="G25" s="2">
        <f t="shared" si="2"/>
        <v>93489</v>
      </c>
      <c r="H25" s="17" t="str">
        <f t="shared" si="3"/>
        <v>Get Bonus</v>
      </c>
      <c r="I25" s="17">
        <f t="shared" si="4"/>
        <v>4674.45</v>
      </c>
      <c r="J25" s="19">
        <f t="shared" si="5"/>
        <v>29674.45</v>
      </c>
      <c r="K25" s="20" cm="1">
        <f t="array" ref="K25">_xlfn.IFS(G25&gt;$I$16,G25*$J$16+A25,G25&lt;$I$16,A25)</f>
        <v>29674.45</v>
      </c>
      <c r="L25" s="20" cm="1">
        <f t="array" ref="L25">_xlfn.IFS(G25&gt;$I$16,G25*$J$16+A25,G25&lt;$I$16,A25)</f>
        <v>29674.45</v>
      </c>
    </row>
    <row r="26" spans="1:16" x14ac:dyDescent="0.3">
      <c r="A26" s="3">
        <v>27000</v>
      </c>
      <c r="B26" s="7" t="s">
        <v>26</v>
      </c>
      <c r="C26" s="3">
        <v>15762</v>
      </c>
      <c r="D26" s="3">
        <v>17759</v>
      </c>
      <c r="E26" s="3">
        <v>16690</v>
      </c>
      <c r="F26" s="3">
        <v>27171</v>
      </c>
      <c r="G26" s="2">
        <f t="shared" si="2"/>
        <v>77382</v>
      </c>
      <c r="H26" s="17" t="str">
        <f t="shared" si="3"/>
        <v>--</v>
      </c>
      <c r="I26" s="17">
        <f t="shared" si="4"/>
        <v>0</v>
      </c>
      <c r="J26" s="19">
        <f t="shared" si="5"/>
        <v>27000</v>
      </c>
      <c r="K26" s="20" cm="1">
        <f t="array" ref="K26">_xlfn.IFS(G26&gt;$I$16,G26*$J$16+A26,G26&lt;$I$16,A26)</f>
        <v>27000</v>
      </c>
      <c r="L26" s="20" cm="1">
        <f t="array" ref="L26">_xlfn.IFS(G26&gt;$I$16,G26*$J$16+A26,G26&lt;$I$16,A26)</f>
        <v>27000</v>
      </c>
    </row>
    <row r="28" spans="1:16" x14ac:dyDescent="0.3">
      <c r="G28" s="22" t="s">
        <v>37</v>
      </c>
      <c r="H28" s="22"/>
      <c r="I28" s="22"/>
      <c r="J28" s="22"/>
    </row>
    <row r="29" spans="1:16" x14ac:dyDescent="0.3">
      <c r="A29" s="15" t="s">
        <v>16</v>
      </c>
      <c r="B29" s="9">
        <f>SUM($G$22:$G$26)</f>
        <v>421475</v>
      </c>
      <c r="G29" s="21" t="str">
        <f>IF(AND($B$29&gt;$L$16,$B$30&gt;$L$19),"Get 15K","No Bonus")</f>
        <v>No Bonus</v>
      </c>
      <c r="H29" s="21"/>
      <c r="I29" s="21"/>
      <c r="J29" s="21"/>
    </row>
    <row r="30" spans="1:16" x14ac:dyDescent="0.3">
      <c r="A30" s="15" t="s">
        <v>38</v>
      </c>
      <c r="B30" s="9">
        <f>AVERAGE($G$22:$G$26)</f>
        <v>84295</v>
      </c>
      <c r="G30" s="21"/>
      <c r="H30" s="21"/>
      <c r="I30" s="21"/>
      <c r="J30" s="21"/>
    </row>
    <row r="31" spans="1:16" x14ac:dyDescent="0.3">
      <c r="A31" s="15" t="s">
        <v>39</v>
      </c>
      <c r="B31" s="9">
        <f>MAX($G$22:$G$26)</f>
        <v>93489</v>
      </c>
      <c r="G31" s="21" t="str">
        <f>IF(OR($B$29&gt;$L$16,$B$30&gt;$L$19),"Get 15K","No Bonus")</f>
        <v>Get 15K</v>
      </c>
      <c r="H31" s="21"/>
      <c r="I31" s="21"/>
      <c r="J31" s="21"/>
    </row>
    <row r="32" spans="1:16" x14ac:dyDescent="0.3">
      <c r="A32" s="15" t="s">
        <v>40</v>
      </c>
      <c r="B32" s="9">
        <f>MIN($G$22:$G$26)</f>
        <v>77382</v>
      </c>
      <c r="G32" s="21"/>
      <c r="H32" s="21"/>
      <c r="I32" s="21"/>
      <c r="J32" s="21"/>
    </row>
  </sheetData>
  <autoFilter ref="A21:J26" xr:uid="{AA4869C7-6BED-483C-981E-E5BFE5BDBE18}"/>
  <mergeCells count="7">
    <mergeCell ref="G31:J32"/>
    <mergeCell ref="G29:J30"/>
    <mergeCell ref="G28:J28"/>
    <mergeCell ref="L15:N15"/>
    <mergeCell ref="L16:N16"/>
    <mergeCell ref="L19:N19"/>
    <mergeCell ref="L18:N18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4FF4-DF86-4834-B198-99CAC2BD2BFD}">
  <dimension ref="A1:G36"/>
  <sheetViews>
    <sheetView tabSelected="1" zoomScale="110" zoomScaleNormal="110" workbookViewId="0">
      <selection activeCell="G12" sqref="G12"/>
    </sheetView>
  </sheetViews>
  <sheetFormatPr defaultColWidth="10.6640625" defaultRowHeight="14.4" x14ac:dyDescent="0.3"/>
  <cols>
    <col min="1" max="4" width="10.6640625" style="1"/>
    <col min="5" max="5" width="8.88671875" customWidth="1"/>
    <col min="6" max="6" width="3.33203125" customWidth="1"/>
    <col min="7" max="7" width="105.6640625" bestFit="1" customWidth="1"/>
  </cols>
  <sheetData>
    <row r="1" spans="1:7" x14ac:dyDescent="0.3">
      <c r="A1" s="10" t="s">
        <v>41</v>
      </c>
      <c r="B1" s="11" t="s">
        <v>42</v>
      </c>
      <c r="C1" s="10" t="s">
        <v>42</v>
      </c>
      <c r="D1" s="10" t="s">
        <v>44</v>
      </c>
      <c r="E1" s="10" t="s">
        <v>45</v>
      </c>
      <c r="G1" t="s">
        <v>43</v>
      </c>
    </row>
    <row r="2" spans="1:7" x14ac:dyDescent="0.3">
      <c r="A2" s="3">
        <v>35</v>
      </c>
      <c r="B2" s="3" t="str" cm="1">
        <f t="array" ref="B2">_xlfn.IFS(A2&gt;20,"21-30",A2&gt;30,"31-40",A2&gt;40,"41-50",A2&gt;50,"51-60",A2&gt;60,"61-70",A2&gt;70,"70+")</f>
        <v>21-30</v>
      </c>
      <c r="C2" s="3" t="str" cm="1">
        <f t="array" ref="C2">_xlfn.IFS(A2&gt;70,"70+",A2&gt;60,"61-70",A2&gt;50,"51-60",A2&gt;40,"41-50",A2&gt;30,"31-40",A2&gt;20,"21-30",A2&lt;=20,"Under 21")</f>
        <v>31-40</v>
      </c>
      <c r="D2" s="3" t="str">
        <f>IF(A2&gt;=70,"70+",IF(A2&gt;60,"61-69",IF(A2&gt;50,"51-59",IF(A2&gt;40,"41-49",IF(A2&gt;30,"31-39",IF(A2&gt;20,"21-29","Under 21"))))))</f>
        <v>31-39</v>
      </c>
      <c r="E2" s="2" t="str" cm="1">
        <f t="array" ref="E2">_xlfn.SWITCH(TRUE,A2&gt;=70,"70+",A2&gt;60,"61-69",A2&gt;50,"51-59",A2&gt;40,"41-49",A2&gt;30,"31-39",A2&gt;20,"21-29",A2&lt;=20,"Under 21")</f>
        <v>31-39</v>
      </c>
      <c r="G2" s="18" t="s">
        <v>75</v>
      </c>
    </row>
    <row r="3" spans="1:7" x14ac:dyDescent="0.3">
      <c r="A3" s="3">
        <v>39</v>
      </c>
      <c r="B3" s="3" t="str" cm="1">
        <f t="array" ref="B3">_xlfn.IFS(A3&gt;20,"21-30",A3&gt;30,"31-40",A3&gt;40,"41-50",A3&gt;50,"51-60",A3&gt;60,"61-70",A3&gt;70,"70+")</f>
        <v>21-30</v>
      </c>
      <c r="C3" s="3" t="str" cm="1">
        <f t="array" ref="C3">_xlfn.IFS(A3&gt;70,"70+",A3&gt;60,"61-70",A3&gt;50,"51-60",A3&gt;40,"41-50",A3&gt;30,"31-40",A3&gt;20,"21-30",A3&lt;=20,"Under 21")</f>
        <v>31-40</v>
      </c>
      <c r="D3" s="3" t="str">
        <f t="shared" ref="D3:D27" si="0">IF(A3&gt;=70,"70+",IF(A3&gt;60,"61-69",IF(A3&gt;50,"51-59",IF(A3&gt;40,"41-49",IF(A3&gt;30,"31-39",IF(A3&gt;20,"21-29","Under 21"))))))</f>
        <v>31-39</v>
      </c>
      <c r="E3" s="2" t="str" cm="1">
        <f t="array" ref="E3">_xlfn.SWITCH(TRUE,A3&gt;=70,"70+",A3&gt;60,"61-69",A3&gt;50,"51-59",A3&gt;40,"41-49",A3&gt;30,"31-39",A3&gt;20,"21-29",A3&lt;=20,"Under 21")</f>
        <v>31-39</v>
      </c>
    </row>
    <row r="4" spans="1:7" x14ac:dyDescent="0.3">
      <c r="A4" s="3">
        <v>33</v>
      </c>
      <c r="B4" s="3" t="str" cm="1">
        <f t="array" ref="B4">_xlfn.IFS(A4&gt;20,"21-30",A4&gt;30,"31-40",A4&gt;40,"41-50",A4&gt;50,"51-60",A4&gt;60,"61-70",A4&gt;70,"70+")</f>
        <v>21-30</v>
      </c>
      <c r="C4" s="3" t="str" cm="1">
        <f t="array" ref="C4">_xlfn.IFS(A4&gt;70,"70+",A4&gt;60,"61-70",A4&gt;50,"51-60",A4&gt;40,"41-50",A4&gt;30,"31-40",A4&gt;20,"21-30",A4&lt;=20,"Under 21")</f>
        <v>31-40</v>
      </c>
      <c r="D4" s="3" t="str">
        <f t="shared" si="0"/>
        <v>31-39</v>
      </c>
      <c r="E4" s="2" t="str" cm="1">
        <f t="array" ref="E4">_xlfn.SWITCH(TRUE,A4&gt;=70,"70+",A4&gt;60,"61-69",A4&gt;50,"51-59",A4&gt;40,"41-49",A4&gt;30,"31-39",A4&gt;20,"21-29",A4&lt;=20,"Under 21")</f>
        <v>31-39</v>
      </c>
      <c r="G4" t="s">
        <v>74</v>
      </c>
    </row>
    <row r="5" spans="1:7" x14ac:dyDescent="0.3">
      <c r="A5" s="3">
        <v>20</v>
      </c>
      <c r="B5" s="3" t="e" cm="1">
        <f t="array" ref="B5">_xlfn.IFS(A5&gt;20,"21-30",A5&gt;30,"31-40",A5&gt;40,"41-50",A5&gt;50,"51-60",A5&gt;60,"61-70",A5&gt;70,"70+")</f>
        <v>#N/A</v>
      </c>
      <c r="C5" s="3" t="str" cm="1">
        <f t="array" ref="C5">_xlfn.IFS(A5&gt;70,"70+",A5&gt;60,"61-70",A5&gt;50,"51-60",A5&gt;40,"41-50",A5&gt;30,"31-40",A5&gt;20,"21-30",A5&lt;=20,"Under 21")</f>
        <v>Under 21</v>
      </c>
      <c r="D5" s="3" t="str">
        <f t="shared" si="0"/>
        <v>Under 21</v>
      </c>
      <c r="E5" s="2" t="str" cm="1">
        <f t="array" ref="E5">_xlfn.SWITCH(TRUE,A5&gt;=70,"70+",A5&gt;60,"61-69",A5&gt;50,"51-59",A5&gt;40,"41-49",A5&gt;30,"31-39",A5&gt;20,"21-29",A5&lt;=20,"Under 21")</f>
        <v>Under 21</v>
      </c>
    </row>
    <row r="6" spans="1:7" x14ac:dyDescent="0.3">
      <c r="A6" s="3">
        <v>47</v>
      </c>
      <c r="B6" s="3" t="str" cm="1">
        <f t="array" ref="B6">_xlfn.IFS(A6&gt;20,"21-30",A6&gt;30,"31-40",A6&gt;40,"41-50",A6&gt;50,"51-60",A6&gt;60,"61-70",A6&gt;70,"70+")</f>
        <v>21-30</v>
      </c>
      <c r="C6" s="3" t="str" cm="1">
        <f t="array" ref="C6">_xlfn.IFS(A6&gt;70,"70+",A6&gt;60,"61-70",A6&gt;50,"51-60",A6&gt;40,"41-50",A6&gt;30,"31-40",A6&gt;20,"21-30",A6&lt;=20,"Under 21")</f>
        <v>41-50</v>
      </c>
      <c r="D6" s="3" t="str">
        <f t="shared" si="0"/>
        <v>41-49</v>
      </c>
      <c r="E6" s="2" t="str" cm="1">
        <f t="array" ref="E6">_xlfn.SWITCH(TRUE,A6&gt;=70,"70+",A6&gt;60,"61-69",A6&gt;50,"51-59",A6&gt;40,"41-49",A6&gt;30,"31-39",A6&gt;20,"21-29",A6&lt;=20,"Under 21")</f>
        <v>41-49</v>
      </c>
      <c r="G6" t="s">
        <v>73</v>
      </c>
    </row>
    <row r="7" spans="1:7" x14ac:dyDescent="0.3">
      <c r="A7" s="3">
        <v>64</v>
      </c>
      <c r="B7" s="3" t="str" cm="1">
        <f t="array" ref="B7">_xlfn.IFS(A7&gt;20,"21-30",A7&gt;30,"31-40",A7&gt;40,"41-50",A7&gt;50,"51-60",A7&gt;60,"61-70",A7&gt;70,"70+")</f>
        <v>21-30</v>
      </c>
      <c r="C7" s="3" t="str" cm="1">
        <f t="array" ref="C7">_xlfn.IFS(A7&gt;70,"70+",A7&gt;60,"61-70",A7&gt;50,"51-60",A7&gt;40,"41-50",A7&gt;30,"31-40",A7&gt;20,"21-30",A7&lt;=20,"Under 21")</f>
        <v>61-70</v>
      </c>
      <c r="D7" s="3" t="str">
        <f t="shared" si="0"/>
        <v>61-69</v>
      </c>
      <c r="E7" s="2" t="str" cm="1">
        <f t="array" ref="E7">_xlfn.SWITCH(TRUE,A7&gt;=70,"70+",A7&gt;60,"61-69",A7&gt;50,"51-59",A7&gt;40,"41-49",A7&gt;30,"31-39",A7&gt;20,"21-29",A7&lt;=20,"Under 21")</f>
        <v>61-69</v>
      </c>
    </row>
    <row r="8" spans="1:7" x14ac:dyDescent="0.3">
      <c r="A8" s="3">
        <v>58</v>
      </c>
      <c r="B8" s="3" t="str" cm="1">
        <f t="array" ref="B8">_xlfn.IFS(A8&gt;20,"21-30",A8&gt;30,"31-40",A8&gt;40,"41-50",A8&gt;50,"51-60",A8&gt;60,"61-70",A8&gt;70,"70+")</f>
        <v>21-30</v>
      </c>
      <c r="C8" s="3" t="str" cm="1">
        <f t="array" ref="C8">_xlfn.IFS(A8&gt;70,"70+",A8&gt;60,"61-70",A8&gt;50,"51-60",A8&gt;40,"41-50",A8&gt;30,"31-40",A8&gt;20,"21-30",A8&lt;=20,"Under 21")</f>
        <v>51-60</v>
      </c>
      <c r="D8" s="3" t="str">
        <f t="shared" si="0"/>
        <v>51-59</v>
      </c>
      <c r="E8" s="2" t="str" cm="1">
        <f t="array" ref="E8">_xlfn.SWITCH(TRUE,A8&gt;=70,"70+",A8&gt;60,"61-69",A8&gt;50,"51-59",A8&gt;40,"41-49",A8&gt;30,"31-39",A8&gt;20,"21-29",A8&lt;=20,"Under 21")</f>
        <v>51-59</v>
      </c>
    </row>
    <row r="9" spans="1:7" x14ac:dyDescent="0.3">
      <c r="A9" s="3">
        <v>62</v>
      </c>
      <c r="B9" s="3" t="str" cm="1">
        <f t="array" ref="B9">_xlfn.IFS(A9&gt;20,"21-30",A9&gt;30,"31-40",A9&gt;40,"41-50",A9&gt;50,"51-60",A9&gt;60,"61-70",A9&gt;70,"70+")</f>
        <v>21-30</v>
      </c>
      <c r="C9" s="3" t="str" cm="1">
        <f t="array" ref="C9">_xlfn.IFS(A9&gt;70,"70+",A9&gt;60,"61-70",A9&gt;50,"51-60",A9&gt;40,"41-50",A9&gt;30,"31-40",A9&gt;20,"21-30",A9&lt;=20,"Under 21")</f>
        <v>61-70</v>
      </c>
      <c r="D9" s="3" t="str">
        <f t="shared" si="0"/>
        <v>61-69</v>
      </c>
      <c r="E9" s="2" t="str" cm="1">
        <f t="array" ref="E9">_xlfn.SWITCH(TRUE,A9&gt;=70,"70+",A9&gt;60,"61-69",A9&gt;50,"51-59",A9&gt;40,"41-49",A9&gt;30,"31-39",A9&gt;20,"21-29",A9&lt;=20,"Under 21")</f>
        <v>61-69</v>
      </c>
      <c r="G9" t="s">
        <v>72</v>
      </c>
    </row>
    <row r="10" spans="1:7" x14ac:dyDescent="0.3">
      <c r="A10" s="3">
        <v>67</v>
      </c>
      <c r="B10" s="3" t="str" cm="1">
        <f t="array" ref="B10">_xlfn.IFS(A10&gt;20,"21-30",A10&gt;30,"31-40",A10&gt;40,"41-50",A10&gt;50,"51-60",A10&gt;60,"61-70",A10&gt;70,"70+")</f>
        <v>21-30</v>
      </c>
      <c r="C10" s="3" t="str" cm="1">
        <f t="array" ref="C10">_xlfn.IFS(A10&gt;70,"70+",A10&gt;60,"61-70",A10&gt;50,"51-60",A10&gt;40,"41-50",A10&gt;30,"31-40",A10&gt;20,"21-30",A10&lt;=20,"Under 21")</f>
        <v>61-70</v>
      </c>
      <c r="D10" s="3" t="str">
        <f t="shared" si="0"/>
        <v>61-69</v>
      </c>
      <c r="E10" s="2" t="str" cm="1">
        <f t="array" ref="E10">_xlfn.SWITCH(TRUE,A10&gt;=70,"70+",A10&gt;60,"61-69",A10&gt;50,"51-59",A10&gt;40,"41-49",A10&gt;30,"31-39",A10&gt;20,"21-29",A10&lt;=20,"Under 21")</f>
        <v>61-69</v>
      </c>
    </row>
    <row r="11" spans="1:7" x14ac:dyDescent="0.3">
      <c r="A11" s="3">
        <v>51</v>
      </c>
      <c r="B11" s="3" t="str" cm="1">
        <f t="array" ref="B11">_xlfn.IFS(A11&gt;20,"21-30",A11&gt;30,"31-40",A11&gt;40,"41-50",A11&gt;50,"51-60",A11&gt;60,"61-70",A11&gt;70,"70+")</f>
        <v>21-30</v>
      </c>
      <c r="C11" s="3" t="str" cm="1">
        <f t="array" ref="C11">_xlfn.IFS(A11&gt;70,"70+",A11&gt;60,"61-70",A11&gt;50,"51-60",A11&gt;40,"41-50",A11&gt;30,"31-40",A11&gt;20,"21-30",A11&lt;=20,"Under 21")</f>
        <v>51-60</v>
      </c>
      <c r="D11" s="3" t="str">
        <f t="shared" si="0"/>
        <v>51-59</v>
      </c>
      <c r="E11" s="2" t="str" cm="1">
        <f t="array" ref="E11">_xlfn.SWITCH(TRUE,A11&gt;=70,"70+",A11&gt;60,"61-69",A11&gt;50,"51-59",A11&gt;40,"41-49",A11&gt;30,"31-39",A11&gt;20,"21-29",A11&lt;=20,"Under 21")</f>
        <v>51-59</v>
      </c>
    </row>
    <row r="12" spans="1:7" x14ac:dyDescent="0.3">
      <c r="A12" s="3">
        <v>24</v>
      </c>
      <c r="B12" s="3" t="str" cm="1">
        <f t="array" ref="B12">_xlfn.IFS(A12&gt;20,"21-30",A12&gt;30,"31-40",A12&gt;40,"41-50",A12&gt;50,"51-60",A12&gt;60,"61-70",A12&gt;70,"70+")</f>
        <v>21-30</v>
      </c>
      <c r="C12" s="3" t="str" cm="1">
        <f t="array" ref="C12">_xlfn.IFS(A12&gt;70,"70+",A12&gt;60,"61-70",A12&gt;50,"51-60",A12&gt;40,"41-50",A12&gt;30,"31-40",A12&gt;20,"21-30",A12&lt;=20,"Under 21")</f>
        <v>21-30</v>
      </c>
      <c r="D12" s="3" t="str">
        <f t="shared" si="0"/>
        <v>21-29</v>
      </c>
      <c r="E12" s="2" t="str" cm="1">
        <f t="array" ref="E12">_xlfn.SWITCH(TRUE,A12&gt;=70,"70+",A12&gt;60,"61-69",A12&gt;50,"51-59",A12&gt;40,"41-49",A12&gt;30,"31-39",A12&gt;20,"21-29",A12&lt;=20,"Under 21")</f>
        <v>21-29</v>
      </c>
    </row>
    <row r="13" spans="1:7" x14ac:dyDescent="0.3">
      <c r="A13" s="3">
        <v>61</v>
      </c>
      <c r="B13" s="3" t="str" cm="1">
        <f t="array" ref="B13">_xlfn.IFS(A13&gt;20,"21-30",A13&gt;30,"31-40",A13&gt;40,"41-50",A13&gt;50,"51-60",A13&gt;60,"61-70",A13&gt;70,"70+")</f>
        <v>21-30</v>
      </c>
      <c r="C13" s="3" t="str" cm="1">
        <f t="array" ref="C13">_xlfn.IFS(A13&gt;70,"70+",A13&gt;60,"61-70",A13&gt;50,"51-60",A13&gt;40,"41-50",A13&gt;30,"31-40",A13&gt;20,"21-30",A13&lt;=20,"Under 21")</f>
        <v>61-70</v>
      </c>
      <c r="D13" s="3" t="str">
        <f t="shared" si="0"/>
        <v>61-69</v>
      </c>
      <c r="E13" s="2" t="str" cm="1">
        <f t="array" ref="E13">_xlfn.SWITCH(TRUE,A13&gt;=70,"70+",A13&gt;60,"61-69",A13&gt;50,"51-59",A13&gt;40,"41-49",A13&gt;30,"31-39",A13&gt;20,"21-29",A13&lt;=20,"Under 21")</f>
        <v>61-69</v>
      </c>
    </row>
    <row r="14" spans="1:7" x14ac:dyDescent="0.3">
      <c r="A14" s="3">
        <v>39</v>
      </c>
      <c r="B14" s="3" t="str" cm="1">
        <f t="array" ref="B14">_xlfn.IFS(A14&gt;20,"21-30",A14&gt;30,"31-40",A14&gt;40,"41-50",A14&gt;50,"51-60",A14&gt;60,"61-70",A14&gt;70,"70+")</f>
        <v>21-30</v>
      </c>
      <c r="C14" s="3" t="str" cm="1">
        <f t="array" ref="C14">_xlfn.IFS(A14&gt;70,"70+",A14&gt;60,"61-70",A14&gt;50,"51-60",A14&gt;40,"41-50",A14&gt;30,"31-40",A14&gt;20,"21-30",A14&lt;=20,"Under 21")</f>
        <v>31-40</v>
      </c>
      <c r="D14" s="3" t="str">
        <f t="shared" si="0"/>
        <v>31-39</v>
      </c>
      <c r="E14" s="2" t="str" cm="1">
        <f t="array" ref="E14">_xlfn.SWITCH(TRUE,A14&gt;=70,"70+",A14&gt;60,"61-69",A14&gt;50,"51-59",A14&gt;40,"41-49",A14&gt;30,"31-39",A14&gt;20,"21-29",A14&lt;=20,"Under 21")</f>
        <v>31-39</v>
      </c>
    </row>
    <row r="15" spans="1:7" x14ac:dyDescent="0.3">
      <c r="A15" s="3">
        <v>31</v>
      </c>
      <c r="B15" s="3" t="str" cm="1">
        <f t="array" ref="B15">_xlfn.IFS(A15&gt;20,"21-30",A15&gt;30,"31-40",A15&gt;40,"41-50",A15&gt;50,"51-60",A15&gt;60,"61-70",A15&gt;70,"70+")</f>
        <v>21-30</v>
      </c>
      <c r="C15" s="3" t="str" cm="1">
        <f t="array" ref="C15">_xlfn.IFS(A15&gt;70,"70+",A15&gt;60,"61-70",A15&gt;50,"51-60",A15&gt;40,"41-50",A15&gt;30,"31-40",A15&gt;20,"21-30",A15&lt;=20,"Under 21")</f>
        <v>31-40</v>
      </c>
      <c r="D15" s="3" t="str">
        <f t="shared" si="0"/>
        <v>31-39</v>
      </c>
      <c r="E15" s="2" t="str" cm="1">
        <f t="array" ref="E15">_xlfn.SWITCH(TRUE,A15&gt;=70,"70+",A15&gt;60,"61-69",A15&gt;50,"51-59",A15&gt;40,"41-49",A15&gt;30,"31-39",A15&gt;20,"21-29",A15&lt;=20,"Under 21")</f>
        <v>31-39</v>
      </c>
    </row>
    <row r="16" spans="1:7" x14ac:dyDescent="0.3">
      <c r="A16" s="3">
        <v>37</v>
      </c>
      <c r="B16" s="3" t="str" cm="1">
        <f t="array" ref="B16">_xlfn.IFS(A16&gt;20,"21-30",A16&gt;30,"31-40",A16&gt;40,"41-50",A16&gt;50,"51-60",A16&gt;60,"61-70",A16&gt;70,"70+")</f>
        <v>21-30</v>
      </c>
      <c r="C16" s="3" t="str" cm="1">
        <f t="array" ref="C16">_xlfn.IFS(A16&gt;70,"70+",A16&gt;60,"61-70",A16&gt;50,"51-60",A16&gt;40,"41-50",A16&gt;30,"31-40",A16&gt;20,"21-30",A16&lt;=20,"Under 21")</f>
        <v>31-40</v>
      </c>
      <c r="D16" s="3" t="str">
        <f t="shared" si="0"/>
        <v>31-39</v>
      </c>
      <c r="E16" s="2" t="str" cm="1">
        <f t="array" ref="E16">_xlfn.SWITCH(TRUE,A16&gt;=70,"70+",A16&gt;60,"61-69",A16&gt;50,"51-59",A16&gt;40,"41-49",A16&gt;30,"31-39",A16&gt;20,"21-29",A16&lt;=20,"Under 21")</f>
        <v>31-39</v>
      </c>
      <c r="G16" t="s">
        <v>66</v>
      </c>
    </row>
    <row r="17" spans="1:7" x14ac:dyDescent="0.3">
      <c r="A17" s="3">
        <v>20</v>
      </c>
      <c r="B17" s="3" t="e" cm="1">
        <f t="array" ref="B17">_xlfn.IFS(A17&gt;20,"21-30",A17&gt;30,"31-40",A17&gt;40,"41-50",A17&gt;50,"51-60",A17&gt;60,"61-70",A17&gt;70,"70+")</f>
        <v>#N/A</v>
      </c>
      <c r="C17" s="3" t="str" cm="1">
        <f t="array" ref="C17">_xlfn.IFS(A17&gt;70,"70+",A17&gt;60,"61-70",A17&gt;50,"51-60",A17&gt;40,"41-50",A17&gt;30,"31-40",A17&gt;20,"21-30",A17&lt;=20,"Under 21")</f>
        <v>Under 21</v>
      </c>
      <c r="D17" s="3" t="str">
        <f t="shared" si="0"/>
        <v>Under 21</v>
      </c>
      <c r="E17" s="2" t="str" cm="1">
        <f t="array" ref="E17">_xlfn.SWITCH(TRUE,A17&gt;=70,"70+",A17&gt;60,"61-69",A17&gt;50,"51-59",A17&gt;40,"41-49",A17&gt;30,"31-39",A17&gt;20,"21-29",A17&lt;=20,"Under 21")</f>
        <v>Under 21</v>
      </c>
      <c r="G17" t="s">
        <v>67</v>
      </c>
    </row>
    <row r="18" spans="1:7" x14ac:dyDescent="0.3">
      <c r="A18" s="3">
        <v>53</v>
      </c>
      <c r="B18" s="3" t="str" cm="1">
        <f t="array" ref="B18">_xlfn.IFS(A18&gt;20,"21-30",A18&gt;30,"31-40",A18&gt;40,"41-50",A18&gt;50,"51-60",A18&gt;60,"61-70",A18&gt;70,"70+")</f>
        <v>21-30</v>
      </c>
      <c r="C18" s="3" t="str" cm="1">
        <f t="array" ref="C18">_xlfn.IFS(A18&gt;70,"70+",A18&gt;60,"61-70",A18&gt;50,"51-60",A18&gt;40,"41-50",A18&gt;30,"31-40",A18&gt;20,"21-30",A18&lt;=20,"Under 21")</f>
        <v>51-60</v>
      </c>
      <c r="D18" s="3" t="str">
        <f t="shared" si="0"/>
        <v>51-59</v>
      </c>
      <c r="E18" s="2" t="str" cm="1">
        <f t="array" ref="E18">_xlfn.SWITCH(TRUE,A18&gt;=70,"70+",A18&gt;60,"61-69",A18&gt;50,"51-59",A18&gt;40,"41-49",A18&gt;30,"31-39",A18&gt;20,"21-29",A18&lt;=20,"Under 21")</f>
        <v>51-59</v>
      </c>
      <c r="G18" t="s">
        <v>68</v>
      </c>
    </row>
    <row r="19" spans="1:7" x14ac:dyDescent="0.3">
      <c r="A19" s="3">
        <v>26</v>
      </c>
      <c r="B19" s="3" t="str" cm="1">
        <f t="array" ref="B19">_xlfn.IFS(A19&gt;20,"21-30",A19&gt;30,"31-40",A19&gt;40,"41-50",A19&gt;50,"51-60",A19&gt;60,"61-70",A19&gt;70,"70+")</f>
        <v>21-30</v>
      </c>
      <c r="C19" s="3" t="str" cm="1">
        <f t="array" ref="C19">_xlfn.IFS(A19&gt;70,"70+",A19&gt;60,"61-70",A19&gt;50,"51-60",A19&gt;40,"41-50",A19&gt;30,"31-40",A19&gt;20,"21-30",A19&lt;=20,"Under 21")</f>
        <v>21-30</v>
      </c>
      <c r="D19" s="3" t="str">
        <f t="shared" si="0"/>
        <v>21-29</v>
      </c>
      <c r="E19" s="2" t="str" cm="1">
        <f t="array" ref="E19">_xlfn.SWITCH(TRUE,A19&gt;=70,"70+",A19&gt;60,"61-69",A19&gt;50,"51-59",A19&gt;40,"41-49",A19&gt;30,"31-39",A19&gt;20,"21-29",A19&lt;=20,"Under 21")</f>
        <v>21-29</v>
      </c>
      <c r="G19" t="s">
        <v>69</v>
      </c>
    </row>
    <row r="20" spans="1:7" x14ac:dyDescent="0.3">
      <c r="A20" s="3">
        <v>46</v>
      </c>
      <c r="B20" s="3" t="str" cm="1">
        <f t="array" ref="B20">_xlfn.IFS(A20&gt;20,"21-30",A20&gt;30,"31-40",A20&gt;40,"41-50",A20&gt;50,"51-60",A20&gt;60,"61-70",A20&gt;70,"70+")</f>
        <v>21-30</v>
      </c>
      <c r="C20" s="3" t="str" cm="1">
        <f t="array" ref="C20">_xlfn.IFS(A20&gt;70,"70+",A20&gt;60,"61-70",A20&gt;50,"51-60",A20&gt;40,"41-50",A20&gt;30,"31-40",A20&gt;20,"21-30",A20&lt;=20,"Under 21")</f>
        <v>41-50</v>
      </c>
      <c r="D20" s="3" t="str">
        <f t="shared" si="0"/>
        <v>41-49</v>
      </c>
      <c r="E20" s="2" t="str" cm="1">
        <f t="array" ref="E20">_xlfn.SWITCH(TRUE,A20&gt;=70,"70+",A20&gt;60,"61-69",A20&gt;50,"51-59",A20&gt;40,"41-49",A20&gt;30,"31-39",A20&gt;20,"21-29",A20&lt;=20,"Under 21")</f>
        <v>41-49</v>
      </c>
      <c r="G20" t="s">
        <v>70</v>
      </c>
    </row>
    <row r="21" spans="1:7" x14ac:dyDescent="0.3">
      <c r="A21" s="3">
        <v>23</v>
      </c>
      <c r="B21" s="3" t="str" cm="1">
        <f t="array" ref="B21">_xlfn.IFS(A21&gt;20,"21-30",A21&gt;30,"31-40",A21&gt;40,"41-50",A21&gt;50,"51-60",A21&gt;60,"61-70",A21&gt;70,"70+")</f>
        <v>21-30</v>
      </c>
      <c r="C21" s="3" t="str" cm="1">
        <f t="array" ref="C21">_xlfn.IFS(A21&gt;70,"70+",A21&gt;60,"61-70",A21&gt;50,"51-60",A21&gt;40,"41-50",A21&gt;30,"31-40",A21&gt;20,"21-30",A21&lt;=20,"Under 21")</f>
        <v>21-30</v>
      </c>
      <c r="D21" s="3" t="str">
        <f t="shared" si="0"/>
        <v>21-29</v>
      </c>
      <c r="E21" s="2" t="str" cm="1">
        <f t="array" ref="E21">_xlfn.SWITCH(TRUE,A21&gt;=70,"70+",A21&gt;60,"61-69",A21&gt;50,"51-59",A21&gt;40,"41-49",A21&gt;30,"31-39",A21&gt;20,"21-29",A21&lt;=20,"Under 21")</f>
        <v>21-29</v>
      </c>
      <c r="G21" t="s">
        <v>71</v>
      </c>
    </row>
    <row r="22" spans="1:7" x14ac:dyDescent="0.3">
      <c r="A22" s="3">
        <v>55</v>
      </c>
      <c r="B22" s="3" t="str" cm="1">
        <f t="array" ref="B22">_xlfn.IFS(A22&gt;20,"21-30",A22&gt;30,"31-40",A22&gt;40,"41-50",A22&gt;50,"51-60",A22&gt;60,"61-70",A22&gt;70,"70+")</f>
        <v>21-30</v>
      </c>
      <c r="C22" s="3" t="str" cm="1">
        <f t="array" ref="C22">_xlfn.IFS(A22&gt;70,"70+",A22&gt;60,"61-70",A22&gt;50,"51-60",A22&gt;40,"41-50",A22&gt;30,"31-40",A22&gt;20,"21-30",A22&lt;=20,"Under 21")</f>
        <v>51-60</v>
      </c>
      <c r="D22" s="3" t="str">
        <f t="shared" si="0"/>
        <v>51-59</v>
      </c>
      <c r="E22" s="2" t="str" cm="1">
        <f t="array" ref="E22">_xlfn.SWITCH(TRUE,A22&gt;=70,"70+",A22&gt;60,"61-69",A22&gt;50,"51-59",A22&gt;40,"41-49",A22&gt;30,"31-39",A22&gt;20,"21-29",A22&lt;=20,"Under 21")</f>
        <v>51-59</v>
      </c>
    </row>
    <row r="23" spans="1:7" x14ac:dyDescent="0.3">
      <c r="A23" s="3">
        <v>32</v>
      </c>
      <c r="B23" s="3" t="str" cm="1">
        <f t="array" ref="B23">_xlfn.IFS(A23&gt;20,"21-30",A23&gt;30,"31-40",A23&gt;40,"41-50",A23&gt;50,"51-60",A23&gt;60,"61-70",A23&gt;70,"70+")</f>
        <v>21-30</v>
      </c>
      <c r="C23" s="3" t="str" cm="1">
        <f t="array" ref="C23">_xlfn.IFS(A23&gt;70,"70+",A23&gt;60,"61-70",A23&gt;50,"51-60",A23&gt;40,"41-50",A23&gt;30,"31-40",A23&gt;20,"21-30",A23&lt;=20,"Under 21")</f>
        <v>31-40</v>
      </c>
      <c r="D23" s="3" t="str">
        <f t="shared" si="0"/>
        <v>31-39</v>
      </c>
      <c r="E23" s="2" t="str" cm="1">
        <f t="array" ref="E23">_xlfn.SWITCH(TRUE,A23&gt;=70,"70+",A23&gt;60,"61-69",A23&gt;50,"51-59",A23&gt;40,"41-49",A23&gt;30,"31-39",A23&gt;20,"21-29",A23&lt;=20,"Under 21")</f>
        <v>31-39</v>
      </c>
    </row>
    <row r="24" spans="1:7" x14ac:dyDescent="0.3">
      <c r="A24" s="3">
        <v>39</v>
      </c>
      <c r="B24" s="3" t="str" cm="1">
        <f t="array" ref="B24">_xlfn.IFS(A24&gt;20,"21-30",A24&gt;30,"31-40",A24&gt;40,"41-50",A24&gt;50,"51-60",A24&gt;60,"61-70",A24&gt;70,"70+")</f>
        <v>21-30</v>
      </c>
      <c r="C24" s="3" t="str" cm="1">
        <f t="array" ref="C24">_xlfn.IFS(A24&gt;70,"70+",A24&gt;60,"61-70",A24&gt;50,"51-60",A24&gt;40,"41-50",A24&gt;30,"31-40",A24&gt;20,"21-30",A24&lt;=20,"Under 21")</f>
        <v>31-40</v>
      </c>
      <c r="D24" s="3" t="str">
        <f t="shared" si="0"/>
        <v>31-39</v>
      </c>
      <c r="E24" s="2" t="str" cm="1">
        <f t="array" ref="E24">_xlfn.SWITCH(TRUE,A24&gt;=70,"70+",A24&gt;60,"61-69",A24&gt;50,"51-59",A24&gt;40,"41-49",A24&gt;30,"31-39",A24&gt;20,"21-29",A24&lt;=20,"Under 21")</f>
        <v>31-39</v>
      </c>
    </row>
    <row r="25" spans="1:7" x14ac:dyDescent="0.3">
      <c r="A25" s="3">
        <v>32</v>
      </c>
      <c r="B25" s="3" t="str" cm="1">
        <f t="array" ref="B25">_xlfn.IFS(A25&gt;20,"21-30",A25&gt;30,"31-40",A25&gt;40,"41-50",A25&gt;50,"51-60",A25&gt;60,"61-70",A25&gt;70,"70+")</f>
        <v>21-30</v>
      </c>
      <c r="C25" s="3" t="str" cm="1">
        <f t="array" ref="C25">_xlfn.IFS(A25&gt;70,"70+",A25&gt;60,"61-70",A25&gt;50,"51-60",A25&gt;40,"41-50",A25&gt;30,"31-40",A25&gt;20,"21-30",A25&lt;=20,"Under 21")</f>
        <v>31-40</v>
      </c>
      <c r="D25" s="3" t="str">
        <f t="shared" si="0"/>
        <v>31-39</v>
      </c>
      <c r="E25" s="2" t="str" cm="1">
        <f t="array" ref="E25">_xlfn.SWITCH(TRUE,A25&gt;=70,"70+",A25&gt;60,"61-69",A25&gt;50,"51-59",A25&gt;40,"41-49",A25&gt;30,"31-39",A25&gt;20,"21-29",A25&lt;=20,"Under 21")</f>
        <v>31-39</v>
      </c>
    </row>
    <row r="26" spans="1:7" x14ac:dyDescent="0.3">
      <c r="A26" s="3">
        <v>58</v>
      </c>
      <c r="B26" s="3" t="str" cm="1">
        <f t="array" ref="B26">_xlfn.IFS(A26&gt;20,"21-30",A26&gt;30,"31-40",A26&gt;40,"41-50",A26&gt;50,"51-60",A26&gt;60,"61-70",A26&gt;70,"70+")</f>
        <v>21-30</v>
      </c>
      <c r="C26" s="3" t="str" cm="1">
        <f t="array" ref="C26">_xlfn.IFS(A26&gt;70,"70+",A26&gt;60,"61-70",A26&gt;50,"51-60",A26&gt;40,"41-50",A26&gt;30,"31-40",A26&gt;20,"21-30",A26&lt;=20,"Under 21")</f>
        <v>51-60</v>
      </c>
      <c r="D26" s="3" t="str">
        <f t="shared" si="0"/>
        <v>51-59</v>
      </c>
      <c r="E26" s="2" t="str" cm="1">
        <f t="array" ref="E26">_xlfn.SWITCH(TRUE,A26&gt;=70,"70+",A26&gt;60,"61-69",A26&gt;50,"51-59",A26&gt;40,"41-49",A26&gt;30,"31-39",A26&gt;20,"21-29",A26&lt;=20,"Under 21")</f>
        <v>51-59</v>
      </c>
    </row>
    <row r="27" spans="1:7" x14ac:dyDescent="0.3">
      <c r="A27" s="3">
        <v>61</v>
      </c>
      <c r="B27" s="3" t="str" cm="1">
        <f t="array" ref="B27">_xlfn.IFS(A27&gt;20,"21-30",A27&gt;30,"31-40",A27&gt;40,"41-50",A27&gt;50,"51-60",A27&gt;60,"61-70",A27&gt;70,"70+")</f>
        <v>21-30</v>
      </c>
      <c r="C27" s="3" t="str" cm="1">
        <f t="array" ref="C27">_xlfn.IFS(A27&gt;70,"70+",A27&gt;60,"61-70",A27&gt;50,"51-60",A27&gt;40,"41-50",A27&gt;30,"31-40",A27&gt;20,"21-30",A27&lt;=20,"Under 21")</f>
        <v>61-70</v>
      </c>
      <c r="D27" s="3" t="str">
        <f t="shared" si="0"/>
        <v>61-69</v>
      </c>
      <c r="E27" s="2" t="str" cm="1">
        <f t="array" ref="E27">_xlfn.SWITCH(TRUE,A27&gt;=70,"70+",A27&gt;60,"61-69",A27&gt;50,"51-59",A27&gt;40,"41-49",A27&gt;30,"31-39",A27&gt;20,"21-29",A27&lt;=20,"Under 21")</f>
        <v>61-69</v>
      </c>
    </row>
    <row r="31" spans="1:7" x14ac:dyDescent="0.3">
      <c r="C31" s="1" t="str" cm="1">
        <f t="array" ref="C31:C36">_xlfn.UNIQUE(C2:C27)</f>
        <v>31-40</v>
      </c>
    </row>
    <row r="32" spans="1:7" x14ac:dyDescent="0.3">
      <c r="C32" s="1" t="str">
        <v>Under 21</v>
      </c>
    </row>
    <row r="33" spans="3:3" x14ac:dyDescent="0.3">
      <c r="C33" s="1" t="str">
        <v>41-50</v>
      </c>
    </row>
    <row r="34" spans="3:3" x14ac:dyDescent="0.3">
      <c r="C34" s="1" t="str">
        <v>61-70</v>
      </c>
    </row>
    <row r="35" spans="3:3" x14ac:dyDescent="0.3">
      <c r="C35" s="1" t="str">
        <v>51-60</v>
      </c>
    </row>
    <row r="36" spans="3:3" x14ac:dyDescent="0.3">
      <c r="C36" s="1" t="str">
        <v>21-30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IFS</vt:lpstr>
      <vt:lpstr>Nasted 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Sagor</dc:creator>
  <cp:lastModifiedBy>Dipan Nandi</cp:lastModifiedBy>
  <dcterms:created xsi:type="dcterms:W3CDTF">2026-06-14T08:11:07Z</dcterms:created>
  <dcterms:modified xsi:type="dcterms:W3CDTF">2026-08-09T21:16:02Z</dcterms:modified>
</cp:coreProperties>
</file>