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dipan\Desktop\Data Analytics\Excel\All Practiced Files\"/>
    </mc:Choice>
  </mc:AlternateContent>
  <xr:revisionPtr revIDLastSave="0" documentId="13_ncr:1_{5D449C50-5727-44AD-B552-101700DBEDFF}" xr6:coauthVersionLast="47" xr6:coauthVersionMax="47" xr10:uidLastSave="{00000000-0000-0000-0000-000000000000}"/>
  <bookViews>
    <workbookView xWindow="-108" yWindow="-108" windowWidth="23256" windowHeight="12456" activeTab="4" xr2:uid="{58ADE89D-F32C-4C8E-89AA-15D22F89C6AD}"/>
  </bookViews>
  <sheets>
    <sheet name="N,F,T Data Difference" sheetId="5" r:id="rId1"/>
    <sheet name="Data Type_Paste Spacial_Key S" sheetId="2" r:id="rId2"/>
    <sheet name="Conditional Formate" sheetId="8" r:id="rId3"/>
    <sheet name="ColumnRow" sheetId="10" r:id="rId4"/>
    <sheet name="Syntax" sheetId="9" r:id="rId5"/>
  </sheets>
  <definedNames>
    <definedName name="_xlnm._FilterDatabase" localSheetId="2" hidden="1">'Conditional Formate'!$A$1:$L$31</definedName>
    <definedName name="_xlnm._FilterDatabase" localSheetId="0" hidden="1">'N,F,T Data Difference'!$I$4:$M$12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21" i="2" l="1"/>
  <c r="I4" i="2"/>
  <c r="V6" i="5"/>
  <c r="W6" i="5"/>
  <c r="V7" i="5"/>
  <c r="W7" i="5"/>
  <c r="V8" i="5"/>
  <c r="W8" i="5"/>
  <c r="V9" i="5"/>
  <c r="W9" i="5"/>
  <c r="V10" i="5"/>
  <c r="W10" i="5"/>
  <c r="V12" i="5"/>
  <c r="W12" i="5"/>
  <c r="V13" i="5"/>
  <c r="W13" i="5"/>
  <c r="V14" i="5"/>
  <c r="W14" i="5"/>
  <c r="V15" i="5"/>
  <c r="W15" i="5"/>
  <c r="V16" i="5"/>
  <c r="W16" i="5"/>
  <c r="U17" i="5"/>
  <c r="T17" i="5"/>
  <c r="W5" i="5"/>
  <c r="W11" i="5"/>
  <c r="V5" i="5"/>
  <c r="V11" i="5"/>
  <c r="I22" i="2"/>
  <c r="I20" i="2"/>
  <c r="I19" i="2"/>
  <c r="I18" i="2"/>
  <c r="I17" i="2"/>
  <c r="I16" i="2"/>
  <c r="I15" i="2"/>
  <c r="I14" i="2"/>
  <c r="I13" i="2"/>
  <c r="I12" i="2"/>
  <c r="I11" i="2"/>
  <c r="I10" i="2"/>
  <c r="I8" i="2"/>
  <c r="I7" i="2"/>
  <c r="I6" i="2"/>
  <c r="I5" i="2"/>
  <c r="I3" i="2"/>
  <c r="I9" i="2"/>
  <c r="G3" i="8"/>
  <c r="G4" i="8"/>
  <c r="G5" i="8"/>
  <c r="G6" i="8"/>
  <c r="G8" i="8"/>
  <c r="G9" i="8"/>
  <c r="G10" i="8"/>
  <c r="G11" i="8"/>
  <c r="G12" i="8"/>
  <c r="G13" i="8"/>
  <c r="G14" i="8"/>
  <c r="G15" i="8"/>
  <c r="G16" i="8"/>
  <c r="G17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2" i="8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3" i="2"/>
  <c r="V17" i="5" l="1"/>
</calcChain>
</file>

<file path=xl/sharedStrings.xml><?xml version="1.0" encoding="utf-8"?>
<sst xmlns="http://schemas.openxmlformats.org/spreadsheetml/2006/main" count="347" uniqueCount="171">
  <si>
    <t>Date</t>
  </si>
  <si>
    <t>Division</t>
  </si>
  <si>
    <t>District</t>
  </si>
  <si>
    <t>Product Category</t>
  </si>
  <si>
    <t>Model</t>
  </si>
  <si>
    <t>Unit Price</t>
  </si>
  <si>
    <t>Mymensingh</t>
  </si>
  <si>
    <t>Sylhet</t>
  </si>
  <si>
    <t>Barishal</t>
  </si>
  <si>
    <t>Galaxy A15</t>
  </si>
  <si>
    <t>Rajshahi</t>
  </si>
  <si>
    <t>Galaxy S24 Ultra</t>
  </si>
  <si>
    <t>Moulvibazar</t>
  </si>
  <si>
    <t>Galaxy A34</t>
  </si>
  <si>
    <t>Rangpur</t>
  </si>
  <si>
    <t>Khulna</t>
  </si>
  <si>
    <t>Chattogram</t>
  </si>
  <si>
    <t>Cumilla</t>
  </si>
  <si>
    <t>Galaxy F14</t>
  </si>
  <si>
    <t>Galaxy S24</t>
  </si>
  <si>
    <t>Dhaka</t>
  </si>
  <si>
    <t>Galaxy A25</t>
  </si>
  <si>
    <t>Jamalpur</t>
  </si>
  <si>
    <t>Jessore</t>
  </si>
  <si>
    <t>Name</t>
  </si>
  <si>
    <t>Bangla</t>
  </si>
  <si>
    <t>English</t>
  </si>
  <si>
    <t>Math</t>
  </si>
  <si>
    <t>Science</t>
  </si>
  <si>
    <t>History</t>
  </si>
  <si>
    <t>Total</t>
  </si>
  <si>
    <t>Saiful Islam</t>
  </si>
  <si>
    <t>Aiyan Sagor</t>
  </si>
  <si>
    <t>Raiyan</t>
  </si>
  <si>
    <t>Arafat</t>
  </si>
  <si>
    <t>Sobuj</t>
  </si>
  <si>
    <t>Hemel</t>
  </si>
  <si>
    <t>Farhan</t>
  </si>
  <si>
    <t>Hanif</t>
  </si>
  <si>
    <t>Habibur</t>
  </si>
  <si>
    <t>Rana</t>
  </si>
  <si>
    <t>Talash</t>
  </si>
  <si>
    <t>Sabbir</t>
  </si>
  <si>
    <t>Akash</t>
  </si>
  <si>
    <t>Mehad</t>
  </si>
  <si>
    <t>Miraj</t>
  </si>
  <si>
    <t>Rifat</t>
  </si>
  <si>
    <t>Masum</t>
  </si>
  <si>
    <t>Abdullah</t>
  </si>
  <si>
    <t>Rony</t>
  </si>
  <si>
    <t>Status</t>
  </si>
  <si>
    <t>Order ID</t>
  </si>
  <si>
    <t>Order Date</t>
  </si>
  <si>
    <t>Region</t>
  </si>
  <si>
    <t>Units Sold</t>
  </si>
  <si>
    <t>Total Sales</t>
  </si>
  <si>
    <t>Target Sales</t>
  </si>
  <si>
    <t>Profit %</t>
  </si>
  <si>
    <t>Stock Left</t>
  </si>
  <si>
    <t>Delivery Days</t>
  </si>
  <si>
    <t>Customer Rating</t>
  </si>
  <si>
    <t>O1001</t>
  </si>
  <si>
    <t>Mobile</t>
  </si>
  <si>
    <t>O1002</t>
  </si>
  <si>
    <t>Laptop</t>
  </si>
  <si>
    <t>O1003</t>
  </si>
  <si>
    <t>Accessories</t>
  </si>
  <si>
    <t>O1004</t>
  </si>
  <si>
    <t>O1005</t>
  </si>
  <si>
    <t>TV</t>
  </si>
  <si>
    <t>O1006</t>
  </si>
  <si>
    <t>O1007</t>
  </si>
  <si>
    <t>O1008</t>
  </si>
  <si>
    <t>O1009</t>
  </si>
  <si>
    <t>O1010</t>
  </si>
  <si>
    <t>O1011</t>
  </si>
  <si>
    <t>O1012</t>
  </si>
  <si>
    <t>O1013</t>
  </si>
  <si>
    <t>O1014</t>
  </si>
  <si>
    <t>O1015</t>
  </si>
  <si>
    <t>O1016</t>
  </si>
  <si>
    <t>O1017</t>
  </si>
  <si>
    <t>O1018</t>
  </si>
  <si>
    <t>O1019</t>
  </si>
  <si>
    <t>O1020</t>
  </si>
  <si>
    <t>O1021</t>
  </si>
  <si>
    <t>O1022</t>
  </si>
  <si>
    <t>O1023</t>
  </si>
  <si>
    <t>O1024</t>
  </si>
  <si>
    <t>O1025</t>
  </si>
  <si>
    <t>O1026</t>
  </si>
  <si>
    <t>O1027</t>
  </si>
  <si>
    <t>O1028</t>
  </si>
  <si>
    <t>O1029</t>
  </si>
  <si>
    <t>O1030</t>
  </si>
  <si>
    <t>opu</t>
  </si>
  <si>
    <t xml:space="preserve"> </t>
  </si>
  <si>
    <t>Normal Data</t>
  </si>
  <si>
    <t>Table Data</t>
  </si>
  <si>
    <t>Filter Data</t>
  </si>
  <si>
    <t>Red Mark  Less Then 33</t>
  </si>
  <si>
    <t>Green Greater then or Equal to  80</t>
  </si>
  <si>
    <t>Yellow 60-79</t>
  </si>
  <si>
    <t xml:space="preserve">Pass Green </t>
  </si>
  <si>
    <t>Fail Red</t>
  </si>
  <si>
    <t>HP Laptop</t>
  </si>
  <si>
    <t>SUMSUNG Laptop</t>
  </si>
  <si>
    <t>Laptop 2nd Hand</t>
  </si>
  <si>
    <t xml:space="preserve">Sum IF </t>
  </si>
  <si>
    <t>Sum IFS</t>
  </si>
  <si>
    <t>Average IF</t>
  </si>
  <si>
    <t>Average Ifs</t>
  </si>
  <si>
    <t>MaX IFS</t>
  </si>
  <si>
    <t>Count IF</t>
  </si>
  <si>
    <t>Count IFS</t>
  </si>
  <si>
    <t>COUNT</t>
  </si>
  <si>
    <t>COUNT A</t>
  </si>
  <si>
    <t>COUNT BLANK</t>
  </si>
  <si>
    <t xml:space="preserve"> =COUNT(range)</t>
  </si>
  <si>
    <t xml:space="preserve"> =COUNTA(range)</t>
  </si>
  <si>
    <t xml:space="preserve"> =COUNTBLANK(range)</t>
  </si>
  <si>
    <t xml:space="preserve"> =SUMIF(range,criteria,sum_range)</t>
  </si>
  <si>
    <t xml:space="preserve"> =SUMIFS(sum_range,criteria_range1,criteria1,criteria_range2,criteria2)</t>
  </si>
  <si>
    <t xml:space="preserve"> =COUNTIF(range,criteria)</t>
  </si>
  <si>
    <t xml:space="preserve"> =COUNTIFS(criteria_range1,criteria1,criteria_range2,criteria2)</t>
  </si>
  <si>
    <t xml:space="preserve"> =AVERAGEIF(range,criteria,average_range)</t>
  </si>
  <si>
    <t xml:space="preserve"> =AVERAGEIFS(average_range,criteria_range1,criteria1,criteria_range2,criteria2)</t>
  </si>
  <si>
    <t xml:space="preserve"> =MAXIFS(max_range,criteria_range1,criteria1,criteria_range2,criteria2)</t>
  </si>
  <si>
    <t xml:space="preserve"> =MINIFS(min_range,criteria_range1,criteria1,criteria_range2,criteria2)</t>
  </si>
  <si>
    <t>MIN IFS</t>
  </si>
  <si>
    <t>Formula</t>
  </si>
  <si>
    <t>Syntax</t>
  </si>
  <si>
    <t>Product</t>
  </si>
  <si>
    <t>IND</t>
  </si>
  <si>
    <t>BAN</t>
  </si>
  <si>
    <t>CHI</t>
  </si>
  <si>
    <t>Country</t>
  </si>
  <si>
    <t>Month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</si>
  <si>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</si>
  <si>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</si>
  <si>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</si>
  <si>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</si>
  <si>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</si>
  <si>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</si>
  <si>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</si>
  <si>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</si>
  <si>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</si>
  <si>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</si>
  <si>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</si>
  <si>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</si>
  <si>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Budget</t>
  </si>
  <si>
    <t>Actual</t>
  </si>
  <si>
    <t>BF</t>
  </si>
  <si>
    <t>Maonth Name</t>
  </si>
  <si>
    <t>Drag &amp; Paste Data</t>
  </si>
  <si>
    <t>Auto Update Rows and Columns</t>
  </si>
  <si>
    <t>Auto Update Formulas</t>
  </si>
  <si>
    <t>Multiple Functions with Different Headers</t>
  </si>
  <si>
    <t>Filter Specific Department/Data</t>
  </si>
  <si>
    <t>Reorganize Data Without Copy-Paste</t>
  </si>
  <si>
    <t>Select Data Using Top Arrow</t>
  </si>
  <si>
    <t>Insert Slicers</t>
  </si>
  <si>
    <t>Remove Duplicates</t>
  </si>
  <si>
    <t>Insert or Remove Filters</t>
  </si>
  <si>
    <t>Convert Table to Range</t>
  </si>
  <si>
    <t xml:space="preserve">Formate </t>
  </si>
  <si>
    <t>qty</t>
  </si>
  <si>
    <t>revenue</t>
  </si>
  <si>
    <t>month</t>
  </si>
  <si>
    <t xml:space="preserve">Number </t>
  </si>
  <si>
    <t>Number + 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</si>
</sst>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&quot;$&quot;* #,##0.00_);_(&quot;$&quot;* \(#,##0.00\);_(&quot;$&quot;* &quot;-&quot;??_);_(@_)"/>
    <numFmt numFmtId="165" formatCode="[$-409]d\-mmm\-yy;@"/>
    <numFmt numFmtId="166" formatCode="_(&quot;$&quot;* #,##0_);_(&quot;$&quot;* \(#,##0\);_(&quot;$&quot;* &quot;-&quot;??_);_(@_)"/>
    <numFmt numFmtId="167" formatCode="&quot;$&quot;#,##0"/>
  </numFmts>
  <fonts count="1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0"/>
      <name val="Aptos Narrow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0"/>
      <color theme="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sz val="28"/>
      <color theme="1"/>
      <name val="Aptos Narrow"/>
      <family val="2"/>
      <scheme val="minor"/>
    </font>
    <font>
      <sz val="28"/>
      <color theme="1"/>
      <name val="Calibri Light"/>
      <family val="2"/>
    </font>
    <font>
      <b/>
      <sz val="20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7" tint="-0.49998474074526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9.9978637043366805E-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164" fontId="6" fillId="0" borderId="0" applyFont="0" applyFill="0" applyBorder="0" applyAlignment="0" applyProtection="0"/>
  </cellStyleXfs>
  <cellXfs count="36">
    <xf numFmtId="0" fontId="0" fillId="0" borderId="0" xfId="0"/>
    <xf numFmtId="0" fontId="2" fillId="2" borderId="0" xfId="0" applyFont="1" applyFill="1"/>
    <xf numFmtId="0" fontId="2" fillId="4" borderId="1" xfId="0" applyFont="1" applyFill="1" applyBorder="1" applyAlignment="1">
      <alignment horizontal="left"/>
    </xf>
    <xf numFmtId="0" fontId="0" fillId="0" borderId="1" xfId="0" applyBorder="1" applyAlignment="1">
      <alignment horizontal="left"/>
    </xf>
    <xf numFmtId="0" fontId="0" fillId="3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0" fillId="0" borderId="1" xfId="0" applyBorder="1" applyAlignment="1">
      <alignment vertical="center"/>
    </xf>
    <xf numFmtId="9" fontId="0" fillId="0" borderId="1" xfId="0" applyNumberFormat="1" applyBorder="1" applyAlignment="1">
      <alignment vertical="center"/>
    </xf>
    <xf numFmtId="15" fontId="0" fillId="0" borderId="1" xfId="0" applyNumberFormat="1" applyBorder="1" applyAlignment="1">
      <alignment vertical="center"/>
    </xf>
    <xf numFmtId="165" fontId="2" fillId="2" borderId="0" xfId="0" applyNumberFormat="1" applyFont="1" applyFill="1"/>
    <xf numFmtId="165" fontId="0" fillId="0" borderId="0" xfId="0" applyNumberFormat="1" applyAlignment="1">
      <alignment horizontal="left"/>
    </xf>
    <xf numFmtId="165" fontId="0" fillId="0" borderId="0" xfId="0" applyNumberFormat="1"/>
    <xf numFmtId="165" fontId="4" fillId="0" borderId="0" xfId="0" applyNumberFormat="1" applyFont="1"/>
    <xf numFmtId="0" fontId="4" fillId="0" borderId="0" xfId="0" applyFont="1"/>
    <xf numFmtId="0" fontId="0" fillId="7" borderId="0" xfId="0" applyFill="1"/>
    <xf numFmtId="0" fontId="5" fillId="6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8" fillId="0" borderId="0" xfId="0" applyFont="1"/>
    <xf numFmtId="0" fontId="9" fillId="0" borderId="0" xfId="0" applyFont="1"/>
    <xf numFmtId="0" fontId="11" fillId="7" borderId="1" xfId="0" applyFont="1" applyFill="1" applyBorder="1" applyAlignment="1">
      <alignment horizontal="left" vertical="center"/>
    </xf>
    <xf numFmtId="0" fontId="9" fillId="0" borderId="1" xfId="0" applyFont="1" applyBorder="1" applyAlignment="1">
      <alignment horizontal="left"/>
    </xf>
    <xf numFmtId="0" fontId="10" fillId="0" borderId="1" xfId="0" applyFont="1" applyBorder="1" applyAlignment="1">
      <alignment horizontal="left"/>
    </xf>
    <xf numFmtId="0" fontId="0" fillId="0" borderId="1" xfId="0" applyBorder="1"/>
    <xf numFmtId="0" fontId="4" fillId="3" borderId="1" xfId="0" applyFont="1" applyFill="1" applyBorder="1"/>
    <xf numFmtId="0" fontId="7" fillId="3" borderId="1" xfId="0" applyFont="1" applyFill="1" applyBorder="1"/>
    <xf numFmtId="0" fontId="7" fillId="3" borderId="1" xfId="0" applyFont="1" applyFill="1" applyBorder="1" applyAlignment="1">
      <alignment horizontal="center"/>
    </xf>
    <xf numFmtId="166" fontId="0" fillId="0" borderId="1" xfId="1" applyNumberFormat="1" applyFont="1" applyBorder="1" applyAlignment="1">
      <alignment horizontal="right"/>
    </xf>
    <xf numFmtId="167" fontId="0" fillId="0" borderId="0" xfId="0" applyNumberFormat="1"/>
    <xf numFmtId="0" fontId="1" fillId="5" borderId="2" xfId="0" applyFont="1" applyFill="1" applyBorder="1" applyAlignment="1">
      <alignment horizontal="center" vertical="center"/>
    </xf>
    <xf numFmtId="0" fontId="0" fillId="8" borderId="1" xfId="0" applyFill="1" applyBorder="1"/>
    <xf numFmtId="0" fontId="0" fillId="9" borderId="1" xfId="0" applyFill="1" applyBorder="1"/>
    <xf numFmtId="0" fontId="0" fillId="9" borderId="0" xfId="0" applyFill="1"/>
    <xf numFmtId="0" fontId="0" fillId="10" borderId="0" xfId="0" applyFill="1"/>
    <xf numFmtId="0" fontId="12" fillId="0" borderId="0" xfId="0" applyFont="1" applyAlignment="1">
      <alignment horizontal="left" vertical="center"/>
    </xf>
    <xf numFmtId="0" fontId="5" fillId="6" borderId="0" xfId="0" applyFont="1" applyFill="1" applyAlignment="1">
      <alignment horizontal="center" vertical="center"/>
    </xf>
  </cellXfs>
  <cellStyles count="2">
    <cellStyle name="Currency" xfId="1" builtinId="4"/>
    <cellStyle name="Normal" xfId="0" builtinId="0"/>
  </cellStyles>
  <dxfs count="42">
    <dxf>
      <font>
        <color theme="6" tint="0.39994506668294322"/>
      </font>
    </dxf>
    <dxf>
      <font>
        <color rgb="FF9C0006"/>
      </font>
      <fill>
        <patternFill>
          <bgColor rgb="FFFFC7CE"/>
        </patternFill>
      </fill>
    </dxf>
    <dxf>
      <font>
        <color theme="6" tint="0.39994506668294322"/>
      </font>
    </dxf>
    <dxf>
      <fill>
        <patternFill>
          <bgColor rgb="FFFE8762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E8762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8" tint="0.79998168889431442"/>
        </patternFill>
      </fill>
    </dxf>
    <dxf>
      <fill>
        <patternFill>
          <bgColor theme="4" tint="0.79998168889431442"/>
        </patternFill>
      </fill>
    </dxf>
    <dxf>
      <numFmt numFmtId="0" formatCode="General"/>
    </dxf>
    <dxf>
      <numFmt numFmtId="0" formatCode="General"/>
    </dxf>
    <dxf>
      <numFmt numFmtId="167" formatCode="&quot;$&quot;#,##0"/>
    </dxf>
    <dxf>
      <numFmt numFmtId="0" formatCode="General"/>
    </dxf>
    <dxf>
      <numFmt numFmtId="165" formatCode="[$-409]d\-mmm\-yy;@"/>
      <alignment horizontal="left" vertical="bottom" textRotation="0" wrapText="0" indent="0" justifyLastLine="0" shrinkToFit="0" readingOrder="0"/>
    </dxf>
    <dxf>
      <numFmt numFmtId="165" formatCode="[$-409]d\-mmm\-yy;@"/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scheme val="minor"/>
      </font>
      <fill>
        <patternFill patternType="solid">
          <fgColor indexed="64"/>
          <bgColor theme="7" tint="-0.499984740745262"/>
        </patternFill>
      </fill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3" formatCode="0%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8" formatCode="d\-mmm\-yy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alignment horizontal="general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FE876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DBF9DE3-2C54-4676-9969-3671C9717623}" name="Table1" displayName="Table1" ref="P4:W17" totalsRowCount="1" headerRowDxfId="25">
  <autoFilter ref="P4:W16" xr:uid="{FDBF9DE3-2C54-4676-9969-3671C9717623}"/>
  <tableColumns count="8">
    <tableColumn id="1" xr3:uid="{467FE31E-486C-4E6C-8D13-FDBE6C89AE7C}" name="Date" dataDxfId="24" totalsRowDxfId="23"/>
    <tableColumn id="2" xr3:uid="{4C155CF7-A215-4FB1-A208-332286A02F7E}" name="Division"/>
    <tableColumn id="3" xr3:uid="{EC586953-CC06-4BA7-981D-8139B1EB09F5}" name="District"/>
    <tableColumn id="4" xr3:uid="{8BD1C830-D567-46AF-B1F4-3C7A159EB5EB}" name="Model"/>
    <tableColumn id="5" xr3:uid="{9603DBA9-42FD-4BF0-A05D-17AC1813F36F}" name="Unit Price" totalsRowFunction="sum"/>
    <tableColumn id="6" xr3:uid="{7A0395F5-7E95-4425-8AB8-C864BCA363C9}" name="qty" totalsRowFunction="sum"/>
    <tableColumn id="7" xr3:uid="{43DF1200-2DEE-4619-9BDB-C0D973438119}" name="revenue" totalsRowFunction="sum" dataDxfId="22" totalsRowDxfId="21">
      <calculatedColumnFormula>Table1[[#This Row],[Unit Price]]*Table1[[#This Row],[qty]]</calculatedColumnFormula>
    </tableColumn>
    <tableColumn id="8" xr3:uid="{25043A72-D4A7-4F75-825E-1D8A65C650E7}" name="month" dataDxfId="20" totalsRowDxfId="19">
      <calculatedColumnFormula>TEXT(Table1[[#This Row],[Date]],"mmm")</calculatedColumnFormula>
    </tableColumn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5AD5F00-F1A8-40A9-83B5-AF74130DBB71}" name="Table3" displayName="Table3" ref="A1:L32" totalsRowShown="0" headerRowDxfId="41" dataDxfId="39" headerRowBorderDxfId="40" tableBorderDxfId="38">
  <autoFilter ref="A1:L32" xr:uid="{05AD5F00-F1A8-40A9-83B5-AF74130DBB71}"/>
  <sortState xmlns:xlrd2="http://schemas.microsoft.com/office/spreadsheetml/2017/richdata2" ref="A2:L32">
    <sortCondition ref="B1:B32"/>
  </sortState>
  <tableColumns count="12">
    <tableColumn id="1" xr3:uid="{C7710CD4-D182-4BFE-85B8-AE9D0E522032}" name="Order ID" dataDxfId="37"/>
    <tableColumn id="2" xr3:uid="{4E8D862D-3347-4518-B38D-31DD987A1024}" name="Order Date" dataDxfId="36"/>
    <tableColumn id="3" xr3:uid="{02816032-8461-4EC8-AF51-E8BBCB85A9F8}" name="Region" dataDxfId="35"/>
    <tableColumn id="4" xr3:uid="{263DB94A-34E6-46CD-A6F0-85AD10B75992}" name="Product Category" dataDxfId="34"/>
    <tableColumn id="5" xr3:uid="{50ECA2C8-148C-415E-B2FE-44B236BEE51A}" name="Units Sold" dataDxfId="33"/>
    <tableColumn id="6" xr3:uid="{DC1E29D0-BF26-47B3-AC0E-6D8D9838DCB2}" name="Unit Price" dataDxfId="32"/>
    <tableColumn id="7" xr3:uid="{68B1EE6C-5102-46AE-BF1E-E138960F23EB}" name="Total Sales" dataDxfId="31"/>
    <tableColumn id="8" xr3:uid="{97CECCE7-6386-4449-A073-21AEDF8E7BB5}" name="Target Sales" dataDxfId="30"/>
    <tableColumn id="9" xr3:uid="{E85A728D-2813-4ECF-AE4A-05A0860A7580}" name="Profit %" dataDxfId="29"/>
    <tableColumn id="10" xr3:uid="{7C3BC659-BB38-4874-ABB4-C64F54182D25}" name="Stock Left" dataDxfId="28"/>
    <tableColumn id="11" xr3:uid="{632EB853-DD95-438D-AA21-C5160939BF0D}" name="Delivery Days" dataDxfId="27"/>
    <tableColumn id="12" xr3:uid="{516031C0-16B0-48DF-9DE1-CFAAAF12E081}" name="Customer Rating" dataDxfId="26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BA9F8-B6B0-45FC-89D6-BF1B223198A4}">
  <dimension ref="A4:W61"/>
  <sheetViews>
    <sheetView workbookViewId="0">
      <selection activeCell="Q32" sqref="Q32"/>
    </sheetView>
  </sheetViews>
  <sheetFormatPr defaultRowHeight="14.4" x14ac:dyDescent="0.3"/>
  <cols>
    <col min="1" max="1" width="11.44140625" style="12" bestFit="1" customWidth="1"/>
    <col min="2" max="2" width="8.5546875" bestFit="1" customWidth="1"/>
    <col min="3" max="3" width="12.109375" bestFit="1" customWidth="1"/>
    <col min="4" max="4" width="11.88671875" bestFit="1" customWidth="1"/>
    <col min="5" max="5" width="15.109375" bestFit="1" customWidth="1"/>
    <col min="6" max="6" width="9.6640625" bestFit="1" customWidth="1"/>
    <col min="9" max="9" width="8.5546875" bestFit="1" customWidth="1"/>
    <col min="10" max="10" width="12.109375" bestFit="1" customWidth="1"/>
    <col min="11" max="11" width="11.88671875" bestFit="1" customWidth="1"/>
    <col min="12" max="12" width="15.109375" bestFit="1" customWidth="1"/>
    <col min="13" max="13" width="12" bestFit="1" customWidth="1"/>
    <col min="14" max="14" width="12" customWidth="1"/>
    <col min="16" max="16" width="8.5546875" bestFit="1" customWidth="1"/>
    <col min="17" max="17" width="12.109375" bestFit="1" customWidth="1"/>
    <col min="18" max="18" width="11.88671875" bestFit="1" customWidth="1"/>
    <col min="19" max="19" width="15.109375" bestFit="1" customWidth="1"/>
    <col min="20" max="20" width="11" customWidth="1"/>
    <col min="22" max="22" width="14.5546875" customWidth="1"/>
  </cols>
  <sheetData>
    <row r="4" spans="2:23" x14ac:dyDescent="0.3">
      <c r="B4" s="13" t="s">
        <v>0</v>
      </c>
      <c r="C4" s="14" t="s">
        <v>1</v>
      </c>
      <c r="D4" s="14" t="s">
        <v>2</v>
      </c>
      <c r="E4" s="14" t="s">
        <v>4</v>
      </c>
      <c r="F4" s="14" t="s">
        <v>5</v>
      </c>
      <c r="I4" s="10" t="s">
        <v>0</v>
      </c>
      <c r="J4" s="1" t="s">
        <v>1</v>
      </c>
      <c r="K4" s="1" t="s">
        <v>2</v>
      </c>
      <c r="L4" s="1" t="s">
        <v>4</v>
      </c>
      <c r="M4" s="1" t="s">
        <v>5</v>
      </c>
      <c r="N4" s="1"/>
      <c r="P4" s="10" t="s">
        <v>0</v>
      </c>
      <c r="Q4" s="1" t="s">
        <v>1</v>
      </c>
      <c r="R4" s="1" t="s">
        <v>2</v>
      </c>
      <c r="S4" s="1" t="s">
        <v>4</v>
      </c>
      <c r="T4" s="1" t="s">
        <v>5</v>
      </c>
      <c r="U4" s="1" t="s">
        <v>166</v>
      </c>
      <c r="V4" s="1" t="s">
        <v>167</v>
      </c>
      <c r="W4" s="1" t="s">
        <v>168</v>
      </c>
    </row>
    <row r="5" spans="2:23" x14ac:dyDescent="0.3">
      <c r="B5" s="11">
        <v>46027</v>
      </c>
      <c r="C5" t="s">
        <v>8</v>
      </c>
      <c r="D5" t="s">
        <v>8</v>
      </c>
      <c r="E5" t="s">
        <v>13</v>
      </c>
      <c r="F5">
        <v>38999</v>
      </c>
      <c r="I5" s="11">
        <v>46027</v>
      </c>
      <c r="J5" t="s">
        <v>8</v>
      </c>
      <c r="K5" t="s">
        <v>8</v>
      </c>
      <c r="L5" t="s">
        <v>13</v>
      </c>
      <c r="M5">
        <v>38999</v>
      </c>
      <c r="P5" s="11">
        <v>46027</v>
      </c>
      <c r="Q5" t="s">
        <v>8</v>
      </c>
      <c r="R5" t="s">
        <v>8</v>
      </c>
      <c r="S5" t="s">
        <v>13</v>
      </c>
      <c r="T5">
        <v>38999</v>
      </c>
      <c r="U5">
        <v>1</v>
      </c>
      <c r="V5">
        <f>Table1[[#This Row],[Unit Price]]*Table1[[#This Row],[qty]]</f>
        <v>38999</v>
      </c>
      <c r="W5" t="str">
        <f>TEXT(Table1[[#This Row],[Date]],"mmm")</f>
        <v>Jan</v>
      </c>
    </row>
    <row r="6" spans="2:23" x14ac:dyDescent="0.3">
      <c r="B6" s="11">
        <v>46027</v>
      </c>
      <c r="C6" t="s">
        <v>7</v>
      </c>
      <c r="D6" t="s">
        <v>12</v>
      </c>
      <c r="E6" t="s">
        <v>21</v>
      </c>
      <c r="F6">
        <v>33999</v>
      </c>
      <c r="I6" s="11">
        <v>46027</v>
      </c>
      <c r="J6" t="s">
        <v>7</v>
      </c>
      <c r="K6" t="s">
        <v>12</v>
      </c>
      <c r="L6" t="s">
        <v>21</v>
      </c>
      <c r="M6">
        <v>33999</v>
      </c>
      <c r="P6" s="11">
        <v>46027</v>
      </c>
      <c r="Q6" t="s">
        <v>7</v>
      </c>
      <c r="R6" t="s">
        <v>12</v>
      </c>
      <c r="S6" t="s">
        <v>21</v>
      </c>
      <c r="T6">
        <v>33999</v>
      </c>
      <c r="U6">
        <v>2</v>
      </c>
      <c r="V6">
        <f>Table1[[#This Row],[Unit Price]]*Table1[[#This Row],[qty]]</f>
        <v>67998</v>
      </c>
      <c r="W6" t="str">
        <f>TEXT(Table1[[#This Row],[Date]],"mmm")</f>
        <v>Jan</v>
      </c>
    </row>
    <row r="7" spans="2:23" x14ac:dyDescent="0.3">
      <c r="B7" s="11">
        <v>46027</v>
      </c>
      <c r="C7" t="s">
        <v>7</v>
      </c>
      <c r="D7" t="s">
        <v>7</v>
      </c>
      <c r="E7" t="s">
        <v>19</v>
      </c>
      <c r="F7">
        <v>124999</v>
      </c>
      <c r="I7" s="11">
        <v>46027</v>
      </c>
      <c r="J7" t="s">
        <v>7</v>
      </c>
      <c r="K7" t="s">
        <v>7</v>
      </c>
      <c r="L7" t="s">
        <v>19</v>
      </c>
      <c r="M7">
        <v>124999</v>
      </c>
      <c r="P7" s="11">
        <v>46027</v>
      </c>
      <c r="Q7" t="s">
        <v>7</v>
      </c>
      <c r="R7" t="s">
        <v>7</v>
      </c>
      <c r="S7" t="s">
        <v>19</v>
      </c>
      <c r="T7">
        <v>124999</v>
      </c>
      <c r="U7">
        <v>3</v>
      </c>
      <c r="V7">
        <f>Table1[[#This Row],[Unit Price]]*Table1[[#This Row],[qty]]</f>
        <v>374997</v>
      </c>
      <c r="W7" t="str">
        <f>TEXT(Table1[[#This Row],[Date]],"mmm")</f>
        <v>Jan</v>
      </c>
    </row>
    <row r="8" spans="2:23" x14ac:dyDescent="0.3">
      <c r="B8" s="11">
        <v>46027</v>
      </c>
      <c r="C8" t="s">
        <v>15</v>
      </c>
      <c r="D8" t="s">
        <v>15</v>
      </c>
      <c r="E8" t="s">
        <v>18</v>
      </c>
      <c r="F8">
        <v>21999</v>
      </c>
      <c r="I8" s="11">
        <v>46027</v>
      </c>
      <c r="J8" t="s">
        <v>15</v>
      </c>
      <c r="K8" t="s">
        <v>15</v>
      </c>
      <c r="L8" t="s">
        <v>18</v>
      </c>
      <c r="M8">
        <v>21999</v>
      </c>
      <c r="P8" s="11">
        <v>46027</v>
      </c>
      <c r="Q8" t="s">
        <v>15</v>
      </c>
      <c r="R8" t="s">
        <v>15</v>
      </c>
      <c r="S8" t="s">
        <v>18</v>
      </c>
      <c r="T8">
        <v>21999</v>
      </c>
      <c r="U8">
        <v>4</v>
      </c>
      <c r="V8">
        <f>Table1[[#This Row],[Unit Price]]*Table1[[#This Row],[qty]]</f>
        <v>87996</v>
      </c>
      <c r="W8" t="str">
        <f>TEXT(Table1[[#This Row],[Date]],"mmm")</f>
        <v>Jan</v>
      </c>
    </row>
    <row r="9" spans="2:23" x14ac:dyDescent="0.3">
      <c r="B9" s="11">
        <v>46027</v>
      </c>
      <c r="C9" t="s">
        <v>10</v>
      </c>
      <c r="D9" t="s">
        <v>10</v>
      </c>
      <c r="E9" t="s">
        <v>18</v>
      </c>
      <c r="F9">
        <v>21999</v>
      </c>
      <c r="I9" s="11">
        <v>46027</v>
      </c>
      <c r="J9" t="s">
        <v>10</v>
      </c>
      <c r="K9" t="s">
        <v>10</v>
      </c>
      <c r="L9" t="s">
        <v>18</v>
      </c>
      <c r="M9">
        <v>21999</v>
      </c>
      <c r="P9" s="11">
        <v>46027</v>
      </c>
      <c r="Q9" t="s">
        <v>10</v>
      </c>
      <c r="R9" t="s">
        <v>10</v>
      </c>
      <c r="S9" t="s">
        <v>18</v>
      </c>
      <c r="T9">
        <v>21999</v>
      </c>
      <c r="U9">
        <v>5</v>
      </c>
      <c r="V9">
        <f>Table1[[#This Row],[Unit Price]]*Table1[[#This Row],[qty]]</f>
        <v>109995</v>
      </c>
      <c r="W9" t="str">
        <f>TEXT(Table1[[#This Row],[Date]],"mmm")</f>
        <v>Jan</v>
      </c>
    </row>
    <row r="10" spans="2:23" x14ac:dyDescent="0.3">
      <c r="B10" s="11">
        <v>46027</v>
      </c>
      <c r="C10" t="s">
        <v>15</v>
      </c>
      <c r="D10" t="s">
        <v>23</v>
      </c>
      <c r="E10" t="s">
        <v>9</v>
      </c>
      <c r="F10">
        <v>22999</v>
      </c>
      <c r="I10" s="11">
        <v>46027</v>
      </c>
      <c r="J10" t="s">
        <v>15</v>
      </c>
      <c r="K10" t="s">
        <v>23</v>
      </c>
      <c r="L10" t="s">
        <v>9</v>
      </c>
      <c r="M10">
        <v>22999</v>
      </c>
      <c r="P10" s="11">
        <v>46027</v>
      </c>
      <c r="Q10" t="s">
        <v>15</v>
      </c>
      <c r="R10" t="s">
        <v>23</v>
      </c>
      <c r="S10" t="s">
        <v>9</v>
      </c>
      <c r="T10">
        <v>22999</v>
      </c>
      <c r="U10">
        <v>6</v>
      </c>
      <c r="V10">
        <f>Table1[[#This Row],[Unit Price]]*Table1[[#This Row],[qty]]</f>
        <v>137994</v>
      </c>
      <c r="W10" t="str">
        <f>TEXT(Table1[[#This Row],[Date]],"mmm")</f>
        <v>Jan</v>
      </c>
    </row>
    <row r="11" spans="2:23" x14ac:dyDescent="0.3">
      <c r="B11" s="11">
        <v>46058</v>
      </c>
      <c r="C11" t="s">
        <v>6</v>
      </c>
      <c r="D11" t="s">
        <v>22</v>
      </c>
      <c r="E11" t="s">
        <v>19</v>
      </c>
      <c r="F11">
        <v>124999</v>
      </c>
      <c r="I11" s="11">
        <v>46058</v>
      </c>
      <c r="J11" t="s">
        <v>6</v>
      </c>
      <c r="K11" t="s">
        <v>22</v>
      </c>
      <c r="L11" t="s">
        <v>19</v>
      </c>
      <c r="M11">
        <v>124999</v>
      </c>
      <c r="P11" s="11">
        <v>46058</v>
      </c>
      <c r="Q11" t="s">
        <v>6</v>
      </c>
      <c r="R11" t="s">
        <v>22</v>
      </c>
      <c r="S11" t="s">
        <v>19</v>
      </c>
      <c r="T11">
        <v>124999</v>
      </c>
      <c r="U11">
        <v>7</v>
      </c>
      <c r="V11">
        <f>Table1[[#This Row],[Unit Price]]*Table1[[#This Row],[qty]]</f>
        <v>874993</v>
      </c>
      <c r="W11" t="str">
        <f>TEXT(Table1[[#This Row],[Date]],"mmm")</f>
        <v>Feb</v>
      </c>
    </row>
    <row r="12" spans="2:23" x14ac:dyDescent="0.3">
      <c r="B12" s="11">
        <v>46058</v>
      </c>
      <c r="C12" t="s">
        <v>8</v>
      </c>
      <c r="D12" t="s">
        <v>8</v>
      </c>
      <c r="E12" t="s">
        <v>11</v>
      </c>
      <c r="F12">
        <v>189999</v>
      </c>
      <c r="I12" s="11">
        <v>46058</v>
      </c>
      <c r="J12" t="s">
        <v>8</v>
      </c>
      <c r="K12" t="s">
        <v>8</v>
      </c>
      <c r="L12" t="s">
        <v>11</v>
      </c>
      <c r="M12">
        <v>189999</v>
      </c>
      <c r="P12" s="11">
        <v>46058</v>
      </c>
      <c r="Q12" t="s">
        <v>8</v>
      </c>
      <c r="R12" t="s">
        <v>8</v>
      </c>
      <c r="S12" t="s">
        <v>11</v>
      </c>
      <c r="T12">
        <v>189999</v>
      </c>
      <c r="U12">
        <v>8</v>
      </c>
      <c r="V12">
        <f>Table1[[#This Row],[Unit Price]]*Table1[[#This Row],[qty]]</f>
        <v>1519992</v>
      </c>
      <c r="W12" t="str">
        <f>TEXT(Table1[[#This Row],[Date]],"mmm")</f>
        <v>Feb</v>
      </c>
    </row>
    <row r="13" spans="2:23" x14ac:dyDescent="0.3">
      <c r="B13" s="11"/>
      <c r="I13" s="11"/>
      <c r="P13" s="11">
        <v>46027</v>
      </c>
      <c r="Q13" t="s">
        <v>8</v>
      </c>
      <c r="R13" t="s">
        <v>8</v>
      </c>
      <c r="S13" t="s">
        <v>13</v>
      </c>
      <c r="T13">
        <v>38999</v>
      </c>
      <c r="U13">
        <v>1</v>
      </c>
      <c r="V13">
        <f>Table1[[#This Row],[Unit Price]]*Table1[[#This Row],[qty]]</f>
        <v>38999</v>
      </c>
      <c r="W13" t="str">
        <f>TEXT(Table1[[#This Row],[Date]],"mmm")</f>
        <v>Jan</v>
      </c>
    </row>
    <row r="14" spans="2:23" x14ac:dyDescent="0.3">
      <c r="B14" s="11"/>
      <c r="I14" s="11"/>
      <c r="P14" s="11">
        <v>46027</v>
      </c>
      <c r="Q14" t="s">
        <v>7</v>
      </c>
      <c r="R14" t="s">
        <v>12</v>
      </c>
      <c r="S14" t="s">
        <v>21</v>
      </c>
      <c r="T14">
        <v>33999</v>
      </c>
      <c r="U14">
        <v>2</v>
      </c>
      <c r="V14">
        <f>Table1[[#This Row],[Unit Price]]*Table1[[#This Row],[qty]]</f>
        <v>67998</v>
      </c>
      <c r="W14" t="str">
        <f>TEXT(Table1[[#This Row],[Date]],"mmm")</f>
        <v>Jan</v>
      </c>
    </row>
    <row r="15" spans="2:23" x14ac:dyDescent="0.3">
      <c r="B15" s="11"/>
      <c r="I15" s="11"/>
      <c r="P15" s="11">
        <v>46027</v>
      </c>
      <c r="Q15" t="s">
        <v>7</v>
      </c>
      <c r="R15" t="s">
        <v>7</v>
      </c>
      <c r="S15" t="s">
        <v>19</v>
      </c>
      <c r="T15">
        <v>124999</v>
      </c>
      <c r="U15">
        <v>3</v>
      </c>
      <c r="V15">
        <f>Table1[[#This Row],[Unit Price]]*Table1[[#This Row],[qty]]</f>
        <v>374997</v>
      </c>
      <c r="W15" t="str">
        <f>TEXT(Table1[[#This Row],[Date]],"mmm")</f>
        <v>Jan</v>
      </c>
    </row>
    <row r="16" spans="2:23" x14ac:dyDescent="0.3">
      <c r="B16" s="11"/>
      <c r="D16" t="s">
        <v>96</v>
      </c>
      <c r="I16" s="11"/>
      <c r="P16" s="11">
        <v>46027</v>
      </c>
      <c r="Q16" t="s">
        <v>15</v>
      </c>
      <c r="R16" t="s">
        <v>15</v>
      </c>
      <c r="S16" t="s">
        <v>18</v>
      </c>
      <c r="T16">
        <v>21999</v>
      </c>
      <c r="U16">
        <v>4</v>
      </c>
      <c r="V16">
        <f>Table1[[#This Row],[Unit Price]]*Table1[[#This Row],[qty]]</f>
        <v>87996</v>
      </c>
      <c r="W16" t="str">
        <f>TEXT(Table1[[#This Row],[Date]],"mmm")</f>
        <v>Jan</v>
      </c>
    </row>
    <row r="17" spans="2:22" x14ac:dyDescent="0.3">
      <c r="B17" s="11"/>
      <c r="I17" s="11"/>
      <c r="P17" s="11"/>
      <c r="T17">
        <f>SUBTOTAL(109,Table1[Unit Price])</f>
        <v>799988</v>
      </c>
      <c r="U17">
        <f>SUBTOTAL(109,Table1[qty])</f>
        <v>46</v>
      </c>
      <c r="V17" s="28">
        <f>SUBTOTAL(109,Table1[revenue])</f>
        <v>3782954</v>
      </c>
    </row>
    <row r="18" spans="2:22" x14ac:dyDescent="0.3">
      <c r="B18" s="11"/>
      <c r="I18" s="11"/>
      <c r="P18" s="11"/>
    </row>
    <row r="19" spans="2:22" x14ac:dyDescent="0.3">
      <c r="B19" s="11"/>
      <c r="I19" s="11"/>
      <c r="P19" s="11"/>
    </row>
    <row r="20" spans="2:22" x14ac:dyDescent="0.3">
      <c r="B20" s="11"/>
      <c r="I20" s="11"/>
      <c r="P20" s="11"/>
    </row>
    <row r="21" spans="2:22" x14ac:dyDescent="0.3">
      <c r="B21" s="11"/>
      <c r="I21" s="11"/>
      <c r="P21" s="11"/>
    </row>
    <row r="22" spans="2:22" x14ac:dyDescent="0.3">
      <c r="B22" s="11"/>
      <c r="I22" s="11"/>
      <c r="P22" s="11"/>
    </row>
    <row r="23" spans="2:22" x14ac:dyDescent="0.3">
      <c r="B23" s="11"/>
      <c r="I23" s="11"/>
      <c r="P23" s="11"/>
    </row>
    <row r="24" spans="2:22" x14ac:dyDescent="0.3">
      <c r="B24" s="11"/>
      <c r="I24" s="11"/>
      <c r="P24" s="11"/>
    </row>
    <row r="25" spans="2:22" x14ac:dyDescent="0.3">
      <c r="B25" s="11"/>
      <c r="I25" s="11"/>
      <c r="P25" s="11"/>
    </row>
    <row r="26" spans="2:22" x14ac:dyDescent="0.3">
      <c r="B26" s="11"/>
      <c r="I26" s="11"/>
      <c r="P26" s="11"/>
    </row>
    <row r="27" spans="2:22" x14ac:dyDescent="0.3">
      <c r="B27" s="11"/>
      <c r="I27" s="11"/>
      <c r="P27" s="11"/>
    </row>
    <row r="28" spans="2:22" x14ac:dyDescent="0.3">
      <c r="B28" s="11"/>
      <c r="I28" s="11"/>
      <c r="P28" s="11"/>
    </row>
    <row r="29" spans="2:22" x14ac:dyDescent="0.3">
      <c r="B29" s="11"/>
      <c r="I29" s="11"/>
      <c r="P29" s="11"/>
    </row>
    <row r="30" spans="2:22" x14ac:dyDescent="0.3">
      <c r="B30" s="11"/>
      <c r="I30" s="11"/>
      <c r="P30" s="11"/>
    </row>
    <row r="31" spans="2:22" x14ac:dyDescent="0.3">
      <c r="B31" s="11"/>
      <c r="I31" s="11"/>
      <c r="P31" s="11"/>
    </row>
    <row r="32" spans="2:22" x14ac:dyDescent="0.3">
      <c r="B32" s="11"/>
      <c r="I32" s="11"/>
      <c r="P32" s="11"/>
    </row>
    <row r="33" spans="2:20" x14ac:dyDescent="0.3">
      <c r="B33" s="11"/>
      <c r="I33" s="11"/>
      <c r="P33" s="11"/>
    </row>
    <row r="34" spans="2:20" x14ac:dyDescent="0.3">
      <c r="B34" s="11"/>
      <c r="I34" s="11"/>
      <c r="P34" s="11"/>
    </row>
    <row r="35" spans="2:20" x14ac:dyDescent="0.3">
      <c r="B35" s="11"/>
      <c r="I35" s="11"/>
      <c r="P35" s="11"/>
    </row>
    <row r="36" spans="2:20" x14ac:dyDescent="0.3">
      <c r="B36" s="11"/>
      <c r="I36" s="11"/>
      <c r="P36" s="11"/>
    </row>
    <row r="37" spans="2:20" x14ac:dyDescent="0.3">
      <c r="B37" s="11"/>
      <c r="I37" s="11"/>
      <c r="P37" s="11"/>
    </row>
    <row r="38" spans="2:20" x14ac:dyDescent="0.3">
      <c r="B38" s="11"/>
      <c r="I38" s="11"/>
      <c r="P38" s="11"/>
    </row>
    <row r="39" spans="2:20" x14ac:dyDescent="0.3">
      <c r="B39" s="11"/>
      <c r="I39" s="11"/>
      <c r="P39" s="11"/>
    </row>
    <row r="40" spans="2:20" x14ac:dyDescent="0.3">
      <c r="B40" s="11"/>
      <c r="I40" s="11"/>
      <c r="P40" s="11"/>
    </row>
    <row r="45" spans="2:20" ht="25.8" x14ac:dyDescent="0.3">
      <c r="B45" s="35" t="s">
        <v>97</v>
      </c>
      <c r="C45" s="35"/>
      <c r="D45" s="35"/>
      <c r="E45" s="35"/>
      <c r="F45" s="35"/>
      <c r="I45" s="35" t="s">
        <v>99</v>
      </c>
      <c r="J45" s="35"/>
      <c r="K45" s="35"/>
      <c r="L45" s="35"/>
      <c r="M45" s="35"/>
      <c r="N45" s="16"/>
      <c r="P45" s="35" t="s">
        <v>98</v>
      </c>
      <c r="Q45" s="35"/>
      <c r="R45" s="35"/>
      <c r="S45" s="35"/>
      <c r="T45" s="35"/>
    </row>
    <row r="46" spans="2:20" ht="25.8" x14ac:dyDescent="0.3">
      <c r="B46" s="35"/>
      <c r="C46" s="35"/>
      <c r="D46" s="35"/>
      <c r="E46" s="35"/>
      <c r="F46" s="35"/>
      <c r="I46" s="35"/>
      <c r="J46" s="35"/>
      <c r="K46" s="35"/>
      <c r="L46" s="35"/>
      <c r="M46" s="35"/>
      <c r="N46" s="16"/>
      <c r="P46" s="35"/>
      <c r="Q46" s="35"/>
      <c r="R46" s="35"/>
      <c r="S46" s="35"/>
      <c r="T46" s="35"/>
    </row>
    <row r="47" spans="2:20" ht="25.8" x14ac:dyDescent="0.3">
      <c r="B47" s="35"/>
      <c r="C47" s="35"/>
      <c r="D47" s="35"/>
      <c r="E47" s="35"/>
      <c r="F47" s="35"/>
      <c r="I47" s="35"/>
      <c r="J47" s="35"/>
      <c r="K47" s="35"/>
      <c r="L47" s="35"/>
      <c r="M47" s="35"/>
      <c r="N47" s="16"/>
      <c r="P47" s="35"/>
      <c r="Q47" s="35"/>
      <c r="R47" s="35"/>
      <c r="S47" s="35"/>
      <c r="T47" s="35"/>
    </row>
    <row r="50" spans="16:16" ht="23.4" x14ac:dyDescent="0.45">
      <c r="P50" s="18" t="s">
        <v>165</v>
      </c>
    </row>
    <row r="51" spans="16:16" ht="23.4" x14ac:dyDescent="0.45">
      <c r="P51" s="18" t="s">
        <v>154</v>
      </c>
    </row>
    <row r="52" spans="16:16" ht="23.4" x14ac:dyDescent="0.45">
      <c r="P52" s="18" t="s">
        <v>155</v>
      </c>
    </row>
    <row r="53" spans="16:16" ht="23.4" x14ac:dyDescent="0.45">
      <c r="P53" s="18" t="s">
        <v>156</v>
      </c>
    </row>
    <row r="54" spans="16:16" ht="23.4" x14ac:dyDescent="0.45">
      <c r="P54" s="18" t="s">
        <v>157</v>
      </c>
    </row>
    <row r="55" spans="16:16" ht="23.4" x14ac:dyDescent="0.45">
      <c r="P55" s="18" t="s">
        <v>158</v>
      </c>
    </row>
    <row r="56" spans="16:16" ht="23.4" x14ac:dyDescent="0.45">
      <c r="P56" s="18" t="s">
        <v>159</v>
      </c>
    </row>
    <row r="57" spans="16:16" ht="23.4" x14ac:dyDescent="0.45">
      <c r="P57" s="18" t="s">
        <v>160</v>
      </c>
    </row>
    <row r="58" spans="16:16" ht="23.4" x14ac:dyDescent="0.45">
      <c r="P58" s="18" t="s">
        <v>161</v>
      </c>
    </row>
    <row r="59" spans="16:16" ht="23.4" x14ac:dyDescent="0.45">
      <c r="P59" s="18" t="s">
        <v>162</v>
      </c>
    </row>
    <row r="60" spans="16:16" ht="23.4" x14ac:dyDescent="0.45">
      <c r="P60" s="18" t="s">
        <v>163</v>
      </c>
    </row>
    <row r="61" spans="16:16" ht="23.4" x14ac:dyDescent="0.45">
      <c r="P61" s="18" t="s">
        <v>164</v>
      </c>
    </row>
  </sheetData>
  <autoFilter ref="I4:M12" xr:uid="{1B6BA9F8-B6B0-45FC-89D6-BF1B223198A4}"/>
  <mergeCells count="3">
    <mergeCell ref="B45:F47"/>
    <mergeCell ref="I45:M47"/>
    <mergeCell ref="P45:T47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25B84F-A283-4888-84A0-108A0E72D898}">
  <dimension ref="B2:P22"/>
  <sheetViews>
    <sheetView workbookViewId="0">
      <selection activeCell="G12" sqref="G12"/>
    </sheetView>
  </sheetViews>
  <sheetFormatPr defaultColWidth="9.109375" defaultRowHeight="14.4" x14ac:dyDescent="0.3"/>
  <cols>
    <col min="1" max="1" width="4" customWidth="1"/>
    <col min="2" max="2" width="11.44140625" bestFit="1" customWidth="1"/>
    <col min="3" max="3" width="12.109375" bestFit="1" customWidth="1"/>
    <col min="4" max="4" width="11" bestFit="1" customWidth="1"/>
    <col min="5" max="5" width="12.88671875" bestFit="1" customWidth="1"/>
    <col min="6" max="6" width="17.88671875" bestFit="1" customWidth="1"/>
    <col min="7" max="7" width="11.6640625" bestFit="1" customWidth="1"/>
    <col min="8" max="8" width="15.44140625" bestFit="1" customWidth="1"/>
    <col min="9" max="9" width="16.33203125" bestFit="1" customWidth="1"/>
    <col min="10" max="10" width="8.44140625" bestFit="1" customWidth="1"/>
    <col min="11" max="11" width="35.44140625" customWidth="1"/>
    <col min="12" max="12" width="6.109375" bestFit="1" customWidth="1"/>
    <col min="13" max="13" width="10.5546875" bestFit="1" customWidth="1"/>
    <col min="14" max="14" width="8.33203125" bestFit="1" customWidth="1"/>
    <col min="15" max="15" width="9.44140625" bestFit="1" customWidth="1"/>
    <col min="16" max="16" width="12.109375" bestFit="1" customWidth="1"/>
    <col min="17" max="17" width="13.6640625" bestFit="1" customWidth="1"/>
    <col min="18" max="18" width="11.88671875" bestFit="1" customWidth="1"/>
    <col min="19" max="19" width="12.5546875" bestFit="1" customWidth="1"/>
    <col min="23" max="24" width="10.5546875" bestFit="1" customWidth="1"/>
  </cols>
  <sheetData>
    <row r="2" spans="2:11" x14ac:dyDescent="0.3">
      <c r="B2" s="2" t="s">
        <v>24</v>
      </c>
      <c r="C2" s="4" t="s">
        <v>25</v>
      </c>
      <c r="D2" s="4" t="s">
        <v>26</v>
      </c>
      <c r="E2" s="4" t="s">
        <v>27</v>
      </c>
      <c r="F2" s="4" t="s">
        <v>28</v>
      </c>
      <c r="G2" s="4" t="s">
        <v>29</v>
      </c>
      <c r="H2" s="6" t="s">
        <v>30</v>
      </c>
      <c r="I2" s="6" t="s">
        <v>50</v>
      </c>
    </row>
    <row r="3" spans="2:11" x14ac:dyDescent="0.3">
      <c r="B3" s="3" t="s">
        <v>31</v>
      </c>
      <c r="C3" s="5">
        <v>83</v>
      </c>
      <c r="D3" s="5">
        <v>90</v>
      </c>
      <c r="E3" s="5">
        <v>75</v>
      </c>
      <c r="F3" s="5">
        <v>85</v>
      </c>
      <c r="G3" s="5">
        <v>76</v>
      </c>
      <c r="H3" s="5">
        <f>SUM(C3:G3)</f>
        <v>409</v>
      </c>
      <c r="I3" s="5" t="str">
        <f t="shared" ref="I3:I8" si="0">IF(AND(C3&gt;=33,D3&gt;=33,E3&gt;=33,F3&gt;=33,G3&gt;=33),"Pass","Fail")</f>
        <v>Pass</v>
      </c>
    </row>
    <row r="4" spans="2:11" x14ac:dyDescent="0.3">
      <c r="B4" s="3" t="s">
        <v>32</v>
      </c>
      <c r="C4" s="5">
        <v>65</v>
      </c>
      <c r="D4" s="5">
        <v>85</v>
      </c>
      <c r="E4" s="5">
        <v>91</v>
      </c>
      <c r="F4" s="5">
        <v>45</v>
      </c>
      <c r="G4" s="5">
        <v>52</v>
      </c>
      <c r="H4" s="5">
        <f t="shared" ref="H4:H22" si="1">SUM(C4:G4)</f>
        <v>338</v>
      </c>
      <c r="I4" s="5" t="str">
        <f t="shared" si="0"/>
        <v>Pass</v>
      </c>
      <c r="K4" s="14" t="s">
        <v>100</v>
      </c>
    </row>
    <row r="5" spans="2:11" x14ac:dyDescent="0.3">
      <c r="B5" s="3" t="s">
        <v>33</v>
      </c>
      <c r="C5" s="5">
        <v>91</v>
      </c>
      <c r="D5" s="5">
        <v>37</v>
      </c>
      <c r="E5" s="5">
        <v>76</v>
      </c>
      <c r="F5" s="5">
        <v>37</v>
      </c>
      <c r="G5" s="5">
        <v>45</v>
      </c>
      <c r="H5" s="5">
        <f t="shared" si="1"/>
        <v>286</v>
      </c>
      <c r="I5" s="5" t="str">
        <f t="shared" si="0"/>
        <v>Pass</v>
      </c>
      <c r="K5" s="14" t="s">
        <v>101</v>
      </c>
    </row>
    <row r="6" spans="2:11" x14ac:dyDescent="0.3">
      <c r="B6" s="3" t="s">
        <v>34</v>
      </c>
      <c r="C6" s="5">
        <v>38</v>
      </c>
      <c r="D6" s="5">
        <v>51</v>
      </c>
      <c r="E6" s="5">
        <v>82</v>
      </c>
      <c r="F6" s="5">
        <v>52</v>
      </c>
      <c r="G6" s="5">
        <v>78</v>
      </c>
      <c r="H6" s="5">
        <f t="shared" si="1"/>
        <v>301</v>
      </c>
      <c r="I6" s="5" t="str">
        <f t="shared" si="0"/>
        <v>Pass</v>
      </c>
      <c r="K6" s="14" t="s">
        <v>102</v>
      </c>
    </row>
    <row r="7" spans="2:11" x14ac:dyDescent="0.3">
      <c r="B7" s="3" t="s">
        <v>35</v>
      </c>
      <c r="C7" s="5">
        <v>55</v>
      </c>
      <c r="D7" s="5">
        <v>76</v>
      </c>
      <c r="E7" s="5">
        <v>67</v>
      </c>
      <c r="F7" s="5">
        <v>36</v>
      </c>
      <c r="G7" s="5">
        <v>51</v>
      </c>
      <c r="H7" s="5">
        <f t="shared" si="1"/>
        <v>285</v>
      </c>
      <c r="I7" s="5" t="str">
        <f t="shared" si="0"/>
        <v>Pass</v>
      </c>
      <c r="K7" s="14"/>
    </row>
    <row r="8" spans="2:11" x14ac:dyDescent="0.3">
      <c r="B8" s="3" t="s">
        <v>36</v>
      </c>
      <c r="C8" s="5">
        <v>45</v>
      </c>
      <c r="D8" s="5">
        <v>94</v>
      </c>
      <c r="E8" s="5">
        <v>31</v>
      </c>
      <c r="F8" s="5">
        <v>42</v>
      </c>
      <c r="G8" s="5">
        <v>82</v>
      </c>
      <c r="H8" s="5">
        <f t="shared" si="1"/>
        <v>294</v>
      </c>
      <c r="I8" s="5" t="str">
        <f t="shared" si="0"/>
        <v>Fail</v>
      </c>
      <c r="K8" s="14" t="s">
        <v>104</v>
      </c>
    </row>
    <row r="9" spans="2:11" x14ac:dyDescent="0.3">
      <c r="B9" s="3" t="s">
        <v>37</v>
      </c>
      <c r="C9" s="5">
        <v>91</v>
      </c>
      <c r="D9" s="5">
        <v>93</v>
      </c>
      <c r="E9" s="5">
        <v>59</v>
      </c>
      <c r="F9" s="5">
        <v>77</v>
      </c>
      <c r="G9" s="5">
        <v>83</v>
      </c>
      <c r="H9" s="5">
        <f t="shared" si="1"/>
        <v>403</v>
      </c>
      <c r="I9" s="5" t="str">
        <f>IF(AND(C9&gt;=33,D9&gt;=33,E9&gt;=33,F9&gt;=33,G9&gt;=33),"Pass","Fail")</f>
        <v>Pass</v>
      </c>
      <c r="K9" s="14" t="s">
        <v>103</v>
      </c>
    </row>
    <row r="10" spans="2:11" x14ac:dyDescent="0.3">
      <c r="B10" s="3" t="s">
        <v>38</v>
      </c>
      <c r="C10" s="5">
        <v>53</v>
      </c>
      <c r="D10" s="5">
        <v>67</v>
      </c>
      <c r="E10" s="5">
        <v>33</v>
      </c>
      <c r="F10" s="5">
        <v>75</v>
      </c>
      <c r="G10" s="5">
        <v>77</v>
      </c>
      <c r="H10" s="5">
        <f t="shared" si="1"/>
        <v>305</v>
      </c>
      <c r="I10" s="5" t="str">
        <f t="shared" ref="I10:I22" si="2">IF(AND(C10&gt;=33,D10&gt;=33,E10&gt;=33,F10&gt;=33,G10&gt;=33),"Pass","Fail")</f>
        <v>Pass</v>
      </c>
    </row>
    <row r="11" spans="2:11" x14ac:dyDescent="0.3">
      <c r="B11" s="3" t="s">
        <v>39</v>
      </c>
      <c r="C11" s="5">
        <v>77</v>
      </c>
      <c r="D11" s="5">
        <v>62</v>
      </c>
      <c r="E11" s="5">
        <v>87</v>
      </c>
      <c r="F11" s="5">
        <v>60</v>
      </c>
      <c r="G11" s="5">
        <v>98</v>
      </c>
      <c r="H11" s="5">
        <f t="shared" si="1"/>
        <v>384</v>
      </c>
      <c r="I11" s="5" t="str">
        <f t="shared" si="2"/>
        <v>Pass</v>
      </c>
    </row>
    <row r="12" spans="2:11" x14ac:dyDescent="0.3">
      <c r="B12" s="3" t="s">
        <v>40</v>
      </c>
      <c r="C12" s="5">
        <v>56</v>
      </c>
      <c r="D12" s="5">
        <v>43</v>
      </c>
      <c r="E12" s="5">
        <v>97</v>
      </c>
      <c r="F12" s="5">
        <v>76</v>
      </c>
      <c r="G12" s="5">
        <v>79</v>
      </c>
      <c r="H12" s="5">
        <f t="shared" si="1"/>
        <v>351</v>
      </c>
      <c r="I12" s="5" t="str">
        <f t="shared" si="2"/>
        <v>Pass</v>
      </c>
    </row>
    <row r="13" spans="2:11" x14ac:dyDescent="0.3">
      <c r="B13" s="3" t="s">
        <v>95</v>
      </c>
      <c r="C13" s="5">
        <v>73</v>
      </c>
      <c r="D13" s="5">
        <v>56</v>
      </c>
      <c r="E13" s="5">
        <v>46</v>
      </c>
      <c r="F13" s="5">
        <v>54</v>
      </c>
      <c r="G13" s="5">
        <v>32</v>
      </c>
      <c r="H13" s="5">
        <f t="shared" si="1"/>
        <v>261</v>
      </c>
      <c r="I13" s="5" t="str">
        <f t="shared" si="2"/>
        <v>Fail</v>
      </c>
    </row>
    <row r="14" spans="2:11" x14ac:dyDescent="0.3">
      <c r="B14" s="3" t="s">
        <v>41</v>
      </c>
      <c r="C14" s="5">
        <v>79</v>
      </c>
      <c r="D14" s="5">
        <v>52</v>
      </c>
      <c r="E14" s="5">
        <v>59</v>
      </c>
      <c r="F14" s="5">
        <v>74</v>
      </c>
      <c r="G14" s="5">
        <v>61</v>
      </c>
      <c r="H14" s="5">
        <f t="shared" si="1"/>
        <v>325</v>
      </c>
      <c r="I14" s="5" t="str">
        <f t="shared" si="2"/>
        <v>Pass</v>
      </c>
    </row>
    <row r="15" spans="2:11" x14ac:dyDescent="0.3">
      <c r="B15" s="3" t="s">
        <v>42</v>
      </c>
      <c r="C15" s="5">
        <v>39</v>
      </c>
      <c r="D15" s="5">
        <v>39</v>
      </c>
      <c r="E15" s="5">
        <v>43</v>
      </c>
      <c r="F15" s="5">
        <v>98</v>
      </c>
      <c r="G15" s="5">
        <v>59</v>
      </c>
      <c r="H15" s="5">
        <f t="shared" si="1"/>
        <v>278</v>
      </c>
      <c r="I15" s="5" t="str">
        <f t="shared" si="2"/>
        <v>Pass</v>
      </c>
    </row>
    <row r="16" spans="2:11" x14ac:dyDescent="0.3">
      <c r="B16" s="3" t="s">
        <v>43</v>
      </c>
      <c r="C16" s="5">
        <v>79</v>
      </c>
      <c r="D16" s="5">
        <v>67</v>
      </c>
      <c r="E16" s="5">
        <v>36</v>
      </c>
      <c r="F16" s="5">
        <v>94</v>
      </c>
      <c r="G16" s="5">
        <v>82</v>
      </c>
      <c r="H16" s="5">
        <f t="shared" si="1"/>
        <v>358</v>
      </c>
      <c r="I16" s="5" t="str">
        <f t="shared" si="2"/>
        <v>Pass</v>
      </c>
    </row>
    <row r="17" spans="2:16" x14ac:dyDescent="0.3">
      <c r="B17" s="3" t="s">
        <v>44</v>
      </c>
      <c r="C17" s="5">
        <v>54</v>
      </c>
      <c r="D17" s="5">
        <v>41</v>
      </c>
      <c r="E17" s="5">
        <v>55</v>
      </c>
      <c r="F17" s="5">
        <v>54</v>
      </c>
      <c r="G17" s="5">
        <v>75</v>
      </c>
      <c r="H17" s="5">
        <f t="shared" si="1"/>
        <v>279</v>
      </c>
      <c r="I17" s="5" t="str">
        <f t="shared" si="2"/>
        <v>Pass</v>
      </c>
      <c r="P17" t="s">
        <v>96</v>
      </c>
    </row>
    <row r="18" spans="2:16" x14ac:dyDescent="0.3">
      <c r="B18" s="3" t="s">
        <v>45</v>
      </c>
      <c r="C18" s="5">
        <v>38</v>
      </c>
      <c r="D18" s="5">
        <v>93</v>
      </c>
      <c r="E18" s="5">
        <v>89</v>
      </c>
      <c r="F18" s="5">
        <v>33</v>
      </c>
      <c r="G18" s="5">
        <v>58</v>
      </c>
      <c r="H18" s="5">
        <f t="shared" si="1"/>
        <v>311</v>
      </c>
      <c r="I18" s="5" t="str">
        <f t="shared" si="2"/>
        <v>Pass</v>
      </c>
    </row>
    <row r="19" spans="2:16" x14ac:dyDescent="0.3">
      <c r="B19" s="3" t="s">
        <v>46</v>
      </c>
      <c r="C19" s="5">
        <v>88</v>
      </c>
      <c r="D19" s="5">
        <v>44</v>
      </c>
      <c r="E19" s="5">
        <v>65</v>
      </c>
      <c r="F19" s="5">
        <v>45</v>
      </c>
      <c r="G19" s="5">
        <v>79</v>
      </c>
      <c r="H19" s="5">
        <f t="shared" si="1"/>
        <v>321</v>
      </c>
      <c r="I19" s="5" t="str">
        <f t="shared" si="2"/>
        <v>Pass</v>
      </c>
    </row>
    <row r="20" spans="2:16" x14ac:dyDescent="0.3">
      <c r="B20" s="3" t="s">
        <v>47</v>
      </c>
      <c r="C20" s="5">
        <v>41</v>
      </c>
      <c r="D20" s="5">
        <v>57</v>
      </c>
      <c r="E20" s="5">
        <v>38</v>
      </c>
      <c r="F20" s="5">
        <v>79</v>
      </c>
      <c r="G20" s="5">
        <v>77</v>
      </c>
      <c r="H20" s="5">
        <f t="shared" si="1"/>
        <v>292</v>
      </c>
      <c r="I20" s="5" t="str">
        <f t="shared" si="2"/>
        <v>Pass</v>
      </c>
    </row>
    <row r="21" spans="2:16" x14ac:dyDescent="0.3">
      <c r="B21" s="3" t="s">
        <v>48</v>
      </c>
      <c r="C21" s="5">
        <v>52</v>
      </c>
      <c r="D21" s="5">
        <v>46</v>
      </c>
      <c r="E21" s="5">
        <v>25</v>
      </c>
      <c r="F21" s="5">
        <v>33</v>
      </c>
      <c r="G21" s="5">
        <v>79</v>
      </c>
      <c r="H21" s="5">
        <f t="shared" si="1"/>
        <v>235</v>
      </c>
      <c r="I21" s="5" t="str">
        <f t="shared" si="2"/>
        <v>Fail</v>
      </c>
    </row>
    <row r="22" spans="2:16" x14ac:dyDescent="0.3">
      <c r="B22" s="3" t="s">
        <v>49</v>
      </c>
      <c r="C22" s="5">
        <v>97</v>
      </c>
      <c r="D22" s="5">
        <v>66</v>
      </c>
      <c r="E22" s="5">
        <v>38</v>
      </c>
      <c r="F22" s="5">
        <v>75</v>
      </c>
      <c r="G22" s="5">
        <v>63</v>
      </c>
      <c r="H22" s="5">
        <f t="shared" si="1"/>
        <v>339</v>
      </c>
      <c r="I22" s="5" t="str">
        <f t="shared" si="2"/>
        <v>Pass</v>
      </c>
    </row>
  </sheetData>
  <conditionalFormatting sqref="C3:G22">
    <cfRule type="cellIs" dxfId="10" priority="3" operator="between">
      <formula>60</formula>
      <formula>79</formula>
    </cfRule>
    <cfRule type="cellIs" dxfId="9" priority="4" operator="lessThan">
      <formula>33</formula>
    </cfRule>
    <cfRule type="cellIs" dxfId="8" priority="6" operator="greaterThan">
      <formula>79</formula>
    </cfRule>
  </conditionalFormatting>
  <conditionalFormatting sqref="F11">
    <cfRule type="cellIs" dxfId="7" priority="5" operator="lessThan">
      <formula>32</formula>
    </cfRule>
  </conditionalFormatting>
  <conditionalFormatting sqref="I3:I22">
    <cfRule type="cellIs" dxfId="0" priority="2" operator="equal">
      <formula>"Pass"</formula>
    </cfRule>
    <cfRule type="cellIs" dxfId="1" priority="1" operator="equal">
      <formula>"Fail"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949295-FAD2-41A8-986F-102BBE2C7BAE}">
  <dimension ref="A1:O31"/>
  <sheetViews>
    <sheetView zoomScale="90" zoomScaleNormal="90" workbookViewId="0">
      <selection activeCell="J11" sqref="J11"/>
    </sheetView>
  </sheetViews>
  <sheetFormatPr defaultColWidth="11.33203125" defaultRowHeight="14.4" x14ac:dyDescent="0.3"/>
  <cols>
    <col min="1" max="1" width="12.33203125" bestFit="1" customWidth="1"/>
    <col min="2" max="2" width="14.44140625" bestFit="1" customWidth="1"/>
    <col min="3" max="3" width="11" bestFit="1" customWidth="1"/>
    <col min="4" max="4" width="19.77734375" bestFit="1" customWidth="1"/>
    <col min="5" max="5" width="13.88671875" bestFit="1" customWidth="1"/>
    <col min="6" max="6" width="13.5546875" bestFit="1" customWidth="1"/>
    <col min="7" max="7" width="14.44140625" bestFit="1" customWidth="1"/>
    <col min="8" max="8" width="15.44140625" bestFit="1" customWidth="1"/>
    <col min="9" max="9" width="11.88671875" bestFit="1" customWidth="1"/>
    <col min="10" max="10" width="13.6640625" bestFit="1" customWidth="1"/>
    <col min="11" max="11" width="16.5546875" bestFit="1" customWidth="1"/>
    <col min="12" max="12" width="19.21875" bestFit="1" customWidth="1"/>
    <col min="14" max="14" width="16.6640625" customWidth="1"/>
    <col min="15" max="15" width="15.44140625" customWidth="1"/>
  </cols>
  <sheetData>
    <row r="1" spans="1:15" x14ac:dyDescent="0.3">
      <c r="A1" s="29" t="s">
        <v>51</v>
      </c>
      <c r="B1" s="29" t="s">
        <v>52</v>
      </c>
      <c r="C1" s="29" t="s">
        <v>53</v>
      </c>
      <c r="D1" s="29" t="s">
        <v>3</v>
      </c>
      <c r="E1" s="29" t="s">
        <v>54</v>
      </c>
      <c r="F1" s="29" t="s">
        <v>5</v>
      </c>
      <c r="G1" s="29" t="s">
        <v>55</v>
      </c>
      <c r="H1" s="29" t="s">
        <v>56</v>
      </c>
      <c r="I1" s="29" t="s">
        <v>57</v>
      </c>
      <c r="J1" s="29" t="s">
        <v>58</v>
      </c>
      <c r="K1" s="29" t="s">
        <v>59</v>
      </c>
      <c r="L1" s="29" t="s">
        <v>60</v>
      </c>
      <c r="M1" s="17"/>
    </row>
    <row r="2" spans="1:15" x14ac:dyDescent="0.3">
      <c r="A2" s="7" t="s">
        <v>61</v>
      </c>
      <c r="B2" s="9">
        <v>46143</v>
      </c>
      <c r="C2" s="7" t="s">
        <v>20</v>
      </c>
      <c r="D2" s="7" t="s">
        <v>62</v>
      </c>
      <c r="E2" s="7">
        <v>12</v>
      </c>
      <c r="F2" s="7">
        <v>22000</v>
      </c>
      <c r="G2" s="7">
        <f>F2*E2</f>
        <v>264000</v>
      </c>
      <c r="H2" s="7">
        <v>250000</v>
      </c>
      <c r="I2" s="8">
        <v>0.18</v>
      </c>
      <c r="J2" s="7">
        <v>45</v>
      </c>
      <c r="K2" s="7">
        <v>2</v>
      </c>
      <c r="L2" s="7">
        <v>4.7</v>
      </c>
      <c r="M2" s="17"/>
      <c r="N2" s="15" t="s">
        <v>64</v>
      </c>
    </row>
    <row r="3" spans="1:15" x14ac:dyDescent="0.3">
      <c r="A3" s="7" t="s">
        <v>63</v>
      </c>
      <c r="B3" s="9">
        <v>46144</v>
      </c>
      <c r="C3" s="7" t="s">
        <v>16</v>
      </c>
      <c r="D3" s="7" t="s">
        <v>107</v>
      </c>
      <c r="E3" s="7">
        <v>4</v>
      </c>
      <c r="F3" s="7">
        <v>78000</v>
      </c>
      <c r="G3" s="7">
        <f>F3*E3</f>
        <v>312000</v>
      </c>
      <c r="H3" s="7">
        <v>350000</v>
      </c>
      <c r="I3" s="8">
        <v>0.12</v>
      </c>
      <c r="J3" s="7">
        <v>8</v>
      </c>
      <c r="K3" s="7">
        <v>5</v>
      </c>
      <c r="L3" s="7">
        <v>4.0999999999999996</v>
      </c>
      <c r="M3" s="17"/>
    </row>
    <row r="4" spans="1:15" x14ac:dyDescent="0.3">
      <c r="A4" s="7" t="s">
        <v>65</v>
      </c>
      <c r="B4" s="9">
        <v>46145</v>
      </c>
      <c r="C4" s="7" t="s">
        <v>7</v>
      </c>
      <c r="D4" s="7" t="s">
        <v>66</v>
      </c>
      <c r="E4" s="7">
        <v>20</v>
      </c>
      <c r="F4" s="7">
        <v>3200</v>
      </c>
      <c r="G4" s="7">
        <f>F4*E4</f>
        <v>64000</v>
      </c>
      <c r="H4" s="7">
        <v>50000</v>
      </c>
      <c r="I4" s="8">
        <v>0.25</v>
      </c>
      <c r="J4" s="7">
        <v>70</v>
      </c>
      <c r="K4" s="7">
        <v>1</v>
      </c>
      <c r="L4" s="7">
        <v>4.9000000000000004</v>
      </c>
      <c r="M4" s="17"/>
    </row>
    <row r="5" spans="1:15" x14ac:dyDescent="0.3">
      <c r="A5" s="7" t="s">
        <v>67</v>
      </c>
      <c r="B5" s="9">
        <v>46146</v>
      </c>
      <c r="C5" s="7" t="s">
        <v>10</v>
      </c>
      <c r="D5" s="7" t="s">
        <v>62</v>
      </c>
      <c r="E5" s="7">
        <v>3</v>
      </c>
      <c r="F5" s="7">
        <v>145000</v>
      </c>
      <c r="G5" s="7">
        <f>F5*E5</f>
        <v>435000</v>
      </c>
      <c r="H5" s="7">
        <v>400000</v>
      </c>
      <c r="I5" s="8">
        <v>0.2</v>
      </c>
      <c r="J5" s="7">
        <v>5</v>
      </c>
      <c r="K5" s="7">
        <v>7</v>
      </c>
      <c r="L5" s="7">
        <v>4.8</v>
      </c>
      <c r="M5" s="17"/>
    </row>
    <row r="6" spans="1:15" x14ac:dyDescent="0.3">
      <c r="A6" s="7" t="s">
        <v>68</v>
      </c>
      <c r="B6" s="9">
        <v>46147</v>
      </c>
      <c r="C6" s="7" t="s">
        <v>15</v>
      </c>
      <c r="D6" s="7" t="s">
        <v>69</v>
      </c>
      <c r="E6" s="7">
        <v>2</v>
      </c>
      <c r="F6" s="7">
        <v>52000</v>
      </c>
      <c r="G6" s="7">
        <f>F6*E6</f>
        <v>104000</v>
      </c>
      <c r="H6" s="7">
        <v>120000</v>
      </c>
      <c r="I6" s="8">
        <v>0.1</v>
      </c>
      <c r="J6" s="7">
        <v>6</v>
      </c>
      <c r="K6" s="7">
        <v>4</v>
      </c>
      <c r="L6" s="7">
        <v>3.7</v>
      </c>
      <c r="M6" s="17"/>
    </row>
    <row r="7" spans="1:15" x14ac:dyDescent="0.3">
      <c r="A7" s="7" t="s">
        <v>70</v>
      </c>
      <c r="B7" s="9">
        <v>46148</v>
      </c>
      <c r="C7" s="7" t="s">
        <v>20</v>
      </c>
      <c r="D7" s="7" t="s">
        <v>106</v>
      </c>
      <c r="E7" s="7">
        <v>5</v>
      </c>
      <c r="F7" s="7">
        <v>65000</v>
      </c>
      <c r="G7" s="7">
        <v>320000</v>
      </c>
      <c r="H7" s="7">
        <v>300000</v>
      </c>
      <c r="I7" s="8">
        <v>0.15</v>
      </c>
      <c r="J7" s="7">
        <v>10</v>
      </c>
      <c r="K7" s="7">
        <v>3</v>
      </c>
      <c r="L7" s="7">
        <v>4.2</v>
      </c>
      <c r="M7" s="17"/>
    </row>
    <row r="8" spans="1:15" x14ac:dyDescent="0.3">
      <c r="A8" s="7" t="s">
        <v>71</v>
      </c>
      <c r="B8" s="9">
        <v>46149</v>
      </c>
      <c r="C8" s="7" t="s">
        <v>8</v>
      </c>
      <c r="D8" s="7" t="s">
        <v>62</v>
      </c>
      <c r="E8" s="7">
        <v>15</v>
      </c>
      <c r="F8" s="7">
        <v>21000</v>
      </c>
      <c r="G8" s="7">
        <f t="shared" ref="G8:G31" si="0">F8*E8</f>
        <v>315000</v>
      </c>
      <c r="H8" s="7">
        <v>280000</v>
      </c>
      <c r="I8" s="8">
        <v>0.22</v>
      </c>
      <c r="J8" s="7">
        <v>30</v>
      </c>
      <c r="K8" s="7">
        <v>2</v>
      </c>
      <c r="L8" s="7">
        <v>4.5</v>
      </c>
      <c r="M8" s="17"/>
      <c r="N8" s="15" t="s">
        <v>107</v>
      </c>
    </row>
    <row r="9" spans="1:15" x14ac:dyDescent="0.3">
      <c r="A9" s="7" t="s">
        <v>72</v>
      </c>
      <c r="B9" s="9">
        <v>46150</v>
      </c>
      <c r="C9" s="7" t="s">
        <v>14</v>
      </c>
      <c r="D9" s="7" t="s">
        <v>66</v>
      </c>
      <c r="E9" s="7">
        <v>25</v>
      </c>
      <c r="F9" s="7">
        <v>2800</v>
      </c>
      <c r="G9" s="7">
        <f t="shared" si="0"/>
        <v>70000</v>
      </c>
      <c r="H9" s="7">
        <v>90000</v>
      </c>
      <c r="I9" s="8">
        <v>0.08</v>
      </c>
      <c r="J9" s="7">
        <v>18</v>
      </c>
      <c r="K9" s="7">
        <v>6</v>
      </c>
      <c r="L9" s="7">
        <v>3.4</v>
      </c>
      <c r="M9" s="17"/>
    </row>
    <row r="10" spans="1:15" x14ac:dyDescent="0.3">
      <c r="A10" s="7" t="s">
        <v>73</v>
      </c>
      <c r="B10" s="9">
        <v>46151</v>
      </c>
      <c r="C10" s="7" t="s">
        <v>20</v>
      </c>
      <c r="D10" s="7" t="s">
        <v>64</v>
      </c>
      <c r="E10" s="7">
        <v>2</v>
      </c>
      <c r="F10" s="7">
        <v>70000</v>
      </c>
      <c r="G10" s="7">
        <f t="shared" si="0"/>
        <v>140000</v>
      </c>
      <c r="H10" s="7">
        <v>250000</v>
      </c>
      <c r="I10" s="8">
        <v>0.28000000000000003</v>
      </c>
      <c r="J10" s="7">
        <v>4</v>
      </c>
      <c r="K10" s="7">
        <v>8</v>
      </c>
      <c r="L10" s="7">
        <v>4.9000000000000004</v>
      </c>
      <c r="M10" s="17"/>
      <c r="N10" s="32">
        <v>46148</v>
      </c>
      <c r="O10" s="33">
        <v>46152</v>
      </c>
    </row>
    <row r="11" spans="1:15" x14ac:dyDescent="0.3">
      <c r="A11" s="7" t="s">
        <v>74</v>
      </c>
      <c r="B11" s="9">
        <v>46152</v>
      </c>
      <c r="C11" s="7" t="s">
        <v>17</v>
      </c>
      <c r="D11" s="7" t="s">
        <v>62</v>
      </c>
      <c r="E11" s="7">
        <v>10</v>
      </c>
      <c r="F11" s="7">
        <v>34000</v>
      </c>
      <c r="G11" s="7">
        <f t="shared" si="0"/>
        <v>340000</v>
      </c>
      <c r="H11" s="7">
        <v>360000</v>
      </c>
      <c r="I11" s="8">
        <v>0.14000000000000001</v>
      </c>
      <c r="J11" s="7">
        <v>16</v>
      </c>
      <c r="K11" s="7">
        <v>3</v>
      </c>
      <c r="L11" s="7">
        <v>4</v>
      </c>
      <c r="M11" s="17"/>
    </row>
    <row r="12" spans="1:15" x14ac:dyDescent="0.3">
      <c r="A12" s="7" t="s">
        <v>75</v>
      </c>
      <c r="B12" s="9">
        <v>46153</v>
      </c>
      <c r="C12" s="7" t="s">
        <v>7</v>
      </c>
      <c r="D12" s="7" t="s">
        <v>69</v>
      </c>
      <c r="E12" s="7">
        <v>1</v>
      </c>
      <c r="F12" s="7">
        <v>95000</v>
      </c>
      <c r="G12" s="7">
        <f t="shared" si="0"/>
        <v>95000</v>
      </c>
      <c r="H12" s="7">
        <v>100000</v>
      </c>
      <c r="I12" s="8">
        <v>0.18</v>
      </c>
      <c r="J12" s="7">
        <v>2</v>
      </c>
      <c r="K12" s="7">
        <v>9</v>
      </c>
      <c r="L12" s="7">
        <v>4.5999999999999996</v>
      </c>
      <c r="M12" s="17"/>
    </row>
    <row r="13" spans="1:15" x14ac:dyDescent="0.3">
      <c r="A13" s="7" t="s">
        <v>76</v>
      </c>
      <c r="B13" s="9">
        <v>46154</v>
      </c>
      <c r="C13" s="7" t="s">
        <v>16</v>
      </c>
      <c r="D13" s="7" t="s">
        <v>66</v>
      </c>
      <c r="E13" s="7">
        <v>18</v>
      </c>
      <c r="F13" s="7">
        <v>5500</v>
      </c>
      <c r="G13" s="7">
        <f t="shared" si="0"/>
        <v>99000</v>
      </c>
      <c r="H13" s="7">
        <v>85000</v>
      </c>
      <c r="I13" s="8">
        <v>0.21</v>
      </c>
      <c r="J13" s="7">
        <v>40</v>
      </c>
      <c r="K13" s="7">
        <v>2</v>
      </c>
      <c r="L13" s="7">
        <v>4.3</v>
      </c>
      <c r="M13" s="17"/>
    </row>
    <row r="14" spans="1:15" x14ac:dyDescent="0.3">
      <c r="A14" s="7" t="s">
        <v>77</v>
      </c>
      <c r="B14" s="9">
        <v>46155</v>
      </c>
      <c r="C14" s="7" t="s">
        <v>10</v>
      </c>
      <c r="D14" s="7" t="s">
        <v>105</v>
      </c>
      <c r="E14" s="7">
        <v>6</v>
      </c>
      <c r="F14" s="7">
        <v>72000</v>
      </c>
      <c r="G14" s="7">
        <f t="shared" si="0"/>
        <v>432000</v>
      </c>
      <c r="H14" s="7">
        <v>400000</v>
      </c>
      <c r="I14" s="8">
        <v>0.17</v>
      </c>
      <c r="J14" s="7">
        <v>9</v>
      </c>
      <c r="K14" s="7">
        <v>4</v>
      </c>
      <c r="L14" s="7">
        <v>4.4000000000000004</v>
      </c>
      <c r="M14" s="17"/>
    </row>
    <row r="15" spans="1:15" x14ac:dyDescent="0.3">
      <c r="A15" s="7" t="s">
        <v>78</v>
      </c>
      <c r="B15" s="9">
        <v>46156</v>
      </c>
      <c r="C15" s="7" t="s">
        <v>15</v>
      </c>
      <c r="D15" s="7" t="s">
        <v>62</v>
      </c>
      <c r="E15" s="7">
        <v>7</v>
      </c>
      <c r="F15" s="7">
        <v>38000</v>
      </c>
      <c r="G15" s="7">
        <f t="shared" si="0"/>
        <v>266000</v>
      </c>
      <c r="H15" s="7">
        <v>300000</v>
      </c>
      <c r="I15" s="8">
        <v>0.11</v>
      </c>
      <c r="J15" s="7">
        <v>14</v>
      </c>
      <c r="K15" s="7">
        <v>5</v>
      </c>
      <c r="L15" s="7">
        <v>3.8</v>
      </c>
      <c r="M15" s="17"/>
    </row>
    <row r="16" spans="1:15" x14ac:dyDescent="0.3">
      <c r="A16" s="7" t="s">
        <v>79</v>
      </c>
      <c r="B16" s="9">
        <v>46157</v>
      </c>
      <c r="C16" s="7" t="s">
        <v>20</v>
      </c>
      <c r="D16" s="7" t="s">
        <v>66</v>
      </c>
      <c r="E16" s="7">
        <v>30</v>
      </c>
      <c r="F16" s="7">
        <v>1800</v>
      </c>
      <c r="G16" s="7">
        <f t="shared" si="0"/>
        <v>54000</v>
      </c>
      <c r="H16" s="7">
        <v>60000</v>
      </c>
      <c r="I16" s="8">
        <v>0.16</v>
      </c>
      <c r="J16" s="7">
        <v>120</v>
      </c>
      <c r="K16" s="7">
        <v>1</v>
      </c>
      <c r="L16" s="7">
        <v>4.0999999999999996</v>
      </c>
      <c r="M16" s="17"/>
    </row>
    <row r="17" spans="1:13" x14ac:dyDescent="0.3">
      <c r="A17" s="7" t="s">
        <v>80</v>
      </c>
      <c r="B17" s="9">
        <v>46158</v>
      </c>
      <c r="C17" s="7" t="s">
        <v>14</v>
      </c>
      <c r="D17" s="7" t="s">
        <v>69</v>
      </c>
      <c r="E17" s="7">
        <v>3</v>
      </c>
      <c r="F17" s="7">
        <v>68000</v>
      </c>
      <c r="G17" s="7">
        <f t="shared" si="0"/>
        <v>204000</v>
      </c>
      <c r="H17" s="7">
        <v>220000</v>
      </c>
      <c r="I17" s="8">
        <v>0.13</v>
      </c>
      <c r="J17" s="7">
        <v>5</v>
      </c>
      <c r="K17" s="7">
        <v>6</v>
      </c>
      <c r="L17" s="7">
        <v>3.9</v>
      </c>
      <c r="M17" s="17"/>
    </row>
    <row r="18" spans="1:13" x14ac:dyDescent="0.3">
      <c r="A18" s="7" t="s">
        <v>81</v>
      </c>
      <c r="B18" s="9">
        <v>46159</v>
      </c>
      <c r="C18" s="7" t="s">
        <v>8</v>
      </c>
      <c r="D18" s="7" t="s">
        <v>64</v>
      </c>
      <c r="E18" s="7">
        <v>5</v>
      </c>
      <c r="F18" s="7">
        <v>80000</v>
      </c>
      <c r="G18" s="7">
        <f t="shared" si="0"/>
        <v>400000</v>
      </c>
      <c r="H18" s="7">
        <v>270000</v>
      </c>
      <c r="I18" s="8">
        <v>0.19</v>
      </c>
      <c r="J18" s="7">
        <v>11</v>
      </c>
      <c r="K18" s="7">
        <v>3</v>
      </c>
      <c r="L18" s="7">
        <v>4.5</v>
      </c>
      <c r="M18" s="17"/>
    </row>
    <row r="19" spans="1:13" x14ac:dyDescent="0.3">
      <c r="A19" s="7" t="s">
        <v>82</v>
      </c>
      <c r="B19" s="9">
        <v>46160</v>
      </c>
      <c r="C19" s="7" t="s">
        <v>17</v>
      </c>
      <c r="D19" s="7" t="s">
        <v>62</v>
      </c>
      <c r="E19" s="7">
        <v>9</v>
      </c>
      <c r="F19" s="7">
        <v>19500</v>
      </c>
      <c r="G19" s="7">
        <f t="shared" si="0"/>
        <v>175500</v>
      </c>
      <c r="H19" s="7">
        <v>200000</v>
      </c>
      <c r="I19" s="8">
        <v>0.09</v>
      </c>
      <c r="J19" s="7">
        <v>20</v>
      </c>
      <c r="K19" s="7">
        <v>4</v>
      </c>
      <c r="L19" s="7">
        <v>3.5</v>
      </c>
      <c r="M19" s="17"/>
    </row>
    <row r="20" spans="1:13" x14ac:dyDescent="0.3">
      <c r="A20" s="7" t="s">
        <v>83</v>
      </c>
      <c r="B20" s="9">
        <v>46161</v>
      </c>
      <c r="C20" s="7" t="s">
        <v>20</v>
      </c>
      <c r="D20" s="7" t="s">
        <v>66</v>
      </c>
      <c r="E20" s="7">
        <v>40</v>
      </c>
      <c r="F20" s="7">
        <v>1200</v>
      </c>
      <c r="G20" s="7">
        <f t="shared" si="0"/>
        <v>48000</v>
      </c>
      <c r="H20" s="7">
        <v>45000</v>
      </c>
      <c r="I20" s="8">
        <v>0.26</v>
      </c>
      <c r="J20" s="7">
        <v>150</v>
      </c>
      <c r="K20" s="7">
        <v>1</v>
      </c>
      <c r="L20" s="7">
        <v>4.8</v>
      </c>
      <c r="M20" s="17"/>
    </row>
    <row r="21" spans="1:13" x14ac:dyDescent="0.3">
      <c r="A21" s="7" t="s">
        <v>84</v>
      </c>
      <c r="B21" s="9">
        <v>46162</v>
      </c>
      <c r="C21" s="7" t="s">
        <v>7</v>
      </c>
      <c r="D21" s="7" t="s">
        <v>64</v>
      </c>
      <c r="E21" s="7">
        <v>4</v>
      </c>
      <c r="F21" s="7">
        <v>81000</v>
      </c>
      <c r="G21" s="7">
        <f t="shared" si="0"/>
        <v>324000</v>
      </c>
      <c r="H21" s="7">
        <v>310000</v>
      </c>
      <c r="I21" s="8">
        <v>0.2</v>
      </c>
      <c r="J21" s="7">
        <v>7</v>
      </c>
      <c r="K21" s="7">
        <v>5</v>
      </c>
      <c r="L21" s="7">
        <v>4.2</v>
      </c>
      <c r="M21" s="17"/>
    </row>
    <row r="22" spans="1:13" x14ac:dyDescent="0.3">
      <c r="A22" s="7" t="s">
        <v>85</v>
      </c>
      <c r="B22" s="9">
        <v>46163</v>
      </c>
      <c r="C22" s="7" t="s">
        <v>20</v>
      </c>
      <c r="D22" s="7" t="s">
        <v>62</v>
      </c>
      <c r="E22" s="7">
        <v>14</v>
      </c>
      <c r="F22" s="7">
        <v>25000</v>
      </c>
      <c r="G22" s="7">
        <f t="shared" si="0"/>
        <v>350000</v>
      </c>
      <c r="H22" s="7">
        <v>330000</v>
      </c>
      <c r="I22" s="8">
        <v>0.23</v>
      </c>
      <c r="J22" s="7">
        <v>25</v>
      </c>
      <c r="K22" s="7">
        <v>2</v>
      </c>
      <c r="L22" s="7">
        <v>4.7</v>
      </c>
      <c r="M22" s="17"/>
    </row>
    <row r="23" spans="1:13" x14ac:dyDescent="0.3">
      <c r="A23" s="7" t="s">
        <v>86</v>
      </c>
      <c r="B23" s="9">
        <v>46164</v>
      </c>
      <c r="C23" s="7" t="s">
        <v>15</v>
      </c>
      <c r="D23" s="7" t="s">
        <v>69</v>
      </c>
      <c r="E23" s="7">
        <v>2</v>
      </c>
      <c r="F23" s="7">
        <v>88000</v>
      </c>
      <c r="G23" s="7">
        <f t="shared" si="0"/>
        <v>176000</v>
      </c>
      <c r="H23" s="7">
        <v>190000</v>
      </c>
      <c r="I23" s="8">
        <v>0.09</v>
      </c>
      <c r="J23" s="7">
        <v>3</v>
      </c>
      <c r="K23" s="7">
        <v>7</v>
      </c>
      <c r="L23" s="7">
        <v>3.6</v>
      </c>
      <c r="M23" s="17"/>
    </row>
    <row r="24" spans="1:13" x14ac:dyDescent="0.3">
      <c r="A24" s="7" t="s">
        <v>87</v>
      </c>
      <c r="B24" s="9">
        <v>46165</v>
      </c>
      <c r="C24" s="7" t="s">
        <v>10</v>
      </c>
      <c r="D24" s="7" t="s">
        <v>66</v>
      </c>
      <c r="E24" s="7">
        <v>35</v>
      </c>
      <c r="F24" s="7">
        <v>1500</v>
      </c>
      <c r="G24" s="7">
        <f t="shared" si="0"/>
        <v>52500</v>
      </c>
      <c r="H24" s="7">
        <v>50000</v>
      </c>
      <c r="I24" s="8">
        <v>0.27</v>
      </c>
      <c r="J24" s="7">
        <v>80</v>
      </c>
      <c r="K24" s="7">
        <v>1</v>
      </c>
      <c r="L24" s="7">
        <v>4.9000000000000004</v>
      </c>
      <c r="M24" s="17"/>
    </row>
    <row r="25" spans="1:13" x14ac:dyDescent="0.3">
      <c r="A25" s="7" t="s">
        <v>88</v>
      </c>
      <c r="B25" s="9">
        <v>46166</v>
      </c>
      <c r="C25" s="7" t="s">
        <v>16</v>
      </c>
      <c r="D25" s="7" t="s">
        <v>64</v>
      </c>
      <c r="E25" s="7">
        <v>7</v>
      </c>
      <c r="F25" s="7">
        <v>70000</v>
      </c>
      <c r="G25" s="7">
        <f t="shared" si="0"/>
        <v>490000</v>
      </c>
      <c r="H25" s="7">
        <v>450000</v>
      </c>
      <c r="I25" s="8">
        <v>0.18</v>
      </c>
      <c r="J25" s="7">
        <v>6</v>
      </c>
      <c r="K25" s="7">
        <v>6</v>
      </c>
      <c r="L25" s="7">
        <v>4.4000000000000004</v>
      </c>
      <c r="M25" s="17"/>
    </row>
    <row r="26" spans="1:13" x14ac:dyDescent="0.3">
      <c r="A26" s="7" t="s">
        <v>89</v>
      </c>
      <c r="B26" s="9">
        <v>46167</v>
      </c>
      <c r="C26" s="7" t="s">
        <v>17</v>
      </c>
      <c r="D26" s="7" t="s">
        <v>62</v>
      </c>
      <c r="E26" s="7">
        <v>11</v>
      </c>
      <c r="F26" s="7">
        <v>29000</v>
      </c>
      <c r="G26" s="7">
        <f t="shared" si="0"/>
        <v>319000</v>
      </c>
      <c r="H26" s="7">
        <v>340000</v>
      </c>
      <c r="I26" s="8">
        <v>0.13</v>
      </c>
      <c r="J26" s="7">
        <v>12</v>
      </c>
      <c r="K26" s="7">
        <v>3</v>
      </c>
      <c r="L26" s="7">
        <v>4</v>
      </c>
      <c r="M26" s="17"/>
    </row>
    <row r="27" spans="1:13" x14ac:dyDescent="0.3">
      <c r="A27" s="7" t="s">
        <v>90</v>
      </c>
      <c r="B27" s="9">
        <v>46168</v>
      </c>
      <c r="C27" s="7" t="s">
        <v>8</v>
      </c>
      <c r="D27" s="7" t="s">
        <v>69</v>
      </c>
      <c r="E27" s="7">
        <v>1</v>
      </c>
      <c r="F27" s="7">
        <v>110000</v>
      </c>
      <c r="G27" s="7">
        <f t="shared" si="0"/>
        <v>110000</v>
      </c>
      <c r="H27" s="7">
        <v>150000</v>
      </c>
      <c r="I27" s="8">
        <v>7.0000000000000007E-2</v>
      </c>
      <c r="J27" s="7">
        <v>2</v>
      </c>
      <c r="K27" s="7">
        <v>9</v>
      </c>
      <c r="L27" s="7">
        <v>3.2</v>
      </c>
      <c r="M27" s="17"/>
    </row>
    <row r="28" spans="1:13" x14ac:dyDescent="0.3">
      <c r="A28" s="7" t="s">
        <v>91</v>
      </c>
      <c r="B28" s="9">
        <v>46169</v>
      </c>
      <c r="C28" s="7" t="s">
        <v>20</v>
      </c>
      <c r="D28" s="7" t="s">
        <v>66</v>
      </c>
      <c r="E28" s="7">
        <v>45</v>
      </c>
      <c r="F28" s="7">
        <v>1000</v>
      </c>
      <c r="G28" s="7">
        <f t="shared" si="0"/>
        <v>45000</v>
      </c>
      <c r="H28" s="7">
        <v>40000</v>
      </c>
      <c r="I28" s="8">
        <v>0.3</v>
      </c>
      <c r="J28" s="7">
        <v>200</v>
      </c>
      <c r="K28" s="7">
        <v>1</v>
      </c>
      <c r="L28" s="7">
        <v>4.9000000000000004</v>
      </c>
      <c r="M28" s="17"/>
    </row>
    <row r="29" spans="1:13" x14ac:dyDescent="0.3">
      <c r="A29" s="7" t="s">
        <v>92</v>
      </c>
      <c r="B29" s="9">
        <v>46170</v>
      </c>
      <c r="C29" s="7" t="s">
        <v>7</v>
      </c>
      <c r="D29" s="7" t="s">
        <v>64</v>
      </c>
      <c r="E29" s="7">
        <v>3</v>
      </c>
      <c r="F29" s="7">
        <v>92000</v>
      </c>
      <c r="G29" s="7">
        <f t="shared" si="0"/>
        <v>276000</v>
      </c>
      <c r="H29" s="7">
        <v>260000</v>
      </c>
      <c r="I29" s="8">
        <v>0.22</v>
      </c>
      <c r="J29" s="7">
        <v>5</v>
      </c>
      <c r="K29" s="7">
        <v>5</v>
      </c>
      <c r="L29" s="7">
        <v>4.5999999999999996</v>
      </c>
      <c r="M29" s="17"/>
    </row>
    <row r="30" spans="1:13" x14ac:dyDescent="0.3">
      <c r="A30" s="7" t="s">
        <v>93</v>
      </c>
      <c r="B30" s="9">
        <v>46171</v>
      </c>
      <c r="C30" s="7" t="s">
        <v>14</v>
      </c>
      <c r="D30" s="7" t="s">
        <v>62</v>
      </c>
      <c r="E30" s="7">
        <v>8</v>
      </c>
      <c r="F30" s="7">
        <v>31000</v>
      </c>
      <c r="G30" s="7">
        <f t="shared" si="0"/>
        <v>248000</v>
      </c>
      <c r="H30" s="7">
        <v>270000</v>
      </c>
      <c r="I30" s="8">
        <v>0.12</v>
      </c>
      <c r="J30" s="7">
        <v>13</v>
      </c>
      <c r="K30" s="7">
        <v>4</v>
      </c>
      <c r="L30" s="7">
        <v>3.9</v>
      </c>
      <c r="M30" s="17"/>
    </row>
    <row r="31" spans="1:13" x14ac:dyDescent="0.3">
      <c r="A31" s="7" t="s">
        <v>94</v>
      </c>
      <c r="B31" s="9">
        <v>46172</v>
      </c>
      <c r="C31" s="7" t="s">
        <v>16</v>
      </c>
      <c r="D31" s="7" t="s">
        <v>69</v>
      </c>
      <c r="E31" s="7">
        <v>2</v>
      </c>
      <c r="F31" s="7">
        <v>76000</v>
      </c>
      <c r="G31" s="7">
        <f t="shared" si="0"/>
        <v>152000</v>
      </c>
      <c r="H31" s="7">
        <v>170000</v>
      </c>
      <c r="I31" s="8">
        <v>0.11</v>
      </c>
      <c r="J31" s="7">
        <v>4</v>
      </c>
      <c r="K31" s="7">
        <v>8</v>
      </c>
      <c r="L31" s="7">
        <v>3.7</v>
      </c>
      <c r="M31" s="17"/>
    </row>
  </sheetData>
  <phoneticPr fontId="3" type="noConversion"/>
  <conditionalFormatting sqref="A2:L31">
    <cfRule type="expression" dxfId="18" priority="1">
      <formula>AND($B2&gt;=$N$10,$B2&lt;=$O$10)</formula>
    </cfRule>
  </conditionalFormatting>
  <dataValidations count="3">
    <dataValidation type="list" allowBlank="1" showInputMessage="1" showErrorMessage="1" sqref="N2 N8" xr:uid="{742C2B7D-AA06-49E1-9D00-CC56A9175237}">
      <formula1>$D$2:$D$31</formula1>
    </dataValidation>
    <dataValidation type="list" allowBlank="1" showInputMessage="1" showErrorMessage="1" sqref="N10" xr:uid="{913D094D-C8D3-4A56-8429-F65E565FF72F}">
      <formula1>$B$2:$B$32</formula1>
    </dataValidation>
    <dataValidation type="list" allowBlank="1" showInputMessage="1" showErrorMessage="1" sqref="O10" xr:uid="{41396BC7-F6BF-4626-8B67-D5246D24DDB0}">
      <formula1>$B:$B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6C49B-9D26-483A-BA8A-EFDBBDD5F5FC}">
  <dimension ref="B2:W55"/>
  <sheetViews>
    <sheetView zoomScale="110" zoomScaleNormal="110" workbookViewId="0">
      <selection activeCell="K21" sqref="K21"/>
    </sheetView>
  </sheetViews>
  <sheetFormatPr defaultRowHeight="14.4" x14ac:dyDescent="0.3"/>
  <cols>
    <col min="2" max="2" width="16.44140625" bestFit="1" customWidth="1"/>
    <col min="8" max="8" width="28.5546875" customWidth="1"/>
    <col min="9" max="9" width="31.6640625" customWidth="1"/>
    <col min="11" max="11" width="13.5546875" bestFit="1" customWidth="1"/>
    <col min="12" max="23" width="12.88671875" bestFit="1" customWidth="1"/>
  </cols>
  <sheetData>
    <row r="2" spans="2:9" ht="18" x14ac:dyDescent="0.35">
      <c r="B2" s="25" t="s">
        <v>132</v>
      </c>
      <c r="C2" s="26" t="s">
        <v>133</v>
      </c>
      <c r="D2" s="26" t="s">
        <v>134</v>
      </c>
      <c r="E2" s="26" t="s">
        <v>135</v>
      </c>
    </row>
    <row r="3" spans="2:9" x14ac:dyDescent="0.3">
      <c r="B3" s="7" t="s">
        <v>62</v>
      </c>
      <c r="C3" s="7">
        <v>22000</v>
      </c>
      <c r="D3" s="7">
        <v>264000</v>
      </c>
      <c r="E3" s="7">
        <v>250000</v>
      </c>
      <c r="H3" s="24" t="s">
        <v>132</v>
      </c>
      <c r="I3" s="24" t="s">
        <v>136</v>
      </c>
    </row>
    <row r="4" spans="2:9" x14ac:dyDescent="0.3">
      <c r="B4" s="7" t="s">
        <v>107</v>
      </c>
      <c r="C4" s="7">
        <v>78000</v>
      </c>
      <c r="D4" s="7">
        <v>312000</v>
      </c>
      <c r="E4" s="7">
        <v>350000</v>
      </c>
      <c r="H4" s="31" t="s">
        <v>62</v>
      </c>
      <c r="I4" s="30" t="s">
        <v>133</v>
      </c>
    </row>
    <row r="5" spans="2:9" x14ac:dyDescent="0.3">
      <c r="B5" s="7" t="s">
        <v>66</v>
      </c>
      <c r="C5" s="7">
        <v>3200</v>
      </c>
      <c r="D5" s="7">
        <v>64000</v>
      </c>
      <c r="E5" s="7">
        <v>50000</v>
      </c>
    </row>
    <row r="6" spans="2:9" x14ac:dyDescent="0.3">
      <c r="B6" s="7" t="s">
        <v>62</v>
      </c>
      <c r="C6" s="7">
        <v>145000</v>
      </c>
      <c r="D6" s="7">
        <v>435000</v>
      </c>
      <c r="E6" s="7">
        <v>400000</v>
      </c>
    </row>
    <row r="7" spans="2:9" x14ac:dyDescent="0.3">
      <c r="B7" s="7" t="s">
        <v>69</v>
      </c>
      <c r="C7" s="7">
        <v>52000</v>
      </c>
      <c r="D7" s="7">
        <v>104000</v>
      </c>
      <c r="E7" s="7">
        <v>120000</v>
      </c>
    </row>
    <row r="8" spans="2:9" x14ac:dyDescent="0.3">
      <c r="B8" s="7" t="s">
        <v>106</v>
      </c>
      <c r="C8" s="7">
        <v>65000</v>
      </c>
      <c r="D8" s="7">
        <v>320000</v>
      </c>
      <c r="E8" s="7">
        <v>300000</v>
      </c>
    </row>
    <row r="9" spans="2:9" x14ac:dyDescent="0.3">
      <c r="B9" s="7" t="s">
        <v>62</v>
      </c>
      <c r="C9" s="7">
        <v>21000</v>
      </c>
      <c r="D9" s="7">
        <v>315000</v>
      </c>
      <c r="E9" s="7">
        <v>280000</v>
      </c>
    </row>
    <row r="10" spans="2:9" x14ac:dyDescent="0.3">
      <c r="B10" s="7" t="s">
        <v>66</v>
      </c>
      <c r="C10" s="7">
        <v>2800</v>
      </c>
      <c r="D10" s="7">
        <v>70000</v>
      </c>
      <c r="E10" s="7">
        <v>90000</v>
      </c>
    </row>
    <row r="11" spans="2:9" x14ac:dyDescent="0.3">
      <c r="B11" s="7" t="s">
        <v>64</v>
      </c>
      <c r="C11" s="7">
        <v>70000</v>
      </c>
      <c r="D11" s="7">
        <v>140000</v>
      </c>
      <c r="E11" s="7">
        <v>250000</v>
      </c>
    </row>
    <row r="12" spans="2:9" x14ac:dyDescent="0.3">
      <c r="B12" s="7" t="s">
        <v>62</v>
      </c>
      <c r="C12" s="7">
        <v>34000</v>
      </c>
      <c r="D12" s="7">
        <v>340000</v>
      </c>
      <c r="E12" s="7">
        <v>360000</v>
      </c>
    </row>
    <row r="13" spans="2:9" x14ac:dyDescent="0.3">
      <c r="B13" s="7" t="s">
        <v>69</v>
      </c>
      <c r="C13" s="7">
        <v>95000</v>
      </c>
      <c r="D13" s="7">
        <v>95000</v>
      </c>
      <c r="E13" s="7">
        <v>100000</v>
      </c>
    </row>
    <row r="14" spans="2:9" x14ac:dyDescent="0.3">
      <c r="B14" s="7" t="s">
        <v>66</v>
      </c>
      <c r="C14" s="7">
        <v>5500</v>
      </c>
      <c r="D14" s="7">
        <v>99000</v>
      </c>
      <c r="E14" s="7">
        <v>85000</v>
      </c>
    </row>
    <row r="15" spans="2:9" x14ac:dyDescent="0.3">
      <c r="B15" s="7" t="s">
        <v>105</v>
      </c>
      <c r="C15" s="7">
        <v>72000</v>
      </c>
      <c r="D15" s="7">
        <v>432000</v>
      </c>
      <c r="E15" s="7">
        <v>400000</v>
      </c>
    </row>
    <row r="16" spans="2:9" x14ac:dyDescent="0.3">
      <c r="B16" s="7" t="s">
        <v>62</v>
      </c>
      <c r="C16" s="7">
        <v>38000</v>
      </c>
      <c r="D16" s="7">
        <v>266000</v>
      </c>
      <c r="E16" s="7">
        <v>300000</v>
      </c>
    </row>
    <row r="17" spans="2:23" x14ac:dyDescent="0.3">
      <c r="B17" s="7" t="s">
        <v>66</v>
      </c>
      <c r="C17" s="7">
        <v>1800</v>
      </c>
      <c r="D17" s="7">
        <v>54000</v>
      </c>
      <c r="E17" s="7">
        <v>60000</v>
      </c>
    </row>
    <row r="20" spans="2:23" x14ac:dyDescent="0.3">
      <c r="K20" t="s">
        <v>153</v>
      </c>
    </row>
    <row r="21" spans="2:23" x14ac:dyDescent="0.3">
      <c r="B21" s="24" t="s">
        <v>137</v>
      </c>
      <c r="C21" s="24" t="s">
        <v>150</v>
      </c>
      <c r="D21" s="24" t="s">
        <v>151</v>
      </c>
      <c r="J21" t="s">
        <v>152</v>
      </c>
      <c r="K21" s="15" t="s">
        <v>145</v>
      </c>
    </row>
    <row r="22" spans="2:23" x14ac:dyDescent="0.3">
      <c r="B22" s="23" t="s">
        <v>138</v>
      </c>
      <c r="C22" s="23">
        <v>500000</v>
      </c>
      <c r="D22" s="23">
        <v>400000</v>
      </c>
    </row>
    <row r="23" spans="2:23" x14ac:dyDescent="0.3">
      <c r="B23" s="23" t="s">
        <v>139</v>
      </c>
      <c r="C23" s="23">
        <v>600000</v>
      </c>
      <c r="D23" s="23">
        <v>440000</v>
      </c>
      <c r="L23" s="5" t="s">
        <v>138</v>
      </c>
      <c r="M23" s="5" t="s">
        <v>139</v>
      </c>
      <c r="N23" s="5" t="s">
        <v>140</v>
      </c>
      <c r="O23" s="5" t="s">
        <v>141</v>
      </c>
      <c r="P23" s="5" t="s">
        <v>142</v>
      </c>
      <c r="Q23" s="5" t="s">
        <v>143</v>
      </c>
      <c r="R23" s="5" t="s">
        <v>144</v>
      </c>
      <c r="S23" s="5" t="s">
        <v>145</v>
      </c>
      <c r="T23" s="5" t="s">
        <v>146</v>
      </c>
      <c r="U23" s="5" t="s">
        <v>147</v>
      </c>
      <c r="V23" s="5" t="s">
        <v>148</v>
      </c>
      <c r="W23" s="5" t="s">
        <v>149</v>
      </c>
    </row>
    <row r="24" spans="2:23" x14ac:dyDescent="0.3">
      <c r="B24" s="23" t="s">
        <v>140</v>
      </c>
      <c r="C24" s="23">
        <v>466747</v>
      </c>
      <c r="D24" s="23">
        <v>362842</v>
      </c>
      <c r="L24" s="27">
        <v>500000</v>
      </c>
      <c r="M24" s="27">
        <v>600000</v>
      </c>
      <c r="N24" s="27">
        <v>466747</v>
      </c>
      <c r="O24" s="27">
        <v>196799</v>
      </c>
      <c r="P24" s="27">
        <v>457282</v>
      </c>
      <c r="Q24" s="27">
        <v>171355</v>
      </c>
      <c r="R24" s="27">
        <v>292176</v>
      </c>
      <c r="S24" s="27">
        <v>278168</v>
      </c>
      <c r="T24" s="27">
        <v>473362</v>
      </c>
      <c r="U24" s="27">
        <v>430727</v>
      </c>
      <c r="V24" s="27">
        <v>385061</v>
      </c>
      <c r="W24" s="27">
        <v>239273</v>
      </c>
    </row>
    <row r="25" spans="2:23" x14ac:dyDescent="0.3">
      <c r="B25" s="23" t="s">
        <v>141</v>
      </c>
      <c r="C25" s="23">
        <v>196799</v>
      </c>
      <c r="D25" s="23">
        <v>320095</v>
      </c>
      <c r="L25" s="27">
        <v>297362</v>
      </c>
      <c r="M25" s="27">
        <v>174200</v>
      </c>
      <c r="N25" s="27">
        <v>175744</v>
      </c>
      <c r="O25" s="27">
        <v>158142</v>
      </c>
      <c r="P25" s="27">
        <v>327166</v>
      </c>
      <c r="Q25" s="27">
        <v>394218</v>
      </c>
      <c r="R25" s="27">
        <v>436796</v>
      </c>
      <c r="S25" s="27">
        <v>458198</v>
      </c>
      <c r="T25" s="27">
        <v>374106</v>
      </c>
      <c r="U25" s="27">
        <v>390675</v>
      </c>
      <c r="V25" s="27">
        <v>186150</v>
      </c>
      <c r="W25" s="27">
        <v>455742</v>
      </c>
    </row>
    <row r="26" spans="2:23" x14ac:dyDescent="0.3">
      <c r="B26" s="23" t="s">
        <v>142</v>
      </c>
      <c r="C26" s="23">
        <v>457282</v>
      </c>
      <c r="D26" s="23">
        <v>456558</v>
      </c>
      <c r="L26" s="27">
        <v>361416</v>
      </c>
      <c r="M26" s="27">
        <v>254940</v>
      </c>
      <c r="N26" s="27">
        <v>487949</v>
      </c>
      <c r="O26" s="27">
        <v>212733</v>
      </c>
      <c r="P26" s="27">
        <v>187071</v>
      </c>
      <c r="Q26" s="27">
        <v>264805</v>
      </c>
      <c r="R26" s="27">
        <v>333976</v>
      </c>
      <c r="S26" s="27">
        <v>129299</v>
      </c>
      <c r="T26" s="27">
        <v>207307</v>
      </c>
      <c r="U26" s="27">
        <v>154299</v>
      </c>
      <c r="V26" s="27">
        <v>102966</v>
      </c>
      <c r="W26" s="27">
        <v>152456</v>
      </c>
    </row>
    <row r="27" spans="2:23" x14ac:dyDescent="0.3">
      <c r="B27" s="23" t="s">
        <v>143</v>
      </c>
      <c r="C27" s="23">
        <v>171355</v>
      </c>
      <c r="D27" s="23">
        <v>141894</v>
      </c>
      <c r="L27" s="27">
        <v>146986</v>
      </c>
      <c r="M27" s="27">
        <v>147304</v>
      </c>
      <c r="N27" s="27">
        <v>476599</v>
      </c>
      <c r="O27" s="27">
        <v>174304</v>
      </c>
      <c r="P27" s="27">
        <v>183525</v>
      </c>
      <c r="Q27" s="27">
        <v>132013</v>
      </c>
      <c r="R27" s="27">
        <v>267138</v>
      </c>
      <c r="S27" s="27">
        <v>467784</v>
      </c>
      <c r="T27" s="27">
        <v>220354</v>
      </c>
      <c r="U27" s="27">
        <v>475915</v>
      </c>
      <c r="V27" s="27">
        <v>318306</v>
      </c>
      <c r="W27" s="27">
        <v>365608</v>
      </c>
    </row>
    <row r="28" spans="2:23" x14ac:dyDescent="0.3">
      <c r="B28" s="23" t="s">
        <v>144</v>
      </c>
      <c r="C28" s="23">
        <v>292176</v>
      </c>
      <c r="D28" s="23">
        <v>291862</v>
      </c>
      <c r="L28" s="27">
        <v>163316</v>
      </c>
      <c r="M28" s="27">
        <v>390478</v>
      </c>
      <c r="N28" s="27">
        <v>295722</v>
      </c>
      <c r="O28" s="27">
        <v>242298</v>
      </c>
      <c r="P28" s="27">
        <v>149569</v>
      </c>
      <c r="Q28" s="27">
        <v>119646</v>
      </c>
      <c r="R28" s="27">
        <v>232402</v>
      </c>
      <c r="S28" s="27">
        <v>485449</v>
      </c>
      <c r="T28" s="27">
        <v>453070</v>
      </c>
      <c r="U28" s="27">
        <v>176956</v>
      </c>
      <c r="V28" s="27">
        <v>140622</v>
      </c>
      <c r="W28" s="27">
        <v>369734</v>
      </c>
    </row>
    <row r="29" spans="2:23" x14ac:dyDescent="0.3">
      <c r="B29" s="23" t="s">
        <v>145</v>
      </c>
      <c r="C29" s="23">
        <v>278168</v>
      </c>
      <c r="D29" s="23">
        <v>239853</v>
      </c>
      <c r="L29" s="27">
        <v>332088</v>
      </c>
      <c r="M29" s="27">
        <v>216261</v>
      </c>
      <c r="N29" s="27">
        <v>166575</v>
      </c>
      <c r="O29" s="27">
        <v>127813</v>
      </c>
      <c r="P29" s="27">
        <v>254203</v>
      </c>
      <c r="Q29" s="27">
        <v>448326</v>
      </c>
      <c r="R29" s="27">
        <v>471688</v>
      </c>
      <c r="S29" s="27">
        <v>193894</v>
      </c>
      <c r="T29" s="27">
        <v>319779</v>
      </c>
      <c r="U29" s="27">
        <v>185377</v>
      </c>
      <c r="V29" s="27">
        <v>139523</v>
      </c>
      <c r="W29" s="27">
        <v>236532</v>
      </c>
    </row>
    <row r="30" spans="2:23" x14ac:dyDescent="0.3">
      <c r="B30" s="23" t="s">
        <v>146</v>
      </c>
      <c r="C30" s="23">
        <v>473362</v>
      </c>
      <c r="D30" s="23">
        <v>482050</v>
      </c>
      <c r="L30" s="27">
        <v>452183</v>
      </c>
      <c r="M30" s="27">
        <v>441260</v>
      </c>
      <c r="N30" s="27">
        <v>396796</v>
      </c>
      <c r="O30" s="27">
        <v>113368</v>
      </c>
      <c r="P30" s="27">
        <v>173207</v>
      </c>
      <c r="Q30" s="27">
        <v>152423</v>
      </c>
      <c r="R30" s="27">
        <v>385261</v>
      </c>
      <c r="S30" s="27">
        <v>117240</v>
      </c>
      <c r="T30" s="27">
        <v>358202</v>
      </c>
      <c r="U30" s="27">
        <v>113978</v>
      </c>
      <c r="V30" s="27">
        <v>198816</v>
      </c>
      <c r="W30" s="27">
        <v>438164</v>
      </c>
    </row>
    <row r="31" spans="2:23" x14ac:dyDescent="0.3">
      <c r="B31" s="23" t="s">
        <v>147</v>
      </c>
      <c r="C31" s="23">
        <v>430727</v>
      </c>
      <c r="D31" s="23">
        <v>145444</v>
      </c>
      <c r="L31" s="27">
        <v>341107</v>
      </c>
      <c r="M31" s="27">
        <v>176951</v>
      </c>
      <c r="N31" s="27">
        <v>170384</v>
      </c>
      <c r="O31" s="27">
        <v>429825</v>
      </c>
      <c r="P31" s="27">
        <v>456477</v>
      </c>
      <c r="Q31" s="27">
        <v>308675</v>
      </c>
      <c r="R31" s="27">
        <v>390499</v>
      </c>
      <c r="S31" s="27">
        <v>193268</v>
      </c>
      <c r="T31" s="27">
        <v>341716</v>
      </c>
      <c r="U31" s="27">
        <v>153351</v>
      </c>
      <c r="V31" s="27">
        <v>192926</v>
      </c>
      <c r="W31" s="27">
        <v>388040</v>
      </c>
    </row>
    <row r="32" spans="2:23" x14ac:dyDescent="0.3">
      <c r="B32" s="23" t="s">
        <v>148</v>
      </c>
      <c r="C32" s="23">
        <v>385061</v>
      </c>
      <c r="D32" s="23">
        <v>445654</v>
      </c>
      <c r="L32" s="27">
        <v>139115</v>
      </c>
      <c r="M32" s="27">
        <v>327165</v>
      </c>
      <c r="N32" s="27">
        <v>195789</v>
      </c>
      <c r="O32" s="27">
        <v>276844</v>
      </c>
      <c r="P32" s="27">
        <v>123694</v>
      </c>
      <c r="Q32" s="27">
        <v>104458</v>
      </c>
      <c r="R32" s="27">
        <v>155361</v>
      </c>
      <c r="S32" s="27">
        <v>259210</v>
      </c>
      <c r="T32" s="27">
        <v>267617</v>
      </c>
      <c r="U32" s="27">
        <v>306213</v>
      </c>
      <c r="V32" s="27">
        <v>383610</v>
      </c>
      <c r="W32" s="27">
        <v>100192</v>
      </c>
    </row>
    <row r="33" spans="2:23" x14ac:dyDescent="0.3">
      <c r="B33" s="23" t="s">
        <v>149</v>
      </c>
      <c r="C33" s="23">
        <v>239273</v>
      </c>
      <c r="D33" s="23">
        <v>272537</v>
      </c>
      <c r="L33" s="27">
        <v>210957</v>
      </c>
      <c r="M33" s="27">
        <v>346068</v>
      </c>
      <c r="N33" s="27">
        <v>220765</v>
      </c>
      <c r="O33" s="27">
        <v>203182</v>
      </c>
      <c r="P33" s="27">
        <v>463381</v>
      </c>
      <c r="Q33" s="27">
        <v>245169</v>
      </c>
      <c r="R33" s="27">
        <v>104716</v>
      </c>
      <c r="S33" s="27">
        <v>214436</v>
      </c>
      <c r="T33" s="27">
        <v>448081</v>
      </c>
      <c r="U33" s="27">
        <v>431761</v>
      </c>
      <c r="V33" s="27">
        <v>393799</v>
      </c>
      <c r="W33" s="27">
        <v>472863</v>
      </c>
    </row>
    <row r="34" spans="2:23" x14ac:dyDescent="0.3">
      <c r="L34" s="27">
        <v>110452</v>
      </c>
      <c r="M34" s="27">
        <v>241998</v>
      </c>
      <c r="N34" s="27">
        <v>263224</v>
      </c>
      <c r="O34" s="27">
        <v>353223</v>
      </c>
      <c r="P34" s="27">
        <v>384139</v>
      </c>
      <c r="Q34" s="27">
        <v>416668</v>
      </c>
      <c r="R34" s="27">
        <v>216146</v>
      </c>
      <c r="S34" s="27">
        <v>415520</v>
      </c>
      <c r="T34" s="27">
        <v>470401</v>
      </c>
      <c r="U34" s="27">
        <v>394564</v>
      </c>
      <c r="V34" s="27">
        <v>490227</v>
      </c>
      <c r="W34" s="27">
        <v>339650</v>
      </c>
    </row>
    <row r="35" spans="2:23" x14ac:dyDescent="0.3">
      <c r="L35" s="27">
        <v>152003</v>
      </c>
      <c r="M35" s="27">
        <v>380340</v>
      </c>
      <c r="N35" s="27">
        <v>442844</v>
      </c>
      <c r="O35" s="27">
        <v>410473</v>
      </c>
      <c r="P35" s="27">
        <v>106054</v>
      </c>
      <c r="Q35" s="27">
        <v>351499</v>
      </c>
      <c r="R35" s="27">
        <v>395696</v>
      </c>
      <c r="S35" s="27">
        <v>339655</v>
      </c>
      <c r="T35" s="27">
        <v>160452</v>
      </c>
      <c r="U35" s="27">
        <v>258988</v>
      </c>
      <c r="V35" s="27">
        <v>496122</v>
      </c>
      <c r="W35" s="27">
        <v>434489</v>
      </c>
    </row>
    <row r="36" spans="2:23" x14ac:dyDescent="0.3">
      <c r="L36" s="27">
        <v>196615</v>
      </c>
      <c r="M36" s="27">
        <v>277124</v>
      </c>
      <c r="N36" s="27">
        <v>113566</v>
      </c>
      <c r="O36" s="27">
        <v>170986</v>
      </c>
      <c r="P36" s="27">
        <v>497067</v>
      </c>
      <c r="Q36" s="27">
        <v>146697</v>
      </c>
      <c r="R36" s="27">
        <v>419697</v>
      </c>
      <c r="S36" s="27">
        <v>189433</v>
      </c>
      <c r="T36" s="27">
        <v>487362</v>
      </c>
      <c r="U36" s="27">
        <v>456966</v>
      </c>
      <c r="V36" s="27">
        <v>355741</v>
      </c>
      <c r="W36" s="27">
        <v>425151</v>
      </c>
    </row>
    <row r="42" spans="2:23" x14ac:dyDescent="0.3">
      <c r="L42" s="5" t="s">
        <v>138</v>
      </c>
      <c r="M42" s="5" t="s">
        <v>139</v>
      </c>
      <c r="N42" s="5" t="s">
        <v>140</v>
      </c>
      <c r="O42" s="5" t="s">
        <v>141</v>
      </c>
      <c r="P42" s="5" t="s">
        <v>142</v>
      </c>
      <c r="Q42" s="5" t="s">
        <v>143</v>
      </c>
      <c r="R42" s="5" t="s">
        <v>144</v>
      </c>
      <c r="S42" s="5" t="s">
        <v>145</v>
      </c>
      <c r="T42" s="5" t="s">
        <v>146</v>
      </c>
      <c r="U42" s="5" t="s">
        <v>147</v>
      </c>
      <c r="V42" s="5" t="s">
        <v>148</v>
      </c>
      <c r="W42" s="5" t="s">
        <v>149</v>
      </c>
    </row>
    <row r="43" spans="2:23" x14ac:dyDescent="0.3">
      <c r="L43" s="27">
        <v>500000</v>
      </c>
      <c r="M43" s="27">
        <v>600000</v>
      </c>
      <c r="N43" s="27">
        <v>466747</v>
      </c>
      <c r="O43" s="27">
        <v>196799</v>
      </c>
      <c r="P43" s="27">
        <v>457282</v>
      </c>
      <c r="Q43" s="28">
        <v>171355</v>
      </c>
      <c r="R43" s="27">
        <v>292176</v>
      </c>
      <c r="S43" s="27">
        <v>278168</v>
      </c>
      <c r="T43" s="27">
        <v>473362</v>
      </c>
      <c r="U43" s="27">
        <v>430727</v>
      </c>
      <c r="V43" s="27">
        <v>385061</v>
      </c>
      <c r="W43" s="27">
        <v>239273</v>
      </c>
    </row>
    <row r="44" spans="2:23" x14ac:dyDescent="0.3">
      <c r="L44" s="27">
        <v>297362</v>
      </c>
      <c r="M44" s="27">
        <v>174200</v>
      </c>
      <c r="N44" s="27">
        <v>175744</v>
      </c>
      <c r="O44" s="27">
        <v>158142</v>
      </c>
      <c r="P44" s="27">
        <v>327166</v>
      </c>
      <c r="Q44" s="28">
        <v>394218</v>
      </c>
      <c r="R44" s="27">
        <v>436796</v>
      </c>
      <c r="S44" s="27">
        <v>458198</v>
      </c>
      <c r="T44" s="27">
        <v>374106</v>
      </c>
      <c r="U44" s="27">
        <v>390675</v>
      </c>
      <c r="V44" s="27">
        <v>186150</v>
      </c>
      <c r="W44" s="27">
        <v>455742</v>
      </c>
    </row>
    <row r="45" spans="2:23" x14ac:dyDescent="0.3">
      <c r="L45" s="27">
        <v>361416</v>
      </c>
      <c r="M45" s="27">
        <v>254940</v>
      </c>
      <c r="N45" s="27">
        <v>487949</v>
      </c>
      <c r="O45" s="27">
        <v>212733</v>
      </c>
      <c r="P45" s="27">
        <v>187071</v>
      </c>
      <c r="Q45" s="28">
        <v>264805</v>
      </c>
      <c r="R45" s="27">
        <v>333976</v>
      </c>
      <c r="S45" s="27">
        <v>129299</v>
      </c>
      <c r="T45" s="27">
        <v>207307</v>
      </c>
      <c r="U45" s="27">
        <v>154299</v>
      </c>
      <c r="V45" s="27">
        <v>102966</v>
      </c>
      <c r="W45" s="27">
        <v>152456</v>
      </c>
    </row>
    <row r="46" spans="2:23" x14ac:dyDescent="0.3">
      <c r="L46" s="27">
        <v>146986</v>
      </c>
      <c r="M46" s="27">
        <v>147304</v>
      </c>
      <c r="N46" s="27">
        <v>476599</v>
      </c>
      <c r="O46" s="27">
        <v>174304</v>
      </c>
      <c r="P46" s="27">
        <v>183525</v>
      </c>
      <c r="Q46" s="28">
        <v>132013</v>
      </c>
      <c r="R46" s="27">
        <v>267138</v>
      </c>
      <c r="S46" s="27">
        <v>467784</v>
      </c>
      <c r="T46" s="27">
        <v>220354</v>
      </c>
      <c r="U46" s="27">
        <v>475915</v>
      </c>
      <c r="V46" s="27">
        <v>318306</v>
      </c>
      <c r="W46" s="27">
        <v>365608</v>
      </c>
    </row>
    <row r="47" spans="2:23" x14ac:dyDescent="0.3">
      <c r="L47" s="27">
        <v>163316</v>
      </c>
      <c r="M47" s="27">
        <v>390478</v>
      </c>
      <c r="N47" s="27">
        <v>295722</v>
      </c>
      <c r="O47" s="27">
        <v>242298</v>
      </c>
      <c r="P47" s="27">
        <v>149569</v>
      </c>
      <c r="Q47" s="28">
        <v>119646</v>
      </c>
      <c r="R47" s="27">
        <v>232402</v>
      </c>
      <c r="S47" s="27">
        <v>485449</v>
      </c>
      <c r="T47" s="27">
        <v>453070</v>
      </c>
      <c r="U47" s="27">
        <v>176956</v>
      </c>
      <c r="V47" s="27">
        <v>140622</v>
      </c>
      <c r="W47" s="27">
        <v>369734</v>
      </c>
    </row>
    <row r="48" spans="2:23" x14ac:dyDescent="0.3">
      <c r="L48" s="27">
        <v>332088</v>
      </c>
      <c r="M48" s="27">
        <v>216261</v>
      </c>
      <c r="N48" s="27">
        <v>166575</v>
      </c>
      <c r="O48" s="27">
        <v>127813</v>
      </c>
      <c r="P48" s="27">
        <v>254203</v>
      </c>
      <c r="Q48" s="28">
        <v>448326</v>
      </c>
      <c r="R48" s="27">
        <v>471688</v>
      </c>
      <c r="S48" s="27">
        <v>193894</v>
      </c>
      <c r="T48" s="27">
        <v>319779</v>
      </c>
      <c r="U48" s="27">
        <v>185377</v>
      </c>
      <c r="V48" s="27">
        <v>139523</v>
      </c>
      <c r="W48" s="27">
        <v>236532</v>
      </c>
    </row>
    <row r="49" spans="12:23" x14ac:dyDescent="0.3">
      <c r="L49" s="27">
        <v>452183</v>
      </c>
      <c r="M49" s="27">
        <v>441260</v>
      </c>
      <c r="N49" s="27">
        <v>396796</v>
      </c>
      <c r="O49" s="27">
        <v>113368</v>
      </c>
      <c r="P49" s="27">
        <v>173207</v>
      </c>
      <c r="Q49" s="28">
        <v>152423</v>
      </c>
      <c r="R49" s="27">
        <v>385261</v>
      </c>
      <c r="S49" s="27">
        <v>117240</v>
      </c>
      <c r="T49" s="27">
        <v>358202</v>
      </c>
      <c r="U49" s="27">
        <v>113978</v>
      </c>
      <c r="V49" s="27">
        <v>198816</v>
      </c>
      <c r="W49" s="27">
        <v>438164</v>
      </c>
    </row>
    <row r="50" spans="12:23" x14ac:dyDescent="0.3">
      <c r="L50" s="27">
        <v>341107</v>
      </c>
      <c r="M50" s="27">
        <v>176951</v>
      </c>
      <c r="N50" s="27">
        <v>170384</v>
      </c>
      <c r="O50" s="27">
        <v>429825</v>
      </c>
      <c r="P50" s="27">
        <v>456477</v>
      </c>
      <c r="Q50" s="28">
        <v>308675</v>
      </c>
      <c r="R50" s="27">
        <v>390499</v>
      </c>
      <c r="S50" s="27">
        <v>193268</v>
      </c>
      <c r="T50" s="27">
        <v>341716</v>
      </c>
      <c r="U50" s="27">
        <v>153351</v>
      </c>
      <c r="V50" s="27">
        <v>192926</v>
      </c>
      <c r="W50" s="27">
        <v>388040</v>
      </c>
    </row>
    <row r="51" spans="12:23" x14ac:dyDescent="0.3">
      <c r="L51" s="27">
        <v>139115</v>
      </c>
      <c r="M51" s="27">
        <v>327165</v>
      </c>
      <c r="N51" s="27">
        <v>195789</v>
      </c>
      <c r="O51" s="27">
        <v>276844</v>
      </c>
      <c r="P51" s="27">
        <v>123694</v>
      </c>
      <c r="Q51" s="28">
        <v>104458</v>
      </c>
      <c r="R51" s="27">
        <v>155361</v>
      </c>
      <c r="S51" s="27">
        <v>259210</v>
      </c>
      <c r="T51" s="27">
        <v>267617</v>
      </c>
      <c r="U51" s="27">
        <v>306213</v>
      </c>
      <c r="V51" s="27">
        <v>383610</v>
      </c>
      <c r="W51" s="27">
        <v>100192</v>
      </c>
    </row>
    <row r="52" spans="12:23" x14ac:dyDescent="0.3">
      <c r="L52" s="27">
        <v>210957</v>
      </c>
      <c r="M52" s="27">
        <v>346068</v>
      </c>
      <c r="N52" s="27">
        <v>220765</v>
      </c>
      <c r="O52" s="27">
        <v>203182</v>
      </c>
      <c r="P52" s="27">
        <v>463381</v>
      </c>
      <c r="Q52" s="28">
        <v>245169</v>
      </c>
      <c r="R52" s="27">
        <v>104716</v>
      </c>
      <c r="S52" s="27">
        <v>214436</v>
      </c>
      <c r="T52" s="27">
        <v>448081</v>
      </c>
      <c r="U52" s="27">
        <v>431761</v>
      </c>
      <c r="V52" s="27">
        <v>393799</v>
      </c>
      <c r="W52" s="27">
        <v>472863</v>
      </c>
    </row>
    <row r="53" spans="12:23" x14ac:dyDescent="0.3">
      <c r="L53" s="27">
        <v>110452</v>
      </c>
      <c r="M53" s="27">
        <v>241998</v>
      </c>
      <c r="N53" s="27">
        <v>263224</v>
      </c>
      <c r="O53" s="27">
        <v>353223</v>
      </c>
      <c r="P53" s="27">
        <v>384139</v>
      </c>
      <c r="Q53" s="28">
        <v>416668</v>
      </c>
      <c r="R53" s="27">
        <v>216146</v>
      </c>
      <c r="S53" s="27">
        <v>415520</v>
      </c>
      <c r="T53" s="27">
        <v>470401</v>
      </c>
      <c r="U53" s="27">
        <v>394564</v>
      </c>
      <c r="V53" s="27">
        <v>490227</v>
      </c>
      <c r="W53" s="27">
        <v>339650</v>
      </c>
    </row>
    <row r="54" spans="12:23" x14ac:dyDescent="0.3">
      <c r="L54" s="27">
        <v>152003</v>
      </c>
      <c r="M54" s="27">
        <v>380340</v>
      </c>
      <c r="N54" s="27">
        <v>442844</v>
      </c>
      <c r="O54" s="27">
        <v>410473</v>
      </c>
      <c r="P54" s="27">
        <v>106054</v>
      </c>
      <c r="Q54" s="28">
        <v>351499</v>
      </c>
      <c r="R54" s="27">
        <v>395696</v>
      </c>
      <c r="S54" s="27">
        <v>339655</v>
      </c>
      <c r="T54" s="27">
        <v>160452</v>
      </c>
      <c r="U54" s="27">
        <v>258988</v>
      </c>
      <c r="V54" s="27">
        <v>496122</v>
      </c>
      <c r="W54" s="27">
        <v>434489</v>
      </c>
    </row>
    <row r="55" spans="12:23" x14ac:dyDescent="0.3">
      <c r="L55" s="27">
        <v>196615</v>
      </c>
      <c r="M55" s="27">
        <v>277124</v>
      </c>
      <c r="N55" s="27">
        <v>113566</v>
      </c>
      <c r="O55" s="27">
        <v>170986</v>
      </c>
      <c r="P55" s="27">
        <v>497067</v>
      </c>
      <c r="Q55" s="28">
        <v>146697</v>
      </c>
      <c r="R55" s="27">
        <v>419697</v>
      </c>
      <c r="S55" s="27">
        <v>189433</v>
      </c>
      <c r="T55" s="27">
        <v>487362</v>
      </c>
      <c r="U55" s="27">
        <v>456966</v>
      </c>
      <c r="V55" s="27">
        <v>355741</v>
      </c>
      <c r="W55" s="27">
        <v>425151</v>
      </c>
    </row>
  </sheetData>
  <phoneticPr fontId="3" type="noConversion"/>
  <conditionalFormatting sqref="B3:B17">
    <cfRule type="expression" dxfId="17" priority="6">
      <formula>$B3=$H$4</formula>
    </cfRule>
  </conditionalFormatting>
  <conditionalFormatting sqref="B3:E17">
    <cfRule type="expression" dxfId="16" priority="8">
      <formula>AND($B3&gt;$P$3,$B3&lt;$Q$3)</formula>
    </cfRule>
  </conditionalFormatting>
  <conditionalFormatting sqref="C22:D33">
    <cfRule type="expression" dxfId="15" priority="4">
      <formula>$C22&lt;$D22</formula>
    </cfRule>
  </conditionalFormatting>
  <conditionalFormatting sqref="C3:E17">
    <cfRule type="expression" dxfId="14" priority="5">
      <formula>C$2=$I$4</formula>
    </cfRule>
  </conditionalFormatting>
  <conditionalFormatting sqref="L43:P55 R43:W55">
    <cfRule type="expression" dxfId="13" priority="2">
      <formula>L$23=$K$21</formula>
    </cfRule>
  </conditionalFormatting>
  <conditionalFormatting sqref="L24:W36">
    <cfRule type="expression" dxfId="12" priority="3">
      <formula>L$23=$K$21</formula>
    </cfRule>
  </conditionalFormatting>
  <conditionalFormatting sqref="L42:W55">
    <cfRule type="expression" dxfId="11" priority="1">
      <formula>L$42=$K$21</formula>
    </cfRule>
  </conditionalFormatting>
  <dataValidations count="3">
    <dataValidation type="list" allowBlank="1" showInputMessage="1" showErrorMessage="1" sqref="H4" xr:uid="{A5B3A9C6-3E78-4E61-AE27-B488C14C031C}">
      <formula1>$B$3:$B$17</formula1>
    </dataValidation>
    <dataValidation type="list" allowBlank="1" showInputMessage="1" showErrorMessage="1" sqref="I4" xr:uid="{03AB66D0-9A9E-4CDE-899F-B64BC2B46BB8}">
      <formula1>$C$2:$E$2</formula1>
    </dataValidation>
    <dataValidation type="list" allowBlank="1" showInputMessage="1" showErrorMessage="1" sqref="K21" xr:uid="{9C2E9562-B8CF-446A-818C-A3F593579F5D}">
      <formula1>$L$23:$W$23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1328D-8B54-457A-8507-D48AFC248898}">
  <dimension ref="B1:D12"/>
  <sheetViews>
    <sheetView tabSelected="1" zoomScale="70" zoomScaleNormal="70" workbookViewId="0">
      <selection activeCell="D4" sqref="D4"/>
    </sheetView>
  </sheetViews>
  <sheetFormatPr defaultRowHeight="33.75" customHeight="1" x14ac:dyDescent="0.3"/>
  <cols>
    <col min="2" max="2" width="40.5546875" customWidth="1"/>
    <col min="3" max="3" width="172.109375" customWidth="1"/>
    <col min="4" max="4" width="24" customWidth="1"/>
  </cols>
  <sheetData>
    <row r="1" spans="2:4" ht="33.75" customHeight="1" x14ac:dyDescent="0.3">
      <c r="B1" s="20" t="s">
        <v>130</v>
      </c>
      <c r="C1" s="20" t="s">
        <v>131</v>
      </c>
    </row>
    <row r="2" spans="2:4" ht="33.75" customHeight="1" x14ac:dyDescent="0.7">
      <c r="B2" s="21" t="s">
        <v>115</v>
      </c>
      <c r="C2" s="22" t="s">
        <v>118</v>
      </c>
      <c r="D2" s="34" t="s">
        <v>169</v>
      </c>
    </row>
    <row r="3" spans="2:4" ht="33.75" customHeight="1" x14ac:dyDescent="0.7">
      <c r="B3" s="21" t="s">
        <v>116</v>
      </c>
      <c r="C3" s="22" t="s">
        <v>119</v>
      </c>
      <c r="D3" s="34" t="s">
        <v>170</v>
      </c>
    </row>
    <row r="4" spans="2:4" ht="33.75" customHeight="1" x14ac:dyDescent="0.7">
      <c r="B4" s="21" t="s">
        <v>117</v>
      </c>
      <c r="C4" s="22" t="s">
        <v>120</v>
      </c>
    </row>
    <row r="5" spans="2:4" s="19" customFormat="1" ht="33.75" customHeight="1" x14ac:dyDescent="0.7">
      <c r="B5" s="21" t="s">
        <v>108</v>
      </c>
      <c r="C5" s="22" t="s">
        <v>121</v>
      </c>
      <c r="D5"/>
    </row>
    <row r="6" spans="2:4" s="19" customFormat="1" ht="33.75" customHeight="1" x14ac:dyDescent="0.7">
      <c r="B6" s="21" t="s">
        <v>109</v>
      </c>
      <c r="C6" s="22" t="s">
        <v>122</v>
      </c>
      <c r="D6"/>
    </row>
    <row r="7" spans="2:4" s="19" customFormat="1" ht="33.75" customHeight="1" x14ac:dyDescent="0.7">
      <c r="B7" s="21" t="s">
        <v>113</v>
      </c>
      <c r="C7" s="22" t="s">
        <v>123</v>
      </c>
      <c r="D7"/>
    </row>
    <row r="8" spans="2:4" s="19" customFormat="1" ht="33.75" customHeight="1" x14ac:dyDescent="0.7">
      <c r="B8" s="21" t="s">
        <v>114</v>
      </c>
      <c r="C8" s="22" t="s">
        <v>124</v>
      </c>
      <c r="D8"/>
    </row>
    <row r="9" spans="2:4" s="19" customFormat="1" ht="33.75" customHeight="1" x14ac:dyDescent="0.7">
      <c r="B9" s="21" t="s">
        <v>110</v>
      </c>
      <c r="C9" s="22" t="s">
        <v>125</v>
      </c>
      <c r="D9"/>
    </row>
    <row r="10" spans="2:4" s="19" customFormat="1" ht="33.75" customHeight="1" x14ac:dyDescent="0.7">
      <c r="B10" s="21" t="s">
        <v>111</v>
      </c>
      <c r="C10" s="22" t="s">
        <v>126</v>
      </c>
      <c r="D10"/>
    </row>
    <row r="11" spans="2:4" s="19" customFormat="1" ht="33.75" customHeight="1" x14ac:dyDescent="0.7">
      <c r="B11" s="21" t="s">
        <v>112</v>
      </c>
      <c r="C11" s="22" t="s">
        <v>127</v>
      </c>
      <c r="D11"/>
    </row>
    <row r="12" spans="2:4" ht="33.75" customHeight="1" x14ac:dyDescent="0.7">
      <c r="B12" s="21" t="s">
        <v>129</v>
      </c>
      <c r="C12" s="22" t="s">
        <v>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N,F,T Data Difference</vt:lpstr>
      <vt:lpstr>Data Type_Paste Spacial_Key S</vt:lpstr>
      <vt:lpstr>Conditional Formate</vt:lpstr>
      <vt:lpstr>ColumnRow</vt:lpstr>
      <vt:lpstr>Syntax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Saiful Islam sagor</dc:creator>
  <cp:lastModifiedBy>Dipan Nandi</cp:lastModifiedBy>
  <dcterms:created xsi:type="dcterms:W3CDTF">2026-05-22T02:15:03Z</dcterms:created>
  <dcterms:modified xsi:type="dcterms:W3CDTF">2026-08-09T21:01:15Z</dcterms:modified>
</cp:coreProperties>
</file>