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dipan\Desktop\Data Analytics\Excel\All Practiced Files\"/>
    </mc:Choice>
  </mc:AlternateContent>
  <xr:revisionPtr revIDLastSave="0" documentId="13_ncr:1_{CFFE4D24-5224-4727-A263-F6B141AE5D35}" xr6:coauthVersionLast="47" xr6:coauthVersionMax="47" xr10:uidLastSave="{00000000-0000-0000-0000-000000000000}"/>
  <bookViews>
    <workbookView xWindow="-108" yWindow="-108" windowWidth="23256" windowHeight="12456" activeTab="3" xr2:uid="{58ADE89D-F32C-4C8E-89AA-15D22F89C6AD}"/>
  </bookViews>
  <sheets>
    <sheet name="Filter Data FX" sheetId="8" r:id="rId1"/>
    <sheet name="Table Data FX" sheetId="12" r:id="rId2"/>
    <sheet name="Class Req" sheetId="11" r:id="rId3"/>
    <sheet name="Syntax" sheetId="9" r:id="rId4"/>
  </sheets>
  <definedNames>
    <definedName name="_xlnm._FilterDatabase" localSheetId="0" hidden="1">'Filter Data FX'!$A$2:$L$32</definedName>
    <definedName name="_xlnm._FilterDatabase" localSheetId="1" hidden="1">'Table Data FX'!$A$2:$L$32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13" i="8" l="1"/>
  <c r="D10" i="11"/>
  <c r="D9" i="11"/>
  <c r="F9" i="11"/>
  <c r="D8" i="11"/>
  <c r="D7" i="11" a="1"/>
  <c r="D7" i="11" s="1"/>
  <c r="D6" i="11"/>
  <c r="D5" i="11"/>
  <c r="D4" i="11"/>
  <c r="D3" i="11"/>
  <c r="P13" i="8"/>
  <c r="B10" i="11"/>
  <c r="B9" i="11"/>
  <c r="B8" i="11"/>
  <c r="B7" i="11" a="1"/>
  <c r="B7" i="11" s="1"/>
  <c r="B6" i="11"/>
  <c r="B5" i="11"/>
  <c r="B4" i="11"/>
  <c r="N16" i="8"/>
  <c r="N15" i="8"/>
  <c r="N13" i="8"/>
  <c r="O8" i="8"/>
  <c r="P2" i="8"/>
  <c r="G4" i="12"/>
  <c r="G5" i="12"/>
  <c r="G6" i="12"/>
  <c r="G7" i="12"/>
  <c r="G8" i="12"/>
  <c r="G9" i="12"/>
  <c r="G10" i="12"/>
  <c r="G11" i="12"/>
  <c r="G12" i="12"/>
  <c r="G13" i="12"/>
  <c r="G14" i="12"/>
  <c r="G15" i="12"/>
  <c r="G16" i="12"/>
  <c r="G17" i="12"/>
  <c r="G18" i="12"/>
  <c r="G19" i="12"/>
  <c r="G20" i="12"/>
  <c r="G21" i="12"/>
  <c r="G22" i="12"/>
  <c r="G23" i="12"/>
  <c r="G24" i="12"/>
  <c r="G25" i="12"/>
  <c r="G26" i="12"/>
  <c r="G27" i="12"/>
  <c r="G28" i="12"/>
  <c r="G29" i="12"/>
  <c r="G30" i="12"/>
  <c r="G31" i="12"/>
  <c r="O7" i="12" s="1"/>
  <c r="G32" i="12"/>
  <c r="F1" i="12"/>
  <c r="H1" i="12"/>
  <c r="E1" i="12"/>
  <c r="G3" i="12"/>
  <c r="B3" i="11" s="1"/>
  <c r="F1" i="8"/>
  <c r="H1" i="8"/>
  <c r="E1" i="8"/>
  <c r="G4" i="8"/>
  <c r="O2" i="8" s="1"/>
  <c r="G5" i="8"/>
  <c r="G6" i="8"/>
  <c r="G7" i="8"/>
  <c r="G9" i="8"/>
  <c r="G10" i="8"/>
  <c r="G11" i="8"/>
  <c r="G12" i="8"/>
  <c r="G13" i="8"/>
  <c r="G14" i="8"/>
  <c r="G15" i="8"/>
  <c r="G16" i="8"/>
  <c r="G17" i="8"/>
  <c r="N10" i="8" s="1" a="1"/>
  <c r="N10" i="8" s="1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" i="8"/>
  <c r="G1" i="12" l="1"/>
  <c r="O4" i="8"/>
  <c r="O6" i="8"/>
  <c r="G1" i="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<sst xmlns="http://schemas.openxmlformats.org/spreadsheetml/2006/main" count="261" uniqueCount="109">
  <si>
    <t>Product Category</t>
  </si>
  <si>
    <t>Unit Price</t>
  </si>
  <si>
    <t>Sylhet</t>
  </si>
  <si>
    <t>Barishal</t>
  </si>
  <si>
    <t>Rajshahi</t>
  </si>
  <si>
    <t>Rangpur</t>
  </si>
  <si>
    <t>Khulna</t>
  </si>
  <si>
    <t>Chattogram</t>
  </si>
  <si>
    <t>Cumilla</t>
  </si>
  <si>
    <t>Dhaka</t>
  </si>
  <si>
    <t>Order ID</t>
  </si>
  <si>
    <t>Order Date</t>
  </si>
  <si>
    <t>Region</t>
  </si>
  <si>
    <t>Units Sold</t>
  </si>
  <si>
    <t>Total Sales</t>
  </si>
  <si>
    <t>Target Sales</t>
  </si>
  <si>
    <t>Profit %</t>
  </si>
  <si>
    <t>Stock Left</t>
  </si>
  <si>
    <t>Delivery Days</t>
  </si>
  <si>
    <t>Customer Rating</t>
  </si>
  <si>
    <t>O1001</t>
  </si>
  <si>
    <t>Mobile</t>
  </si>
  <si>
    <t>O1002</t>
  </si>
  <si>
    <t>Laptop</t>
  </si>
  <si>
    <t>O1003</t>
  </si>
  <si>
    <t>Accessories</t>
  </si>
  <si>
    <t>O1004</t>
  </si>
  <si>
    <t>O1005</t>
  </si>
  <si>
    <t>TV</t>
  </si>
  <si>
    <t>O1006</t>
  </si>
  <si>
    <t>O1007</t>
  </si>
  <si>
    <t>O1008</t>
  </si>
  <si>
    <t>O1009</t>
  </si>
  <si>
    <t>O1010</t>
  </si>
  <si>
    <t>O1011</t>
  </si>
  <si>
    <t>O1012</t>
  </si>
  <si>
    <t>O1013</t>
  </si>
  <si>
    <t>O1014</t>
  </si>
  <si>
    <t>O1015</t>
  </si>
  <si>
    <t>O1016</t>
  </si>
  <si>
    <t>O1017</t>
  </si>
  <si>
    <t>O1018</t>
  </si>
  <si>
    <t>O1019</t>
  </si>
  <si>
    <t>O1020</t>
  </si>
  <si>
    <t>O1021</t>
  </si>
  <si>
    <t>O1022</t>
  </si>
  <si>
    <t>O1023</t>
  </si>
  <si>
    <t>O1024</t>
  </si>
  <si>
    <t>O1025</t>
  </si>
  <si>
    <t>O1026</t>
  </si>
  <si>
    <t>O1027</t>
  </si>
  <si>
    <t>O1028</t>
  </si>
  <si>
    <t>O1029</t>
  </si>
  <si>
    <t>O1030</t>
  </si>
  <si>
    <t>HP Laptop</t>
  </si>
  <si>
    <t>SUMSUNG Laptop</t>
  </si>
  <si>
    <t>Laptop 2nd Hand</t>
  </si>
  <si>
    <t xml:space="preserve">Sum IF </t>
  </si>
  <si>
    <t>Sum IFS</t>
  </si>
  <si>
    <t>Average IF</t>
  </si>
  <si>
    <t>Average Ifs</t>
  </si>
  <si>
    <t>MaX IFS</t>
  </si>
  <si>
    <t>Count IF</t>
  </si>
  <si>
    <t>Count IFS</t>
  </si>
  <si>
    <t>COUNT</t>
  </si>
  <si>
    <t>COUNT A</t>
  </si>
  <si>
    <t>COUNT BLANK</t>
  </si>
  <si>
    <t xml:space="preserve"> =COUNT(range)</t>
  </si>
  <si>
    <t xml:space="preserve"> =COUNTA(range)</t>
  </si>
  <si>
    <t xml:space="preserve"> =COUNTBLANK(range)</t>
  </si>
  <si>
    <t xml:space="preserve"> =SUMIF(range,criteria,sum_range)</t>
  </si>
  <si>
    <t xml:space="preserve"> =SUMIFS(sum_range,criteria_range1,criteria1,criteria_range2,criteria2)</t>
  </si>
  <si>
    <t xml:space="preserve"> =COUNTIF(range,criteria)</t>
  </si>
  <si>
    <t xml:space="preserve"> =COUNTIFS(criteria_range1,criteria1,criteria_range2,criteria2)</t>
  </si>
  <si>
    <t xml:space="preserve"> =AVERAGEIF(range,criteria,average_range)</t>
  </si>
  <si>
    <t xml:space="preserve"> =AVERAGEIFS(average_range,criteria_range1,criteria1,criteria_range2,criteria2)</t>
  </si>
  <si>
    <t xml:space="preserve"> =MAXIFS(max_range,criteria_range1,criteria1,criteria_range2,criteria2)</t>
  </si>
  <si>
    <t xml:space="preserve"> =MINIFS(min_range,criteria_range1,criteria1,criteria_range2,criteria2)</t>
  </si>
  <si>
    <t>MIN IFS</t>
  </si>
  <si>
    <t>Formula</t>
  </si>
  <si>
    <t>Syntax</t>
  </si>
  <si>
    <t>Class Requirement / Practice Scenarios</t>
  </si>
  <si>
    <t>1. Dhaka Area-এর Total Sales কত?</t>
  </si>
  <si>
    <t>2. Dhaka Area-এর Mobile Sales কত?</t>
  </si>
  <si>
    <t>3. Total Sales যদি 300,000 এর বেশি হয়, তাহলে সেই Sales-এর Total কত?</t>
  </si>
  <si>
    <t>4. Dhaka Area-তে 300,000 এর বেশি Sales হয়েছে এমন Sales-এর Total কত?</t>
  </si>
  <si>
    <t>5. Area যদি Dhaka অথবা Sylhet হয়, তাহলে Total Sales কত?</t>
  </si>
  <si>
    <t>6. Brand যাই হোক না কেন, Laptop-এর Total Sales কত?</t>
  </si>
  <si>
    <t>7. 17-May-2026 থেকে পরবর্তী সব Sales-এর Total কত?</t>
  </si>
  <si>
    <t>8. 17-May-2026 থেকে 26-May-2026 পর্যন্ত Total Sales কত?</t>
  </si>
  <si>
    <t>Covered Functions:</t>
  </si>
  <si>
    <t>• SUMIF</t>
  </si>
  <si>
    <t>• SUMIFS</t>
  </si>
  <si>
    <t>• COUNTIF</t>
  </si>
  <si>
    <t>• COUNTIFS</t>
  </si>
  <si>
    <t>• AVERAGEIF</t>
  </si>
  <si>
    <t>• AVERAGEIFS</t>
  </si>
  <si>
    <t>• MAXIFS</t>
  </si>
  <si>
    <t>• MINIFS</t>
  </si>
  <si>
    <t>• Date-Based Analysis</t>
  </si>
  <si>
    <t>• Multiple Criteria Analysis</t>
  </si>
  <si>
    <t>• Wildcard-Based Analysis (*)</t>
  </si>
  <si>
    <r>
      <t xml:space="preserve">Note : </t>
    </r>
    <r>
      <rPr>
        <b/>
        <sz val="11"/>
        <color theme="9" tint="-0.249977111117893"/>
        <rFont val="Aptos Narrow"/>
        <scheme val="minor"/>
      </rPr>
      <t>Try on Filter Data &amp; Table Data Both</t>
    </r>
  </si>
  <si>
    <t>G</t>
  </si>
  <si>
    <t>L</t>
  </si>
  <si>
    <t>Date</t>
  </si>
  <si>
    <t>Dhaka,Sylhet &amp; Rangpur</t>
  </si>
  <si>
    <r>
      <t xml:space="preserve"> =SUMIFS(Table1[Total Sales], Table1[Order Date], "&gt;="</t>
    </r>
    <r>
      <rPr>
        <sz val="11"/>
        <color rgb="FFFF0000"/>
        <rFont val="Aptos Narrow"/>
        <family val="2"/>
        <scheme val="minor"/>
      </rPr>
      <t>&amp;</t>
    </r>
    <r>
      <rPr>
        <sz val="11"/>
        <color theme="1"/>
        <rFont val="Aptos Narrow"/>
        <family val="2"/>
        <scheme val="minor"/>
      </rPr>
      <t>DATE(2026,5,17), Table1[Order Date], "&lt;="</t>
    </r>
    <r>
      <rPr>
        <sz val="11"/>
        <color rgb="FFFF0000"/>
        <rFont val="Aptos Narrow"/>
        <family val="2"/>
        <scheme val="minor"/>
      </rPr>
      <t>&amp;</t>
    </r>
    <r>
      <rPr>
        <sz val="11"/>
        <color theme="1"/>
        <rFont val="Aptos Narrow"/>
        <family val="2"/>
        <scheme val="minor"/>
      </rPr>
      <t>DATE(2026,5,26))</t>
    </r>
  </si>
  <si>
    <t>Coutifs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</si>
</sst>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$&quot;* #,##0.00_);_(&quot;$&quot;* \(#,##0.00\);_(&quot;$&quot;* &quot;-&quot;??_);_(@_)"/>
    <numFmt numFmtId="165" formatCode="_(&quot;$&quot;* #,##0_);_(&quot;$&quot;* \(#,##0\);_(&quot;$&quot;* &quot;-&quot;??_);_(@_)"/>
    <numFmt numFmtId="166" formatCode="&quot;$&quot;#,##0"/>
  </numFmts>
  <fonts count="10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28"/>
      <color theme="1"/>
      <name val="Aptos Narrow"/>
      <family val="2"/>
      <scheme val="minor"/>
    </font>
    <font>
      <sz val="28"/>
      <color theme="1"/>
      <name val="Calibri Light"/>
      <family val="2"/>
    </font>
    <font>
      <b/>
      <sz val="20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1"/>
      <color theme="9" tint="-0.249977111117893"/>
      <name val="Aptos Narrow"/>
      <scheme val="minor"/>
    </font>
    <font>
      <sz val="11"/>
      <color rgb="FFFF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164" fontId="3" fillId="0" borderId="0" applyFont="0" applyFill="0" applyBorder="0" applyAlignment="0" applyProtection="0"/>
  </cellStyleXfs>
  <cellXfs count="28">
    <xf numFmtId="0" fontId="0" fillId="0" borderId="0" xfId="0"/>
    <xf numFmtId="0" fontId="0" fillId="0" borderId="1" xfId="0" applyBorder="1" applyAlignment="1">
      <alignment vertical="center"/>
    </xf>
    <xf numFmtId="9" fontId="0" fillId="0" borderId="1" xfId="0" applyNumberFormat="1" applyBorder="1" applyAlignment="1">
      <alignment vertical="center"/>
    </xf>
    <xf numFmtId="15" fontId="0" fillId="0" borderId="1" xfId="0" applyNumberFormat="1" applyBorder="1" applyAlignment="1">
      <alignment vertical="center"/>
    </xf>
    <xf numFmtId="0" fontId="0" fillId="3" borderId="0" xfId="0" applyFill="1"/>
    <xf numFmtId="0" fontId="0" fillId="0" borderId="0" xfId="0" applyAlignment="1">
      <alignment vertical="center"/>
    </xf>
    <xf numFmtId="0" fontId="4" fillId="0" borderId="0" xfId="0" applyFont="1"/>
    <xf numFmtId="0" fontId="6" fillId="3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7" fillId="4" borderId="1" xfId="0" applyFont="1" applyFill="1" applyBorder="1"/>
    <xf numFmtId="165" fontId="7" fillId="4" borderId="1" xfId="1" applyNumberFormat="1" applyFont="1" applyFill="1" applyBorder="1"/>
    <xf numFmtId="0" fontId="0" fillId="0" borderId="0" xfId="0" applyAlignment="1">
      <alignment horizontal="left" vertical="center" indent="1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0" fillId="0" borderId="7" xfId="0" applyBorder="1" applyAlignment="1">
      <alignment vertical="center"/>
    </xf>
    <xf numFmtId="15" fontId="0" fillId="0" borderId="8" xfId="0" applyNumberFormat="1" applyBorder="1" applyAlignment="1">
      <alignment vertical="center"/>
    </xf>
    <xf numFmtId="0" fontId="0" fillId="0" borderId="8" xfId="0" applyBorder="1" applyAlignment="1">
      <alignment vertical="center"/>
    </xf>
    <xf numFmtId="9" fontId="0" fillId="0" borderId="8" xfId="0" applyNumberFormat="1" applyBorder="1" applyAlignment="1">
      <alignment vertical="center"/>
    </xf>
    <xf numFmtId="0" fontId="0" fillId="0" borderId="9" xfId="0" applyBorder="1" applyAlignment="1">
      <alignment vertical="center"/>
    </xf>
    <xf numFmtId="165" fontId="4" fillId="0" borderId="0" xfId="1" applyNumberFormat="1" applyFont="1" applyAlignment="1">
      <alignment horizontal="center" vertical="center"/>
    </xf>
    <xf numFmtId="165" fontId="0" fillId="0" borderId="0" xfId="1" applyNumberFormat="1" applyFont="1"/>
    <xf numFmtId="165" fontId="0" fillId="3" borderId="0" xfId="1" applyNumberFormat="1" applyFont="1" applyFill="1"/>
    <xf numFmtId="166" fontId="0" fillId="0" borderId="0" xfId="0" applyNumberFormat="1"/>
    <xf numFmtId="0" fontId="9" fillId="0" borderId="0" xfId="0" applyFont="1"/>
  </cellXfs>
  <cellStyles count="2">
    <cellStyle name="Currency" xfId="1" builtinId="4"/>
    <cellStyle name="Normal" xfId="0" builtinId="0"/>
  </cellStyles>
  <dxfs count="35">
    <dxf>
      <fill>
        <patternFill>
          <bgColor rgb="FFFFFF00"/>
        </patternFill>
      </fill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3" formatCode="0%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7" formatCode="d\-mmm\-yy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3" formatCode="0%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7" formatCode="d\-mmm\-yy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6CE124F-4E07-49EE-8461-CD7A69ACB680}" name="Table2" displayName="Table2" ref="A2:L32" totalsRowShown="0" headerRowDxfId="34" dataDxfId="32" headerRowBorderDxfId="33" tableBorderDxfId="31" totalsRowBorderDxfId="30">
  <autoFilter ref="A2:L32" xr:uid="{D7949295-FAD2-41A8-986F-102BBE2C7BAE}"/>
  <tableColumns count="12">
    <tableColumn id="1" xr3:uid="{C2A50AC8-BAFF-4A6A-87C4-5F7BDDB3DFBE}" name="Order ID" dataDxfId="29"/>
    <tableColumn id="2" xr3:uid="{5E9DFC50-5635-46EA-983F-449FD04DFE87}" name="Order Date" dataDxfId="28"/>
    <tableColumn id="3" xr3:uid="{256D8336-CC4B-4BDA-8DE7-F4C233513E23}" name="Region" dataDxfId="27"/>
    <tableColumn id="4" xr3:uid="{B7B3308B-8915-46A0-ABC2-D0E13B90D852}" name="Product Category" dataDxfId="26"/>
    <tableColumn id="5" xr3:uid="{927D8441-171C-4A52-87FD-2EF6ECB9CB91}" name="Units Sold" dataDxfId="25"/>
    <tableColumn id="6" xr3:uid="{B0263300-B3F0-4963-9D7E-386C08C280E0}" name="Unit Price" dataDxfId="24"/>
    <tableColumn id="7" xr3:uid="{69CFB815-F6C6-4DF5-A3E9-88E624251766}" name="Total Sales" dataDxfId="23">
      <calculatedColumnFormula>F3*E3</calculatedColumnFormula>
    </tableColumn>
    <tableColumn id="8" xr3:uid="{DE5645CB-7140-4E3A-96B3-6F442B7E3627}" name="Target Sales" dataDxfId="22"/>
    <tableColumn id="9" xr3:uid="{BC83E498-008E-474B-9A42-33C7A1C8AEA8}" name="Profit %" dataDxfId="21"/>
    <tableColumn id="10" xr3:uid="{7F4C543E-E12D-4DA7-8EA6-98F112D3FB1E}" name="Stock Left" dataDxfId="20"/>
    <tableColumn id="11" xr3:uid="{F790F5E9-60D9-4FC3-9745-5D18C10EB283}" name="Delivery Days" dataDxfId="19"/>
    <tableColumn id="12" xr3:uid="{E0524077-4927-41B4-BA3B-D0DE401678CB}" name="Customer Rating" dataDxfId="18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E6DB08C-5F81-42FF-A714-858B9CC06E23}" name="Table1" displayName="Table1" ref="A2:L32" totalsRowShown="0" headerRowDxfId="17" dataDxfId="15" headerRowBorderDxfId="16" tableBorderDxfId="14" totalsRowBorderDxfId="13">
  <autoFilter ref="A2:L32" xr:uid="{DE6DB08C-5F81-42FF-A714-858B9CC06E23}"/>
  <tableColumns count="12">
    <tableColumn id="1" xr3:uid="{E8FE2B6C-4976-415C-9DEC-50864778D754}" name="Order ID" dataDxfId="12"/>
    <tableColumn id="2" xr3:uid="{EB6A201F-ECDB-4E3A-95EC-36DBF77B0F7E}" name="Order Date" dataDxfId="11"/>
    <tableColumn id="3" xr3:uid="{8A80EE4F-7EB3-4EB0-9495-A655E5975CD7}" name="Region" dataDxfId="10"/>
    <tableColumn id="4" xr3:uid="{DB903F1D-246B-42C1-A571-FCD7465C5D8C}" name="Product Category" dataDxfId="9"/>
    <tableColumn id="5" xr3:uid="{84A87AE6-C18F-4CA1-90F0-12A38D6F16A2}" name="Units Sold" dataDxfId="8"/>
    <tableColumn id="6" xr3:uid="{63C45F76-A963-4ABB-A865-183AF09AC450}" name="Unit Price" dataDxfId="7"/>
    <tableColumn id="7" xr3:uid="{0A6C0AC9-631B-4F36-99C9-8DCDAD1598C8}" name="Total Sales" dataDxfId="6">
      <calculatedColumnFormula>F3*E3</calculatedColumnFormula>
    </tableColumn>
    <tableColumn id="8" xr3:uid="{AE94BBB8-CCA8-46A3-BA7D-13557ACBF3BC}" name="Target Sales" dataDxfId="5"/>
    <tableColumn id="9" xr3:uid="{2265A2BF-800F-4B65-A9C1-38B09226F1E6}" name="Profit %" dataDxfId="4"/>
    <tableColumn id="10" xr3:uid="{73B831F5-E382-4B56-8DBA-F83ED0D04A41}" name="Stock Left" dataDxfId="3"/>
    <tableColumn id="11" xr3:uid="{480584E9-DF8B-4C06-9DCF-5A8682DF51E6}" name="Delivery Days" dataDxfId="2"/>
    <tableColumn id="12" xr3:uid="{4A4A1278-E30E-405C-8C1F-702F12B03E7D}" name="Customer Rating" dataDxfId="1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49295-FAD2-41A8-986F-102BBE2C7BAE}">
  <dimension ref="A1:P49"/>
  <sheetViews>
    <sheetView topLeftCell="D1" zoomScale="90" zoomScaleNormal="90" workbookViewId="0">
      <selection activeCell="O4" sqref="O4"/>
    </sheetView>
  </sheetViews>
  <sheetFormatPr defaultColWidth="8.88671875" defaultRowHeight="14.4" x14ac:dyDescent="0.3"/>
  <cols>
    <col min="1" max="1" width="12.21875" bestFit="1" customWidth="1"/>
    <col min="2" max="2" width="14.44140625" bestFit="1" customWidth="1"/>
    <col min="3" max="3" width="11.109375" bestFit="1" customWidth="1"/>
    <col min="4" max="4" width="20.33203125" bestFit="1" customWidth="1"/>
    <col min="5" max="5" width="13.77734375" bestFit="1" customWidth="1"/>
    <col min="6" max="7" width="14.44140625" bestFit="1" customWidth="1"/>
    <col min="8" max="8" width="15.77734375" bestFit="1" customWidth="1"/>
    <col min="9" max="9" width="11.77734375" bestFit="1" customWidth="1"/>
    <col min="10" max="10" width="13.6640625" bestFit="1" customWidth="1"/>
    <col min="11" max="11" width="17.33203125" bestFit="1" customWidth="1"/>
    <col min="12" max="12" width="19.6640625" bestFit="1" customWidth="1"/>
    <col min="13" max="13" width="10" customWidth="1"/>
    <col min="14" max="14" width="21.44140625" customWidth="1"/>
    <col min="15" max="15" width="36.44140625" customWidth="1"/>
    <col min="16" max="16" width="26.44140625" customWidth="1"/>
    <col min="17" max="17" width="16.21875" customWidth="1"/>
    <col min="18" max="18" width="11.33203125" bestFit="1" customWidth="1"/>
  </cols>
  <sheetData>
    <row r="1" spans="1:16" ht="25.2" customHeight="1" x14ac:dyDescent="0.3">
      <c r="E1" s="10">
        <f>SUBTOTAL(9,E3:E32)</f>
        <v>349</v>
      </c>
      <c r="F1" s="11">
        <f t="shared" ref="F1:H1" si="0">SUBTOTAL(9,F3:F32)</f>
        <v>1478500</v>
      </c>
      <c r="G1" s="11">
        <f t="shared" si="0"/>
        <v>6680000</v>
      </c>
      <c r="H1" s="11">
        <f t="shared" si="0"/>
        <v>6690000</v>
      </c>
      <c r="O1" t="s">
        <v>9</v>
      </c>
      <c r="P1" t="s">
        <v>25</v>
      </c>
    </row>
    <row r="2" spans="1:16" ht="36.6" x14ac:dyDescent="0.3">
      <c r="A2" s="15" t="s">
        <v>10</v>
      </c>
      <c r="B2" s="16" t="s">
        <v>11</v>
      </c>
      <c r="C2" s="16" t="s">
        <v>12</v>
      </c>
      <c r="D2" s="16" t="s">
        <v>0</v>
      </c>
      <c r="E2" s="16" t="s">
        <v>13</v>
      </c>
      <c r="F2" s="16" t="s">
        <v>1</v>
      </c>
      <c r="G2" s="16" t="s">
        <v>14</v>
      </c>
      <c r="H2" s="16" t="s">
        <v>15</v>
      </c>
      <c r="I2" s="16" t="s">
        <v>16</v>
      </c>
      <c r="J2" s="16" t="s">
        <v>17</v>
      </c>
      <c r="K2" s="16" t="s">
        <v>18</v>
      </c>
      <c r="L2" s="17" t="s">
        <v>19</v>
      </c>
      <c r="O2" s="23">
        <f>SUMIFS(Table2[Total Sales],Table2[Region],O1)</f>
        <v>1221000</v>
      </c>
      <c r="P2" s="23">
        <f>SUMIFS(Table2[Total Sales],Table2[Region],O1,Table2[Product Category],P1)</f>
        <v>147000</v>
      </c>
    </row>
    <row r="3" spans="1:16" x14ac:dyDescent="0.3">
      <c r="A3" s="13" t="s">
        <v>20</v>
      </c>
      <c r="B3" s="3">
        <v>46143</v>
      </c>
      <c r="C3" s="1" t="s">
        <v>9</v>
      </c>
      <c r="D3" s="1" t="s">
        <v>21</v>
      </c>
      <c r="E3" s="1">
        <v>12</v>
      </c>
      <c r="F3" s="1">
        <v>22000</v>
      </c>
      <c r="G3" s="1">
        <f>F3*E3</f>
        <v>264000</v>
      </c>
      <c r="H3" s="1">
        <v>250000</v>
      </c>
      <c r="I3" s="2">
        <v>0.18</v>
      </c>
      <c r="J3" s="1">
        <v>45</v>
      </c>
      <c r="K3" s="1">
        <v>2</v>
      </c>
      <c r="L3" s="14">
        <v>4.7</v>
      </c>
      <c r="N3" t="s">
        <v>103</v>
      </c>
      <c r="O3" s="5"/>
    </row>
    <row r="4" spans="1:16" x14ac:dyDescent="0.3">
      <c r="A4" s="13" t="s">
        <v>22</v>
      </c>
      <c r="B4" s="3">
        <v>46144</v>
      </c>
      <c r="C4" s="1" t="s">
        <v>7</v>
      </c>
      <c r="D4" s="1" t="s">
        <v>56</v>
      </c>
      <c r="E4" s="1">
        <v>4</v>
      </c>
      <c r="F4" s="1">
        <v>78000</v>
      </c>
      <c r="G4" s="1">
        <f>F4*E4</f>
        <v>312000</v>
      </c>
      <c r="H4" s="1">
        <v>350000</v>
      </c>
      <c r="I4" s="2">
        <v>0.12</v>
      </c>
      <c r="J4" s="1">
        <v>8</v>
      </c>
      <c r="K4" s="1">
        <v>5</v>
      </c>
      <c r="L4" s="14">
        <v>4.0999999999999996</v>
      </c>
      <c r="N4" s="25">
        <v>200000</v>
      </c>
      <c r="O4" s="24">
        <f>SUMIFS(Table2[Total Sales],Table2[Total Sales],"&gt;"&amp;N4)</f>
        <v>5295000</v>
      </c>
    </row>
    <row r="5" spans="1:16" x14ac:dyDescent="0.3">
      <c r="A5" s="13" t="s">
        <v>24</v>
      </c>
      <c r="B5" s="3">
        <v>46145</v>
      </c>
      <c r="C5" s="1" t="s">
        <v>2</v>
      </c>
      <c r="D5" s="1" t="s">
        <v>25</v>
      </c>
      <c r="E5" s="1">
        <v>20</v>
      </c>
      <c r="F5" s="1">
        <v>3200</v>
      </c>
      <c r="G5" s="1">
        <f>F5*E5</f>
        <v>64000</v>
      </c>
      <c r="H5" s="1">
        <v>50000</v>
      </c>
      <c r="I5" s="2">
        <v>0.25</v>
      </c>
      <c r="J5" s="1">
        <v>70</v>
      </c>
      <c r="K5" s="1">
        <v>1</v>
      </c>
      <c r="L5" s="14">
        <v>4.9000000000000004</v>
      </c>
      <c r="N5" t="s">
        <v>104</v>
      </c>
    </row>
    <row r="6" spans="1:16" x14ac:dyDescent="0.3">
      <c r="A6" s="13" t="s">
        <v>26</v>
      </c>
      <c r="B6" s="3">
        <v>46146</v>
      </c>
      <c r="C6" s="1" t="s">
        <v>4</v>
      </c>
      <c r="D6" s="1" t="s">
        <v>21</v>
      </c>
      <c r="E6" s="1">
        <v>3</v>
      </c>
      <c r="F6" s="1">
        <v>145000</v>
      </c>
      <c r="G6" s="1">
        <f>F6*E6</f>
        <v>435000</v>
      </c>
      <c r="H6" s="1">
        <v>400000</v>
      </c>
      <c r="I6" s="2">
        <v>0.2</v>
      </c>
      <c r="J6" s="1">
        <v>5</v>
      </c>
      <c r="K6" s="1">
        <v>7</v>
      </c>
      <c r="L6" s="14">
        <v>4.8</v>
      </c>
      <c r="N6" s="25">
        <v>200000</v>
      </c>
      <c r="O6" s="24">
        <f>SUMIFS(Table2[Total Sales],Table2[Total Sales],"&lt;"&amp;N6)</f>
        <v>1385000</v>
      </c>
    </row>
    <row r="7" spans="1:16" x14ac:dyDescent="0.3">
      <c r="A7" s="13" t="s">
        <v>27</v>
      </c>
      <c r="B7" s="3">
        <v>46147</v>
      </c>
      <c r="C7" s="1" t="s">
        <v>6</v>
      </c>
      <c r="D7" s="1" t="s">
        <v>28</v>
      </c>
      <c r="E7" s="1">
        <v>2</v>
      </c>
      <c r="F7" s="1">
        <v>52000</v>
      </c>
      <c r="G7" s="1">
        <f>F7*E7</f>
        <v>104000</v>
      </c>
      <c r="H7" s="1">
        <v>120000</v>
      </c>
      <c r="I7" s="2">
        <v>0.1</v>
      </c>
      <c r="J7" s="1">
        <v>6</v>
      </c>
      <c r="K7" s="1">
        <v>4</v>
      </c>
      <c r="L7" s="14">
        <v>3.7</v>
      </c>
      <c r="N7" t="s">
        <v>105</v>
      </c>
    </row>
    <row r="8" spans="1:16" x14ac:dyDescent="0.3">
      <c r="A8" s="13" t="s">
        <v>29</v>
      </c>
      <c r="B8" s="3">
        <v>46148</v>
      </c>
      <c r="C8" s="1" t="s">
        <v>9</v>
      </c>
      <c r="D8" s="1" t="s">
        <v>55</v>
      </c>
      <c r="E8" s="1">
        <v>5</v>
      </c>
      <c r="F8" s="1">
        <v>65000</v>
      </c>
      <c r="G8" s="1">
        <v>320000</v>
      </c>
      <c r="H8" s="1">
        <v>300000</v>
      </c>
      <c r="I8" s="2">
        <v>0.15</v>
      </c>
      <c r="J8" s="1">
        <v>10</v>
      </c>
      <c r="K8" s="1">
        <v>3</v>
      </c>
      <c r="L8" s="14">
        <v>4.2</v>
      </c>
      <c r="N8" s="3">
        <v>46153</v>
      </c>
      <c r="O8">
        <f>SUMIFS(Table2[Target Sales],Table2[Order Date],"&gt;="&amp;N8)</f>
        <v>4240000</v>
      </c>
    </row>
    <row r="9" spans="1:16" x14ac:dyDescent="0.3">
      <c r="A9" s="13" t="s">
        <v>30</v>
      </c>
      <c r="B9" s="3">
        <v>46149</v>
      </c>
      <c r="C9" s="1" t="s">
        <v>3</v>
      </c>
      <c r="D9" s="1" t="s">
        <v>21</v>
      </c>
      <c r="E9" s="1">
        <v>15</v>
      </c>
      <c r="F9" s="1">
        <v>21000</v>
      </c>
      <c r="G9" s="1">
        <f t="shared" ref="G9:G32" si="1">F9*E9</f>
        <v>315000</v>
      </c>
      <c r="H9" s="1">
        <v>280000</v>
      </c>
      <c r="I9" s="2">
        <v>0.22</v>
      </c>
      <c r="J9" s="1">
        <v>30</v>
      </c>
      <c r="K9" s="1">
        <v>2</v>
      </c>
      <c r="L9" s="14">
        <v>4.5</v>
      </c>
      <c r="N9" t="s">
        <v>106</v>
      </c>
    </row>
    <row r="10" spans="1:16" x14ac:dyDescent="0.3">
      <c r="A10" s="13" t="s">
        <v>31</v>
      </c>
      <c r="B10" s="3">
        <v>46150</v>
      </c>
      <c r="C10" s="1" t="s">
        <v>5</v>
      </c>
      <c r="D10" s="1" t="s">
        <v>25</v>
      </c>
      <c r="E10" s="1">
        <v>25</v>
      </c>
      <c r="F10" s="1">
        <v>2800</v>
      </c>
      <c r="G10" s="1">
        <f t="shared" si="1"/>
        <v>70000</v>
      </c>
      <c r="H10" s="1">
        <v>90000</v>
      </c>
      <c r="I10" s="2">
        <v>0.08</v>
      </c>
      <c r="J10" s="1">
        <v>18</v>
      </c>
      <c r="K10" s="1">
        <v>6</v>
      </c>
      <c r="L10" s="14">
        <v>3.4</v>
      </c>
      <c r="N10" s="24" cm="1">
        <f t="array" ref="N10">SUM(SUMIFS(Table2[Total Sales],Table2[Region],{"Dhaka","Sylhet","Rangpur"}))</f>
        <v>2502000</v>
      </c>
    </row>
    <row r="11" spans="1:16" x14ac:dyDescent="0.3">
      <c r="A11" s="13" t="s">
        <v>32</v>
      </c>
      <c r="B11" s="3">
        <v>46151</v>
      </c>
      <c r="C11" s="1" t="s">
        <v>9</v>
      </c>
      <c r="D11" s="1" t="s">
        <v>23</v>
      </c>
      <c r="E11" s="1">
        <v>2</v>
      </c>
      <c r="F11" s="1">
        <v>70000</v>
      </c>
      <c r="G11" s="1">
        <f t="shared" si="1"/>
        <v>140000</v>
      </c>
      <c r="H11" s="1">
        <v>250000</v>
      </c>
      <c r="I11" s="2">
        <v>0.28000000000000003</v>
      </c>
      <c r="J11" s="1">
        <v>4</v>
      </c>
      <c r="K11" s="1">
        <v>8</v>
      </c>
      <c r="L11" s="14">
        <v>4.9000000000000004</v>
      </c>
    </row>
    <row r="12" spans="1:16" x14ac:dyDescent="0.3">
      <c r="A12" s="13" t="s">
        <v>33</v>
      </c>
      <c r="B12" s="3">
        <v>46152</v>
      </c>
      <c r="C12" s="1" t="s">
        <v>8</v>
      </c>
      <c r="D12" s="1" t="s">
        <v>21</v>
      </c>
      <c r="E12" s="1">
        <v>10</v>
      </c>
      <c r="F12" s="1">
        <v>34000</v>
      </c>
      <c r="G12" s="1">
        <f t="shared" si="1"/>
        <v>340000</v>
      </c>
      <c r="H12" s="1">
        <v>360000</v>
      </c>
      <c r="I12" s="2">
        <v>0.14000000000000001</v>
      </c>
      <c r="J12" s="1">
        <v>16</v>
      </c>
      <c r="K12" s="1">
        <v>3</v>
      </c>
      <c r="L12" s="14">
        <v>4</v>
      </c>
      <c r="O12" t="s">
        <v>9</v>
      </c>
      <c r="P12" t="s">
        <v>25</v>
      </c>
    </row>
    <row r="13" spans="1:16" x14ac:dyDescent="0.3">
      <c r="A13" s="13" t="s">
        <v>34</v>
      </c>
      <c r="B13" s="3">
        <v>46153</v>
      </c>
      <c r="C13" s="1" t="s">
        <v>2</v>
      </c>
      <c r="D13" s="1" t="s">
        <v>28</v>
      </c>
      <c r="E13" s="1">
        <v>1</v>
      </c>
      <c r="F13" s="1">
        <v>95000</v>
      </c>
      <c r="G13" s="1">
        <f t="shared" si="1"/>
        <v>95000</v>
      </c>
      <c r="H13" s="1">
        <v>100000</v>
      </c>
      <c r="I13" s="2">
        <v>0.18</v>
      </c>
      <c r="J13" s="1">
        <v>2</v>
      </c>
      <c r="K13" s="1">
        <v>9</v>
      </c>
      <c r="L13" s="14">
        <v>4.5999999999999996</v>
      </c>
      <c r="N13">
        <f>COUNTIFS(Table2[Total Sales],"&gt;50000",Table2[Total Sales],"&lt;200000")</f>
        <v>12</v>
      </c>
      <c r="O13">
        <f>SUMIFS(Table2[Total Sales],Table2[Region],O12)</f>
        <v>1221000</v>
      </c>
      <c r="P13">
        <f>SUMIFS(Table2[Total Sales],Table2[Region],O12,Table2[Product Category],P12)</f>
        <v>147000</v>
      </c>
    </row>
    <row r="14" spans="1:16" x14ac:dyDescent="0.3">
      <c r="A14" s="13" t="s">
        <v>35</v>
      </c>
      <c r="B14" s="3">
        <v>46154</v>
      </c>
      <c r="C14" s="1" t="s">
        <v>7</v>
      </c>
      <c r="D14" s="1" t="s">
        <v>25</v>
      </c>
      <c r="E14" s="1">
        <v>18</v>
      </c>
      <c r="F14" s="1">
        <v>5500</v>
      </c>
      <c r="G14" s="1">
        <f t="shared" si="1"/>
        <v>99000</v>
      </c>
      <c r="H14" s="1">
        <v>85000</v>
      </c>
      <c r="I14" s="2">
        <v>0.21</v>
      </c>
      <c r="J14" s="1">
        <v>40</v>
      </c>
      <c r="K14" s="1">
        <v>2</v>
      </c>
      <c r="L14" s="14">
        <v>4.3</v>
      </c>
    </row>
    <row r="15" spans="1:16" x14ac:dyDescent="0.3">
      <c r="A15" s="13" t="s">
        <v>36</v>
      </c>
      <c r="B15" s="3">
        <v>46155</v>
      </c>
      <c r="C15" s="1" t="s">
        <v>4</v>
      </c>
      <c r="D15" s="1" t="s">
        <v>54</v>
      </c>
      <c r="E15" s="1">
        <v>6</v>
      </c>
      <c r="F15" s="1">
        <v>72000</v>
      </c>
      <c r="G15" s="1">
        <f t="shared" si="1"/>
        <v>432000</v>
      </c>
      <c r="H15" s="1">
        <v>400000</v>
      </c>
      <c r="I15" s="2">
        <v>0.17</v>
      </c>
      <c r="J15" s="1">
        <v>9</v>
      </c>
      <c r="K15" s="1">
        <v>4</v>
      </c>
      <c r="L15" s="14">
        <v>4.4000000000000004</v>
      </c>
      <c r="N15">
        <f>SUMIFS(Table2[Total Sales],Table2[Product Category],"*Laptop*")</f>
        <v>2694000</v>
      </c>
    </row>
    <row r="16" spans="1:16" x14ac:dyDescent="0.3">
      <c r="A16" s="13" t="s">
        <v>37</v>
      </c>
      <c r="B16" s="3">
        <v>46156</v>
      </c>
      <c r="C16" s="1" t="s">
        <v>6</v>
      </c>
      <c r="D16" s="1" t="s">
        <v>21</v>
      </c>
      <c r="E16" s="1">
        <v>7</v>
      </c>
      <c r="F16" s="1">
        <v>38000</v>
      </c>
      <c r="G16" s="1">
        <f t="shared" si="1"/>
        <v>266000</v>
      </c>
      <c r="H16" s="1">
        <v>300000</v>
      </c>
      <c r="I16" s="2">
        <v>0.11</v>
      </c>
      <c r="J16" s="1">
        <v>14</v>
      </c>
      <c r="K16" s="1">
        <v>5</v>
      </c>
      <c r="L16" s="14">
        <v>3.8</v>
      </c>
      <c r="N16">
        <f>SUMIFS(Table2[Total Sales],Table2[Product Category],"*Laptop*")</f>
        <v>2694000</v>
      </c>
    </row>
    <row r="17" spans="1:14" x14ac:dyDescent="0.3">
      <c r="A17" s="13" t="s">
        <v>38</v>
      </c>
      <c r="B17" s="3">
        <v>46157</v>
      </c>
      <c r="C17" s="1" t="s">
        <v>9</v>
      </c>
      <c r="D17" s="1" t="s">
        <v>25</v>
      </c>
      <c r="E17" s="1">
        <v>30</v>
      </c>
      <c r="F17" s="1">
        <v>1800</v>
      </c>
      <c r="G17" s="1">
        <f t="shared" si="1"/>
        <v>54000</v>
      </c>
      <c r="H17" s="1">
        <v>60000</v>
      </c>
      <c r="I17" s="2">
        <v>0.16</v>
      </c>
      <c r="J17" s="1">
        <v>120</v>
      </c>
      <c r="K17" s="1">
        <v>1</v>
      </c>
      <c r="L17" s="14">
        <v>4.0999999999999996</v>
      </c>
    </row>
    <row r="18" spans="1:14" x14ac:dyDescent="0.3">
      <c r="A18" s="13" t="s">
        <v>39</v>
      </c>
      <c r="B18" s="3">
        <v>46158</v>
      </c>
      <c r="C18" s="1" t="s">
        <v>5</v>
      </c>
      <c r="D18" s="1" t="s">
        <v>28</v>
      </c>
      <c r="E18" s="1">
        <v>3</v>
      </c>
      <c r="F18" s="1">
        <v>68000</v>
      </c>
      <c r="G18" s="1">
        <f t="shared" si="1"/>
        <v>204000</v>
      </c>
      <c r="H18" s="1">
        <v>220000</v>
      </c>
      <c r="I18" s="2">
        <v>0.13</v>
      </c>
      <c r="J18" s="1">
        <v>5</v>
      </c>
      <c r="K18" s="1">
        <v>6</v>
      </c>
      <c r="L18" s="14">
        <v>3.9</v>
      </c>
    </row>
    <row r="19" spans="1:14" x14ac:dyDescent="0.3">
      <c r="A19" s="13" t="s">
        <v>40</v>
      </c>
      <c r="B19" s="3">
        <v>46159</v>
      </c>
      <c r="C19" s="1" t="s">
        <v>3</v>
      </c>
      <c r="D19" s="1" t="s">
        <v>23</v>
      </c>
      <c r="E19" s="1">
        <v>5</v>
      </c>
      <c r="F19" s="1">
        <v>80000</v>
      </c>
      <c r="G19" s="1">
        <f t="shared" si="1"/>
        <v>400000</v>
      </c>
      <c r="H19" s="1">
        <v>270000</v>
      </c>
      <c r="I19" s="2">
        <v>0.19</v>
      </c>
      <c r="J19" s="1">
        <v>11</v>
      </c>
      <c r="K19" s="1">
        <v>3</v>
      </c>
      <c r="L19" s="14">
        <v>4.5</v>
      </c>
      <c r="M19" s="5"/>
    </row>
    <row r="20" spans="1:14" x14ac:dyDescent="0.3">
      <c r="A20" s="13" t="s">
        <v>41</v>
      </c>
      <c r="B20" s="3">
        <v>46160</v>
      </c>
      <c r="C20" s="1" t="s">
        <v>8</v>
      </c>
      <c r="D20" s="1" t="s">
        <v>21</v>
      </c>
      <c r="E20" s="1">
        <v>9</v>
      </c>
      <c r="F20" s="1">
        <v>19500</v>
      </c>
      <c r="G20" s="1">
        <f t="shared" si="1"/>
        <v>175500</v>
      </c>
      <c r="H20" s="1">
        <v>200000</v>
      </c>
      <c r="I20" s="2">
        <v>0.09</v>
      </c>
      <c r="J20" s="1">
        <v>20</v>
      </c>
      <c r="K20" s="1">
        <v>4</v>
      </c>
      <c r="L20" s="14">
        <v>3.5</v>
      </c>
      <c r="M20" s="5"/>
      <c r="N20" s="4" t="s">
        <v>23</v>
      </c>
    </row>
    <row r="21" spans="1:14" x14ac:dyDescent="0.3">
      <c r="A21" s="13" t="s">
        <v>42</v>
      </c>
      <c r="B21" s="3">
        <v>46161</v>
      </c>
      <c r="C21" s="1" t="s">
        <v>9</v>
      </c>
      <c r="D21" s="1" t="s">
        <v>25</v>
      </c>
      <c r="E21" s="1">
        <v>40</v>
      </c>
      <c r="F21" s="1">
        <v>1200</v>
      </c>
      <c r="G21" s="1">
        <f t="shared" si="1"/>
        <v>48000</v>
      </c>
      <c r="H21" s="1">
        <v>45000</v>
      </c>
      <c r="I21" s="2">
        <v>0.26</v>
      </c>
      <c r="J21" s="1">
        <v>150</v>
      </c>
      <c r="K21" s="1">
        <v>1</v>
      </c>
      <c r="L21" s="14">
        <v>4.8</v>
      </c>
      <c r="M21" s="5"/>
    </row>
    <row r="22" spans="1:14" x14ac:dyDescent="0.3">
      <c r="A22" s="13" t="s">
        <v>43</v>
      </c>
      <c r="B22" s="3">
        <v>46162</v>
      </c>
      <c r="C22" s="1" t="s">
        <v>2</v>
      </c>
      <c r="D22" s="1" t="s">
        <v>23</v>
      </c>
      <c r="E22" s="1">
        <v>4</v>
      </c>
      <c r="F22" s="1">
        <v>81000</v>
      </c>
      <c r="G22" s="1">
        <f t="shared" si="1"/>
        <v>324000</v>
      </c>
      <c r="H22" s="1">
        <v>310000</v>
      </c>
      <c r="I22" s="2">
        <v>0.2</v>
      </c>
      <c r="J22" s="1">
        <v>7</v>
      </c>
      <c r="K22" s="1">
        <v>5</v>
      </c>
      <c r="L22" s="14">
        <v>4.2</v>
      </c>
      <c r="M22" s="5"/>
    </row>
    <row r="23" spans="1:14" x14ac:dyDescent="0.3">
      <c r="A23" s="13" t="s">
        <v>44</v>
      </c>
      <c r="B23" s="3">
        <v>46163</v>
      </c>
      <c r="C23" s="1" t="s">
        <v>9</v>
      </c>
      <c r="D23" s="1" t="s">
        <v>21</v>
      </c>
      <c r="E23" s="1">
        <v>14</v>
      </c>
      <c r="F23" s="1">
        <v>25000</v>
      </c>
      <c r="G23" s="1">
        <f t="shared" si="1"/>
        <v>350000</v>
      </c>
      <c r="H23" s="1">
        <v>330000</v>
      </c>
      <c r="I23" s="2">
        <v>0.23</v>
      </c>
      <c r="J23" s="1">
        <v>25</v>
      </c>
      <c r="K23" s="1">
        <v>2</v>
      </c>
      <c r="L23" s="14">
        <v>4.7</v>
      </c>
      <c r="M23" s="5"/>
    </row>
    <row r="24" spans="1:14" x14ac:dyDescent="0.3">
      <c r="A24" s="13" t="s">
        <v>45</v>
      </c>
      <c r="B24" s="3">
        <v>46164</v>
      </c>
      <c r="C24" s="1" t="s">
        <v>6</v>
      </c>
      <c r="D24" s="1" t="s">
        <v>28</v>
      </c>
      <c r="E24" s="1">
        <v>2</v>
      </c>
      <c r="F24" s="1">
        <v>88000</v>
      </c>
      <c r="G24" s="1">
        <f t="shared" si="1"/>
        <v>176000</v>
      </c>
      <c r="H24" s="1">
        <v>190000</v>
      </c>
      <c r="I24" s="2">
        <v>0.09</v>
      </c>
      <c r="J24" s="1">
        <v>3</v>
      </c>
      <c r="K24" s="1">
        <v>7</v>
      </c>
      <c r="L24" s="14">
        <v>3.6</v>
      </c>
      <c r="M24" s="5"/>
    </row>
    <row r="25" spans="1:14" x14ac:dyDescent="0.3">
      <c r="A25" s="13" t="s">
        <v>46</v>
      </c>
      <c r="B25" s="3">
        <v>46165</v>
      </c>
      <c r="C25" s="1" t="s">
        <v>4</v>
      </c>
      <c r="D25" s="1" t="s">
        <v>25</v>
      </c>
      <c r="E25" s="1">
        <v>35</v>
      </c>
      <c r="F25" s="1">
        <v>1500</v>
      </c>
      <c r="G25" s="1">
        <f t="shared" si="1"/>
        <v>52500</v>
      </c>
      <c r="H25" s="1">
        <v>50000</v>
      </c>
      <c r="I25" s="2">
        <v>0.27</v>
      </c>
      <c r="J25" s="1">
        <v>80</v>
      </c>
      <c r="K25" s="1">
        <v>1</v>
      </c>
      <c r="L25" s="14">
        <v>4.9000000000000004</v>
      </c>
      <c r="M25" s="5"/>
    </row>
    <row r="26" spans="1:14" x14ac:dyDescent="0.3">
      <c r="A26" s="13" t="s">
        <v>47</v>
      </c>
      <c r="B26" s="3">
        <v>46166</v>
      </c>
      <c r="C26" s="1" t="s">
        <v>7</v>
      </c>
      <c r="D26" s="1" t="s">
        <v>23</v>
      </c>
      <c r="E26" s="1">
        <v>7</v>
      </c>
      <c r="F26" s="1">
        <v>70000</v>
      </c>
      <c r="G26" s="1">
        <f t="shared" si="1"/>
        <v>490000</v>
      </c>
      <c r="H26" s="1">
        <v>450000</v>
      </c>
      <c r="I26" s="2">
        <v>0.18</v>
      </c>
      <c r="J26" s="1">
        <v>6</v>
      </c>
      <c r="K26" s="1">
        <v>6</v>
      </c>
      <c r="L26" s="14">
        <v>4.4000000000000004</v>
      </c>
      <c r="M26" s="5"/>
    </row>
    <row r="27" spans="1:14" x14ac:dyDescent="0.3">
      <c r="A27" s="13" t="s">
        <v>48</v>
      </c>
      <c r="B27" s="3">
        <v>46167</v>
      </c>
      <c r="C27" s="1" t="s">
        <v>8</v>
      </c>
      <c r="D27" s="1" t="s">
        <v>21</v>
      </c>
      <c r="E27" s="1">
        <v>11</v>
      </c>
      <c r="F27" s="1">
        <v>29000</v>
      </c>
      <c r="G27" s="1">
        <f t="shared" si="1"/>
        <v>319000</v>
      </c>
      <c r="H27" s="1">
        <v>340000</v>
      </c>
      <c r="I27" s="2">
        <v>0.13</v>
      </c>
      <c r="J27" s="1">
        <v>12</v>
      </c>
      <c r="K27" s="1">
        <v>3</v>
      </c>
      <c r="L27" s="14">
        <v>4</v>
      </c>
      <c r="M27" s="5"/>
    </row>
    <row r="28" spans="1:14" x14ac:dyDescent="0.3">
      <c r="A28" s="13" t="s">
        <v>49</v>
      </c>
      <c r="B28" s="3">
        <v>46168</v>
      </c>
      <c r="C28" s="1" t="s">
        <v>3</v>
      </c>
      <c r="D28" s="1" t="s">
        <v>28</v>
      </c>
      <c r="E28" s="1">
        <v>1</v>
      </c>
      <c r="F28" s="1">
        <v>110000</v>
      </c>
      <c r="G28" s="1">
        <f t="shared" si="1"/>
        <v>110000</v>
      </c>
      <c r="H28" s="1">
        <v>150000</v>
      </c>
      <c r="I28" s="2">
        <v>7.0000000000000007E-2</v>
      </c>
      <c r="J28" s="1">
        <v>2</v>
      </c>
      <c r="K28" s="1">
        <v>9</v>
      </c>
      <c r="L28" s="14">
        <v>3.2</v>
      </c>
      <c r="M28" s="5"/>
    </row>
    <row r="29" spans="1:14" x14ac:dyDescent="0.3">
      <c r="A29" s="13" t="s">
        <v>50</v>
      </c>
      <c r="B29" s="3">
        <v>46169</v>
      </c>
      <c r="C29" s="1" t="s">
        <v>9</v>
      </c>
      <c r="D29" s="1" t="s">
        <v>25</v>
      </c>
      <c r="E29" s="1">
        <v>45</v>
      </c>
      <c r="F29" s="1">
        <v>1000</v>
      </c>
      <c r="G29" s="1">
        <f t="shared" si="1"/>
        <v>45000</v>
      </c>
      <c r="H29" s="1">
        <v>40000</v>
      </c>
      <c r="I29" s="2">
        <v>0.3</v>
      </c>
      <c r="J29" s="1">
        <v>200</v>
      </c>
      <c r="K29" s="1">
        <v>1</v>
      </c>
      <c r="L29" s="14">
        <v>4.9000000000000004</v>
      </c>
      <c r="M29" s="5"/>
    </row>
    <row r="30" spans="1:14" x14ac:dyDescent="0.3">
      <c r="A30" s="13" t="s">
        <v>51</v>
      </c>
      <c r="B30" s="3">
        <v>46170</v>
      </c>
      <c r="C30" s="1" t="s">
        <v>2</v>
      </c>
      <c r="D30" s="1" t="s">
        <v>23</v>
      </c>
      <c r="E30" s="1">
        <v>3</v>
      </c>
      <c r="F30" s="1">
        <v>92000</v>
      </c>
      <c r="G30" s="1">
        <f t="shared" si="1"/>
        <v>276000</v>
      </c>
      <c r="H30" s="1">
        <v>260000</v>
      </c>
      <c r="I30" s="2">
        <v>0.22</v>
      </c>
      <c r="J30" s="1">
        <v>5</v>
      </c>
      <c r="K30" s="1">
        <v>5</v>
      </c>
      <c r="L30" s="14">
        <v>4.5999999999999996</v>
      </c>
      <c r="M30" s="5"/>
    </row>
    <row r="31" spans="1:14" x14ac:dyDescent="0.3">
      <c r="A31" s="13" t="s">
        <v>52</v>
      </c>
      <c r="B31" s="3">
        <v>46171</v>
      </c>
      <c r="C31" s="1" t="s">
        <v>5</v>
      </c>
      <c r="D31" s="1" t="s">
        <v>21</v>
      </c>
      <c r="E31" s="1">
        <v>8</v>
      </c>
      <c r="F31" s="1">
        <v>31000</v>
      </c>
      <c r="G31" s="1">
        <f t="shared" si="1"/>
        <v>248000</v>
      </c>
      <c r="H31" s="1">
        <v>270000</v>
      </c>
      <c r="I31" s="2">
        <v>0.12</v>
      </c>
      <c r="J31" s="1">
        <v>13</v>
      </c>
      <c r="K31" s="1">
        <v>4</v>
      </c>
      <c r="L31" s="14">
        <v>3.9</v>
      </c>
      <c r="M31" s="5"/>
    </row>
    <row r="32" spans="1:14" x14ac:dyDescent="0.3">
      <c r="A32" s="18" t="s">
        <v>53</v>
      </c>
      <c r="B32" s="19">
        <v>46172</v>
      </c>
      <c r="C32" s="20" t="s">
        <v>7</v>
      </c>
      <c r="D32" s="20" t="s">
        <v>28</v>
      </c>
      <c r="E32" s="20">
        <v>2</v>
      </c>
      <c r="F32" s="20">
        <v>76000</v>
      </c>
      <c r="G32" s="20">
        <f t="shared" si="1"/>
        <v>152000</v>
      </c>
      <c r="H32" s="20">
        <v>170000</v>
      </c>
      <c r="I32" s="21">
        <v>0.11</v>
      </c>
      <c r="J32" s="20">
        <v>4</v>
      </c>
      <c r="K32" s="20">
        <v>8</v>
      </c>
      <c r="L32" s="22">
        <v>3.7</v>
      </c>
      <c r="M32" s="5"/>
    </row>
    <row r="33" spans="13:13" x14ac:dyDescent="0.3">
      <c r="M33" s="5"/>
    </row>
    <row r="34" spans="13:13" x14ac:dyDescent="0.3">
      <c r="M34" s="5"/>
    </row>
    <row r="35" spans="13:13" x14ac:dyDescent="0.3">
      <c r="M35" s="5"/>
    </row>
    <row r="36" spans="13:13" x14ac:dyDescent="0.3">
      <c r="M36" s="5"/>
    </row>
    <row r="37" spans="13:13" x14ac:dyDescent="0.3">
      <c r="M37" s="5"/>
    </row>
    <row r="38" spans="13:13" x14ac:dyDescent="0.3">
      <c r="M38" s="5"/>
    </row>
    <row r="39" spans="13:13" x14ac:dyDescent="0.3">
      <c r="M39" s="5"/>
    </row>
    <row r="40" spans="13:13" x14ac:dyDescent="0.3">
      <c r="M40" s="5"/>
    </row>
    <row r="41" spans="13:13" x14ac:dyDescent="0.3">
      <c r="M41" s="5"/>
    </row>
    <row r="42" spans="13:13" x14ac:dyDescent="0.3">
      <c r="M42" s="5"/>
    </row>
    <row r="43" spans="13:13" x14ac:dyDescent="0.3">
      <c r="M43" s="5"/>
    </row>
    <row r="44" spans="13:13" x14ac:dyDescent="0.3">
      <c r="M44" s="5"/>
    </row>
    <row r="45" spans="13:13" x14ac:dyDescent="0.3">
      <c r="M45" s="5"/>
    </row>
    <row r="46" spans="13:13" x14ac:dyDescent="0.3">
      <c r="M46" s="5"/>
    </row>
    <row r="47" spans="13:13" x14ac:dyDescent="0.3">
      <c r="M47" s="5"/>
    </row>
    <row r="48" spans="13:13" x14ac:dyDescent="0.3">
      <c r="M48" s="5"/>
    </row>
    <row r="49" spans="13:13" x14ac:dyDescent="0.3">
      <c r="M49" s="5"/>
    </row>
  </sheetData>
  <phoneticPr fontId="2" type="noConversion"/>
  <dataValidations count="2">
    <dataValidation type="list" allowBlank="1" showInputMessage="1" showErrorMessage="1" sqref="N20 P1 P12" xr:uid="{742C2B7D-AA06-49E1-9D00-CC56A9175237}">
      <formula1>$D$3:$D$32</formula1>
    </dataValidation>
    <dataValidation type="list" allowBlank="1" showInputMessage="1" showErrorMessage="1" sqref="O1 O12" xr:uid="{04F39BD1-94B6-475B-98C3-AD87C11A3572}">
      <formula1>$C$3:$C$32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243D4-5A13-433B-AB53-BEAB727BC215}">
  <dimension ref="A1:O32"/>
  <sheetViews>
    <sheetView zoomScale="80" zoomScaleNormal="80" workbookViewId="0">
      <selection activeCell="N19" sqref="N19"/>
    </sheetView>
  </sheetViews>
  <sheetFormatPr defaultColWidth="8.88671875" defaultRowHeight="14.4" x14ac:dyDescent="0.3"/>
  <cols>
    <col min="1" max="1" width="12.21875" bestFit="1" customWidth="1"/>
    <col min="2" max="2" width="14.44140625" bestFit="1" customWidth="1"/>
    <col min="3" max="3" width="11.109375" bestFit="1" customWidth="1"/>
    <col min="4" max="4" width="20.33203125" bestFit="1" customWidth="1"/>
    <col min="5" max="5" width="13.77734375" bestFit="1" customWidth="1"/>
    <col min="6" max="7" width="15.33203125" bestFit="1" customWidth="1"/>
    <col min="8" max="8" width="15.88671875" bestFit="1" customWidth="1"/>
    <col min="9" max="9" width="11.77734375" bestFit="1" customWidth="1"/>
    <col min="10" max="10" width="13.6640625" bestFit="1" customWidth="1"/>
    <col min="11" max="11" width="17.33203125" bestFit="1" customWidth="1"/>
    <col min="12" max="12" width="19.6640625" bestFit="1" customWidth="1"/>
    <col min="13" max="13" width="16.33203125" customWidth="1"/>
    <col min="14" max="14" width="15.5546875" bestFit="1" customWidth="1"/>
    <col min="15" max="15" width="17.6640625" bestFit="1" customWidth="1"/>
    <col min="16" max="16" width="21.6640625" customWidth="1"/>
    <col min="17" max="18" width="11.33203125" bestFit="1" customWidth="1"/>
  </cols>
  <sheetData>
    <row r="1" spans="1:15" ht="15.6" x14ac:dyDescent="0.3">
      <c r="E1" s="10">
        <f>SUBTOTAL(9,Table1[Units Sold])</f>
        <v>349</v>
      </c>
      <c r="F1" s="11">
        <f>SUBTOTAL(9,Table1[Unit Price])</f>
        <v>1478500</v>
      </c>
      <c r="G1" s="11">
        <f>SUBTOTAL(9,Table1[Total Sales])</f>
        <v>6685000</v>
      </c>
      <c r="H1" s="11">
        <f>SUBTOTAL(9,Table1[Target Sales])</f>
        <v>6690000</v>
      </c>
    </row>
    <row r="2" spans="1:15" x14ac:dyDescent="0.3">
      <c r="A2" s="15" t="s">
        <v>10</v>
      </c>
      <c r="B2" s="16" t="s">
        <v>11</v>
      </c>
      <c r="C2" s="16" t="s">
        <v>12</v>
      </c>
      <c r="D2" s="16" t="s">
        <v>0</v>
      </c>
      <c r="E2" s="16" t="s">
        <v>13</v>
      </c>
      <c r="F2" s="16" t="s">
        <v>1</v>
      </c>
      <c r="G2" s="16" t="s">
        <v>14</v>
      </c>
      <c r="H2" s="16" t="s">
        <v>15</v>
      </c>
      <c r="I2" s="16" t="s">
        <v>16</v>
      </c>
      <c r="J2" s="16" t="s">
        <v>17</v>
      </c>
      <c r="K2" s="16" t="s">
        <v>18</v>
      </c>
      <c r="L2" s="17" t="s">
        <v>19</v>
      </c>
      <c r="M2" s="5"/>
    </row>
    <row r="3" spans="1:15" x14ac:dyDescent="0.3">
      <c r="A3" s="13" t="s">
        <v>20</v>
      </c>
      <c r="B3" s="3">
        <v>46143</v>
      </c>
      <c r="C3" s="1" t="s">
        <v>9</v>
      </c>
      <c r="D3" s="1" t="s">
        <v>21</v>
      </c>
      <c r="E3" s="1">
        <v>12</v>
      </c>
      <c r="F3" s="1">
        <v>22000</v>
      </c>
      <c r="G3" s="1">
        <f>F3*E3</f>
        <v>264000</v>
      </c>
      <c r="H3" s="1">
        <v>250000</v>
      </c>
      <c r="I3" s="2">
        <v>0.18</v>
      </c>
      <c r="J3" s="1">
        <v>45</v>
      </c>
      <c r="K3" s="1">
        <v>2</v>
      </c>
      <c r="L3" s="14">
        <v>4.7</v>
      </c>
      <c r="M3" s="5"/>
    </row>
    <row r="4" spans="1:15" x14ac:dyDescent="0.3">
      <c r="A4" s="13" t="s">
        <v>22</v>
      </c>
      <c r="B4" s="3">
        <v>46144</v>
      </c>
      <c r="C4" s="1" t="s">
        <v>7</v>
      </c>
      <c r="D4" s="1" t="s">
        <v>56</v>
      </c>
      <c r="E4" s="1">
        <v>4</v>
      </c>
      <c r="F4" s="1">
        <v>78000</v>
      </c>
      <c r="G4" s="1">
        <f t="shared" ref="G4:G32" si="0">F4*E4</f>
        <v>312000</v>
      </c>
      <c r="H4" s="1">
        <v>350000</v>
      </c>
      <c r="I4" s="2">
        <v>0.12</v>
      </c>
      <c r="J4" s="1">
        <v>8</v>
      </c>
      <c r="K4" s="1">
        <v>5</v>
      </c>
      <c r="L4" s="14">
        <v>4.0999999999999996</v>
      </c>
      <c r="M4" s="5"/>
    </row>
    <row r="5" spans="1:15" x14ac:dyDescent="0.3">
      <c r="A5" s="13" t="s">
        <v>24</v>
      </c>
      <c r="B5" s="3">
        <v>46145</v>
      </c>
      <c r="C5" s="1" t="s">
        <v>2</v>
      </c>
      <c r="D5" s="1" t="s">
        <v>25</v>
      </c>
      <c r="E5" s="1">
        <v>20</v>
      </c>
      <c r="F5" s="1">
        <v>3200</v>
      </c>
      <c r="G5" s="1">
        <f t="shared" si="0"/>
        <v>64000</v>
      </c>
      <c r="H5" s="1">
        <v>50000</v>
      </c>
      <c r="I5" s="2">
        <v>0.25</v>
      </c>
      <c r="J5" s="1">
        <v>70</v>
      </c>
      <c r="K5" s="1">
        <v>1</v>
      </c>
      <c r="L5" s="14">
        <v>4.9000000000000004</v>
      </c>
      <c r="M5" s="5"/>
      <c r="O5" s="27" t="s">
        <v>108</v>
      </c>
    </row>
    <row r="6" spans="1:15" x14ac:dyDescent="0.3">
      <c r="A6" s="13" t="s">
        <v>26</v>
      </c>
      <c r="B6" s="3">
        <v>46146</v>
      </c>
      <c r="C6" s="1" t="s">
        <v>4</v>
      </c>
      <c r="D6" s="1" t="s">
        <v>21</v>
      </c>
      <c r="E6" s="1">
        <v>3</v>
      </c>
      <c r="F6" s="1">
        <v>145000</v>
      </c>
      <c r="G6" s="1">
        <f t="shared" si="0"/>
        <v>435000</v>
      </c>
      <c r="H6" s="1">
        <v>400000</v>
      </c>
      <c r="I6" s="2">
        <v>0.2</v>
      </c>
      <c r="J6" s="1">
        <v>5</v>
      </c>
      <c r="K6" s="1">
        <v>7</v>
      </c>
      <c r="L6" s="14">
        <v>4.8</v>
      </c>
      <c r="M6" s="5"/>
    </row>
    <row r="7" spans="1:15" x14ac:dyDescent="0.3">
      <c r="A7" s="13" t="s">
        <v>27</v>
      </c>
      <c r="B7" s="3">
        <v>46147</v>
      </c>
      <c r="C7" s="1" t="s">
        <v>6</v>
      </c>
      <c r="D7" s="1" t="s">
        <v>28</v>
      </c>
      <c r="E7" s="1">
        <v>2</v>
      </c>
      <c r="F7" s="1">
        <v>52000</v>
      </c>
      <c r="G7" s="1">
        <f t="shared" si="0"/>
        <v>104000</v>
      </c>
      <c r="H7" s="1">
        <v>120000</v>
      </c>
      <c r="I7" s="2">
        <v>0.1</v>
      </c>
      <c r="J7" s="1">
        <v>6</v>
      </c>
      <c r="K7" s="1">
        <v>4</v>
      </c>
      <c r="L7" s="14">
        <v>3.7</v>
      </c>
      <c r="M7" s="5"/>
      <c r="O7" s="4">
        <f>COUNTIFS(Table1[Total Sales],"&gt;50000",Table1[Total Sales],"&lt;200000")</f>
        <v>12</v>
      </c>
    </row>
    <row r="8" spans="1:15" x14ac:dyDescent="0.3">
      <c r="A8" s="13" t="s">
        <v>29</v>
      </c>
      <c r="B8" s="3">
        <v>46148</v>
      </c>
      <c r="C8" s="1" t="s">
        <v>9</v>
      </c>
      <c r="D8" s="1" t="s">
        <v>55</v>
      </c>
      <c r="E8" s="1">
        <v>5</v>
      </c>
      <c r="F8" s="1">
        <v>65000</v>
      </c>
      <c r="G8" s="1">
        <f t="shared" si="0"/>
        <v>325000</v>
      </c>
      <c r="H8" s="1">
        <v>300000</v>
      </c>
      <c r="I8" s="2">
        <v>0.15</v>
      </c>
      <c r="J8" s="1">
        <v>10</v>
      </c>
      <c r="K8" s="1">
        <v>3</v>
      </c>
      <c r="L8" s="14">
        <v>4.2</v>
      </c>
      <c r="M8" s="5"/>
    </row>
    <row r="9" spans="1:15" x14ac:dyDescent="0.3">
      <c r="A9" s="13" t="s">
        <v>30</v>
      </c>
      <c r="B9" s="3">
        <v>46149</v>
      </c>
      <c r="C9" s="1" t="s">
        <v>3</v>
      </c>
      <c r="D9" s="1" t="s">
        <v>21</v>
      </c>
      <c r="E9" s="1">
        <v>15</v>
      </c>
      <c r="F9" s="1">
        <v>21000</v>
      </c>
      <c r="G9" s="1">
        <f t="shared" si="0"/>
        <v>315000</v>
      </c>
      <c r="H9" s="1">
        <v>280000</v>
      </c>
      <c r="I9" s="2">
        <v>0.22</v>
      </c>
      <c r="J9" s="1">
        <v>30</v>
      </c>
      <c r="K9" s="1">
        <v>2</v>
      </c>
      <c r="L9" s="14">
        <v>4.5</v>
      </c>
      <c r="M9" s="5"/>
    </row>
    <row r="10" spans="1:15" x14ac:dyDescent="0.3">
      <c r="A10" s="13" t="s">
        <v>31</v>
      </c>
      <c r="B10" s="3">
        <v>46150</v>
      </c>
      <c r="C10" s="1" t="s">
        <v>5</v>
      </c>
      <c r="D10" s="1" t="s">
        <v>25</v>
      </c>
      <c r="E10" s="1">
        <v>25</v>
      </c>
      <c r="F10" s="1">
        <v>2800</v>
      </c>
      <c r="G10" s="1">
        <f t="shared" si="0"/>
        <v>70000</v>
      </c>
      <c r="H10" s="1">
        <v>90000</v>
      </c>
      <c r="I10" s="2">
        <v>0.08</v>
      </c>
      <c r="J10" s="1">
        <v>18</v>
      </c>
      <c r="K10" s="1">
        <v>6</v>
      </c>
      <c r="L10" s="14">
        <v>3.4</v>
      </c>
      <c r="M10" s="5"/>
    </row>
    <row r="11" spans="1:15" x14ac:dyDescent="0.3">
      <c r="A11" s="13" t="s">
        <v>32</v>
      </c>
      <c r="B11" s="3">
        <v>46151</v>
      </c>
      <c r="C11" s="1" t="s">
        <v>9</v>
      </c>
      <c r="D11" s="1" t="s">
        <v>23</v>
      </c>
      <c r="E11" s="1">
        <v>2</v>
      </c>
      <c r="F11" s="1">
        <v>70000</v>
      </c>
      <c r="G11" s="1">
        <f t="shared" si="0"/>
        <v>140000</v>
      </c>
      <c r="H11" s="1">
        <v>250000</v>
      </c>
      <c r="I11" s="2">
        <v>0.28000000000000003</v>
      </c>
      <c r="J11" s="1">
        <v>4</v>
      </c>
      <c r="K11" s="1">
        <v>8</v>
      </c>
      <c r="L11" s="14">
        <v>4.9000000000000004</v>
      </c>
      <c r="M11" s="5"/>
    </row>
    <row r="12" spans="1:15" x14ac:dyDescent="0.3">
      <c r="A12" s="13" t="s">
        <v>33</v>
      </c>
      <c r="B12" s="3">
        <v>46152</v>
      </c>
      <c r="C12" s="1" t="s">
        <v>8</v>
      </c>
      <c r="D12" s="1" t="s">
        <v>21</v>
      </c>
      <c r="E12" s="1">
        <v>10</v>
      </c>
      <c r="F12" s="1">
        <v>34000</v>
      </c>
      <c r="G12" s="1">
        <f t="shared" si="0"/>
        <v>340000</v>
      </c>
      <c r="H12" s="1">
        <v>360000</v>
      </c>
      <c r="I12" s="2">
        <v>0.14000000000000001</v>
      </c>
      <c r="J12" s="1">
        <v>16</v>
      </c>
      <c r="K12" s="1">
        <v>3</v>
      </c>
      <c r="L12" s="14">
        <v>4</v>
      </c>
      <c r="M12" s="5"/>
    </row>
    <row r="13" spans="1:15" x14ac:dyDescent="0.3">
      <c r="A13" s="13" t="s">
        <v>34</v>
      </c>
      <c r="B13" s="3">
        <v>46153</v>
      </c>
      <c r="C13" s="1" t="s">
        <v>2</v>
      </c>
      <c r="D13" s="1" t="s">
        <v>28</v>
      </c>
      <c r="E13" s="1">
        <v>1</v>
      </c>
      <c r="F13" s="1">
        <v>95000</v>
      </c>
      <c r="G13" s="1">
        <f t="shared" si="0"/>
        <v>95000</v>
      </c>
      <c r="H13" s="1">
        <v>100000</v>
      </c>
      <c r="I13" s="2">
        <v>0.18</v>
      </c>
      <c r="J13" s="1">
        <v>2</v>
      </c>
      <c r="K13" s="1">
        <v>9</v>
      </c>
      <c r="L13" s="14">
        <v>4.5999999999999996</v>
      </c>
      <c r="M13" s="5"/>
    </row>
    <row r="14" spans="1:15" x14ac:dyDescent="0.3">
      <c r="A14" s="13" t="s">
        <v>35</v>
      </c>
      <c r="B14" s="3">
        <v>46154</v>
      </c>
      <c r="C14" s="1" t="s">
        <v>7</v>
      </c>
      <c r="D14" s="1" t="s">
        <v>25</v>
      </c>
      <c r="E14" s="1">
        <v>18</v>
      </c>
      <c r="F14" s="1">
        <v>5500</v>
      </c>
      <c r="G14" s="1">
        <f t="shared" si="0"/>
        <v>99000</v>
      </c>
      <c r="H14" s="1">
        <v>85000</v>
      </c>
      <c r="I14" s="2">
        <v>0.21</v>
      </c>
      <c r="J14" s="1">
        <v>40</v>
      </c>
      <c r="K14" s="1">
        <v>2</v>
      </c>
      <c r="L14" s="14">
        <v>4.3</v>
      </c>
      <c r="M14" s="5"/>
    </row>
    <row r="15" spans="1:15" x14ac:dyDescent="0.3">
      <c r="A15" s="13" t="s">
        <v>36</v>
      </c>
      <c r="B15" s="3">
        <v>46155</v>
      </c>
      <c r="C15" s="1" t="s">
        <v>4</v>
      </c>
      <c r="D15" s="1" t="s">
        <v>54</v>
      </c>
      <c r="E15" s="1">
        <v>6</v>
      </c>
      <c r="F15" s="1">
        <v>72000</v>
      </c>
      <c r="G15" s="1">
        <f t="shared" si="0"/>
        <v>432000</v>
      </c>
      <c r="H15" s="1">
        <v>400000</v>
      </c>
      <c r="I15" s="2">
        <v>0.17</v>
      </c>
      <c r="J15" s="1">
        <v>9</v>
      </c>
      <c r="K15" s="1">
        <v>4</v>
      </c>
      <c r="L15" s="14">
        <v>4.4000000000000004</v>
      </c>
      <c r="M15" s="5"/>
    </row>
    <row r="16" spans="1:15" x14ac:dyDescent="0.3">
      <c r="A16" s="13" t="s">
        <v>37</v>
      </c>
      <c r="B16" s="3">
        <v>46156</v>
      </c>
      <c r="C16" s="1" t="s">
        <v>6</v>
      </c>
      <c r="D16" s="1" t="s">
        <v>21</v>
      </c>
      <c r="E16" s="1">
        <v>7</v>
      </c>
      <c r="F16" s="1">
        <v>38000</v>
      </c>
      <c r="G16" s="1">
        <f t="shared" si="0"/>
        <v>266000</v>
      </c>
      <c r="H16" s="1">
        <v>300000</v>
      </c>
      <c r="I16" s="2">
        <v>0.11</v>
      </c>
      <c r="J16" s="1">
        <v>14</v>
      </c>
      <c r="K16" s="1">
        <v>5</v>
      </c>
      <c r="L16" s="14">
        <v>3.8</v>
      </c>
      <c r="M16" s="5"/>
    </row>
    <row r="17" spans="1:13" x14ac:dyDescent="0.3">
      <c r="A17" s="13" t="s">
        <v>38</v>
      </c>
      <c r="B17" s="3">
        <v>46157</v>
      </c>
      <c r="C17" s="1" t="s">
        <v>9</v>
      </c>
      <c r="D17" s="1" t="s">
        <v>25</v>
      </c>
      <c r="E17" s="1">
        <v>30</v>
      </c>
      <c r="F17" s="1">
        <v>1800</v>
      </c>
      <c r="G17" s="1">
        <f t="shared" si="0"/>
        <v>54000</v>
      </c>
      <c r="H17" s="1">
        <v>60000</v>
      </c>
      <c r="I17" s="2">
        <v>0.16</v>
      </c>
      <c r="J17" s="1">
        <v>120</v>
      </c>
      <c r="K17" s="1">
        <v>1</v>
      </c>
      <c r="L17" s="14">
        <v>4.0999999999999996</v>
      </c>
      <c r="M17" s="5"/>
    </row>
    <row r="18" spans="1:13" x14ac:dyDescent="0.3">
      <c r="A18" s="13" t="s">
        <v>39</v>
      </c>
      <c r="B18" s="3">
        <v>46158</v>
      </c>
      <c r="C18" s="1" t="s">
        <v>5</v>
      </c>
      <c r="D18" s="1" t="s">
        <v>28</v>
      </c>
      <c r="E18" s="1">
        <v>3</v>
      </c>
      <c r="F18" s="1">
        <v>68000</v>
      </c>
      <c r="G18" s="1">
        <f t="shared" si="0"/>
        <v>204000</v>
      </c>
      <c r="H18" s="1">
        <v>220000</v>
      </c>
      <c r="I18" s="2">
        <v>0.13</v>
      </c>
      <c r="J18" s="1">
        <v>5</v>
      </c>
      <c r="K18" s="1">
        <v>6</v>
      </c>
      <c r="L18" s="14">
        <v>3.9</v>
      </c>
      <c r="M18" s="5"/>
    </row>
    <row r="19" spans="1:13" x14ac:dyDescent="0.3">
      <c r="A19" s="13" t="s">
        <v>40</v>
      </c>
      <c r="B19" s="3">
        <v>46159</v>
      </c>
      <c r="C19" s="1" t="s">
        <v>3</v>
      </c>
      <c r="D19" s="1" t="s">
        <v>23</v>
      </c>
      <c r="E19" s="1">
        <v>5</v>
      </c>
      <c r="F19" s="1">
        <v>80000</v>
      </c>
      <c r="G19" s="1">
        <f t="shared" si="0"/>
        <v>400000</v>
      </c>
      <c r="H19" s="1">
        <v>270000</v>
      </c>
      <c r="I19" s="2">
        <v>0.19</v>
      </c>
      <c r="J19" s="1">
        <v>11</v>
      </c>
      <c r="K19" s="1">
        <v>3</v>
      </c>
      <c r="L19" s="14">
        <v>4.5</v>
      </c>
      <c r="M19" s="5"/>
    </row>
    <row r="20" spans="1:13" x14ac:dyDescent="0.3">
      <c r="A20" s="13" t="s">
        <v>41</v>
      </c>
      <c r="B20" s="3">
        <v>46160</v>
      </c>
      <c r="C20" s="1" t="s">
        <v>8</v>
      </c>
      <c r="D20" s="1" t="s">
        <v>21</v>
      </c>
      <c r="E20" s="1">
        <v>9</v>
      </c>
      <c r="F20" s="1">
        <v>19500</v>
      </c>
      <c r="G20" s="1">
        <f t="shared" si="0"/>
        <v>175500</v>
      </c>
      <c r="H20" s="1">
        <v>200000</v>
      </c>
      <c r="I20" s="2">
        <v>0.09</v>
      </c>
      <c r="J20" s="1">
        <v>20</v>
      </c>
      <c r="K20" s="1">
        <v>4</v>
      </c>
      <c r="L20" s="14">
        <v>3.5</v>
      </c>
      <c r="M20" s="5"/>
    </row>
    <row r="21" spans="1:13" x14ac:dyDescent="0.3">
      <c r="A21" s="13" t="s">
        <v>42</v>
      </c>
      <c r="B21" s="3">
        <v>46161</v>
      </c>
      <c r="C21" s="1" t="s">
        <v>9</v>
      </c>
      <c r="D21" s="1" t="s">
        <v>25</v>
      </c>
      <c r="E21" s="1">
        <v>40</v>
      </c>
      <c r="F21" s="1">
        <v>1200</v>
      </c>
      <c r="G21" s="1">
        <f t="shared" si="0"/>
        <v>48000</v>
      </c>
      <c r="H21" s="1">
        <v>45000</v>
      </c>
      <c r="I21" s="2">
        <v>0.26</v>
      </c>
      <c r="J21" s="1">
        <v>150</v>
      </c>
      <c r="K21" s="1">
        <v>1</v>
      </c>
      <c r="L21" s="14">
        <v>4.8</v>
      </c>
      <c r="M21" s="5"/>
    </row>
    <row r="22" spans="1:13" x14ac:dyDescent="0.3">
      <c r="A22" s="13" t="s">
        <v>43</v>
      </c>
      <c r="B22" s="3">
        <v>46162</v>
      </c>
      <c r="C22" s="1" t="s">
        <v>2</v>
      </c>
      <c r="D22" s="1" t="s">
        <v>23</v>
      </c>
      <c r="E22" s="1">
        <v>4</v>
      </c>
      <c r="F22" s="1">
        <v>81000</v>
      </c>
      <c r="G22" s="1">
        <f t="shared" si="0"/>
        <v>324000</v>
      </c>
      <c r="H22" s="1">
        <v>310000</v>
      </c>
      <c r="I22" s="2">
        <v>0.2</v>
      </c>
      <c r="J22" s="1">
        <v>7</v>
      </c>
      <c r="K22" s="1">
        <v>5</v>
      </c>
      <c r="L22" s="14">
        <v>4.2</v>
      </c>
      <c r="M22" s="5"/>
    </row>
    <row r="23" spans="1:13" x14ac:dyDescent="0.3">
      <c r="A23" s="13" t="s">
        <v>44</v>
      </c>
      <c r="B23" s="3">
        <v>46163</v>
      </c>
      <c r="C23" s="1" t="s">
        <v>9</v>
      </c>
      <c r="D23" s="1" t="s">
        <v>21</v>
      </c>
      <c r="E23" s="1">
        <v>14</v>
      </c>
      <c r="F23" s="1">
        <v>25000</v>
      </c>
      <c r="G23" s="1">
        <f t="shared" si="0"/>
        <v>350000</v>
      </c>
      <c r="H23" s="1">
        <v>330000</v>
      </c>
      <c r="I23" s="2">
        <v>0.23</v>
      </c>
      <c r="J23" s="1">
        <v>25</v>
      </c>
      <c r="K23" s="1">
        <v>2</v>
      </c>
      <c r="L23" s="14">
        <v>4.7</v>
      </c>
      <c r="M23" s="5"/>
    </row>
    <row r="24" spans="1:13" x14ac:dyDescent="0.3">
      <c r="A24" s="13" t="s">
        <v>45</v>
      </c>
      <c r="B24" s="3">
        <v>46164</v>
      </c>
      <c r="C24" s="1" t="s">
        <v>6</v>
      </c>
      <c r="D24" s="1" t="s">
        <v>28</v>
      </c>
      <c r="E24" s="1">
        <v>2</v>
      </c>
      <c r="F24" s="1">
        <v>88000</v>
      </c>
      <c r="G24" s="1">
        <f t="shared" si="0"/>
        <v>176000</v>
      </c>
      <c r="H24" s="1">
        <v>190000</v>
      </c>
      <c r="I24" s="2">
        <v>0.09</v>
      </c>
      <c r="J24" s="1">
        <v>3</v>
      </c>
      <c r="K24" s="1">
        <v>7</v>
      </c>
      <c r="L24" s="14">
        <v>3.6</v>
      </c>
      <c r="M24" s="5"/>
    </row>
    <row r="25" spans="1:13" x14ac:dyDescent="0.3">
      <c r="A25" s="13" t="s">
        <v>46</v>
      </c>
      <c r="B25" s="3">
        <v>46165</v>
      </c>
      <c r="C25" s="1" t="s">
        <v>4</v>
      </c>
      <c r="D25" s="1" t="s">
        <v>25</v>
      </c>
      <c r="E25" s="1">
        <v>35</v>
      </c>
      <c r="F25" s="1">
        <v>1500</v>
      </c>
      <c r="G25" s="1">
        <f t="shared" si="0"/>
        <v>52500</v>
      </c>
      <c r="H25" s="1">
        <v>50000</v>
      </c>
      <c r="I25" s="2">
        <v>0.27</v>
      </c>
      <c r="J25" s="1">
        <v>80</v>
      </c>
      <c r="K25" s="1">
        <v>1</v>
      </c>
      <c r="L25" s="14">
        <v>4.9000000000000004</v>
      </c>
      <c r="M25" s="5"/>
    </row>
    <row r="26" spans="1:13" x14ac:dyDescent="0.3">
      <c r="A26" s="13" t="s">
        <v>47</v>
      </c>
      <c r="B26" s="3">
        <v>46166</v>
      </c>
      <c r="C26" s="1" t="s">
        <v>7</v>
      </c>
      <c r="D26" s="1" t="s">
        <v>23</v>
      </c>
      <c r="E26" s="1">
        <v>7</v>
      </c>
      <c r="F26" s="1">
        <v>70000</v>
      </c>
      <c r="G26" s="1">
        <f t="shared" si="0"/>
        <v>490000</v>
      </c>
      <c r="H26" s="1">
        <v>450000</v>
      </c>
      <c r="I26" s="2">
        <v>0.18</v>
      </c>
      <c r="J26" s="1">
        <v>6</v>
      </c>
      <c r="K26" s="1">
        <v>6</v>
      </c>
      <c r="L26" s="14">
        <v>4.4000000000000004</v>
      </c>
      <c r="M26" s="5"/>
    </row>
    <row r="27" spans="1:13" x14ac:dyDescent="0.3">
      <c r="A27" s="13" t="s">
        <v>48</v>
      </c>
      <c r="B27" s="3">
        <v>46167</v>
      </c>
      <c r="C27" s="1" t="s">
        <v>8</v>
      </c>
      <c r="D27" s="1" t="s">
        <v>21</v>
      </c>
      <c r="E27" s="1">
        <v>11</v>
      </c>
      <c r="F27" s="1">
        <v>29000</v>
      </c>
      <c r="G27" s="1">
        <f t="shared" si="0"/>
        <v>319000</v>
      </c>
      <c r="H27" s="1">
        <v>340000</v>
      </c>
      <c r="I27" s="2">
        <v>0.13</v>
      </c>
      <c r="J27" s="1">
        <v>12</v>
      </c>
      <c r="K27" s="1">
        <v>3</v>
      </c>
      <c r="L27" s="14">
        <v>4</v>
      </c>
      <c r="M27" s="5"/>
    </row>
    <row r="28" spans="1:13" x14ac:dyDescent="0.3">
      <c r="A28" s="13" t="s">
        <v>49</v>
      </c>
      <c r="B28" s="3">
        <v>46168</v>
      </c>
      <c r="C28" s="1" t="s">
        <v>3</v>
      </c>
      <c r="D28" s="1" t="s">
        <v>28</v>
      </c>
      <c r="E28" s="1">
        <v>1</v>
      </c>
      <c r="F28" s="1">
        <v>110000</v>
      </c>
      <c r="G28" s="1">
        <f t="shared" si="0"/>
        <v>110000</v>
      </c>
      <c r="H28" s="1">
        <v>150000</v>
      </c>
      <c r="I28" s="2">
        <v>7.0000000000000007E-2</v>
      </c>
      <c r="J28" s="1">
        <v>2</v>
      </c>
      <c r="K28" s="1">
        <v>9</v>
      </c>
      <c r="L28" s="14">
        <v>3.2</v>
      </c>
      <c r="M28" s="5"/>
    </row>
    <row r="29" spans="1:13" x14ac:dyDescent="0.3">
      <c r="A29" s="13" t="s">
        <v>50</v>
      </c>
      <c r="B29" s="3">
        <v>46169</v>
      </c>
      <c r="C29" s="1" t="s">
        <v>9</v>
      </c>
      <c r="D29" s="1" t="s">
        <v>25</v>
      </c>
      <c r="E29" s="1">
        <v>45</v>
      </c>
      <c r="F29" s="1">
        <v>1000</v>
      </c>
      <c r="G29" s="1">
        <f t="shared" si="0"/>
        <v>45000</v>
      </c>
      <c r="H29" s="1">
        <v>40000</v>
      </c>
      <c r="I29" s="2">
        <v>0.3</v>
      </c>
      <c r="J29" s="1">
        <v>200</v>
      </c>
      <c r="K29" s="1">
        <v>1</v>
      </c>
      <c r="L29" s="14">
        <v>4.9000000000000004</v>
      </c>
      <c r="M29" s="5"/>
    </row>
    <row r="30" spans="1:13" x14ac:dyDescent="0.3">
      <c r="A30" s="13" t="s">
        <v>51</v>
      </c>
      <c r="B30" s="3">
        <v>46170</v>
      </c>
      <c r="C30" s="1" t="s">
        <v>2</v>
      </c>
      <c r="D30" s="1" t="s">
        <v>23</v>
      </c>
      <c r="E30" s="1">
        <v>3</v>
      </c>
      <c r="F30" s="1">
        <v>92000</v>
      </c>
      <c r="G30" s="1">
        <f t="shared" si="0"/>
        <v>276000</v>
      </c>
      <c r="H30" s="1">
        <v>260000</v>
      </c>
      <c r="I30" s="2">
        <v>0.22</v>
      </c>
      <c r="J30" s="1">
        <v>5</v>
      </c>
      <c r="K30" s="1">
        <v>5</v>
      </c>
      <c r="L30" s="14">
        <v>4.5999999999999996</v>
      </c>
      <c r="M30" s="5"/>
    </row>
    <row r="31" spans="1:13" x14ac:dyDescent="0.3">
      <c r="A31" s="13" t="s">
        <v>52</v>
      </c>
      <c r="B31" s="3">
        <v>46171</v>
      </c>
      <c r="C31" s="1" t="s">
        <v>5</v>
      </c>
      <c r="D31" s="1" t="s">
        <v>21</v>
      </c>
      <c r="E31" s="1">
        <v>8</v>
      </c>
      <c r="F31" s="1">
        <v>31000</v>
      </c>
      <c r="G31" s="1">
        <f t="shared" si="0"/>
        <v>248000</v>
      </c>
      <c r="H31" s="1">
        <v>270000</v>
      </c>
      <c r="I31" s="2">
        <v>0.12</v>
      </c>
      <c r="J31" s="1">
        <v>13</v>
      </c>
      <c r="K31" s="1">
        <v>4</v>
      </c>
      <c r="L31" s="14">
        <v>3.9</v>
      </c>
      <c r="M31" s="5"/>
    </row>
    <row r="32" spans="1:13" x14ac:dyDescent="0.3">
      <c r="A32" s="18" t="s">
        <v>53</v>
      </c>
      <c r="B32" s="19">
        <v>46172</v>
      </c>
      <c r="C32" s="20" t="s">
        <v>7</v>
      </c>
      <c r="D32" s="20" t="s">
        <v>28</v>
      </c>
      <c r="E32" s="20">
        <v>2</v>
      </c>
      <c r="F32" s="20">
        <v>76000</v>
      </c>
      <c r="G32" s="1">
        <f t="shared" si="0"/>
        <v>152000</v>
      </c>
      <c r="H32" s="20">
        <v>170000</v>
      </c>
      <c r="I32" s="21">
        <v>0.11</v>
      </c>
      <c r="J32" s="20">
        <v>4</v>
      </c>
      <c r="K32" s="20">
        <v>8</v>
      </c>
      <c r="L32" s="22">
        <v>3.7</v>
      </c>
      <c r="M32" s="5"/>
    </row>
  </sheetData>
  <conditionalFormatting sqref="A3:L32">
    <cfRule type="expression" dxfId="0" priority="1">
      <formula>AND($B3&gt;$P$4,$B3&lt;$Q$4)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A4B03-E702-4024-AC82-20B9B7CD5E88}">
  <dimension ref="A1:F25"/>
  <sheetViews>
    <sheetView workbookViewId="0">
      <selection activeCell="D15" sqref="D15"/>
    </sheetView>
  </sheetViews>
  <sheetFormatPr defaultRowHeight="14.4" x14ac:dyDescent="0.3"/>
  <cols>
    <col min="1" max="1" width="63.5546875" bestFit="1" customWidth="1"/>
    <col min="2" max="2" width="12.6640625" bestFit="1" customWidth="1"/>
    <col min="4" max="4" width="13.88671875" bestFit="1" customWidth="1"/>
  </cols>
  <sheetData>
    <row r="1" spans="1:6" x14ac:dyDescent="0.3">
      <c r="A1" t="s">
        <v>81</v>
      </c>
    </row>
    <row r="2" spans="1:6" x14ac:dyDescent="0.3">
      <c r="A2" s="12"/>
    </row>
    <row r="3" spans="1:6" x14ac:dyDescent="0.3">
      <c r="A3" s="12" t="s">
        <v>82</v>
      </c>
      <c r="B3" s="26">
        <f>SUMIFS(Table1[Total Sales],Table1[Region],"Dhaka")</f>
        <v>1226000</v>
      </c>
      <c r="D3" s="24">
        <f>SUMIFS(Table1[Total Sales],Table1[Region],"Dhaka")</f>
        <v>1226000</v>
      </c>
    </row>
    <row r="4" spans="1:6" x14ac:dyDescent="0.3">
      <c r="A4" s="12" t="s">
        <v>83</v>
      </c>
      <c r="B4" s="26">
        <f>SUMIFS(Table1[Total Sales],Table1[Region],"Dhaka",Table1[Product Category],"Mobile")</f>
        <v>614000</v>
      </c>
      <c r="D4" s="24">
        <f>SUMIFS(Table1[Total Sales],Table1[Region],"Dhaka",Table1[Product Category],"Mobile")</f>
        <v>614000</v>
      </c>
    </row>
    <row r="5" spans="1:6" x14ac:dyDescent="0.3">
      <c r="A5" s="12" t="s">
        <v>84</v>
      </c>
      <c r="B5" s="26">
        <f>SUMIFS(Table1[Total Sales],Table1[Total Sales],"&gt;300000")</f>
        <v>4042000</v>
      </c>
      <c r="D5" s="24">
        <f>SUMIFS(Table1[Total Sales],Table1[Total Sales],"&gt;300000")</f>
        <v>4042000</v>
      </c>
    </row>
    <row r="6" spans="1:6" x14ac:dyDescent="0.3">
      <c r="A6" s="12" t="s">
        <v>85</v>
      </c>
      <c r="B6" s="26">
        <f>SUMIFS(Table1[Total Sales],Table1[Total Sales],"&gt;300000",Table1[Region],"Dhaka")</f>
        <v>675000</v>
      </c>
      <c r="D6" s="24">
        <f>SUMIFS(Table1[Total Sales],Table1[Region],"Dhaka",Table1[Total Sales],"&gt;300000")</f>
        <v>675000</v>
      </c>
    </row>
    <row r="7" spans="1:6" x14ac:dyDescent="0.3">
      <c r="A7" s="12" t="s">
        <v>86</v>
      </c>
      <c r="B7" s="26" cm="1">
        <f t="array" ref="B7">SUM(SUMIFS(Table1[Total Sales],Table1[Region],{"Dhaka","Sylhet"}))</f>
        <v>1985000</v>
      </c>
      <c r="D7" s="24" cm="1">
        <f t="array" ref="D7">SUM(SUMIFS(Table1[Total Sales],Table1[Region],{"Dhaka","Sylhet"}))</f>
        <v>1985000</v>
      </c>
    </row>
    <row r="8" spans="1:6" x14ac:dyDescent="0.3">
      <c r="A8" s="12" t="s">
        <v>87</v>
      </c>
      <c r="B8" s="26">
        <f>SUMIFS(Table1[Total Sales],Table1[Product Category],"*Laptop*")</f>
        <v>2699000</v>
      </c>
      <c r="D8" s="24">
        <f>SUMIFS(Table1[Total Sales],Table1[Product Category],"*Laptop*")</f>
        <v>2699000</v>
      </c>
    </row>
    <row r="9" spans="1:6" x14ac:dyDescent="0.3">
      <c r="A9" s="12" t="s">
        <v>88</v>
      </c>
      <c r="B9" s="26">
        <f>SUMIFS(Table1[Total Sales],Table1[Order Date],"&gt;=17-May-26")</f>
        <v>3166000</v>
      </c>
      <c r="D9" s="24">
        <f>SUMIFS(Table2[Total Sales],Table2[Order Date],"&gt;=17-May-26")</f>
        <v>3166000</v>
      </c>
      <c r="F9">
        <f>SUMIFS(Table1[Target Sales],Table1[Order Date],"&gt;=17-May-26")</f>
        <v>3075000</v>
      </c>
    </row>
    <row r="10" spans="1:6" x14ac:dyDescent="0.3">
      <c r="A10" s="12" t="s">
        <v>89</v>
      </c>
      <c r="B10" s="26">
        <f>SUMIFS(Table1[Total Sales], Table1[Order Date], "&gt;="&amp;DATE(2026,5,17), Table1[Order Date], "&lt;="&amp;DATE(2026,5,26))</f>
        <v>2445000</v>
      </c>
      <c r="D10" s="24">
        <f>SUMIFS(Table1[Total Sales], Table1[Order Date], "&gt;="&amp;DATE(2026,5,17), Table1[Order Date], "&lt;="&amp;DATE(2026,5,26))</f>
        <v>2445000</v>
      </c>
      <c r="F10" t="s">
        <v>107</v>
      </c>
    </row>
    <row r="12" spans="1:6" x14ac:dyDescent="0.3">
      <c r="A12" t="s">
        <v>90</v>
      </c>
    </row>
    <row r="13" spans="1:6" x14ac:dyDescent="0.3">
      <c r="A13" t="s">
        <v>91</v>
      </c>
    </row>
    <row r="14" spans="1:6" x14ac:dyDescent="0.3">
      <c r="A14" t="s">
        <v>92</v>
      </c>
    </row>
    <row r="15" spans="1:6" x14ac:dyDescent="0.3">
      <c r="A15" t="s">
        <v>93</v>
      </c>
    </row>
    <row r="16" spans="1:6" x14ac:dyDescent="0.3">
      <c r="A16" t="s">
        <v>94</v>
      </c>
    </row>
    <row r="17" spans="1:1" x14ac:dyDescent="0.3">
      <c r="A17" t="s">
        <v>95</v>
      </c>
    </row>
    <row r="18" spans="1:1" x14ac:dyDescent="0.3">
      <c r="A18" t="s">
        <v>96</v>
      </c>
    </row>
    <row r="19" spans="1:1" x14ac:dyDescent="0.3">
      <c r="A19" t="s">
        <v>97</v>
      </c>
    </row>
    <row r="20" spans="1:1" x14ac:dyDescent="0.3">
      <c r="A20" t="s">
        <v>98</v>
      </c>
    </row>
    <row r="21" spans="1:1" x14ac:dyDescent="0.3">
      <c r="A21" t="s">
        <v>99</v>
      </c>
    </row>
    <row r="22" spans="1:1" x14ac:dyDescent="0.3">
      <c r="A22" t="s">
        <v>100</v>
      </c>
    </row>
    <row r="23" spans="1:1" x14ac:dyDescent="0.3">
      <c r="A23" t="s">
        <v>101</v>
      </c>
    </row>
    <row r="25" spans="1:1" x14ac:dyDescent="0.3">
      <c r="A25" t="s">
        <v>102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1328D-8B54-457A-8507-D48AFC248898}">
  <dimension ref="B1:D12"/>
  <sheetViews>
    <sheetView tabSelected="1" zoomScale="80" zoomScaleNormal="80" workbookViewId="0">
      <selection activeCell="F14" sqref="F14"/>
    </sheetView>
  </sheetViews>
  <sheetFormatPr defaultRowHeight="33.75" customHeight="1" x14ac:dyDescent="0.3"/>
  <cols>
    <col min="2" max="2" width="40.5546875" customWidth="1"/>
    <col min="3" max="3" width="172.109375" customWidth="1"/>
    <col min="4" max="4" width="24" customWidth="1"/>
  </cols>
  <sheetData>
    <row r="1" spans="2:4" ht="33.75" customHeight="1" x14ac:dyDescent="0.3">
      <c r="B1" s="7" t="s">
        <v>79</v>
      </c>
      <c r="C1" s="7" t="s">
        <v>80</v>
      </c>
    </row>
    <row r="2" spans="2:4" ht="33.75" customHeight="1" x14ac:dyDescent="0.7">
      <c r="B2" s="8" t="s">
        <v>64</v>
      </c>
      <c r="C2" s="9" t="s">
        <v>67</v>
      </c>
    </row>
    <row r="3" spans="2:4" ht="33.75" customHeight="1" x14ac:dyDescent="0.7">
      <c r="B3" s="8" t="s">
        <v>65</v>
      </c>
      <c r="C3" s="9" t="s">
        <v>68</v>
      </c>
    </row>
    <row r="4" spans="2:4" ht="33.75" customHeight="1" x14ac:dyDescent="0.7">
      <c r="B4" s="8" t="s">
        <v>66</v>
      </c>
      <c r="C4" s="9" t="s">
        <v>69</v>
      </c>
    </row>
    <row r="5" spans="2:4" s="6" customFormat="1" ht="33.75" customHeight="1" x14ac:dyDescent="0.7">
      <c r="B5" s="8" t="s">
        <v>57</v>
      </c>
      <c r="C5" s="9" t="s">
        <v>70</v>
      </c>
      <c r="D5"/>
    </row>
    <row r="6" spans="2:4" s="6" customFormat="1" ht="33.75" customHeight="1" x14ac:dyDescent="0.7">
      <c r="B6" s="8" t="s">
        <v>58</v>
      </c>
      <c r="C6" s="9" t="s">
        <v>71</v>
      </c>
      <c r="D6"/>
    </row>
    <row r="7" spans="2:4" s="6" customFormat="1" ht="33.75" customHeight="1" x14ac:dyDescent="0.7">
      <c r="B7" s="8" t="s">
        <v>62</v>
      </c>
      <c r="C7" s="9" t="s">
        <v>72</v>
      </c>
      <c r="D7"/>
    </row>
    <row r="8" spans="2:4" s="6" customFormat="1" ht="33.75" customHeight="1" x14ac:dyDescent="0.7">
      <c r="B8" s="8" t="s">
        <v>63</v>
      </c>
      <c r="C8" s="9" t="s">
        <v>73</v>
      </c>
      <c r="D8"/>
    </row>
    <row r="9" spans="2:4" s="6" customFormat="1" ht="33.75" customHeight="1" x14ac:dyDescent="0.7">
      <c r="B9" s="8" t="s">
        <v>59</v>
      </c>
      <c r="C9" s="9" t="s">
        <v>74</v>
      </c>
      <c r="D9"/>
    </row>
    <row r="10" spans="2:4" s="6" customFormat="1" ht="33.75" customHeight="1" x14ac:dyDescent="0.7">
      <c r="B10" s="8" t="s">
        <v>60</v>
      </c>
      <c r="C10" s="9" t="s">
        <v>75</v>
      </c>
      <c r="D10"/>
    </row>
    <row r="11" spans="2:4" s="6" customFormat="1" ht="33.75" customHeight="1" x14ac:dyDescent="0.7">
      <c r="B11" s="8" t="s">
        <v>61</v>
      </c>
      <c r="C11" s="9" t="s">
        <v>76</v>
      </c>
      <c r="D11"/>
    </row>
    <row r="12" spans="2:4" ht="33.75" customHeight="1" x14ac:dyDescent="0.7">
      <c r="B12" s="8" t="s">
        <v>78</v>
      </c>
      <c r="C12" s="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Filter Data FX</vt:lpstr>
      <vt:lpstr>Table Data FX</vt:lpstr>
      <vt:lpstr>Class Req</vt:lpstr>
      <vt:lpstr>Syntax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Saiful Islam sagor</dc:creator>
  <cp:lastModifiedBy>Dipan Nandi</cp:lastModifiedBy>
  <dcterms:created xsi:type="dcterms:W3CDTF">2026-05-22T02:15:03Z</dcterms:created>
  <dcterms:modified xsi:type="dcterms:W3CDTF">2026-08-09T21:12:13Z</dcterms:modified>
</cp:coreProperties>
</file>