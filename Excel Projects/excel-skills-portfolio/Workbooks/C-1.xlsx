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pan\Desktop\Data Analytics Projects\Excel Projects\excel-skills-portfolio\Workbooks\"/>
    </mc:Choice>
  </mc:AlternateContent>
  <xr:revisionPtr revIDLastSave="0" documentId="13_ncr:1_{B5A724AC-BC14-4373-AC6C-303E69E31E96}" xr6:coauthVersionLast="47" xr6:coauthVersionMax="47" xr10:uidLastSave="{00000000-0000-0000-0000-000000000000}"/>
  <bookViews>
    <workbookView xWindow="-108" yWindow="-108" windowWidth="23256" windowHeight="12456" tabRatio="794" xr2:uid="{58ADE89D-F32C-4C8E-89AA-15D22F89C6AD}"/>
  </bookViews>
  <sheets>
    <sheet name="Data Type_Paste Spacial_Key S" sheetId="2" r:id="rId1"/>
    <sheet name="Cell Ref" sheetId="3" r:id="rId2"/>
    <sheet name="Basic Formulas " sheetId="4" r:id="rId3"/>
  </sheets>
  <definedNames>
    <definedName name="_xlnm._FilterDatabase" localSheetId="2" hidden="1">'Basic Formulas '!$A$9:$S$209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4" l="1"/>
  <c r="AK75" i="3"/>
  <c r="AL75" i="3"/>
  <c r="AK76" i="3"/>
  <c r="AL76" i="3"/>
  <c r="AK77" i="3"/>
  <c r="AL77" i="3"/>
  <c r="AK78" i="3"/>
  <c r="AL78" i="3"/>
  <c r="AK79" i="3"/>
  <c r="AL79" i="3"/>
  <c r="AJ76" i="3"/>
  <c r="AJ77" i="3"/>
  <c r="AJ78" i="3"/>
  <c r="AJ79" i="3"/>
  <c r="AJ75" i="3"/>
  <c r="AF57" i="3"/>
  <c r="AG57" i="3"/>
  <c r="AH57" i="3"/>
  <c r="AF58" i="3"/>
  <c r="AG58" i="3"/>
  <c r="AH58" i="3"/>
  <c r="AF59" i="3"/>
  <c r="AG59" i="3"/>
  <c r="AH59" i="3"/>
  <c r="AF60" i="3"/>
  <c r="AG60" i="3"/>
  <c r="AH60" i="3"/>
  <c r="AE58" i="3"/>
  <c r="AE59" i="3"/>
  <c r="AE60" i="3"/>
  <c r="AE57" i="3"/>
  <c r="AF38" i="3"/>
  <c r="AG38" i="3"/>
  <c r="AF39" i="3"/>
  <c r="AG39" i="3"/>
  <c r="AF40" i="3"/>
  <c r="AG40" i="3"/>
  <c r="AF41" i="3"/>
  <c r="AG41" i="3"/>
  <c r="AF42" i="3"/>
  <c r="AG42" i="3"/>
  <c r="AF43" i="3"/>
  <c r="AG43" i="3"/>
  <c r="AF44" i="3"/>
  <c r="AG44" i="3"/>
  <c r="AE39" i="3"/>
  <c r="AE40" i="3"/>
  <c r="AE41" i="3"/>
  <c r="AE42" i="3"/>
  <c r="AE43" i="3"/>
  <c r="AE44" i="3"/>
  <c r="AE38" i="3"/>
  <c r="AE24" i="3"/>
  <c r="AE25" i="3"/>
  <c r="AE26" i="3"/>
  <c r="AE27" i="3"/>
  <c r="AE28" i="3"/>
  <c r="AE29" i="3"/>
  <c r="AE23" i="3"/>
  <c r="AE18" i="3"/>
  <c r="AF18" i="3"/>
  <c r="AG18" i="3"/>
  <c r="AH18" i="3"/>
  <c r="AD18" i="3"/>
  <c r="AH10" i="3"/>
  <c r="AH11" i="3"/>
  <c r="AH12" i="3"/>
  <c r="AH13" i="3"/>
  <c r="AH14" i="3"/>
  <c r="AH15" i="3"/>
  <c r="AH16" i="3"/>
  <c r="AH17" i="3"/>
  <c r="AH9" i="3"/>
  <c r="S18" i="3"/>
  <c r="T18" i="3"/>
  <c r="U18" i="3"/>
  <c r="R18" i="3"/>
  <c r="V10" i="3"/>
  <c r="V11" i="3"/>
  <c r="V12" i="3"/>
  <c r="V13" i="3"/>
  <c r="V14" i="3"/>
  <c r="V15" i="3"/>
  <c r="V16" i="3"/>
  <c r="V17" i="3"/>
  <c r="Y75" i="3"/>
  <c r="Z75" i="3"/>
  <c r="Y76" i="3"/>
  <c r="Z76" i="3"/>
  <c r="Y77" i="3"/>
  <c r="Z77" i="3"/>
  <c r="Y78" i="3"/>
  <c r="Z78" i="3"/>
  <c r="Y79" i="3"/>
  <c r="Z79" i="3"/>
  <c r="X76" i="3"/>
  <c r="X77" i="3"/>
  <c r="X78" i="3"/>
  <c r="X79" i="3"/>
  <c r="X75" i="3"/>
  <c r="T57" i="3"/>
  <c r="U57" i="3"/>
  <c r="V57" i="3"/>
  <c r="T58" i="3"/>
  <c r="U58" i="3"/>
  <c r="V58" i="3"/>
  <c r="T59" i="3"/>
  <c r="U59" i="3"/>
  <c r="V59" i="3"/>
  <c r="T60" i="3"/>
  <c r="U60" i="3"/>
  <c r="V60" i="3"/>
  <c r="S58" i="3"/>
  <c r="S59" i="3"/>
  <c r="S60" i="3"/>
  <c r="S57" i="3"/>
  <c r="S39" i="3"/>
  <c r="T39" i="3"/>
  <c r="U39" i="3"/>
  <c r="S40" i="3"/>
  <c r="T40" i="3"/>
  <c r="U40" i="3"/>
  <c r="S41" i="3"/>
  <c r="T41" i="3"/>
  <c r="U41" i="3"/>
  <c r="S42" i="3"/>
  <c r="T42" i="3"/>
  <c r="U42" i="3"/>
  <c r="S43" i="3"/>
  <c r="T43" i="3"/>
  <c r="U43" i="3"/>
  <c r="S44" i="3"/>
  <c r="T44" i="3"/>
  <c r="U44" i="3"/>
  <c r="T38" i="3"/>
  <c r="U38" i="3"/>
  <c r="S38" i="3"/>
  <c r="S24" i="3"/>
  <c r="S25" i="3"/>
  <c r="S26" i="3"/>
  <c r="S27" i="3"/>
  <c r="S28" i="3"/>
  <c r="S29" i="3"/>
  <c r="S23" i="3"/>
  <c r="I75" i="3"/>
  <c r="J75" i="3"/>
  <c r="I76" i="3"/>
  <c r="J76" i="3"/>
  <c r="I77" i="3"/>
  <c r="J77" i="3"/>
  <c r="I78" i="3"/>
  <c r="J78" i="3"/>
  <c r="I79" i="3"/>
  <c r="J79" i="3"/>
  <c r="H76" i="3"/>
  <c r="H77" i="3"/>
  <c r="H78" i="3"/>
  <c r="H79" i="3"/>
  <c r="H75" i="3"/>
  <c r="D57" i="3"/>
  <c r="E57" i="3"/>
  <c r="F57" i="3"/>
  <c r="D58" i="3"/>
  <c r="E58" i="3"/>
  <c r="F58" i="3"/>
  <c r="D59" i="3"/>
  <c r="E59" i="3"/>
  <c r="F59" i="3"/>
  <c r="D60" i="3"/>
  <c r="E60" i="3"/>
  <c r="F60" i="3"/>
  <c r="C58" i="3"/>
  <c r="C59" i="3"/>
  <c r="C60" i="3"/>
  <c r="C57" i="3"/>
  <c r="L38" i="3"/>
  <c r="M38" i="3"/>
  <c r="L39" i="3"/>
  <c r="M39" i="3"/>
  <c r="L40" i="3"/>
  <c r="M40" i="3"/>
  <c r="L41" i="3"/>
  <c r="M41" i="3"/>
  <c r="L42" i="3"/>
  <c r="M42" i="3"/>
  <c r="L43" i="3"/>
  <c r="M43" i="3"/>
  <c r="L44" i="3"/>
  <c r="M44" i="3"/>
  <c r="K39" i="3"/>
  <c r="K40" i="3"/>
  <c r="K41" i="3"/>
  <c r="K42" i="3"/>
  <c r="K43" i="3"/>
  <c r="K44" i="3"/>
  <c r="K38" i="3"/>
  <c r="L24" i="3"/>
  <c r="L25" i="3"/>
  <c r="L26" i="3"/>
  <c r="L27" i="3"/>
  <c r="L28" i="3"/>
  <c r="L29" i="3"/>
  <c r="L23" i="3"/>
  <c r="V9" i="3"/>
  <c r="L18" i="3"/>
  <c r="M18" i="3"/>
  <c r="N18" i="3"/>
  <c r="K18" i="3"/>
  <c r="O10" i="3"/>
  <c r="O11" i="3"/>
  <c r="O12" i="3"/>
  <c r="O13" i="3"/>
  <c r="O14" i="3"/>
  <c r="O15" i="3"/>
  <c r="O16" i="3"/>
  <c r="O17" i="3"/>
  <c r="O9" i="3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H3" i="2"/>
  <c r="H25" i="2" s="1"/>
  <c r="B24" i="2"/>
  <c r="C24" i="2"/>
  <c r="D24" i="2"/>
  <c r="E24" i="2"/>
  <c r="F24" i="2"/>
  <c r="G24" i="2"/>
  <c r="H24" i="2"/>
  <c r="I24" i="2"/>
  <c r="B25" i="2"/>
  <c r="C25" i="2"/>
  <c r="D25" i="2"/>
  <c r="E25" i="2"/>
  <c r="F25" i="2"/>
  <c r="G25" i="2"/>
  <c r="I25" i="2"/>
  <c r="B26" i="2"/>
  <c r="C26" i="2"/>
  <c r="D26" i="2"/>
  <c r="E26" i="2"/>
  <c r="F26" i="2"/>
  <c r="G26" i="2"/>
  <c r="I26" i="2"/>
  <c r="B27" i="2"/>
  <c r="C27" i="2"/>
  <c r="D27" i="2"/>
  <c r="E27" i="2"/>
  <c r="F27" i="2"/>
  <c r="G27" i="2"/>
  <c r="I27" i="2"/>
  <c r="B28" i="2"/>
  <c r="C28" i="2"/>
  <c r="D28" i="2"/>
  <c r="E28" i="2"/>
  <c r="F28" i="2"/>
  <c r="G28" i="2"/>
  <c r="I28" i="2"/>
  <c r="B29" i="2"/>
  <c r="C29" i="2"/>
  <c r="D29" i="2"/>
  <c r="E29" i="2"/>
  <c r="F29" i="2"/>
  <c r="G29" i="2"/>
  <c r="I29" i="2"/>
  <c r="B30" i="2"/>
  <c r="C30" i="2"/>
  <c r="D30" i="2"/>
  <c r="E30" i="2"/>
  <c r="F30" i="2"/>
  <c r="G30" i="2"/>
  <c r="I30" i="2"/>
  <c r="B31" i="2"/>
  <c r="C31" i="2"/>
  <c r="D31" i="2"/>
  <c r="E31" i="2"/>
  <c r="F31" i="2"/>
  <c r="G31" i="2"/>
  <c r="I31" i="2"/>
  <c r="B32" i="2"/>
  <c r="C32" i="2"/>
  <c r="D32" i="2"/>
  <c r="E32" i="2"/>
  <c r="F32" i="2"/>
  <c r="G32" i="2"/>
  <c r="I32" i="2"/>
  <c r="B33" i="2"/>
  <c r="C33" i="2"/>
  <c r="D33" i="2"/>
  <c r="E33" i="2"/>
  <c r="F33" i="2"/>
  <c r="G33" i="2"/>
  <c r="I33" i="2"/>
  <c r="B34" i="2"/>
  <c r="C34" i="2"/>
  <c r="D34" i="2"/>
  <c r="E34" i="2"/>
  <c r="F34" i="2"/>
  <c r="G34" i="2"/>
  <c r="I34" i="2"/>
  <c r="B35" i="2"/>
  <c r="C35" i="2"/>
  <c r="D35" i="2"/>
  <c r="E35" i="2"/>
  <c r="F35" i="2"/>
  <c r="G35" i="2"/>
  <c r="I35" i="2"/>
  <c r="B36" i="2"/>
  <c r="C36" i="2"/>
  <c r="D36" i="2"/>
  <c r="E36" i="2"/>
  <c r="F36" i="2"/>
  <c r="G36" i="2"/>
  <c r="I36" i="2"/>
  <c r="B37" i="2"/>
  <c r="C37" i="2"/>
  <c r="D37" i="2"/>
  <c r="E37" i="2"/>
  <c r="F37" i="2"/>
  <c r="G37" i="2"/>
  <c r="I37" i="2"/>
  <c r="B38" i="2"/>
  <c r="C38" i="2"/>
  <c r="D38" i="2"/>
  <c r="E38" i="2"/>
  <c r="F38" i="2"/>
  <c r="G38" i="2"/>
  <c r="I38" i="2"/>
  <c r="B39" i="2"/>
  <c r="C39" i="2"/>
  <c r="D39" i="2"/>
  <c r="E39" i="2"/>
  <c r="F39" i="2"/>
  <c r="G39" i="2"/>
  <c r="I39" i="2"/>
  <c r="B40" i="2"/>
  <c r="C40" i="2"/>
  <c r="D40" i="2"/>
  <c r="E40" i="2"/>
  <c r="F40" i="2"/>
  <c r="G40" i="2"/>
  <c r="I40" i="2"/>
  <c r="B41" i="2"/>
  <c r="C41" i="2"/>
  <c r="D41" i="2"/>
  <c r="E41" i="2"/>
  <c r="F41" i="2"/>
  <c r="G41" i="2"/>
  <c r="I41" i="2"/>
  <c r="B42" i="2"/>
  <c r="C42" i="2"/>
  <c r="D42" i="2"/>
  <c r="E42" i="2"/>
  <c r="F42" i="2"/>
  <c r="G42" i="2"/>
  <c r="I42" i="2"/>
  <c r="B43" i="2"/>
  <c r="C43" i="2"/>
  <c r="D43" i="2"/>
  <c r="E43" i="2"/>
  <c r="F43" i="2"/>
  <c r="G43" i="2"/>
  <c r="I43" i="2"/>
  <c r="B44" i="2"/>
  <c r="C44" i="2"/>
  <c r="D44" i="2"/>
  <c r="E44" i="2"/>
  <c r="F44" i="2"/>
  <c r="G44" i="2"/>
  <c r="I44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J70" i="3"/>
  <c r="I70" i="3"/>
  <c r="H70" i="3"/>
  <c r="J69" i="3"/>
  <c r="I69" i="3"/>
  <c r="H69" i="3"/>
  <c r="J68" i="3"/>
  <c r="I68" i="3"/>
  <c r="H68" i="3"/>
  <c r="J67" i="3"/>
  <c r="I67" i="3"/>
  <c r="H67" i="3"/>
  <c r="J66" i="3"/>
  <c r="I66" i="3"/>
  <c r="H66" i="3"/>
  <c r="E18" i="3"/>
  <c r="F18" i="3"/>
  <c r="G18" i="3"/>
  <c r="D18" i="3"/>
  <c r="H10" i="3"/>
  <c r="H11" i="3"/>
  <c r="H12" i="3"/>
  <c r="H13" i="3"/>
  <c r="H14" i="3"/>
  <c r="H15" i="3"/>
  <c r="H16" i="3"/>
  <c r="H17" i="3"/>
  <c r="H9" i="3"/>
  <c r="P11" i="4"/>
  <c r="P12" i="4"/>
  <c r="P14" i="4"/>
  <c r="P15" i="4"/>
  <c r="P16" i="4"/>
  <c r="P17" i="4"/>
  <c r="P18" i="4"/>
  <c r="P19" i="4"/>
  <c r="P20" i="4"/>
  <c r="P21" i="4"/>
  <c r="P22" i="4"/>
  <c r="P23" i="4"/>
  <c r="P24" i="4"/>
  <c r="P25" i="4"/>
  <c r="P27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10" i="4"/>
  <c r="F50" i="3"/>
  <c r="E50" i="3"/>
  <c r="D50" i="3"/>
  <c r="C50" i="3"/>
  <c r="F49" i="3"/>
  <c r="E49" i="3"/>
  <c r="D49" i="3"/>
  <c r="C49" i="3"/>
  <c r="F48" i="3"/>
  <c r="E48" i="3"/>
  <c r="D48" i="3"/>
  <c r="C48" i="3"/>
  <c r="F47" i="3"/>
  <c r="E47" i="3"/>
  <c r="D47" i="3"/>
  <c r="C47" i="3"/>
  <c r="G40" i="3"/>
  <c r="F40" i="3"/>
  <c r="E40" i="3"/>
  <c r="G39" i="3"/>
  <c r="F39" i="3"/>
  <c r="E39" i="3"/>
  <c r="G38" i="3"/>
  <c r="F38" i="3"/>
  <c r="E38" i="3"/>
  <c r="G37" i="3"/>
  <c r="F37" i="3"/>
  <c r="E37" i="3"/>
  <c r="G36" i="3"/>
  <c r="F36" i="3"/>
  <c r="E36" i="3"/>
  <c r="G35" i="3"/>
  <c r="F35" i="3"/>
  <c r="E35" i="3"/>
  <c r="G34" i="3"/>
  <c r="F34" i="3"/>
  <c r="E34" i="3"/>
  <c r="E24" i="3"/>
  <c r="E25" i="3"/>
  <c r="E26" i="3"/>
  <c r="E27" i="3"/>
  <c r="E28" i="3"/>
  <c r="E29" i="3"/>
  <c r="E23" i="3"/>
  <c r="H4" i="2"/>
  <c r="H26" i="2" s="1"/>
  <c r="H5" i="2"/>
  <c r="H27" i="2" s="1"/>
  <c r="H6" i="2"/>
  <c r="H28" i="2" s="1"/>
  <c r="H7" i="2"/>
  <c r="H29" i="2" s="1"/>
  <c r="H8" i="2"/>
  <c r="H30" i="2" s="1"/>
  <c r="H9" i="2"/>
  <c r="H31" i="2" s="1"/>
  <c r="H10" i="2"/>
  <c r="H32" i="2" s="1"/>
  <c r="H11" i="2"/>
  <c r="H33" i="2" s="1"/>
  <c r="H12" i="2"/>
  <c r="H34" i="2" s="1"/>
  <c r="H13" i="2"/>
  <c r="H35" i="2" s="1"/>
  <c r="H14" i="2"/>
  <c r="H36" i="2" s="1"/>
  <c r="H15" i="2"/>
  <c r="H37" i="2" s="1"/>
  <c r="H16" i="2"/>
  <c r="H38" i="2" s="1"/>
  <c r="H17" i="2"/>
  <c r="H39" i="2" s="1"/>
  <c r="H18" i="2"/>
  <c r="H40" i="2" s="1"/>
  <c r="H19" i="2"/>
  <c r="H41" i="2" s="1"/>
  <c r="H20" i="2"/>
  <c r="H42" i="2" s="1"/>
  <c r="H21" i="2"/>
  <c r="H43" i="2" s="1"/>
  <c r="H22" i="2"/>
  <c r="H44" i="2" s="1"/>
  <c r="B6" i="4" l="1"/>
  <c r="B7" i="4"/>
  <c r="B5" i="4"/>
  <c r="B4" i="4"/>
  <c r="V18" i="3"/>
  <c r="O18" i="3"/>
  <c r="H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2" authorId="0" shapeId="0" xr:uid="{10563BA1-9501-40A3-8292-DF8CB568AA5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Need to Improve</t>
        </r>
      </text>
    </comment>
    <comment ref="U38" authorId="0" shapeId="0" xr:uid="{EEB6FCE1-6CCD-4DC5-8E92-59F9D229ABD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Need to Improve</t>
        </r>
      </text>
    </comment>
  </commentList>
</comments>
</file>

<file path=xl/sharedStrings.xml><?xml version="1.0" encoding="utf-8"?>
<sst xmlns="http://schemas.openxmlformats.org/spreadsheetml/2006/main" count="3393" uniqueCount="600">
  <si>
    <t>Invoice ID</t>
  </si>
  <si>
    <t>Date</t>
  </si>
  <si>
    <t>Division</t>
  </si>
  <si>
    <t>District</t>
  </si>
  <si>
    <t>Area</t>
  </si>
  <si>
    <t>Retailer Name</t>
  </si>
  <si>
    <t>Dealer Code</t>
  </si>
  <si>
    <t>Sales Executive</t>
  </si>
  <si>
    <t>Product Category</t>
  </si>
  <si>
    <t>Brand</t>
  </si>
  <si>
    <t>Model</t>
  </si>
  <si>
    <t>Color</t>
  </si>
  <si>
    <t>IMEI Status</t>
  </si>
  <si>
    <t>Quantity</t>
  </si>
  <si>
    <t>Unit Price</t>
  </si>
  <si>
    <t>Payment Type</t>
  </si>
  <si>
    <t>Stock Status</t>
  </si>
  <si>
    <t>Target Status</t>
  </si>
  <si>
    <t>INV-1001</t>
  </si>
  <si>
    <t>Mymensingh</t>
  </si>
  <si>
    <t>Charpara</t>
  </si>
  <si>
    <t>Mobile Valley</t>
  </si>
  <si>
    <t>DLR-101</t>
  </si>
  <si>
    <t>Nayeem Islam</t>
  </si>
  <si>
    <t>Smartphone</t>
  </si>
  <si>
    <t>Samsung</t>
  </si>
  <si>
    <t>Galaxy A05</t>
  </si>
  <si>
    <t>Blue</t>
  </si>
  <si>
    <t>Active</t>
  </si>
  <si>
    <t>Bank Transfer</t>
  </si>
  <si>
    <t>Low Stock</t>
  </si>
  <si>
    <t>Achieved</t>
  </si>
  <si>
    <t>INV-1002</t>
  </si>
  <si>
    <t>Sylhet</t>
  </si>
  <si>
    <t>Zindabazar</t>
  </si>
  <si>
    <t>Gadget World</t>
  </si>
  <si>
    <t>DLR-102</t>
  </si>
  <si>
    <t>Sohan Ahmed</t>
  </si>
  <si>
    <t>Galaxy A55</t>
  </si>
  <si>
    <t>Black</t>
  </si>
  <si>
    <t>Card</t>
  </si>
  <si>
    <t>Available</t>
  </si>
  <si>
    <t>Over Achieved</t>
  </si>
  <si>
    <t>INV-1003</t>
  </si>
  <si>
    <t>Barishal</t>
  </si>
  <si>
    <t>Patuakhali</t>
  </si>
  <si>
    <t>New Market</t>
  </si>
  <si>
    <t>Galaxy Telecom</t>
  </si>
  <si>
    <t>DLR-103</t>
  </si>
  <si>
    <t>Mahin Chowdhury</t>
  </si>
  <si>
    <t>Galaxy A15</t>
  </si>
  <si>
    <t>Mint</t>
  </si>
  <si>
    <t>EMI</t>
  </si>
  <si>
    <t>Pending</t>
  </si>
  <si>
    <t>INV-1004</t>
  </si>
  <si>
    <t>Rajshahi</t>
  </si>
  <si>
    <t>Bogura</t>
  </si>
  <si>
    <t>Satmatha</t>
  </si>
  <si>
    <t>Smart Zone</t>
  </si>
  <si>
    <t>DLR-104</t>
  </si>
  <si>
    <t>Imran Kabir</t>
  </si>
  <si>
    <t>Galaxy S24 Ultra</t>
  </si>
  <si>
    <t>Silver</t>
  </si>
  <si>
    <t>INV-1005</t>
  </si>
  <si>
    <t>Moulvibazar</t>
  </si>
  <si>
    <t>Kulaura</t>
  </si>
  <si>
    <t>DLR-105</t>
  </si>
  <si>
    <t>Galaxy A34</t>
  </si>
  <si>
    <t>Green</t>
  </si>
  <si>
    <t>INV-1006</t>
  </si>
  <si>
    <t>Rangpur</t>
  </si>
  <si>
    <t>Dinajpur</t>
  </si>
  <si>
    <t>Bahadur Bazar</t>
  </si>
  <si>
    <t>Device Hub</t>
  </si>
  <si>
    <t>DLR-106</t>
  </si>
  <si>
    <t>Jisan Ali</t>
  </si>
  <si>
    <t>INV-1007</t>
  </si>
  <si>
    <t>Khulna</t>
  </si>
  <si>
    <t>Daulatpur</t>
  </si>
  <si>
    <t>Mobile House</t>
  </si>
  <si>
    <t>DLR-107</t>
  </si>
  <si>
    <t>Gray</t>
  </si>
  <si>
    <t>Out of Stock</t>
  </si>
  <si>
    <t>INV-1008</t>
  </si>
  <si>
    <t>Chattogram</t>
  </si>
  <si>
    <t>Cumilla</t>
  </si>
  <si>
    <t>Kandirpar</t>
  </si>
  <si>
    <t>Smart Gadget House</t>
  </si>
  <si>
    <t>DLR-108</t>
  </si>
  <si>
    <t>Shakil Ahmed</t>
  </si>
  <si>
    <t>INV-1009</t>
  </si>
  <si>
    <t>DLR-109</t>
  </si>
  <si>
    <t>Galaxy F14</t>
  </si>
  <si>
    <t>Cash</t>
  </si>
  <si>
    <t>INV-1010</t>
  </si>
  <si>
    <t>Sonadanga</t>
  </si>
  <si>
    <t>DLR-110</t>
  </si>
  <si>
    <t>Galaxy S24</t>
  </si>
  <si>
    <t>INV-1011</t>
  </si>
  <si>
    <t>Dhaka</t>
  </si>
  <si>
    <t>Mohammadpur</t>
  </si>
  <si>
    <t>DLR-111</t>
  </si>
  <si>
    <t>INV-1012</t>
  </si>
  <si>
    <t>DLR-112</t>
  </si>
  <si>
    <t>Galaxy A25</t>
  </si>
  <si>
    <t>Yellow</t>
  </si>
  <si>
    <t>INV-1013</t>
  </si>
  <si>
    <t>Jamalpur</t>
  </si>
  <si>
    <t>Station Road</t>
  </si>
  <si>
    <t>DLR-113</t>
  </si>
  <si>
    <t>Saif Rahman</t>
  </si>
  <si>
    <t>INV-1014</t>
  </si>
  <si>
    <t>Sreemangal</t>
  </si>
  <si>
    <t>DLR-114</t>
  </si>
  <si>
    <t>Galaxy M14</t>
  </si>
  <si>
    <t>INV-1015</t>
  </si>
  <si>
    <t>Sadar Road</t>
  </si>
  <si>
    <t>DLR-115</t>
  </si>
  <si>
    <t>INV-1016</t>
  </si>
  <si>
    <t>Modern Mor</t>
  </si>
  <si>
    <t>DLR-116</t>
  </si>
  <si>
    <t>INV-1017</t>
  </si>
  <si>
    <t>Brothers Mobile</t>
  </si>
  <si>
    <t>DLR-117</t>
  </si>
  <si>
    <t>Tuhin Islam</t>
  </si>
  <si>
    <t>Galaxy S23 FE</t>
  </si>
  <si>
    <t>INV-1018</t>
  </si>
  <si>
    <t>Gazipur</t>
  </si>
  <si>
    <t>Tongi</t>
  </si>
  <si>
    <t>DLR-118</t>
  </si>
  <si>
    <t>INV-1019</t>
  </si>
  <si>
    <t>DLR-119</t>
  </si>
  <si>
    <t>INV-1020</t>
  </si>
  <si>
    <t>Boshakpara</t>
  </si>
  <si>
    <t>Noor Telecom</t>
  </si>
  <si>
    <t>DLR-120</t>
  </si>
  <si>
    <t>INV-1021</t>
  </si>
  <si>
    <t>Shaheb Bazar</t>
  </si>
  <si>
    <t>Mobile Point BD</t>
  </si>
  <si>
    <t>DLR-121</t>
  </si>
  <si>
    <t>INV-1022</t>
  </si>
  <si>
    <t>DLR-122</t>
  </si>
  <si>
    <t>Rakib Hasan</t>
  </si>
  <si>
    <t>INV-1023</t>
  </si>
  <si>
    <t>Nathullabad</t>
  </si>
  <si>
    <t>DLR-123</t>
  </si>
  <si>
    <t>INV-1024</t>
  </si>
  <si>
    <t>Kotbari</t>
  </si>
  <si>
    <t>DLR-124</t>
  </si>
  <si>
    <t>INV-1025</t>
  </si>
  <si>
    <t>Jessore</t>
  </si>
  <si>
    <t>Railgate</t>
  </si>
  <si>
    <t>DLR-125</t>
  </si>
  <si>
    <t>Arif Hossain</t>
  </si>
  <si>
    <t>INV-1026</t>
  </si>
  <si>
    <t>Dhanmondi</t>
  </si>
  <si>
    <t>DLR-126</t>
  </si>
  <si>
    <t>INV-1027</t>
  </si>
  <si>
    <t>DLR-127</t>
  </si>
  <si>
    <t>INV-1028</t>
  </si>
  <si>
    <t>DLR-128</t>
  </si>
  <si>
    <t>INV-1029</t>
  </si>
  <si>
    <t>Digital Corner</t>
  </si>
  <si>
    <t>DLR-129</t>
  </si>
  <si>
    <t>INV-1030</t>
  </si>
  <si>
    <t>DLR-130</t>
  </si>
  <si>
    <t>INV-1031</t>
  </si>
  <si>
    <t>Agrabad</t>
  </si>
  <si>
    <t>DLR-131</t>
  </si>
  <si>
    <t>INV-1032</t>
  </si>
  <si>
    <t>DLR-132</t>
  </si>
  <si>
    <t>INV-1033</t>
  </si>
  <si>
    <t>Nawab Bari</t>
  </si>
  <si>
    <t>DLR-133</t>
  </si>
  <si>
    <t>INV-1034</t>
  </si>
  <si>
    <t>Narayanganj</t>
  </si>
  <si>
    <t>Fatullah</t>
  </si>
  <si>
    <t>DLR-134</t>
  </si>
  <si>
    <t>INV-1035</t>
  </si>
  <si>
    <t>DLR-135</t>
  </si>
  <si>
    <t>INV-1036</t>
  </si>
  <si>
    <t>DLR-136</t>
  </si>
  <si>
    <t>INV-1037</t>
  </si>
  <si>
    <t>DLR-137</t>
  </si>
  <si>
    <t>INV-1038</t>
  </si>
  <si>
    <t>DLR-138</t>
  </si>
  <si>
    <t>INV-1039</t>
  </si>
  <si>
    <t>Board Bazar</t>
  </si>
  <si>
    <t>DLR-139</t>
  </si>
  <si>
    <t>INV-1040</t>
  </si>
  <si>
    <t>DLR-140</t>
  </si>
  <si>
    <t>INV-1041</t>
  </si>
  <si>
    <t>DLR-141</t>
  </si>
  <si>
    <t>INV-1042</t>
  </si>
  <si>
    <t>DLR-142</t>
  </si>
  <si>
    <t>INV-1043</t>
  </si>
  <si>
    <t>DLR-143</t>
  </si>
  <si>
    <t>INV-1044</t>
  </si>
  <si>
    <t>College Road</t>
  </si>
  <si>
    <t>DLR-144</t>
  </si>
  <si>
    <t>INV-1045</t>
  </si>
  <si>
    <t>DLR-145</t>
  </si>
  <si>
    <t>INV-1046</t>
  </si>
  <si>
    <t>DLR-146</t>
  </si>
  <si>
    <t>INV-1047</t>
  </si>
  <si>
    <t>GEC</t>
  </si>
  <si>
    <t>DLR-147</t>
  </si>
  <si>
    <t>INV-1048</t>
  </si>
  <si>
    <t>DLR-148</t>
  </si>
  <si>
    <t>INV-1049</t>
  </si>
  <si>
    <t>Monihar</t>
  </si>
  <si>
    <t>DLR-149</t>
  </si>
  <si>
    <t>INV-1050</t>
  </si>
  <si>
    <t>DLR-150</t>
  </si>
  <si>
    <t>INV-1051</t>
  </si>
  <si>
    <t>Jahaj Company Mor</t>
  </si>
  <si>
    <t>DLR-151</t>
  </si>
  <si>
    <t>INV-1052</t>
  </si>
  <si>
    <t>DLR-152</t>
  </si>
  <si>
    <t>INV-1053</t>
  </si>
  <si>
    <t>DLR-153</t>
  </si>
  <si>
    <t>INV-1054</t>
  </si>
  <si>
    <t>DLR-154</t>
  </si>
  <si>
    <t>INV-1055</t>
  </si>
  <si>
    <t>DLR-155</t>
  </si>
  <si>
    <t>INV-1056</t>
  </si>
  <si>
    <t>DLR-156</t>
  </si>
  <si>
    <t>INV-1057</t>
  </si>
  <si>
    <t>DLR-157</t>
  </si>
  <si>
    <t>INV-1058</t>
  </si>
  <si>
    <t>DLR-158</t>
  </si>
  <si>
    <t>INV-1059</t>
  </si>
  <si>
    <t>DLR-159</t>
  </si>
  <si>
    <t>INV-1060</t>
  </si>
  <si>
    <t>DLR-160</t>
  </si>
  <si>
    <t>INV-1061</t>
  </si>
  <si>
    <t>DLR-161</t>
  </si>
  <si>
    <t>INV-1062</t>
  </si>
  <si>
    <t>Pahartali</t>
  </si>
  <si>
    <t>DLR-162</t>
  </si>
  <si>
    <t>INV-1063</t>
  </si>
  <si>
    <t>Ambarkhana</t>
  </si>
  <si>
    <t>DLR-163</t>
  </si>
  <si>
    <t>INV-1064</t>
  </si>
  <si>
    <t>Chashara</t>
  </si>
  <si>
    <t>DLR-164</t>
  </si>
  <si>
    <t>INV-1065</t>
  </si>
  <si>
    <t>DLR-165</t>
  </si>
  <si>
    <t>INV-1066</t>
  </si>
  <si>
    <t>DLR-166</t>
  </si>
  <si>
    <t>INV-1067</t>
  </si>
  <si>
    <t>DLR-167</t>
  </si>
  <si>
    <t>INV-1068</t>
  </si>
  <si>
    <t>DLR-168</t>
  </si>
  <si>
    <t>INV-1069</t>
  </si>
  <si>
    <t>DLR-169</t>
  </si>
  <si>
    <t>INV-1070</t>
  </si>
  <si>
    <t>DLR-170</t>
  </si>
  <si>
    <t>INV-1071</t>
  </si>
  <si>
    <t>DLR-171</t>
  </si>
  <si>
    <t>INV-1072</t>
  </si>
  <si>
    <t>DLR-172</t>
  </si>
  <si>
    <t>INV-1073</t>
  </si>
  <si>
    <t>DLR-173</t>
  </si>
  <si>
    <t>INV-1074</t>
  </si>
  <si>
    <t>DLR-174</t>
  </si>
  <si>
    <t>INV-1075</t>
  </si>
  <si>
    <t>DLR-175</t>
  </si>
  <si>
    <t>INV-1076</t>
  </si>
  <si>
    <t>DLR-176</t>
  </si>
  <si>
    <t>INV-1077</t>
  </si>
  <si>
    <t>DLR-177</t>
  </si>
  <si>
    <t>INV-1078</t>
  </si>
  <si>
    <t>DLR-178</t>
  </si>
  <si>
    <t>INV-1079</t>
  </si>
  <si>
    <t>DLR-179</t>
  </si>
  <si>
    <t>INV-1080</t>
  </si>
  <si>
    <t>DLR-180</t>
  </si>
  <si>
    <t>INV-1081</t>
  </si>
  <si>
    <t>DLR-181</t>
  </si>
  <si>
    <t>INV-1082</t>
  </si>
  <si>
    <t>DLR-182</t>
  </si>
  <si>
    <t>INV-1083</t>
  </si>
  <si>
    <t>DLR-183</t>
  </si>
  <si>
    <t>INV-1084</t>
  </si>
  <si>
    <t>DLR-184</t>
  </si>
  <si>
    <t>INV-1085</t>
  </si>
  <si>
    <t>DLR-185</t>
  </si>
  <si>
    <t>INV-1086</t>
  </si>
  <si>
    <t>DLR-186</t>
  </si>
  <si>
    <t>INV-1087</t>
  </si>
  <si>
    <t>DLR-187</t>
  </si>
  <si>
    <t>INV-1088</t>
  </si>
  <si>
    <t>DLR-188</t>
  </si>
  <si>
    <t>INV-1089</t>
  </si>
  <si>
    <t>DLR-189</t>
  </si>
  <si>
    <t>INV-1090</t>
  </si>
  <si>
    <t>DLR-190</t>
  </si>
  <si>
    <t>INV-1091</t>
  </si>
  <si>
    <t>DLR-191</t>
  </si>
  <si>
    <t>INV-1092</t>
  </si>
  <si>
    <t>DLR-192</t>
  </si>
  <si>
    <t>INV-1093</t>
  </si>
  <si>
    <t>DLR-193</t>
  </si>
  <si>
    <t>INV-1094</t>
  </si>
  <si>
    <t>DLR-194</t>
  </si>
  <si>
    <t>INV-1095</t>
  </si>
  <si>
    <t>DLR-195</t>
  </si>
  <si>
    <t>INV-1096</t>
  </si>
  <si>
    <t>DLR-196</t>
  </si>
  <si>
    <t>INV-1097</t>
  </si>
  <si>
    <t>DLR-197</t>
  </si>
  <si>
    <t>INV-1098</t>
  </si>
  <si>
    <t>DLR-198</t>
  </si>
  <si>
    <t>INV-1099</t>
  </si>
  <si>
    <t>DLR-199</t>
  </si>
  <si>
    <t>INV-1100</t>
  </si>
  <si>
    <t>DLR-200</t>
  </si>
  <si>
    <t>INV-1101</t>
  </si>
  <si>
    <t>DLR-201</t>
  </si>
  <si>
    <t>INV-1102</t>
  </si>
  <si>
    <t>DLR-202</t>
  </si>
  <si>
    <t>INV-1103</t>
  </si>
  <si>
    <t>DLR-203</t>
  </si>
  <si>
    <t>INV-1104</t>
  </si>
  <si>
    <t>DLR-204</t>
  </si>
  <si>
    <t>INV-1105</t>
  </si>
  <si>
    <t>DLR-205</t>
  </si>
  <si>
    <t>INV-1106</t>
  </si>
  <si>
    <t>DLR-206</t>
  </si>
  <si>
    <t>INV-1107</t>
  </si>
  <si>
    <t>DLR-207</t>
  </si>
  <si>
    <t>INV-1108</t>
  </si>
  <si>
    <t>DLR-208</t>
  </si>
  <si>
    <t>INV-1109</t>
  </si>
  <si>
    <t>DLR-209</t>
  </si>
  <si>
    <t>INV-1110</t>
  </si>
  <si>
    <t>DLR-210</t>
  </si>
  <si>
    <t>INV-1111</t>
  </si>
  <si>
    <t>DLR-211</t>
  </si>
  <si>
    <t>INV-1112</t>
  </si>
  <si>
    <t>DLR-212</t>
  </si>
  <si>
    <t>INV-1113</t>
  </si>
  <si>
    <t>DLR-213</t>
  </si>
  <si>
    <t>INV-1114</t>
  </si>
  <si>
    <t>DLR-214</t>
  </si>
  <si>
    <t>INV-1115</t>
  </si>
  <si>
    <t>DLR-215</t>
  </si>
  <si>
    <t>INV-1116</t>
  </si>
  <si>
    <t>DLR-216</t>
  </si>
  <si>
    <t>INV-1117</t>
  </si>
  <si>
    <t>DLR-217</t>
  </si>
  <si>
    <t>INV-1118</t>
  </si>
  <si>
    <t>DLR-218</t>
  </si>
  <si>
    <t>INV-1119</t>
  </si>
  <si>
    <t>DLR-219</t>
  </si>
  <si>
    <t>INV-1120</t>
  </si>
  <si>
    <t>Ganginarpar</t>
  </si>
  <si>
    <t>DLR-220</t>
  </si>
  <si>
    <t>INV-1121</t>
  </si>
  <si>
    <t>DLR-221</t>
  </si>
  <si>
    <t>INV-1122</t>
  </si>
  <si>
    <t>DLR-222</t>
  </si>
  <si>
    <t>INV-1123</t>
  </si>
  <si>
    <t>DLR-223</t>
  </si>
  <si>
    <t>INV-1124</t>
  </si>
  <si>
    <t>DLR-224</t>
  </si>
  <si>
    <t>INV-1125</t>
  </si>
  <si>
    <t>Mirpur</t>
  </si>
  <si>
    <t>DLR-225</t>
  </si>
  <si>
    <t>INV-1126</t>
  </si>
  <si>
    <t>DLR-226</t>
  </si>
  <si>
    <t>INV-1127</t>
  </si>
  <si>
    <t>DLR-227</t>
  </si>
  <si>
    <t>INV-1128</t>
  </si>
  <si>
    <t>DLR-228</t>
  </si>
  <si>
    <t>INV-1129</t>
  </si>
  <si>
    <t>DLR-229</t>
  </si>
  <si>
    <t>INV-1130</t>
  </si>
  <si>
    <t>DLR-230</t>
  </si>
  <si>
    <t>INV-1131</t>
  </si>
  <si>
    <t>DLR-231</t>
  </si>
  <si>
    <t>INV-1132</t>
  </si>
  <si>
    <t>DLR-232</t>
  </si>
  <si>
    <t>INV-1133</t>
  </si>
  <si>
    <t>DLR-233</t>
  </si>
  <si>
    <t>INV-1134</t>
  </si>
  <si>
    <t>DLR-234</t>
  </si>
  <si>
    <t>INV-1135</t>
  </si>
  <si>
    <t>DLR-235</t>
  </si>
  <si>
    <t>INV-1136</t>
  </si>
  <si>
    <t>DLR-236</t>
  </si>
  <si>
    <t>INV-1137</t>
  </si>
  <si>
    <t>DLR-237</t>
  </si>
  <si>
    <t>INV-1138</t>
  </si>
  <si>
    <t>DLR-238</t>
  </si>
  <si>
    <t>INV-1139</t>
  </si>
  <si>
    <t>DLR-239</t>
  </si>
  <si>
    <t>INV-1140</t>
  </si>
  <si>
    <t>DLR-240</t>
  </si>
  <si>
    <t>INV-1141</t>
  </si>
  <si>
    <t>DLR-241</t>
  </si>
  <si>
    <t>INV-1142</t>
  </si>
  <si>
    <t>DLR-242</t>
  </si>
  <si>
    <t>INV-1143</t>
  </si>
  <si>
    <t>DLR-243</t>
  </si>
  <si>
    <t>INV-1144</t>
  </si>
  <si>
    <t>DLR-244</t>
  </si>
  <si>
    <t>INV-1145</t>
  </si>
  <si>
    <t>DLR-245</t>
  </si>
  <si>
    <t>INV-1146</t>
  </si>
  <si>
    <t>DLR-246</t>
  </si>
  <si>
    <t>INV-1147</t>
  </si>
  <si>
    <t>DLR-247</t>
  </si>
  <si>
    <t>INV-1148</t>
  </si>
  <si>
    <t>DLR-248</t>
  </si>
  <si>
    <t>INV-1149</t>
  </si>
  <si>
    <t>DLR-249</t>
  </si>
  <si>
    <t>INV-1150</t>
  </si>
  <si>
    <t>DLR-250</t>
  </si>
  <si>
    <t>INV-1151</t>
  </si>
  <si>
    <t>DLR-251</t>
  </si>
  <si>
    <t>INV-1152</t>
  </si>
  <si>
    <t>DLR-252</t>
  </si>
  <si>
    <t>INV-1153</t>
  </si>
  <si>
    <t>DLR-253</t>
  </si>
  <si>
    <t>INV-1154</t>
  </si>
  <si>
    <t>DLR-254</t>
  </si>
  <si>
    <t>INV-1155</t>
  </si>
  <si>
    <t>DLR-255</t>
  </si>
  <si>
    <t>INV-1156</t>
  </si>
  <si>
    <t>DLR-256</t>
  </si>
  <si>
    <t>INV-1157</t>
  </si>
  <si>
    <t>DLR-257</t>
  </si>
  <si>
    <t>INV-1158</t>
  </si>
  <si>
    <t>DLR-258</t>
  </si>
  <si>
    <t>INV-1159</t>
  </si>
  <si>
    <t>DLR-259</t>
  </si>
  <si>
    <t>INV-1160</t>
  </si>
  <si>
    <t>DLR-260</t>
  </si>
  <si>
    <t>INV-1161</t>
  </si>
  <si>
    <t>DLR-261</t>
  </si>
  <si>
    <t>INV-1162</t>
  </si>
  <si>
    <t>DLR-262</t>
  </si>
  <si>
    <t>INV-1163</t>
  </si>
  <si>
    <t>DLR-263</t>
  </si>
  <si>
    <t>INV-1164</t>
  </si>
  <si>
    <t>DLR-264</t>
  </si>
  <si>
    <t>INV-1165</t>
  </si>
  <si>
    <t>DLR-265</t>
  </si>
  <si>
    <t>INV-1166</t>
  </si>
  <si>
    <t>DLR-266</t>
  </si>
  <si>
    <t>INV-1167</t>
  </si>
  <si>
    <t>DLR-267</t>
  </si>
  <si>
    <t>INV-1168</t>
  </si>
  <si>
    <t>DLR-268</t>
  </si>
  <si>
    <t>INV-1169</t>
  </si>
  <si>
    <t>DLR-269</t>
  </si>
  <si>
    <t>INV-1170</t>
  </si>
  <si>
    <t>DLR-270</t>
  </si>
  <si>
    <t>INV-1171</t>
  </si>
  <si>
    <t>DLR-271</t>
  </si>
  <si>
    <t>INV-1172</t>
  </si>
  <si>
    <t>DLR-272</t>
  </si>
  <si>
    <t>INV-1173</t>
  </si>
  <si>
    <t>DLR-273</t>
  </si>
  <si>
    <t>INV-1174</t>
  </si>
  <si>
    <t>DLR-274</t>
  </si>
  <si>
    <t>INV-1175</t>
  </si>
  <si>
    <t>DLR-275</t>
  </si>
  <si>
    <t>INV-1176</t>
  </si>
  <si>
    <t>DLR-276</t>
  </si>
  <si>
    <t>INV-1177</t>
  </si>
  <si>
    <t>DLR-277</t>
  </si>
  <si>
    <t>INV-1178</t>
  </si>
  <si>
    <t>DLR-278</t>
  </si>
  <si>
    <t>INV-1179</t>
  </si>
  <si>
    <t>DLR-279</t>
  </si>
  <si>
    <t>INV-1180</t>
  </si>
  <si>
    <t>DLR-280</t>
  </si>
  <si>
    <t>INV-1181</t>
  </si>
  <si>
    <t>DLR-281</t>
  </si>
  <si>
    <t>INV-1182</t>
  </si>
  <si>
    <t>DLR-282</t>
  </si>
  <si>
    <t>INV-1183</t>
  </si>
  <si>
    <t>DLR-283</t>
  </si>
  <si>
    <t>INV-1184</t>
  </si>
  <si>
    <t>DLR-284</t>
  </si>
  <si>
    <t>INV-1185</t>
  </si>
  <si>
    <t>DLR-285</t>
  </si>
  <si>
    <t>INV-1186</t>
  </si>
  <si>
    <t>DLR-286</t>
  </si>
  <si>
    <t>INV-1187</t>
  </si>
  <si>
    <t>DLR-287</t>
  </si>
  <si>
    <t>INV-1188</t>
  </si>
  <si>
    <t>DLR-288</t>
  </si>
  <si>
    <t>INV-1189</t>
  </si>
  <si>
    <t>DLR-289</t>
  </si>
  <si>
    <t>INV-1190</t>
  </si>
  <si>
    <t>DLR-290</t>
  </si>
  <si>
    <t>INV-1191</t>
  </si>
  <si>
    <t>DLR-291</t>
  </si>
  <si>
    <t>INV-1192</t>
  </si>
  <si>
    <t>DLR-292</t>
  </si>
  <si>
    <t>INV-1193</t>
  </si>
  <si>
    <t>DLR-293</t>
  </si>
  <si>
    <t>INV-1194</t>
  </si>
  <si>
    <t>DLR-294</t>
  </si>
  <si>
    <t>INV-1195</t>
  </si>
  <si>
    <t>DLR-295</t>
  </si>
  <si>
    <t>INV-1196</t>
  </si>
  <si>
    <t>DLR-296</t>
  </si>
  <si>
    <t>INV-1197</t>
  </si>
  <si>
    <t>DLR-297</t>
  </si>
  <si>
    <t>INV-1198</t>
  </si>
  <si>
    <t>DLR-298</t>
  </si>
  <si>
    <t>INV-1199</t>
  </si>
  <si>
    <t>DLR-299</t>
  </si>
  <si>
    <t>INV-1200</t>
  </si>
  <si>
    <t>DLR-300</t>
  </si>
  <si>
    <t>Name</t>
  </si>
  <si>
    <t>Bangla</t>
  </si>
  <si>
    <t>English</t>
  </si>
  <si>
    <t>Math</t>
  </si>
  <si>
    <t>Science</t>
  </si>
  <si>
    <t>History</t>
  </si>
  <si>
    <t>Total</t>
  </si>
  <si>
    <t>Saiful Islam</t>
  </si>
  <si>
    <t>Aiyan Sagor</t>
  </si>
  <si>
    <t>Raiyan</t>
  </si>
  <si>
    <t>Hemel</t>
  </si>
  <si>
    <t>Farhan</t>
  </si>
  <si>
    <t>Hanif</t>
  </si>
  <si>
    <t>Habibur</t>
  </si>
  <si>
    <t>Rana</t>
  </si>
  <si>
    <t>Talash</t>
  </si>
  <si>
    <t>Sabbir</t>
  </si>
  <si>
    <t>Akash</t>
  </si>
  <si>
    <t>Mehad</t>
  </si>
  <si>
    <t>Rifat</t>
  </si>
  <si>
    <t>Masum</t>
  </si>
  <si>
    <t>Abdullah</t>
  </si>
  <si>
    <t>Rony</t>
  </si>
  <si>
    <t>Region</t>
  </si>
  <si>
    <t>Mobile</t>
  </si>
  <si>
    <t>Laptop</t>
  </si>
  <si>
    <t>Relative</t>
  </si>
  <si>
    <t>Absolute</t>
  </si>
  <si>
    <t>Mixed</t>
  </si>
  <si>
    <t>A1</t>
  </si>
  <si>
    <t>$A$1</t>
  </si>
  <si>
    <t>A$1 or $A1</t>
  </si>
  <si>
    <t>Test 1</t>
  </si>
  <si>
    <t>Sales Person</t>
  </si>
  <si>
    <t>Week 1</t>
  </si>
  <si>
    <t>Week 2</t>
  </si>
  <si>
    <t>Week 3</t>
  </si>
  <si>
    <t>Week 4</t>
  </si>
  <si>
    <t>Test 2</t>
  </si>
  <si>
    <t>Product</t>
  </si>
  <si>
    <t xml:space="preserve">Price </t>
  </si>
  <si>
    <t>Tax</t>
  </si>
  <si>
    <t>Tv</t>
  </si>
  <si>
    <t>PC</t>
  </si>
  <si>
    <t>Monitor</t>
  </si>
  <si>
    <t>Headphone</t>
  </si>
  <si>
    <t>Smart Watch</t>
  </si>
  <si>
    <t>Sales Tax</t>
  </si>
  <si>
    <t>Test 3</t>
  </si>
  <si>
    <t>BD Tax</t>
  </si>
  <si>
    <t>IND TAX</t>
  </si>
  <si>
    <t>Chaina TAX</t>
  </si>
  <si>
    <t>Test 4</t>
  </si>
  <si>
    <t>Price</t>
  </si>
  <si>
    <t>Jan</t>
  </si>
  <si>
    <t>Feb</t>
  </si>
  <si>
    <t>Mar</t>
  </si>
  <si>
    <t>Jan Bonus</t>
  </si>
  <si>
    <t>Feb Bonus</t>
  </si>
  <si>
    <t>Mar Bonus</t>
  </si>
  <si>
    <t>Basic Formula</t>
  </si>
  <si>
    <t>Sum</t>
  </si>
  <si>
    <t>Average</t>
  </si>
  <si>
    <t>Max</t>
  </si>
  <si>
    <t>Min</t>
  </si>
  <si>
    <t>Subtotal</t>
  </si>
  <si>
    <t>Aggrigate</t>
  </si>
  <si>
    <t>Sum Product</t>
  </si>
  <si>
    <t>Shahin</t>
  </si>
  <si>
    <t>xyz</t>
  </si>
  <si>
    <t>araft</t>
  </si>
  <si>
    <t>whefgeduifhwrigheh</t>
  </si>
  <si>
    <t>Revenue</t>
  </si>
  <si>
    <t>Pass</t>
  </si>
  <si>
    <t>Practice</t>
  </si>
  <si>
    <t>Total Quantity Sold</t>
  </si>
  <si>
    <t xml:space="preserve">Total Revenue </t>
  </si>
  <si>
    <t>Avg Sale</t>
  </si>
  <si>
    <t xml:space="preserve">Min Sold </t>
  </si>
  <si>
    <t>Max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</si>
</sst>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1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2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11" fillId="0" borderId="0" applyFont="0" applyFill="0" applyBorder="0" applyAlignment="0" applyProtection="0"/>
  </cellStyleXfs>
  <cellXfs count="45">
    <xf numFmtId="0" fontId="0" fillId="0" borderId="0" xfId="0"/>
    <xf numFmtId="0" fontId="1" fillId="4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3" fillId="2" borderId="0" xfId="0" applyFont="1" applyFill="1"/>
    <xf numFmtId="0" fontId="0" fillId="7" borderId="1" xfId="0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9" fontId="0" fillId="8" borderId="1" xfId="0" applyNumberFormat="1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5" fillId="9" borderId="1" xfId="0" applyFont="1" applyFill="1" applyBorder="1" applyAlignment="1">
      <alignment horizontal="center"/>
    </xf>
    <xf numFmtId="9" fontId="0" fillId="0" borderId="1" xfId="0" applyNumberFormat="1" applyBorder="1"/>
    <xf numFmtId="0" fontId="5" fillId="9" borderId="1" xfId="0" applyFont="1" applyFill="1" applyBorder="1"/>
    <xf numFmtId="9" fontId="0" fillId="0" borderId="2" xfId="0" applyNumberFormat="1" applyBorder="1" applyAlignment="1">
      <alignment horizontal="center"/>
    </xf>
    <xf numFmtId="0" fontId="6" fillId="4" borderId="1" xfId="0" applyFont="1" applyFill="1" applyBorder="1"/>
    <xf numFmtId="0" fontId="3" fillId="4" borderId="0" xfId="0" applyFont="1" applyFill="1"/>
    <xf numFmtId="14" fontId="0" fillId="0" borderId="0" xfId="0" applyNumberFormat="1"/>
    <xf numFmtId="14" fontId="7" fillId="6" borderId="1" xfId="0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165" fontId="7" fillId="10" borderId="1" xfId="0" applyNumberFormat="1" applyFont="1" applyFill="1" applyBorder="1" applyAlignment="1">
      <alignment horizontal="center"/>
    </xf>
    <xf numFmtId="165" fontId="0" fillId="11" borderId="1" xfId="0" applyNumberFormat="1" applyFill="1" applyBorder="1" applyAlignment="1">
      <alignment horizontal="center"/>
    </xf>
    <xf numFmtId="0" fontId="3" fillId="5" borderId="1" xfId="0" applyFont="1" applyFill="1" applyBorder="1"/>
    <xf numFmtId="14" fontId="3" fillId="5" borderId="1" xfId="0" applyNumberFormat="1" applyFont="1" applyFill="1" applyBorder="1"/>
    <xf numFmtId="14" fontId="0" fillId="0" borderId="1" xfId="0" applyNumberFormat="1" applyBorder="1"/>
    <xf numFmtId="0" fontId="0" fillId="0" borderId="3" xfId="0" applyBorder="1" applyAlignment="1">
      <alignment horizontal="center"/>
    </xf>
    <xf numFmtId="0" fontId="0" fillId="12" borderId="0" xfId="0" applyFill="1"/>
    <xf numFmtId="164" fontId="3" fillId="5" borderId="1" xfId="1" applyFont="1" applyFill="1" applyBorder="1"/>
    <xf numFmtId="0" fontId="12" fillId="12" borderId="4" xfId="0" applyFont="1" applyFill="1" applyBorder="1" applyAlignment="1">
      <alignment horizontal="left"/>
    </xf>
    <xf numFmtId="0" fontId="0" fillId="12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0" fillId="13" borderId="0" xfId="0" applyFill="1"/>
    <xf numFmtId="0" fontId="0" fillId="6" borderId="0" xfId="0" applyFill="1" applyAlignment="1">
      <alignment horizontal="right"/>
    </xf>
    <xf numFmtId="165" fontId="0" fillId="14" borderId="0" xfId="1" applyNumberFormat="1" applyFont="1" applyFill="1" applyAlignment="1">
      <alignment horizontal="right"/>
    </xf>
    <xf numFmtId="164" fontId="0" fillId="6" borderId="0" xfId="1" applyFont="1" applyFill="1" applyAlignment="1">
      <alignment horizontal="right"/>
    </xf>
    <xf numFmtId="164" fontId="0" fillId="14" borderId="0" xfId="1" applyFont="1" applyFill="1" applyAlignment="1">
      <alignment horizontal="right"/>
    </xf>
    <xf numFmtId="0" fontId="3" fillId="4" borderId="0" xfId="0" applyFont="1" applyFill="1" applyAlignment="1">
      <alignment horizontal="center"/>
    </xf>
    <xf numFmtId="0" fontId="10" fillId="11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21771</xdr:colOff>
      <xdr:row>45</xdr:row>
      <xdr:rowOff>21772</xdr:rowOff>
    </xdr:from>
    <xdr:to>
      <xdr:col>8</xdr:col>
      <xdr:colOff>1150619</xdr:colOff>
      <xdr:row>66</xdr:row>
      <xdr:rowOff>29392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A03C3E-FD67-214A-63C0-759C2DDC9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914" y="8349343"/>
          <a:ext cx="7910648" cy="3893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32656</xdr:colOff>
          <xdr:row>45</xdr:row>
          <xdr:rowOff>21772</xdr:rowOff>
        </xdr:from>
        <xdr:to>
          <xdr:col>19</xdr:col>
          <xdr:colOff>228600</xdr:colOff>
          <xdr:row>66</xdr:row>
          <xdr:rowOff>21772</xdr:rowOff>
        </xdr:to>
        <xdr:pic>
          <xdr:nvPicPr>
            <xdr:cNvPr id="3" name="Picture 2">
              <a:extLst>
                <a:ext uri="{FF2B5EF4-FFF2-40B4-BE49-F238E27FC236}">
                  <a16:creationId xmlns:a16="http://schemas.microsoft.com/office/drawing/2014/main" id="{FCCB626A-C147-881F-2D0D-16EBA24015E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I$22" spid="_x0000_s3100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0297885" y="8349343"/>
              <a:ext cx="9002486" cy="38862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501455</xdr:colOff>
      <xdr:row>44</xdr:row>
      <xdr:rowOff>74735</xdr:rowOff>
    </xdr:from>
    <xdr:to>
      <xdr:col>1</xdr:col>
      <xdr:colOff>34877</xdr:colOff>
      <xdr:row>49</xdr:row>
      <xdr:rowOff>143315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64F2155-9CAA-4281-AEC3-70697128EC1E}"/>
            </a:ext>
          </a:extLst>
        </xdr:cNvPr>
        <xdr:cNvSpPr/>
      </xdr:nvSpPr>
      <xdr:spPr>
        <a:xfrm>
          <a:off x="501455" y="8610600"/>
          <a:ext cx="346710" cy="10210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wordArtVert" rtlCol="0" anchor="ctr"/>
        <a:lstStyle/>
        <a:p>
          <a:pPr algn="ctr"/>
          <a:r>
            <a:rPr lang="en-US" sz="1100"/>
            <a:t>QTY</a:t>
          </a:r>
        </a:p>
      </xdr:txBody>
    </xdr:sp>
    <xdr:clientData/>
  </xdr:twoCellAnchor>
  <xdr:twoCellAnchor>
    <xdr:from>
      <xdr:col>0</xdr:col>
      <xdr:colOff>398878</xdr:colOff>
      <xdr:row>54</xdr:row>
      <xdr:rowOff>162657</xdr:rowOff>
    </xdr:from>
    <xdr:to>
      <xdr:col>0</xdr:col>
      <xdr:colOff>745588</xdr:colOff>
      <xdr:row>60</xdr:row>
      <xdr:rowOff>40737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01B11A7-68B6-30E2-3A7D-9987C5603AB8}"/>
            </a:ext>
          </a:extLst>
        </xdr:cNvPr>
        <xdr:cNvSpPr/>
      </xdr:nvSpPr>
      <xdr:spPr>
        <a:xfrm>
          <a:off x="398878" y="10750061"/>
          <a:ext cx="346710" cy="10210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wordArtVert" rtlCol="0" anchor="ctr"/>
        <a:lstStyle/>
        <a:p>
          <a:pPr algn="ctr"/>
          <a:r>
            <a:rPr lang="en-US" sz="1100"/>
            <a:t>QTY</a:t>
          </a:r>
        </a:p>
      </xdr:txBody>
    </xdr:sp>
    <xdr:clientData/>
  </xdr:twoCellAnchor>
  <xdr:twoCellAnchor>
    <xdr:from>
      <xdr:col>16</xdr:col>
      <xdr:colOff>398878</xdr:colOff>
      <xdr:row>54</xdr:row>
      <xdr:rowOff>162657</xdr:rowOff>
    </xdr:from>
    <xdr:to>
      <xdr:col>16</xdr:col>
      <xdr:colOff>745588</xdr:colOff>
      <xdr:row>60</xdr:row>
      <xdr:rowOff>40737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C6EC0D5-2765-46EB-9E7E-4D76E682320C}"/>
            </a:ext>
          </a:extLst>
        </xdr:cNvPr>
        <xdr:cNvSpPr/>
      </xdr:nvSpPr>
      <xdr:spPr>
        <a:xfrm>
          <a:off x="398878" y="10563957"/>
          <a:ext cx="346710" cy="9448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wordArtVert" rtlCol="0" anchor="ctr"/>
        <a:lstStyle/>
        <a:p>
          <a:pPr algn="ctr"/>
          <a:r>
            <a:rPr lang="en-US" sz="1100"/>
            <a:t>QTY</a:t>
          </a:r>
        </a:p>
      </xdr:txBody>
    </xdr:sp>
    <xdr:clientData/>
  </xdr:twoCellAnchor>
  <xdr:twoCellAnchor>
    <xdr:from>
      <xdr:col>28</xdr:col>
      <xdr:colOff>398878</xdr:colOff>
      <xdr:row>54</xdr:row>
      <xdr:rowOff>162657</xdr:rowOff>
    </xdr:from>
    <xdr:to>
      <xdr:col>28</xdr:col>
      <xdr:colOff>745588</xdr:colOff>
      <xdr:row>60</xdr:row>
      <xdr:rowOff>40737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AB61AD0-3FD2-4B3F-9A12-64233466D788}"/>
            </a:ext>
          </a:extLst>
        </xdr:cNvPr>
        <xdr:cNvSpPr/>
      </xdr:nvSpPr>
      <xdr:spPr>
        <a:xfrm>
          <a:off x="14833335" y="10885086"/>
          <a:ext cx="346710" cy="98842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wordArtVert" rtlCol="0" anchor="ctr"/>
        <a:lstStyle/>
        <a:p>
          <a:pPr algn="ctr"/>
          <a:r>
            <a:rPr lang="en-US" sz="1100"/>
            <a:t>QTY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5B84F-A283-4888-84A0-108A0E72D898}">
  <dimension ref="B2:AG88"/>
  <sheetViews>
    <sheetView tabSelected="1" zoomScale="70" zoomScaleNormal="70" workbookViewId="0">
      <selection activeCell="I23" sqref="I23"/>
    </sheetView>
  </sheetViews>
  <sheetFormatPr defaultColWidth="9.109375" defaultRowHeight="14.4" x14ac:dyDescent="0.3"/>
  <cols>
    <col min="1" max="1" width="4" customWidth="1"/>
    <col min="2" max="2" width="19" bestFit="1" customWidth="1"/>
    <col min="3" max="4" width="11" bestFit="1" customWidth="1"/>
    <col min="5" max="5" width="12.88671875" bestFit="1" customWidth="1"/>
    <col min="6" max="6" width="17.88671875" bestFit="1" customWidth="1"/>
    <col min="7" max="7" width="11.6640625" bestFit="1" customWidth="1"/>
    <col min="8" max="8" width="15.44140625" bestFit="1" customWidth="1"/>
    <col min="9" max="9" width="32.33203125" customWidth="1"/>
    <col min="10" max="10" width="14.44140625" bestFit="1" customWidth="1"/>
    <col min="11" max="11" width="17.33203125" customWidth="1"/>
    <col min="12" max="12" width="11.44140625" bestFit="1" customWidth="1"/>
    <col min="13" max="13" width="16.5546875" customWidth="1"/>
    <col min="14" max="14" width="18.33203125" customWidth="1"/>
    <col min="15" max="15" width="17.5546875" customWidth="1"/>
    <col min="16" max="16" width="13.6640625" bestFit="1" customWidth="1"/>
    <col min="17" max="17" width="11.88671875" bestFit="1" customWidth="1"/>
    <col min="18" max="18" width="12.5546875" bestFit="1" customWidth="1"/>
    <col min="22" max="23" width="10.5546875" bestFit="1" customWidth="1"/>
  </cols>
  <sheetData>
    <row r="2" spans="2:33" x14ac:dyDescent="0.3">
      <c r="B2" s="1" t="s">
        <v>520</v>
      </c>
      <c r="C2" s="3" t="s">
        <v>521</v>
      </c>
      <c r="D2" s="3" t="s">
        <v>522</v>
      </c>
      <c r="E2" s="3" t="s">
        <v>523</v>
      </c>
      <c r="F2" s="3" t="s">
        <v>524</v>
      </c>
      <c r="G2" s="3" t="s">
        <v>525</v>
      </c>
      <c r="H2" s="5" t="s">
        <v>526</v>
      </c>
      <c r="I2" s="5" t="s">
        <v>526</v>
      </c>
    </row>
    <row r="3" spans="2:33" x14ac:dyDescent="0.3">
      <c r="B3" s="2" t="s">
        <v>527</v>
      </c>
      <c r="C3" s="4">
        <v>88</v>
      </c>
      <c r="D3" s="4">
        <v>95</v>
      </c>
      <c r="E3" s="4">
        <v>80</v>
      </c>
      <c r="F3" s="4">
        <v>90</v>
      </c>
      <c r="G3" s="4">
        <v>81</v>
      </c>
      <c r="H3" s="4">
        <f t="shared" ref="H3:H22" si="0">SUM(C3:G3)</f>
        <v>434</v>
      </c>
      <c r="I3" s="4" t="s">
        <v>593</v>
      </c>
    </row>
    <row r="4" spans="2:33" x14ac:dyDescent="0.3">
      <c r="B4" s="2" t="s">
        <v>528</v>
      </c>
      <c r="C4" s="4">
        <v>70</v>
      </c>
      <c r="D4" s="4">
        <v>90</v>
      </c>
      <c r="E4" s="4">
        <v>96</v>
      </c>
      <c r="F4" s="4">
        <v>50</v>
      </c>
      <c r="G4" s="4">
        <v>57</v>
      </c>
      <c r="H4" s="4">
        <f t="shared" si="0"/>
        <v>363</v>
      </c>
      <c r="I4" s="4" t="s">
        <v>593</v>
      </c>
    </row>
    <row r="5" spans="2:33" x14ac:dyDescent="0.3">
      <c r="B5" s="2" t="s">
        <v>529</v>
      </c>
      <c r="C5" s="4">
        <v>96</v>
      </c>
      <c r="D5" s="4">
        <v>42</v>
      </c>
      <c r="E5" s="4">
        <v>81</v>
      </c>
      <c r="F5" s="4">
        <v>42</v>
      </c>
      <c r="G5" s="4">
        <v>50</v>
      </c>
      <c r="H5" s="4">
        <f t="shared" si="0"/>
        <v>311</v>
      </c>
      <c r="I5" s="4" t="s">
        <v>593</v>
      </c>
    </row>
    <row r="6" spans="2:33" x14ac:dyDescent="0.3">
      <c r="B6" s="2" t="s">
        <v>589</v>
      </c>
      <c r="C6" s="4">
        <v>43</v>
      </c>
      <c r="D6" s="4">
        <v>56</v>
      </c>
      <c r="E6" s="4">
        <v>87</v>
      </c>
      <c r="F6" s="4">
        <v>57</v>
      </c>
      <c r="G6" s="4">
        <v>83</v>
      </c>
      <c r="H6" s="4">
        <f t="shared" si="0"/>
        <v>326</v>
      </c>
      <c r="I6" s="4" t="s">
        <v>593</v>
      </c>
    </row>
    <row r="7" spans="2:33" x14ac:dyDescent="0.3">
      <c r="B7" s="2" t="s">
        <v>588</v>
      </c>
      <c r="C7" s="4">
        <v>60</v>
      </c>
      <c r="D7" s="4">
        <v>81</v>
      </c>
      <c r="E7" s="4">
        <v>72</v>
      </c>
      <c r="F7" s="4">
        <v>41</v>
      </c>
      <c r="G7" s="4">
        <v>56</v>
      </c>
      <c r="H7" s="4">
        <f t="shared" si="0"/>
        <v>310</v>
      </c>
      <c r="I7" s="4" t="s">
        <v>593</v>
      </c>
      <c r="M7" s="1" t="s">
        <v>520</v>
      </c>
      <c r="N7" s="2" t="s">
        <v>527</v>
      </c>
      <c r="O7" s="2" t="s">
        <v>528</v>
      </c>
      <c r="P7" s="2" t="s">
        <v>529</v>
      </c>
      <c r="Q7" s="2" t="s">
        <v>589</v>
      </c>
      <c r="R7" s="2" t="s">
        <v>588</v>
      </c>
      <c r="S7" s="2" t="s">
        <v>530</v>
      </c>
      <c r="T7" s="2" t="s">
        <v>531</v>
      </c>
      <c r="U7" s="2" t="s">
        <v>532</v>
      </c>
      <c r="V7" s="2" t="s">
        <v>533</v>
      </c>
      <c r="W7" s="2" t="s">
        <v>534</v>
      </c>
      <c r="X7" s="2" t="s">
        <v>590</v>
      </c>
      <c r="Y7" s="2" t="s">
        <v>535</v>
      </c>
      <c r="Z7" s="2" t="s">
        <v>536</v>
      </c>
      <c r="AA7" s="2" t="s">
        <v>537</v>
      </c>
      <c r="AB7" s="2" t="s">
        <v>538</v>
      </c>
      <c r="AC7" s="2" t="s">
        <v>591</v>
      </c>
      <c r="AD7" s="2" t="s">
        <v>539</v>
      </c>
      <c r="AE7" s="2" t="s">
        <v>540</v>
      </c>
      <c r="AF7" s="2" t="s">
        <v>541</v>
      </c>
      <c r="AG7" s="2" t="s">
        <v>542</v>
      </c>
    </row>
    <row r="8" spans="2:33" x14ac:dyDescent="0.3">
      <c r="B8" s="2" t="s">
        <v>530</v>
      </c>
      <c r="C8" s="4">
        <v>50</v>
      </c>
      <c r="D8" s="4">
        <v>99</v>
      </c>
      <c r="E8" s="4">
        <v>94</v>
      </c>
      <c r="F8" s="4">
        <v>47</v>
      </c>
      <c r="G8" s="4">
        <v>87</v>
      </c>
      <c r="H8" s="4">
        <f t="shared" si="0"/>
        <v>377</v>
      </c>
      <c r="I8" s="4" t="s">
        <v>593</v>
      </c>
      <c r="M8" s="3" t="s">
        <v>521</v>
      </c>
      <c r="N8" s="4">
        <v>88</v>
      </c>
      <c r="O8" s="4">
        <v>70</v>
      </c>
      <c r="P8" s="4">
        <v>96</v>
      </c>
      <c r="Q8" s="4">
        <v>43</v>
      </c>
      <c r="R8" s="4">
        <v>60</v>
      </c>
      <c r="S8" s="4">
        <v>50</v>
      </c>
      <c r="T8" s="4">
        <v>96</v>
      </c>
      <c r="U8" s="4">
        <v>58</v>
      </c>
      <c r="V8" s="4">
        <v>82</v>
      </c>
      <c r="W8" s="4">
        <v>61</v>
      </c>
      <c r="X8" s="4">
        <v>78</v>
      </c>
      <c r="Y8" s="4">
        <v>84</v>
      </c>
      <c r="Z8" s="4">
        <v>44</v>
      </c>
      <c r="AA8" s="4">
        <v>84</v>
      </c>
      <c r="AB8" s="4">
        <v>59</v>
      </c>
      <c r="AC8" s="4">
        <v>43</v>
      </c>
      <c r="AD8" s="4">
        <v>93</v>
      </c>
      <c r="AE8" s="4">
        <v>46</v>
      </c>
      <c r="AF8" s="4">
        <v>57</v>
      </c>
      <c r="AG8" s="4">
        <v>102</v>
      </c>
    </row>
    <row r="9" spans="2:33" x14ac:dyDescent="0.3">
      <c r="B9" s="2" t="s">
        <v>531</v>
      </c>
      <c r="C9" s="4">
        <v>96</v>
      </c>
      <c r="D9" s="4">
        <v>98</v>
      </c>
      <c r="E9" s="4">
        <v>64</v>
      </c>
      <c r="F9" s="4">
        <v>82</v>
      </c>
      <c r="G9" s="4">
        <v>88</v>
      </c>
      <c r="H9" s="4">
        <f t="shared" si="0"/>
        <v>428</v>
      </c>
      <c r="I9" s="4" t="s">
        <v>593</v>
      </c>
      <c r="M9" s="3" t="s">
        <v>522</v>
      </c>
      <c r="N9" s="4">
        <v>95</v>
      </c>
      <c r="O9" s="4">
        <v>90</v>
      </c>
      <c r="P9" s="4">
        <v>42</v>
      </c>
      <c r="Q9" s="4">
        <v>56</v>
      </c>
      <c r="R9" s="4">
        <v>81</v>
      </c>
      <c r="S9" s="4">
        <v>99</v>
      </c>
      <c r="T9" s="4">
        <v>98</v>
      </c>
      <c r="U9" s="4">
        <v>72</v>
      </c>
      <c r="V9" s="4">
        <v>67</v>
      </c>
      <c r="W9" s="4">
        <v>48</v>
      </c>
      <c r="X9" s="4">
        <v>61</v>
      </c>
      <c r="Y9" s="4">
        <v>57</v>
      </c>
      <c r="Z9" s="4">
        <v>44</v>
      </c>
      <c r="AA9" s="4">
        <v>72</v>
      </c>
      <c r="AB9" s="4">
        <v>46</v>
      </c>
      <c r="AC9" s="4">
        <v>98</v>
      </c>
      <c r="AD9" s="4">
        <v>49</v>
      </c>
      <c r="AE9" s="4">
        <v>62</v>
      </c>
      <c r="AF9" s="4">
        <v>51</v>
      </c>
      <c r="AG9" s="4">
        <v>71</v>
      </c>
    </row>
    <row r="10" spans="2:33" x14ac:dyDescent="0.3">
      <c r="B10" s="2" t="s">
        <v>532</v>
      </c>
      <c r="C10" s="4">
        <v>58</v>
      </c>
      <c r="D10" s="4">
        <v>72</v>
      </c>
      <c r="E10" s="4">
        <v>38</v>
      </c>
      <c r="F10" s="4">
        <v>80</v>
      </c>
      <c r="G10" s="4">
        <v>82</v>
      </c>
      <c r="H10" s="4">
        <f t="shared" si="0"/>
        <v>330</v>
      </c>
      <c r="I10" s="4" t="s">
        <v>593</v>
      </c>
      <c r="M10" s="3" t="s">
        <v>523</v>
      </c>
      <c r="N10" s="4">
        <v>80</v>
      </c>
      <c r="O10" s="4">
        <v>96</v>
      </c>
      <c r="P10" s="4">
        <v>81</v>
      </c>
      <c r="Q10" s="4">
        <v>87</v>
      </c>
      <c r="R10" s="4">
        <v>72</v>
      </c>
      <c r="S10" s="4">
        <v>94</v>
      </c>
      <c r="T10" s="4">
        <v>64</v>
      </c>
      <c r="U10" s="4">
        <v>38</v>
      </c>
      <c r="V10" s="4">
        <v>92</v>
      </c>
      <c r="W10" s="4">
        <v>102</v>
      </c>
      <c r="X10" s="4">
        <v>51</v>
      </c>
      <c r="Y10" s="4">
        <v>64</v>
      </c>
      <c r="Z10" s="4">
        <v>48</v>
      </c>
      <c r="AA10" s="4">
        <v>41</v>
      </c>
      <c r="AB10" s="4">
        <v>60</v>
      </c>
      <c r="AC10" s="4">
        <v>94</v>
      </c>
      <c r="AD10" s="4">
        <v>70</v>
      </c>
      <c r="AE10" s="4">
        <v>43</v>
      </c>
      <c r="AF10" s="4">
        <v>62</v>
      </c>
      <c r="AG10" s="4">
        <v>43</v>
      </c>
    </row>
    <row r="11" spans="2:33" x14ac:dyDescent="0.3">
      <c r="B11" s="2" t="s">
        <v>533</v>
      </c>
      <c r="C11" s="4">
        <v>82</v>
      </c>
      <c r="D11" s="4">
        <v>67</v>
      </c>
      <c r="E11" s="4">
        <v>92</v>
      </c>
      <c r="F11" s="4">
        <v>65</v>
      </c>
      <c r="G11" s="4">
        <v>103</v>
      </c>
      <c r="H11" s="4">
        <f t="shared" si="0"/>
        <v>409</v>
      </c>
      <c r="I11" s="4" t="s">
        <v>593</v>
      </c>
      <c r="M11" s="3" t="s">
        <v>524</v>
      </c>
      <c r="N11" s="4">
        <v>90</v>
      </c>
      <c r="O11" s="4">
        <v>50</v>
      </c>
      <c r="P11" s="4">
        <v>42</v>
      </c>
      <c r="Q11" s="4">
        <v>57</v>
      </c>
      <c r="R11" s="4">
        <v>41</v>
      </c>
      <c r="S11" s="4">
        <v>47</v>
      </c>
      <c r="T11" s="4">
        <v>82</v>
      </c>
      <c r="U11" s="4">
        <v>80</v>
      </c>
      <c r="V11" s="4">
        <v>65</v>
      </c>
      <c r="W11" s="4">
        <v>81</v>
      </c>
      <c r="X11" s="4">
        <v>59</v>
      </c>
      <c r="Y11" s="4">
        <v>79</v>
      </c>
      <c r="Z11" s="4">
        <v>103</v>
      </c>
      <c r="AA11" s="4">
        <v>99</v>
      </c>
      <c r="AB11" s="4">
        <v>59</v>
      </c>
      <c r="AC11" s="4">
        <v>60</v>
      </c>
      <c r="AD11" s="4">
        <v>50</v>
      </c>
      <c r="AE11" s="4">
        <v>84</v>
      </c>
      <c r="AF11" s="4">
        <v>38</v>
      </c>
      <c r="AG11" s="4">
        <v>80</v>
      </c>
    </row>
    <row r="12" spans="2:33" x14ac:dyDescent="0.3">
      <c r="B12" s="2" t="s">
        <v>534</v>
      </c>
      <c r="C12" s="4">
        <v>61</v>
      </c>
      <c r="D12" s="4">
        <v>48</v>
      </c>
      <c r="E12" s="4">
        <v>102</v>
      </c>
      <c r="F12" s="4">
        <v>81</v>
      </c>
      <c r="G12" s="4">
        <v>84</v>
      </c>
      <c r="H12" s="4">
        <f t="shared" si="0"/>
        <v>376</v>
      </c>
      <c r="I12" s="4" t="s">
        <v>593</v>
      </c>
      <c r="M12" s="3" t="s">
        <v>525</v>
      </c>
      <c r="N12" s="4">
        <v>81</v>
      </c>
      <c r="O12" s="4">
        <v>57</v>
      </c>
      <c r="P12" s="4">
        <v>50</v>
      </c>
      <c r="Q12" s="4">
        <v>83</v>
      </c>
      <c r="R12" s="4">
        <v>56</v>
      </c>
      <c r="S12" s="4">
        <v>87</v>
      </c>
      <c r="T12" s="4">
        <v>88</v>
      </c>
      <c r="U12" s="4">
        <v>82</v>
      </c>
      <c r="V12" s="4">
        <v>103</v>
      </c>
      <c r="W12" s="4">
        <v>84</v>
      </c>
      <c r="X12" s="4">
        <v>71</v>
      </c>
      <c r="Y12" s="4">
        <v>66</v>
      </c>
      <c r="Z12" s="4">
        <v>64</v>
      </c>
      <c r="AA12" s="4">
        <v>87</v>
      </c>
      <c r="AB12" s="4">
        <v>80</v>
      </c>
      <c r="AC12" s="4">
        <v>63</v>
      </c>
      <c r="AD12" s="4">
        <v>84</v>
      </c>
      <c r="AE12" s="4">
        <v>82</v>
      </c>
      <c r="AF12" s="4">
        <v>84</v>
      </c>
      <c r="AG12" s="4">
        <v>68</v>
      </c>
    </row>
    <row r="13" spans="2:33" x14ac:dyDescent="0.3">
      <c r="B13" s="2" t="s">
        <v>590</v>
      </c>
      <c r="C13" s="4">
        <v>78</v>
      </c>
      <c r="D13" s="4">
        <v>61</v>
      </c>
      <c r="E13" s="4">
        <v>51</v>
      </c>
      <c r="F13" s="4">
        <v>59</v>
      </c>
      <c r="G13" s="4">
        <v>71</v>
      </c>
      <c r="H13" s="4">
        <f t="shared" si="0"/>
        <v>320</v>
      </c>
      <c r="I13" s="4" t="s">
        <v>593</v>
      </c>
      <c r="M13" s="5" t="s">
        <v>526</v>
      </c>
      <c r="N13" s="4">
        <f t="shared" ref="N13:AG13" si="1">SUM(N8:N12)</f>
        <v>434</v>
      </c>
      <c r="O13" s="4">
        <f t="shared" si="1"/>
        <v>363</v>
      </c>
      <c r="P13" s="4">
        <f t="shared" si="1"/>
        <v>311</v>
      </c>
      <c r="Q13" s="4">
        <f t="shared" si="1"/>
        <v>326</v>
      </c>
      <c r="R13" s="4">
        <f t="shared" si="1"/>
        <v>310</v>
      </c>
      <c r="S13" s="4">
        <f t="shared" si="1"/>
        <v>377</v>
      </c>
      <c r="T13" s="4">
        <f t="shared" si="1"/>
        <v>428</v>
      </c>
      <c r="U13" s="4">
        <f t="shared" si="1"/>
        <v>330</v>
      </c>
      <c r="V13" s="4">
        <f t="shared" si="1"/>
        <v>409</v>
      </c>
      <c r="W13" s="4">
        <f t="shared" si="1"/>
        <v>376</v>
      </c>
      <c r="X13" s="4">
        <f t="shared" si="1"/>
        <v>320</v>
      </c>
      <c r="Y13" s="4">
        <f t="shared" si="1"/>
        <v>350</v>
      </c>
      <c r="Z13" s="4">
        <f t="shared" si="1"/>
        <v>303</v>
      </c>
      <c r="AA13" s="4">
        <f t="shared" si="1"/>
        <v>383</v>
      </c>
      <c r="AB13" s="4">
        <f t="shared" si="1"/>
        <v>304</v>
      </c>
      <c r="AC13" s="4">
        <f t="shared" si="1"/>
        <v>358</v>
      </c>
      <c r="AD13" s="4">
        <f t="shared" si="1"/>
        <v>346</v>
      </c>
      <c r="AE13" s="4">
        <f t="shared" si="1"/>
        <v>317</v>
      </c>
      <c r="AF13" s="4">
        <f t="shared" si="1"/>
        <v>292</v>
      </c>
      <c r="AG13" s="4">
        <f t="shared" si="1"/>
        <v>364</v>
      </c>
    </row>
    <row r="14" spans="2:33" x14ac:dyDescent="0.3">
      <c r="B14" s="2" t="s">
        <v>535</v>
      </c>
      <c r="C14" s="4">
        <v>84</v>
      </c>
      <c r="D14" s="4">
        <v>57</v>
      </c>
      <c r="E14" s="4">
        <v>64</v>
      </c>
      <c r="F14" s="4">
        <v>79</v>
      </c>
      <c r="G14" s="4">
        <v>66</v>
      </c>
      <c r="H14" s="4">
        <f t="shared" si="0"/>
        <v>350</v>
      </c>
      <c r="I14" s="4" t="s">
        <v>593</v>
      </c>
      <c r="M14" s="5" t="s">
        <v>526</v>
      </c>
      <c r="N14" s="4" t="s">
        <v>593</v>
      </c>
      <c r="O14" s="4" t="s">
        <v>593</v>
      </c>
      <c r="P14" s="4" t="s">
        <v>593</v>
      </c>
      <c r="Q14" s="4" t="s">
        <v>593</v>
      </c>
      <c r="R14" s="4" t="s">
        <v>593</v>
      </c>
      <c r="S14" s="4" t="s">
        <v>593</v>
      </c>
      <c r="T14" s="4" t="s">
        <v>593</v>
      </c>
      <c r="U14" s="4" t="s">
        <v>593</v>
      </c>
      <c r="V14" s="4" t="s">
        <v>593</v>
      </c>
      <c r="W14" s="4" t="s">
        <v>593</v>
      </c>
      <c r="X14" s="4" t="s">
        <v>593</v>
      </c>
      <c r="Y14" s="4" t="s">
        <v>593</v>
      </c>
      <c r="Z14" s="4" t="s">
        <v>593</v>
      </c>
      <c r="AA14" s="4" t="s">
        <v>593</v>
      </c>
      <c r="AB14" s="4" t="s">
        <v>593</v>
      </c>
      <c r="AC14" s="4" t="s">
        <v>593</v>
      </c>
      <c r="AD14" s="4" t="s">
        <v>593</v>
      </c>
      <c r="AE14" s="4" t="s">
        <v>593</v>
      </c>
      <c r="AF14" s="4" t="s">
        <v>593</v>
      </c>
      <c r="AG14" s="4" t="s">
        <v>593</v>
      </c>
    </row>
    <row r="15" spans="2:33" x14ac:dyDescent="0.3">
      <c r="B15" s="2" t="s">
        <v>536</v>
      </c>
      <c r="C15" s="4">
        <v>44</v>
      </c>
      <c r="D15" s="4">
        <v>44</v>
      </c>
      <c r="E15" s="4">
        <v>48</v>
      </c>
      <c r="F15" s="4">
        <v>103</v>
      </c>
      <c r="G15" s="4">
        <v>64</v>
      </c>
      <c r="H15" s="4">
        <f t="shared" si="0"/>
        <v>303</v>
      </c>
      <c r="I15" s="4" t="s">
        <v>593</v>
      </c>
    </row>
    <row r="16" spans="2:33" x14ac:dyDescent="0.3">
      <c r="B16" s="2" t="s">
        <v>537</v>
      </c>
      <c r="C16" s="4">
        <v>84</v>
      </c>
      <c r="D16" s="4">
        <v>72</v>
      </c>
      <c r="E16" s="4">
        <v>41</v>
      </c>
      <c r="F16" s="4">
        <v>99</v>
      </c>
      <c r="G16" s="4">
        <v>87</v>
      </c>
      <c r="H16" s="4">
        <f t="shared" si="0"/>
        <v>383</v>
      </c>
      <c r="I16" s="4" t="s">
        <v>593</v>
      </c>
    </row>
    <row r="17" spans="2:25" x14ac:dyDescent="0.3">
      <c r="B17" s="2" t="s">
        <v>538</v>
      </c>
      <c r="C17" s="4">
        <v>59</v>
      </c>
      <c r="D17" s="4">
        <v>46</v>
      </c>
      <c r="E17" s="4">
        <v>60</v>
      </c>
      <c r="F17" s="4">
        <v>59</v>
      </c>
      <c r="G17" s="4">
        <v>80</v>
      </c>
      <c r="H17" s="4">
        <f t="shared" si="0"/>
        <v>304</v>
      </c>
      <c r="I17" s="4" t="s">
        <v>593</v>
      </c>
    </row>
    <row r="18" spans="2:25" x14ac:dyDescent="0.3">
      <c r="B18" s="2" t="s">
        <v>591</v>
      </c>
      <c r="C18" s="4">
        <v>43</v>
      </c>
      <c r="D18" s="4">
        <v>98</v>
      </c>
      <c r="E18" s="4">
        <v>94</v>
      </c>
      <c r="F18" s="4">
        <v>60</v>
      </c>
      <c r="G18" s="4">
        <v>63</v>
      </c>
      <c r="H18" s="4">
        <f t="shared" si="0"/>
        <v>358</v>
      </c>
      <c r="I18" s="4" t="s">
        <v>593</v>
      </c>
      <c r="M18" s="1"/>
      <c r="N18" s="3"/>
      <c r="O18" s="3"/>
      <c r="P18" s="3"/>
      <c r="Q18" s="3"/>
    </row>
    <row r="19" spans="2:25" x14ac:dyDescent="0.3">
      <c r="B19" s="2" t="s">
        <v>539</v>
      </c>
      <c r="C19" s="4">
        <v>93</v>
      </c>
      <c r="D19" s="4">
        <v>49</v>
      </c>
      <c r="E19" s="4">
        <v>70</v>
      </c>
      <c r="F19" s="4">
        <v>50</v>
      </c>
      <c r="G19" s="4">
        <v>84</v>
      </c>
      <c r="H19" s="4">
        <f t="shared" si="0"/>
        <v>346</v>
      </c>
      <c r="I19" s="4" t="s">
        <v>593</v>
      </c>
      <c r="M19" s="2"/>
      <c r="N19" s="4"/>
      <c r="O19" s="4"/>
      <c r="P19" s="4"/>
      <c r="Q19" s="4"/>
    </row>
    <row r="20" spans="2:25" x14ac:dyDescent="0.3">
      <c r="B20" s="2" t="s">
        <v>540</v>
      </c>
      <c r="C20" s="4">
        <v>46</v>
      </c>
      <c r="D20" s="4">
        <v>62</v>
      </c>
      <c r="E20" s="4">
        <v>43</v>
      </c>
      <c r="F20" s="4">
        <v>84</v>
      </c>
      <c r="G20" s="4">
        <v>82</v>
      </c>
      <c r="H20" s="4">
        <f t="shared" si="0"/>
        <v>317</v>
      </c>
      <c r="I20" s="4" t="s">
        <v>593</v>
      </c>
      <c r="M20" s="4"/>
      <c r="N20" s="4"/>
      <c r="O20" s="4"/>
      <c r="P20" s="4"/>
      <c r="Q20" s="4"/>
    </row>
    <row r="21" spans="2:25" x14ac:dyDescent="0.3">
      <c r="B21" s="2" t="s">
        <v>541</v>
      </c>
      <c r="C21" s="4">
        <v>57</v>
      </c>
      <c r="D21" s="4">
        <v>51</v>
      </c>
      <c r="E21" s="4">
        <v>62</v>
      </c>
      <c r="F21" s="4">
        <v>38</v>
      </c>
      <c r="G21" s="4">
        <v>84</v>
      </c>
      <c r="H21" s="4">
        <f t="shared" si="0"/>
        <v>292</v>
      </c>
      <c r="I21" s="4" t="s">
        <v>593</v>
      </c>
      <c r="M21" s="4"/>
      <c r="N21" s="4"/>
      <c r="O21" s="4"/>
      <c r="P21" s="4"/>
      <c r="Q21" s="4"/>
    </row>
    <row r="22" spans="2:25" x14ac:dyDescent="0.3">
      <c r="B22" s="2" t="s">
        <v>542</v>
      </c>
      <c r="C22" s="4">
        <v>102</v>
      </c>
      <c r="D22" s="4">
        <v>71</v>
      </c>
      <c r="E22" s="4">
        <v>43</v>
      </c>
      <c r="F22" s="4">
        <v>80</v>
      </c>
      <c r="G22" s="4">
        <v>68</v>
      </c>
      <c r="H22" s="4">
        <f t="shared" si="0"/>
        <v>364</v>
      </c>
      <c r="I22" s="4" t="s">
        <v>593</v>
      </c>
      <c r="L22" s="4"/>
      <c r="M22" s="4"/>
      <c r="N22" s="4"/>
      <c r="O22" s="4"/>
      <c r="P22" s="4"/>
      <c r="Q22" s="4"/>
    </row>
    <row r="23" spans="2:25" x14ac:dyDescent="0.3">
      <c r="L23" s="4"/>
      <c r="M23" s="4"/>
      <c r="N23" s="4"/>
      <c r="O23" s="4"/>
      <c r="P23" s="4"/>
      <c r="Q23" s="4"/>
    </row>
    <row r="24" spans="2:25" x14ac:dyDescent="0.3">
      <c r="B24" t="str">
        <f t="shared" ref="B24:I33" si="2">B2</f>
        <v>Name</v>
      </c>
      <c r="C24" t="str">
        <f t="shared" si="2"/>
        <v>Bangla</v>
      </c>
      <c r="D24" t="str">
        <f t="shared" si="2"/>
        <v>English</v>
      </c>
      <c r="E24" t="str">
        <f t="shared" si="2"/>
        <v>Math</v>
      </c>
      <c r="F24" t="str">
        <f t="shared" si="2"/>
        <v>Science</v>
      </c>
      <c r="G24" t="str">
        <f t="shared" si="2"/>
        <v>History</v>
      </c>
      <c r="H24" t="str">
        <f t="shared" si="2"/>
        <v>Total</v>
      </c>
      <c r="I24" t="str">
        <f t="shared" si="2"/>
        <v>Total</v>
      </c>
      <c r="L24" s="4"/>
      <c r="M24" s="4"/>
      <c r="N24" s="4"/>
      <c r="O24" s="4"/>
      <c r="P24" s="4"/>
      <c r="Q24" s="4"/>
    </row>
    <row r="25" spans="2:25" x14ac:dyDescent="0.3">
      <c r="B25" t="str">
        <f t="shared" si="2"/>
        <v>Saiful Islam</v>
      </c>
      <c r="C25">
        <f t="shared" si="2"/>
        <v>88</v>
      </c>
      <c r="D25">
        <f t="shared" si="2"/>
        <v>95</v>
      </c>
      <c r="E25">
        <f t="shared" si="2"/>
        <v>80</v>
      </c>
      <c r="F25">
        <f t="shared" si="2"/>
        <v>90</v>
      </c>
      <c r="G25">
        <f t="shared" si="2"/>
        <v>81</v>
      </c>
      <c r="H25">
        <f t="shared" si="2"/>
        <v>434</v>
      </c>
      <c r="I25" t="str">
        <f t="shared" si="2"/>
        <v>Pass</v>
      </c>
      <c r="L25" s="4"/>
      <c r="M25" s="4"/>
      <c r="N25" s="4"/>
      <c r="O25" s="4"/>
      <c r="P25" s="4"/>
      <c r="Q25" s="4"/>
    </row>
    <row r="26" spans="2:25" x14ac:dyDescent="0.3">
      <c r="B26" t="str">
        <f t="shared" si="2"/>
        <v>Aiyan Sagor</v>
      </c>
      <c r="C26">
        <f t="shared" si="2"/>
        <v>70</v>
      </c>
      <c r="D26">
        <f t="shared" si="2"/>
        <v>90</v>
      </c>
      <c r="E26">
        <f t="shared" si="2"/>
        <v>96</v>
      </c>
      <c r="F26">
        <f t="shared" si="2"/>
        <v>50</v>
      </c>
      <c r="G26">
        <f t="shared" si="2"/>
        <v>57</v>
      </c>
      <c r="H26">
        <f t="shared" si="2"/>
        <v>363</v>
      </c>
      <c r="I26" t="str">
        <f t="shared" si="2"/>
        <v>Pass</v>
      </c>
      <c r="L26" s="4"/>
      <c r="M26" s="4"/>
      <c r="N26" s="4"/>
      <c r="O26" s="4"/>
      <c r="P26" s="4"/>
      <c r="Q26" s="4"/>
    </row>
    <row r="27" spans="2:25" x14ac:dyDescent="0.3">
      <c r="B27" t="str">
        <f t="shared" si="2"/>
        <v>Raiyan</v>
      </c>
      <c r="C27">
        <f t="shared" si="2"/>
        <v>96</v>
      </c>
      <c r="D27">
        <f t="shared" si="2"/>
        <v>42</v>
      </c>
      <c r="E27">
        <f t="shared" si="2"/>
        <v>81</v>
      </c>
      <c r="F27">
        <f t="shared" si="2"/>
        <v>42</v>
      </c>
      <c r="G27">
        <f t="shared" si="2"/>
        <v>50</v>
      </c>
      <c r="H27">
        <f t="shared" si="2"/>
        <v>311</v>
      </c>
      <c r="I27" t="str">
        <f t="shared" si="2"/>
        <v>Pass</v>
      </c>
      <c r="L27" s="4"/>
      <c r="M27" s="4"/>
      <c r="N27" s="4"/>
      <c r="O27" s="4"/>
      <c r="P27" s="4"/>
      <c r="Q27" s="4"/>
    </row>
    <row r="28" spans="2:25" x14ac:dyDescent="0.3">
      <c r="B28" t="str">
        <f t="shared" si="2"/>
        <v>xyz</v>
      </c>
      <c r="C28">
        <f t="shared" si="2"/>
        <v>43</v>
      </c>
      <c r="D28">
        <f t="shared" si="2"/>
        <v>56</v>
      </c>
      <c r="E28">
        <f t="shared" si="2"/>
        <v>87</v>
      </c>
      <c r="F28">
        <f t="shared" si="2"/>
        <v>57</v>
      </c>
      <c r="G28">
        <f t="shared" si="2"/>
        <v>83</v>
      </c>
      <c r="H28">
        <f t="shared" si="2"/>
        <v>326</v>
      </c>
      <c r="I28" t="str">
        <f t="shared" si="2"/>
        <v>Pass</v>
      </c>
      <c r="L28" s="4"/>
      <c r="M28" s="4"/>
      <c r="N28" s="4"/>
      <c r="O28" s="4"/>
      <c r="P28" s="4"/>
      <c r="Q28" s="4"/>
    </row>
    <row r="29" spans="2:25" x14ac:dyDescent="0.3">
      <c r="B29" t="str">
        <f t="shared" si="2"/>
        <v>Shahin</v>
      </c>
      <c r="C29">
        <f t="shared" si="2"/>
        <v>60</v>
      </c>
      <c r="D29">
        <f t="shared" si="2"/>
        <v>81</v>
      </c>
      <c r="E29">
        <f t="shared" si="2"/>
        <v>72</v>
      </c>
      <c r="F29">
        <f t="shared" si="2"/>
        <v>41</v>
      </c>
      <c r="G29">
        <f t="shared" si="2"/>
        <v>56</v>
      </c>
      <c r="H29">
        <f t="shared" si="2"/>
        <v>310</v>
      </c>
      <c r="I29" t="str">
        <f t="shared" si="2"/>
        <v>Pass</v>
      </c>
      <c r="L29" s="4"/>
      <c r="M29" s="4"/>
      <c r="N29" s="4"/>
      <c r="O29" s="4"/>
      <c r="P29" s="4"/>
      <c r="Q29" s="4"/>
    </row>
    <row r="30" spans="2:25" x14ac:dyDescent="0.3">
      <c r="B30" t="str">
        <f t="shared" si="2"/>
        <v>Hemel</v>
      </c>
      <c r="C30">
        <f t="shared" si="2"/>
        <v>50</v>
      </c>
      <c r="D30">
        <f t="shared" si="2"/>
        <v>99</v>
      </c>
      <c r="E30">
        <f t="shared" si="2"/>
        <v>94</v>
      </c>
      <c r="F30">
        <f t="shared" si="2"/>
        <v>47</v>
      </c>
      <c r="G30">
        <f t="shared" si="2"/>
        <v>87</v>
      </c>
      <c r="H30">
        <f t="shared" si="2"/>
        <v>377</v>
      </c>
      <c r="I30" t="str">
        <f t="shared" si="2"/>
        <v>Pass</v>
      </c>
      <c r="L30" s="4"/>
      <c r="M30" s="4"/>
      <c r="N30" s="4"/>
      <c r="O30" s="4"/>
      <c r="P30" s="4"/>
      <c r="Q30" s="4"/>
    </row>
    <row r="31" spans="2:25" x14ac:dyDescent="0.3">
      <c r="B31" t="str">
        <f t="shared" si="2"/>
        <v>Farhan</v>
      </c>
      <c r="C31">
        <f t="shared" si="2"/>
        <v>96</v>
      </c>
      <c r="D31">
        <f t="shared" si="2"/>
        <v>98</v>
      </c>
      <c r="E31">
        <f t="shared" si="2"/>
        <v>64</v>
      </c>
      <c r="F31">
        <f t="shared" si="2"/>
        <v>82</v>
      </c>
      <c r="G31">
        <f t="shared" si="2"/>
        <v>88</v>
      </c>
      <c r="H31">
        <f t="shared" si="2"/>
        <v>428</v>
      </c>
      <c r="I31" t="str">
        <f t="shared" si="2"/>
        <v>Pass</v>
      </c>
      <c r="L31" s="4"/>
      <c r="M31" s="4"/>
      <c r="N31" s="4"/>
      <c r="O31" s="4"/>
      <c r="P31" s="4"/>
      <c r="Q31" s="4"/>
    </row>
    <row r="32" spans="2:25" x14ac:dyDescent="0.3">
      <c r="B32" t="str">
        <f t="shared" si="2"/>
        <v>Hanif</v>
      </c>
      <c r="C32">
        <f t="shared" si="2"/>
        <v>58</v>
      </c>
      <c r="D32">
        <f t="shared" si="2"/>
        <v>72</v>
      </c>
      <c r="E32">
        <f t="shared" si="2"/>
        <v>38</v>
      </c>
      <c r="F32">
        <f t="shared" si="2"/>
        <v>80</v>
      </c>
      <c r="G32">
        <f t="shared" si="2"/>
        <v>82</v>
      </c>
      <c r="H32">
        <f t="shared" si="2"/>
        <v>330</v>
      </c>
      <c r="I32" t="str">
        <f t="shared" si="2"/>
        <v>Pass</v>
      </c>
      <c r="L32" s="4"/>
      <c r="M32" s="4"/>
      <c r="N32" s="4"/>
      <c r="O32" s="4"/>
      <c r="P32" s="4"/>
      <c r="Q32" s="4"/>
    </row>
    <row r="33" spans="2:21" x14ac:dyDescent="0.3">
      <c r="B33" t="str">
        <f t="shared" si="2"/>
        <v>Habibur</v>
      </c>
      <c r="C33">
        <f t="shared" si="2"/>
        <v>82</v>
      </c>
      <c r="D33">
        <f t="shared" si="2"/>
        <v>67</v>
      </c>
      <c r="E33">
        <f t="shared" si="2"/>
        <v>92</v>
      </c>
      <c r="F33">
        <f t="shared" si="2"/>
        <v>65</v>
      </c>
      <c r="G33">
        <f t="shared" si="2"/>
        <v>103</v>
      </c>
      <c r="H33">
        <f t="shared" si="2"/>
        <v>409</v>
      </c>
      <c r="I33" t="str">
        <f t="shared" si="2"/>
        <v>Pass</v>
      </c>
      <c r="L33" s="4"/>
      <c r="M33" s="4"/>
      <c r="N33" s="4"/>
      <c r="O33" s="4"/>
      <c r="P33" s="4"/>
      <c r="Q33" s="4"/>
    </row>
    <row r="34" spans="2:21" x14ac:dyDescent="0.3">
      <c r="B34" t="str">
        <f t="shared" ref="B34:I43" si="3">B12</f>
        <v>Rana</v>
      </c>
      <c r="C34">
        <f t="shared" si="3"/>
        <v>61</v>
      </c>
      <c r="D34">
        <f t="shared" si="3"/>
        <v>48</v>
      </c>
      <c r="E34">
        <f t="shared" si="3"/>
        <v>102</v>
      </c>
      <c r="F34">
        <f t="shared" si="3"/>
        <v>81</v>
      </c>
      <c r="G34">
        <f t="shared" si="3"/>
        <v>84</v>
      </c>
      <c r="H34">
        <f t="shared" si="3"/>
        <v>376</v>
      </c>
      <c r="I34" t="str">
        <f t="shared" si="3"/>
        <v>Pass</v>
      </c>
      <c r="L34" s="4"/>
      <c r="M34" s="4"/>
      <c r="N34" s="4"/>
      <c r="O34" s="4"/>
      <c r="P34" s="4"/>
      <c r="Q34" s="4"/>
    </row>
    <row r="35" spans="2:21" x14ac:dyDescent="0.3">
      <c r="B35" t="str">
        <f t="shared" si="3"/>
        <v>araft</v>
      </c>
      <c r="C35">
        <f t="shared" si="3"/>
        <v>78</v>
      </c>
      <c r="D35">
        <f t="shared" si="3"/>
        <v>61</v>
      </c>
      <c r="E35">
        <f t="shared" si="3"/>
        <v>51</v>
      </c>
      <c r="F35">
        <f t="shared" si="3"/>
        <v>59</v>
      </c>
      <c r="G35">
        <f t="shared" si="3"/>
        <v>71</v>
      </c>
      <c r="H35">
        <f t="shared" si="3"/>
        <v>320</v>
      </c>
      <c r="I35" t="str">
        <f t="shared" si="3"/>
        <v>Pass</v>
      </c>
      <c r="L35" s="4"/>
      <c r="M35" s="4"/>
      <c r="N35" s="4"/>
      <c r="O35" s="4"/>
      <c r="P35" s="4"/>
      <c r="Q35" s="4"/>
    </row>
    <row r="36" spans="2:21" x14ac:dyDescent="0.3">
      <c r="B36" t="str">
        <f t="shared" si="3"/>
        <v>Talash</v>
      </c>
      <c r="C36">
        <f t="shared" si="3"/>
        <v>84</v>
      </c>
      <c r="D36">
        <f t="shared" si="3"/>
        <v>57</v>
      </c>
      <c r="E36">
        <f t="shared" si="3"/>
        <v>64</v>
      </c>
      <c r="F36">
        <f t="shared" si="3"/>
        <v>79</v>
      </c>
      <c r="G36">
        <f t="shared" si="3"/>
        <v>66</v>
      </c>
      <c r="H36">
        <f t="shared" si="3"/>
        <v>350</v>
      </c>
      <c r="I36" t="str">
        <f t="shared" si="3"/>
        <v>Pass</v>
      </c>
      <c r="L36" s="4"/>
      <c r="M36" s="4"/>
      <c r="N36" s="4"/>
      <c r="O36" s="4"/>
      <c r="P36" s="4"/>
      <c r="Q36" s="4"/>
    </row>
    <row r="37" spans="2:21" x14ac:dyDescent="0.3">
      <c r="B37" t="str">
        <f t="shared" si="3"/>
        <v>Sabbir</v>
      </c>
      <c r="C37">
        <f t="shared" si="3"/>
        <v>44</v>
      </c>
      <c r="D37">
        <f t="shared" si="3"/>
        <v>44</v>
      </c>
      <c r="E37">
        <f t="shared" si="3"/>
        <v>48</v>
      </c>
      <c r="F37">
        <f t="shared" si="3"/>
        <v>103</v>
      </c>
      <c r="G37">
        <f t="shared" si="3"/>
        <v>64</v>
      </c>
      <c r="H37">
        <f t="shared" si="3"/>
        <v>303</v>
      </c>
      <c r="I37" t="str">
        <f t="shared" si="3"/>
        <v>Pass</v>
      </c>
      <c r="L37" s="4"/>
      <c r="M37" s="4"/>
      <c r="N37" s="4"/>
      <c r="O37" s="4"/>
      <c r="P37" s="4"/>
      <c r="Q37" s="4"/>
    </row>
    <row r="38" spans="2:21" x14ac:dyDescent="0.3">
      <c r="B38" t="str">
        <f t="shared" si="3"/>
        <v>Akash</v>
      </c>
      <c r="C38">
        <f t="shared" si="3"/>
        <v>84</v>
      </c>
      <c r="D38">
        <f t="shared" si="3"/>
        <v>72</v>
      </c>
      <c r="E38">
        <f t="shared" si="3"/>
        <v>41</v>
      </c>
      <c r="F38">
        <f t="shared" si="3"/>
        <v>99</v>
      </c>
      <c r="G38">
        <f t="shared" si="3"/>
        <v>87</v>
      </c>
      <c r="H38">
        <f t="shared" si="3"/>
        <v>383</v>
      </c>
      <c r="I38" t="str">
        <f t="shared" si="3"/>
        <v>Pass</v>
      </c>
      <c r="L38" s="4"/>
      <c r="M38" s="4"/>
      <c r="N38" s="4"/>
      <c r="O38" s="4"/>
      <c r="P38" s="4"/>
      <c r="Q38" s="4"/>
    </row>
    <row r="39" spans="2:21" x14ac:dyDescent="0.3">
      <c r="B39" t="str">
        <f t="shared" si="3"/>
        <v>Mehad</v>
      </c>
      <c r="C39">
        <f t="shared" si="3"/>
        <v>59</v>
      </c>
      <c r="D39">
        <f t="shared" si="3"/>
        <v>46</v>
      </c>
      <c r="E39">
        <f t="shared" si="3"/>
        <v>60</v>
      </c>
      <c r="F39">
        <f t="shared" si="3"/>
        <v>59</v>
      </c>
      <c r="G39">
        <f t="shared" si="3"/>
        <v>80</v>
      </c>
      <c r="H39">
        <f t="shared" si="3"/>
        <v>304</v>
      </c>
      <c r="I39" t="str">
        <f t="shared" si="3"/>
        <v>Pass</v>
      </c>
    </row>
    <row r="40" spans="2:21" x14ac:dyDescent="0.3">
      <c r="B40" t="str">
        <f t="shared" si="3"/>
        <v>whefgeduifhwrigheh</v>
      </c>
      <c r="C40">
        <f t="shared" si="3"/>
        <v>43</v>
      </c>
      <c r="D40">
        <f t="shared" si="3"/>
        <v>98</v>
      </c>
      <c r="E40">
        <f t="shared" si="3"/>
        <v>94</v>
      </c>
      <c r="F40">
        <f t="shared" si="3"/>
        <v>60</v>
      </c>
      <c r="G40">
        <f t="shared" si="3"/>
        <v>63</v>
      </c>
      <c r="H40">
        <f t="shared" si="3"/>
        <v>358</v>
      </c>
      <c r="I40" t="str">
        <f t="shared" si="3"/>
        <v>Pass</v>
      </c>
      <c r="L40" s="3" t="s">
        <v>521</v>
      </c>
      <c r="M40" s="4">
        <v>88</v>
      </c>
      <c r="N40" s="4">
        <v>70</v>
      </c>
      <c r="O40" s="4">
        <v>96</v>
      </c>
      <c r="P40" s="4">
        <v>43</v>
      </c>
      <c r="Q40" s="4">
        <v>60</v>
      </c>
      <c r="R40" s="4">
        <v>50</v>
      </c>
      <c r="S40" s="4">
        <v>96</v>
      </c>
    </row>
    <row r="41" spans="2:21" x14ac:dyDescent="0.3">
      <c r="B41" t="str">
        <f t="shared" si="3"/>
        <v>Rifat</v>
      </c>
      <c r="C41">
        <f t="shared" si="3"/>
        <v>93</v>
      </c>
      <c r="D41">
        <f t="shared" si="3"/>
        <v>49</v>
      </c>
      <c r="E41">
        <f t="shared" si="3"/>
        <v>70</v>
      </c>
      <c r="F41">
        <f t="shared" si="3"/>
        <v>50</v>
      </c>
      <c r="G41">
        <f t="shared" si="3"/>
        <v>84</v>
      </c>
      <c r="H41">
        <f t="shared" si="3"/>
        <v>346</v>
      </c>
      <c r="I41" t="str">
        <f t="shared" si="3"/>
        <v>Pass</v>
      </c>
      <c r="L41" s="3" t="s">
        <v>522</v>
      </c>
      <c r="M41" s="4">
        <v>95</v>
      </c>
      <c r="N41" s="4">
        <v>90</v>
      </c>
      <c r="O41" s="4">
        <v>42</v>
      </c>
      <c r="P41" s="4">
        <v>56</v>
      </c>
      <c r="Q41" s="4">
        <v>81</v>
      </c>
      <c r="R41" s="4">
        <v>99</v>
      </c>
      <c r="S41" s="4">
        <v>98</v>
      </c>
    </row>
    <row r="42" spans="2:21" x14ac:dyDescent="0.3">
      <c r="B42" t="str">
        <f t="shared" si="3"/>
        <v>Masum</v>
      </c>
      <c r="C42">
        <f t="shared" si="3"/>
        <v>46</v>
      </c>
      <c r="D42">
        <f t="shared" si="3"/>
        <v>62</v>
      </c>
      <c r="E42">
        <f t="shared" si="3"/>
        <v>43</v>
      </c>
      <c r="F42">
        <f t="shared" si="3"/>
        <v>84</v>
      </c>
      <c r="G42">
        <f t="shared" si="3"/>
        <v>82</v>
      </c>
      <c r="H42">
        <f t="shared" si="3"/>
        <v>317</v>
      </c>
      <c r="I42" t="str">
        <f t="shared" si="3"/>
        <v>Pass</v>
      </c>
      <c r="L42" s="3" t="s">
        <v>523</v>
      </c>
      <c r="M42" s="4">
        <v>80</v>
      </c>
      <c r="N42" s="4">
        <v>96</v>
      </c>
      <c r="O42" s="4">
        <v>81</v>
      </c>
      <c r="P42" s="4">
        <v>87</v>
      </c>
      <c r="Q42" s="4">
        <v>72</v>
      </c>
      <c r="R42" s="4">
        <v>94</v>
      </c>
      <c r="S42" s="4">
        <v>64</v>
      </c>
    </row>
    <row r="43" spans="2:21" x14ac:dyDescent="0.3">
      <c r="B43" t="str">
        <f t="shared" si="3"/>
        <v>Abdullah</v>
      </c>
      <c r="C43">
        <f t="shared" si="3"/>
        <v>57</v>
      </c>
      <c r="D43">
        <f t="shared" si="3"/>
        <v>51</v>
      </c>
      <c r="E43">
        <f t="shared" si="3"/>
        <v>62</v>
      </c>
      <c r="F43">
        <f t="shared" si="3"/>
        <v>38</v>
      </c>
      <c r="G43">
        <f t="shared" si="3"/>
        <v>84</v>
      </c>
      <c r="H43">
        <f t="shared" si="3"/>
        <v>292</v>
      </c>
      <c r="I43" t="str">
        <f t="shared" si="3"/>
        <v>Pass</v>
      </c>
    </row>
    <row r="44" spans="2:21" x14ac:dyDescent="0.3">
      <c r="B44" t="str">
        <f t="shared" ref="B44:I44" si="4">B22</f>
        <v>Rony</v>
      </c>
      <c r="C44">
        <f t="shared" si="4"/>
        <v>102</v>
      </c>
      <c r="D44">
        <f t="shared" si="4"/>
        <v>71</v>
      </c>
      <c r="E44">
        <f t="shared" si="4"/>
        <v>43</v>
      </c>
      <c r="F44">
        <f t="shared" si="4"/>
        <v>80</v>
      </c>
      <c r="G44">
        <f t="shared" si="4"/>
        <v>68</v>
      </c>
      <c r="H44">
        <f t="shared" si="4"/>
        <v>364</v>
      </c>
      <c r="I44" t="str">
        <f t="shared" si="4"/>
        <v>Pass</v>
      </c>
    </row>
    <row r="68" spans="2:21" x14ac:dyDescent="0.3">
      <c r="B68" s="3" t="s">
        <v>521</v>
      </c>
      <c r="C68" s="3" t="s">
        <v>522</v>
      </c>
      <c r="D68" s="3" t="s">
        <v>523</v>
      </c>
      <c r="E68" s="3" t="s">
        <v>524</v>
      </c>
      <c r="F68" s="3" t="s">
        <v>525</v>
      </c>
      <c r="G68" s="5" t="s">
        <v>526</v>
      </c>
      <c r="I68" s="3" t="s">
        <v>521</v>
      </c>
      <c r="J68" s="3" t="s">
        <v>522</v>
      </c>
      <c r="K68" s="3" t="s">
        <v>523</v>
      </c>
      <c r="L68" s="3" t="s">
        <v>524</v>
      </c>
      <c r="M68" s="3" t="s">
        <v>525</v>
      </c>
      <c r="N68" s="5" t="s">
        <v>526</v>
      </c>
      <c r="P68" s="32" t="s">
        <v>521</v>
      </c>
      <c r="Q68" s="32" t="s">
        <v>522</v>
      </c>
      <c r="R68" s="32" t="s">
        <v>523</v>
      </c>
      <c r="S68" s="32" t="s">
        <v>524</v>
      </c>
      <c r="T68" s="32" t="s">
        <v>525</v>
      </c>
      <c r="U68" s="32" t="s">
        <v>526</v>
      </c>
    </row>
    <row r="69" spans="2:21" x14ac:dyDescent="0.3">
      <c r="B69">
        <v>98</v>
      </c>
      <c r="C69">
        <v>105</v>
      </c>
      <c r="D69">
        <v>90</v>
      </c>
      <c r="E69">
        <v>100</v>
      </c>
      <c r="F69">
        <v>91</v>
      </c>
      <c r="G69">
        <f t="shared" ref="G69:G88" si="5">(SUM(B69:F69))+10</f>
        <v>494</v>
      </c>
      <c r="I69">
        <v>8.8000000000000007</v>
      </c>
      <c r="J69" s="4">
        <v>95</v>
      </c>
      <c r="K69" s="4">
        <v>80</v>
      </c>
      <c r="L69" s="4">
        <v>90</v>
      </c>
      <c r="M69" s="4">
        <v>81</v>
      </c>
      <c r="N69" s="4">
        <f t="shared" ref="N69:N88" si="6">SUM(I69:M69)</f>
        <v>354.8</v>
      </c>
      <c r="P69" s="32">
        <v>176</v>
      </c>
      <c r="Q69" s="32">
        <v>190</v>
      </c>
      <c r="R69" s="32">
        <v>160</v>
      </c>
      <c r="S69" s="32">
        <v>180</v>
      </c>
      <c r="T69" s="32">
        <v>162</v>
      </c>
      <c r="U69" s="32">
        <f t="shared" ref="U69:U88" si="7">(((SUM(P69:T69))*2)/2)*2</f>
        <v>1736</v>
      </c>
    </row>
    <row r="70" spans="2:21" x14ac:dyDescent="0.3">
      <c r="B70">
        <v>80</v>
      </c>
      <c r="C70">
        <v>100</v>
      </c>
      <c r="D70">
        <v>106</v>
      </c>
      <c r="E70">
        <v>60</v>
      </c>
      <c r="F70">
        <v>67</v>
      </c>
      <c r="G70">
        <f t="shared" si="5"/>
        <v>423</v>
      </c>
      <c r="H70">
        <v>10</v>
      </c>
      <c r="I70" s="4">
        <v>70</v>
      </c>
      <c r="J70" s="4">
        <v>90</v>
      </c>
      <c r="K70" s="4">
        <v>96</v>
      </c>
      <c r="L70" s="4">
        <v>50</v>
      </c>
      <c r="M70" s="4">
        <v>57</v>
      </c>
      <c r="N70" s="4">
        <f t="shared" si="6"/>
        <v>363</v>
      </c>
      <c r="O70" s="32">
        <v>2</v>
      </c>
      <c r="P70" s="32">
        <v>140</v>
      </c>
      <c r="Q70" s="32">
        <v>180</v>
      </c>
      <c r="R70" s="32">
        <v>192</v>
      </c>
      <c r="S70" s="32">
        <v>100</v>
      </c>
      <c r="T70" s="32">
        <v>114</v>
      </c>
      <c r="U70" s="32">
        <f t="shared" si="7"/>
        <v>1452</v>
      </c>
    </row>
    <row r="71" spans="2:21" x14ac:dyDescent="0.3">
      <c r="B71">
        <v>106</v>
      </c>
      <c r="C71">
        <v>52</v>
      </c>
      <c r="D71">
        <v>91</v>
      </c>
      <c r="E71">
        <v>52</v>
      </c>
      <c r="F71">
        <v>60</v>
      </c>
      <c r="G71">
        <f t="shared" si="5"/>
        <v>371</v>
      </c>
      <c r="I71" s="4">
        <v>96</v>
      </c>
      <c r="J71" s="4">
        <v>42</v>
      </c>
      <c r="K71" s="4">
        <v>81</v>
      </c>
      <c r="L71" s="4">
        <v>42</v>
      </c>
      <c r="M71" s="4">
        <v>50</v>
      </c>
      <c r="N71" s="4">
        <f t="shared" si="6"/>
        <v>311</v>
      </c>
      <c r="P71" s="32">
        <v>192</v>
      </c>
      <c r="Q71" s="32">
        <v>84</v>
      </c>
      <c r="R71" s="32">
        <v>162</v>
      </c>
      <c r="S71" s="32">
        <v>84</v>
      </c>
      <c r="T71" s="32">
        <v>100</v>
      </c>
      <c r="U71" s="32">
        <f t="shared" si="7"/>
        <v>1244</v>
      </c>
    </row>
    <row r="72" spans="2:21" x14ac:dyDescent="0.3">
      <c r="B72">
        <v>53</v>
      </c>
      <c r="C72">
        <v>66</v>
      </c>
      <c r="D72">
        <v>97</v>
      </c>
      <c r="E72">
        <v>67</v>
      </c>
      <c r="F72">
        <v>93</v>
      </c>
      <c r="G72">
        <f t="shared" si="5"/>
        <v>386</v>
      </c>
      <c r="I72" s="4">
        <v>43</v>
      </c>
      <c r="J72" s="4">
        <v>56</v>
      </c>
      <c r="K72" s="4">
        <v>87</v>
      </c>
      <c r="L72" s="4">
        <v>57</v>
      </c>
      <c r="M72" s="4">
        <v>83</v>
      </c>
      <c r="N72" s="4">
        <f t="shared" si="6"/>
        <v>326</v>
      </c>
      <c r="P72" s="32">
        <v>86</v>
      </c>
      <c r="Q72" s="32">
        <v>112</v>
      </c>
      <c r="R72" s="32">
        <v>174</v>
      </c>
      <c r="S72" s="32">
        <v>114</v>
      </c>
      <c r="T72" s="32">
        <v>166</v>
      </c>
      <c r="U72" s="32">
        <f t="shared" si="7"/>
        <v>1304</v>
      </c>
    </row>
    <row r="73" spans="2:21" x14ac:dyDescent="0.3">
      <c r="B73">
        <v>70</v>
      </c>
      <c r="C73">
        <v>91</v>
      </c>
      <c r="D73">
        <v>82</v>
      </c>
      <c r="E73">
        <v>51</v>
      </c>
      <c r="F73">
        <v>66</v>
      </c>
      <c r="G73">
        <f t="shared" si="5"/>
        <v>370</v>
      </c>
      <c r="I73" s="4">
        <v>60</v>
      </c>
      <c r="J73" s="4">
        <v>81</v>
      </c>
      <c r="K73" s="4">
        <v>72</v>
      </c>
      <c r="L73" s="4">
        <v>41</v>
      </c>
      <c r="M73" s="4">
        <v>56</v>
      </c>
      <c r="N73" s="4">
        <f t="shared" si="6"/>
        <v>310</v>
      </c>
      <c r="P73" s="32">
        <v>120</v>
      </c>
      <c r="Q73" s="32">
        <v>162</v>
      </c>
      <c r="R73" s="32">
        <v>144</v>
      </c>
      <c r="S73" s="32">
        <v>82</v>
      </c>
      <c r="T73" s="32">
        <v>112</v>
      </c>
      <c r="U73" s="32">
        <f t="shared" si="7"/>
        <v>1240</v>
      </c>
    </row>
    <row r="74" spans="2:21" x14ac:dyDescent="0.3">
      <c r="B74">
        <v>60</v>
      </c>
      <c r="C74">
        <v>109</v>
      </c>
      <c r="D74">
        <v>104</v>
      </c>
      <c r="E74">
        <v>57</v>
      </c>
      <c r="F74">
        <v>97</v>
      </c>
      <c r="G74">
        <f t="shared" si="5"/>
        <v>437</v>
      </c>
      <c r="I74" s="4">
        <v>50</v>
      </c>
      <c r="J74" s="4">
        <v>99</v>
      </c>
      <c r="K74" s="4">
        <v>94</v>
      </c>
      <c r="L74" s="4">
        <v>47</v>
      </c>
      <c r="M74" s="4">
        <v>87</v>
      </c>
      <c r="N74" s="4">
        <f t="shared" si="6"/>
        <v>377</v>
      </c>
      <c r="P74" s="32">
        <v>100</v>
      </c>
      <c r="Q74" s="32">
        <v>198</v>
      </c>
      <c r="R74" s="32">
        <v>188</v>
      </c>
      <c r="S74" s="32">
        <v>94</v>
      </c>
      <c r="T74" s="32">
        <v>174</v>
      </c>
      <c r="U74" s="32">
        <f t="shared" si="7"/>
        <v>1508</v>
      </c>
    </row>
    <row r="75" spans="2:21" x14ac:dyDescent="0.3">
      <c r="B75">
        <v>106</v>
      </c>
      <c r="C75">
        <v>108</v>
      </c>
      <c r="D75">
        <v>74</v>
      </c>
      <c r="E75">
        <v>92</v>
      </c>
      <c r="F75">
        <v>98</v>
      </c>
      <c r="G75">
        <f t="shared" si="5"/>
        <v>488</v>
      </c>
      <c r="I75" s="4">
        <v>96</v>
      </c>
      <c r="J75" s="4">
        <v>98</v>
      </c>
      <c r="K75" s="4">
        <v>64</v>
      </c>
      <c r="L75" s="4">
        <v>82</v>
      </c>
      <c r="M75" s="4">
        <v>88</v>
      </c>
      <c r="N75" s="4">
        <f t="shared" si="6"/>
        <v>428</v>
      </c>
      <c r="P75" s="32">
        <v>192</v>
      </c>
      <c r="Q75" s="32">
        <v>196</v>
      </c>
      <c r="R75" s="32">
        <v>128</v>
      </c>
      <c r="S75" s="32">
        <v>164</v>
      </c>
      <c r="T75" s="32">
        <v>176</v>
      </c>
      <c r="U75" s="32">
        <f t="shared" si="7"/>
        <v>1712</v>
      </c>
    </row>
    <row r="76" spans="2:21" x14ac:dyDescent="0.3">
      <c r="B76">
        <v>68</v>
      </c>
      <c r="C76">
        <v>82</v>
      </c>
      <c r="D76">
        <v>48</v>
      </c>
      <c r="E76">
        <v>90</v>
      </c>
      <c r="F76">
        <v>92</v>
      </c>
      <c r="G76">
        <f t="shared" si="5"/>
        <v>390</v>
      </c>
      <c r="I76" s="4">
        <v>58</v>
      </c>
      <c r="J76" s="4">
        <v>72</v>
      </c>
      <c r="K76" s="4">
        <v>38</v>
      </c>
      <c r="L76" s="4">
        <v>80</v>
      </c>
      <c r="M76" s="4">
        <v>82</v>
      </c>
      <c r="N76" s="4">
        <f t="shared" si="6"/>
        <v>330</v>
      </c>
      <c r="P76" s="32">
        <v>116</v>
      </c>
      <c r="Q76" s="32">
        <v>144</v>
      </c>
      <c r="R76" s="32">
        <v>76</v>
      </c>
      <c r="S76" s="32">
        <v>160</v>
      </c>
      <c r="T76" s="32">
        <v>164</v>
      </c>
      <c r="U76" s="32">
        <f t="shared" si="7"/>
        <v>1320</v>
      </c>
    </row>
    <row r="77" spans="2:21" x14ac:dyDescent="0.3">
      <c r="B77">
        <v>92</v>
      </c>
      <c r="C77">
        <v>77</v>
      </c>
      <c r="D77">
        <v>102</v>
      </c>
      <c r="E77">
        <v>75</v>
      </c>
      <c r="F77">
        <v>113</v>
      </c>
      <c r="G77">
        <f t="shared" si="5"/>
        <v>469</v>
      </c>
      <c r="I77" s="4">
        <v>82</v>
      </c>
      <c r="J77" s="4">
        <v>67</v>
      </c>
      <c r="K77" s="4">
        <v>92</v>
      </c>
      <c r="L77" s="4">
        <v>65</v>
      </c>
      <c r="M77" s="4">
        <v>103</v>
      </c>
      <c r="N77" s="4">
        <f t="shared" si="6"/>
        <v>409</v>
      </c>
      <c r="P77" s="32">
        <v>164</v>
      </c>
      <c r="Q77" s="32">
        <v>134</v>
      </c>
      <c r="R77" s="32">
        <v>184</v>
      </c>
      <c r="S77" s="32">
        <v>130</v>
      </c>
      <c r="T77" s="32">
        <v>206</v>
      </c>
      <c r="U77" s="32">
        <f t="shared" si="7"/>
        <v>1636</v>
      </c>
    </row>
    <row r="78" spans="2:21" x14ac:dyDescent="0.3">
      <c r="B78">
        <v>71</v>
      </c>
      <c r="C78">
        <v>58</v>
      </c>
      <c r="D78">
        <v>112</v>
      </c>
      <c r="E78">
        <v>91</v>
      </c>
      <c r="F78">
        <v>94</v>
      </c>
      <c r="G78">
        <f t="shared" si="5"/>
        <v>436</v>
      </c>
      <c r="I78" s="4">
        <v>61</v>
      </c>
      <c r="J78" s="4">
        <v>48</v>
      </c>
      <c r="K78" s="4">
        <v>102</v>
      </c>
      <c r="L78" s="4">
        <v>81</v>
      </c>
      <c r="M78" s="4">
        <v>84</v>
      </c>
      <c r="N78" s="4">
        <f t="shared" si="6"/>
        <v>376</v>
      </c>
      <c r="P78" s="32">
        <v>122</v>
      </c>
      <c r="Q78" s="32">
        <v>96</v>
      </c>
      <c r="R78" s="32">
        <v>204</v>
      </c>
      <c r="S78" s="32">
        <v>162</v>
      </c>
      <c r="T78" s="32">
        <v>168</v>
      </c>
      <c r="U78" s="32">
        <f t="shared" si="7"/>
        <v>1504</v>
      </c>
    </row>
    <row r="79" spans="2:21" x14ac:dyDescent="0.3">
      <c r="B79">
        <v>88</v>
      </c>
      <c r="C79">
        <v>71</v>
      </c>
      <c r="D79">
        <v>61</v>
      </c>
      <c r="E79">
        <v>69</v>
      </c>
      <c r="F79">
        <v>81</v>
      </c>
      <c r="G79">
        <f t="shared" si="5"/>
        <v>380</v>
      </c>
      <c r="I79" s="4">
        <v>78</v>
      </c>
      <c r="J79" s="4">
        <v>61</v>
      </c>
      <c r="K79" s="4">
        <v>51</v>
      </c>
      <c r="L79" s="4">
        <v>59</v>
      </c>
      <c r="M79" s="4">
        <v>71</v>
      </c>
      <c r="N79" s="4">
        <f t="shared" si="6"/>
        <v>320</v>
      </c>
      <c r="P79" s="32">
        <v>156</v>
      </c>
      <c r="Q79" s="32">
        <v>122</v>
      </c>
      <c r="R79" s="32">
        <v>102</v>
      </c>
      <c r="S79" s="32">
        <v>118</v>
      </c>
      <c r="T79" s="32">
        <v>142</v>
      </c>
      <c r="U79" s="32">
        <f t="shared" si="7"/>
        <v>1280</v>
      </c>
    </row>
    <row r="80" spans="2:21" x14ac:dyDescent="0.3">
      <c r="B80">
        <v>94</v>
      </c>
      <c r="C80">
        <v>67</v>
      </c>
      <c r="D80">
        <v>74</v>
      </c>
      <c r="E80">
        <v>89</v>
      </c>
      <c r="F80">
        <v>76</v>
      </c>
      <c r="G80">
        <f t="shared" si="5"/>
        <v>410</v>
      </c>
      <c r="I80" s="4">
        <v>84</v>
      </c>
      <c r="J80" s="4">
        <v>57</v>
      </c>
      <c r="K80" s="4">
        <v>64</v>
      </c>
      <c r="L80" s="4">
        <v>79</v>
      </c>
      <c r="M80" s="4">
        <v>66</v>
      </c>
      <c r="N80" s="4">
        <f t="shared" si="6"/>
        <v>350</v>
      </c>
      <c r="P80" s="32">
        <v>168</v>
      </c>
      <c r="Q80" s="32">
        <v>114</v>
      </c>
      <c r="R80" s="32">
        <v>128</v>
      </c>
      <c r="S80" s="32">
        <v>158</v>
      </c>
      <c r="T80" s="32">
        <v>132</v>
      </c>
      <c r="U80" s="32">
        <f t="shared" si="7"/>
        <v>1400</v>
      </c>
    </row>
    <row r="81" spans="2:21" x14ac:dyDescent="0.3">
      <c r="B81">
        <v>54</v>
      </c>
      <c r="C81">
        <v>54</v>
      </c>
      <c r="D81">
        <v>58</v>
      </c>
      <c r="E81">
        <v>113</v>
      </c>
      <c r="F81">
        <v>74</v>
      </c>
      <c r="G81">
        <f t="shared" si="5"/>
        <v>363</v>
      </c>
      <c r="I81" s="4">
        <v>44</v>
      </c>
      <c r="J81" s="4">
        <v>44</v>
      </c>
      <c r="K81" s="4">
        <v>48</v>
      </c>
      <c r="L81" s="4">
        <v>103</v>
      </c>
      <c r="M81" s="4">
        <v>64</v>
      </c>
      <c r="N81" s="4">
        <f t="shared" si="6"/>
        <v>303</v>
      </c>
      <c r="P81" s="32">
        <v>88</v>
      </c>
      <c r="Q81" s="32">
        <v>88</v>
      </c>
      <c r="R81" s="32">
        <v>96</v>
      </c>
      <c r="S81" s="32">
        <v>206</v>
      </c>
      <c r="T81" s="32">
        <v>128</v>
      </c>
      <c r="U81" s="32">
        <f t="shared" si="7"/>
        <v>1212</v>
      </c>
    </row>
    <row r="82" spans="2:21" x14ac:dyDescent="0.3">
      <c r="B82">
        <v>94</v>
      </c>
      <c r="C82">
        <v>82</v>
      </c>
      <c r="D82">
        <v>51</v>
      </c>
      <c r="E82">
        <v>109</v>
      </c>
      <c r="F82">
        <v>97</v>
      </c>
      <c r="G82">
        <f t="shared" si="5"/>
        <v>443</v>
      </c>
      <c r="I82" s="4">
        <v>84</v>
      </c>
      <c r="J82" s="4">
        <v>72</v>
      </c>
      <c r="K82" s="4">
        <v>41</v>
      </c>
      <c r="L82" s="4">
        <v>99</v>
      </c>
      <c r="M82" s="4">
        <v>87</v>
      </c>
      <c r="N82" s="4">
        <f t="shared" si="6"/>
        <v>383</v>
      </c>
      <c r="P82" s="32">
        <v>168</v>
      </c>
      <c r="Q82" s="32">
        <v>144</v>
      </c>
      <c r="R82" s="32">
        <v>82</v>
      </c>
      <c r="S82" s="32">
        <v>198</v>
      </c>
      <c r="T82" s="32">
        <v>174</v>
      </c>
      <c r="U82" s="32">
        <f t="shared" si="7"/>
        <v>1532</v>
      </c>
    </row>
    <row r="83" spans="2:21" x14ac:dyDescent="0.3">
      <c r="B83">
        <v>69</v>
      </c>
      <c r="C83">
        <v>56</v>
      </c>
      <c r="D83">
        <v>70</v>
      </c>
      <c r="E83">
        <v>69</v>
      </c>
      <c r="F83">
        <v>90</v>
      </c>
      <c r="G83">
        <f t="shared" si="5"/>
        <v>364</v>
      </c>
      <c r="I83" s="4">
        <v>59</v>
      </c>
      <c r="J83" s="4">
        <v>46</v>
      </c>
      <c r="K83" s="4">
        <v>60</v>
      </c>
      <c r="L83" s="4">
        <v>59</v>
      </c>
      <c r="M83" s="4">
        <v>80</v>
      </c>
      <c r="N83" s="4">
        <f t="shared" si="6"/>
        <v>304</v>
      </c>
      <c r="P83" s="32">
        <v>118</v>
      </c>
      <c r="Q83" s="32">
        <v>92</v>
      </c>
      <c r="R83" s="32">
        <v>120</v>
      </c>
      <c r="S83" s="32">
        <v>118</v>
      </c>
      <c r="T83" s="32">
        <v>160</v>
      </c>
      <c r="U83" s="32">
        <f t="shared" si="7"/>
        <v>1216</v>
      </c>
    </row>
    <row r="84" spans="2:21" x14ac:dyDescent="0.3">
      <c r="B84">
        <v>53</v>
      </c>
      <c r="C84">
        <v>108</v>
      </c>
      <c r="D84">
        <v>104</v>
      </c>
      <c r="E84">
        <v>70</v>
      </c>
      <c r="F84">
        <v>73</v>
      </c>
      <c r="G84">
        <f t="shared" si="5"/>
        <v>418</v>
      </c>
      <c r="I84" s="4">
        <v>43</v>
      </c>
      <c r="J84" s="4">
        <v>98</v>
      </c>
      <c r="K84" s="4">
        <v>94</v>
      </c>
      <c r="L84" s="4">
        <v>60</v>
      </c>
      <c r="M84" s="4">
        <v>63</v>
      </c>
      <c r="N84" s="4">
        <f t="shared" si="6"/>
        <v>358</v>
      </c>
      <c r="P84" s="32">
        <v>86</v>
      </c>
      <c r="Q84" s="32">
        <v>196</v>
      </c>
      <c r="R84" s="32">
        <v>188</v>
      </c>
      <c r="S84" s="32">
        <v>120</v>
      </c>
      <c r="T84" s="32">
        <v>126</v>
      </c>
      <c r="U84" s="32">
        <f t="shared" si="7"/>
        <v>1432</v>
      </c>
    </row>
    <row r="85" spans="2:21" x14ac:dyDescent="0.3">
      <c r="B85">
        <v>103</v>
      </c>
      <c r="C85">
        <v>59</v>
      </c>
      <c r="D85">
        <v>80</v>
      </c>
      <c r="E85">
        <v>60</v>
      </c>
      <c r="F85">
        <v>94</v>
      </c>
      <c r="G85">
        <f t="shared" si="5"/>
        <v>406</v>
      </c>
      <c r="I85" s="4">
        <v>93</v>
      </c>
      <c r="J85" s="4">
        <v>49</v>
      </c>
      <c r="K85" s="4">
        <v>70</v>
      </c>
      <c r="L85" s="4">
        <v>50</v>
      </c>
      <c r="M85" s="4">
        <v>84</v>
      </c>
      <c r="N85" s="4">
        <f t="shared" si="6"/>
        <v>346</v>
      </c>
      <c r="P85" s="32">
        <v>186</v>
      </c>
      <c r="Q85" s="32">
        <v>98</v>
      </c>
      <c r="R85" s="32">
        <v>140</v>
      </c>
      <c r="S85" s="32">
        <v>100</v>
      </c>
      <c r="T85" s="32">
        <v>168</v>
      </c>
      <c r="U85" s="32">
        <f t="shared" si="7"/>
        <v>1384</v>
      </c>
    </row>
    <row r="86" spans="2:21" x14ac:dyDescent="0.3">
      <c r="B86">
        <v>56</v>
      </c>
      <c r="C86">
        <v>72</v>
      </c>
      <c r="D86">
        <v>53</v>
      </c>
      <c r="E86">
        <v>94</v>
      </c>
      <c r="F86">
        <v>92</v>
      </c>
      <c r="G86">
        <f t="shared" si="5"/>
        <v>377</v>
      </c>
      <c r="I86" s="4">
        <v>46</v>
      </c>
      <c r="J86" s="4">
        <v>62</v>
      </c>
      <c r="K86" s="4">
        <v>43</v>
      </c>
      <c r="L86" s="4">
        <v>84</v>
      </c>
      <c r="M86" s="4">
        <v>82</v>
      </c>
      <c r="N86" s="4">
        <f t="shared" si="6"/>
        <v>317</v>
      </c>
      <c r="P86" s="32">
        <v>92</v>
      </c>
      <c r="Q86" s="32">
        <v>124</v>
      </c>
      <c r="R86" s="32">
        <v>86</v>
      </c>
      <c r="S86" s="32">
        <v>168</v>
      </c>
      <c r="T86" s="32">
        <v>164</v>
      </c>
      <c r="U86" s="32">
        <f t="shared" si="7"/>
        <v>1268</v>
      </c>
    </row>
    <row r="87" spans="2:21" x14ac:dyDescent="0.3">
      <c r="B87">
        <v>67</v>
      </c>
      <c r="C87">
        <v>61</v>
      </c>
      <c r="D87">
        <v>72</v>
      </c>
      <c r="E87">
        <v>48</v>
      </c>
      <c r="F87">
        <v>94</v>
      </c>
      <c r="G87">
        <f t="shared" si="5"/>
        <v>352</v>
      </c>
      <c r="I87" s="4">
        <v>57</v>
      </c>
      <c r="J87" s="4">
        <v>51</v>
      </c>
      <c r="K87" s="4">
        <v>62</v>
      </c>
      <c r="L87" s="4">
        <v>38</v>
      </c>
      <c r="M87" s="4">
        <v>84</v>
      </c>
      <c r="N87" s="4">
        <f t="shared" si="6"/>
        <v>292</v>
      </c>
      <c r="P87" s="32">
        <v>114</v>
      </c>
      <c r="Q87" s="32">
        <v>102</v>
      </c>
      <c r="R87" s="32">
        <v>124</v>
      </c>
      <c r="S87" s="32">
        <v>76</v>
      </c>
      <c r="T87" s="32">
        <v>168</v>
      </c>
      <c r="U87" s="32">
        <f t="shared" si="7"/>
        <v>1168</v>
      </c>
    </row>
    <row r="88" spans="2:21" x14ac:dyDescent="0.3">
      <c r="B88">
        <v>112</v>
      </c>
      <c r="C88">
        <v>81</v>
      </c>
      <c r="D88">
        <v>53</v>
      </c>
      <c r="E88">
        <v>90</v>
      </c>
      <c r="F88">
        <v>78</v>
      </c>
      <c r="G88">
        <f t="shared" si="5"/>
        <v>424</v>
      </c>
      <c r="I88" s="4">
        <v>102</v>
      </c>
      <c r="J88" s="4">
        <v>71</v>
      </c>
      <c r="K88" s="4">
        <v>43</v>
      </c>
      <c r="L88" s="4">
        <v>80</v>
      </c>
      <c r="M88" s="4">
        <v>68</v>
      </c>
      <c r="N88" s="4">
        <f t="shared" si="6"/>
        <v>364</v>
      </c>
      <c r="P88" s="32">
        <v>204</v>
      </c>
      <c r="Q88" s="32">
        <v>142</v>
      </c>
      <c r="R88" s="32">
        <v>86</v>
      </c>
      <c r="S88" s="32">
        <v>160</v>
      </c>
      <c r="T88" s="32">
        <v>136</v>
      </c>
      <c r="U88" s="32">
        <f t="shared" si="7"/>
        <v>1456</v>
      </c>
    </row>
  </sheetData>
  <dataValidations count="1">
    <dataValidation type="list" allowBlank="1" showInputMessage="1" showErrorMessage="1" sqref="I2 M14" xr:uid="{7DBC46B6-5475-4A4C-98FE-68795CC81B2E}">
      <formula1>$C$2:$H$2</formula1>
    </dataValidation>
  </dataValidations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7A282-AE0E-4F99-AF02-27467BD09AE2}">
  <dimension ref="A2:AL79"/>
  <sheetViews>
    <sheetView topLeftCell="P51" zoomScale="70" zoomScaleNormal="70" workbookViewId="0">
      <selection activeCell="AK67" sqref="AK67"/>
    </sheetView>
  </sheetViews>
  <sheetFormatPr defaultRowHeight="14.4" x14ac:dyDescent="0.3"/>
  <cols>
    <col min="1" max="1" width="12.109375" customWidth="1"/>
    <col min="2" max="2" width="17.44140625" customWidth="1"/>
    <col min="3" max="3" width="15.44140625" bestFit="1" customWidth="1"/>
    <col min="4" max="7" width="12.33203125" style="6" bestFit="1" customWidth="1"/>
    <col min="8" max="8" width="12.33203125" bestFit="1" customWidth="1"/>
    <col min="9" max="9" width="15.88671875" customWidth="1"/>
    <col min="10" max="10" width="17" bestFit="1" customWidth="1"/>
    <col min="11" max="14" width="12.33203125" bestFit="1" customWidth="1"/>
    <col min="15" max="15" width="12.33203125" customWidth="1"/>
    <col min="16" max="16" width="9" customWidth="1"/>
    <col min="17" max="22" width="14.21875" customWidth="1"/>
    <col min="29" max="34" width="17.6640625" customWidth="1"/>
  </cols>
  <sheetData>
    <row r="2" spans="1:34" ht="19.2" customHeight="1" x14ac:dyDescent="0.3">
      <c r="A2" s="7" t="s">
        <v>546</v>
      </c>
      <c r="B2" s="8" t="s">
        <v>549</v>
      </c>
    </row>
    <row r="3" spans="1:34" ht="19.2" customHeight="1" x14ac:dyDescent="0.3">
      <c r="A3" s="7" t="s">
        <v>547</v>
      </c>
      <c r="B3" s="8" t="s">
        <v>550</v>
      </c>
    </row>
    <row r="4" spans="1:34" ht="19.2" customHeight="1" x14ac:dyDescent="0.3">
      <c r="A4" s="7" t="s">
        <v>548</v>
      </c>
      <c r="B4" s="8" t="s">
        <v>551</v>
      </c>
    </row>
    <row r="5" spans="1:34" ht="25.8" x14ac:dyDescent="0.5">
      <c r="J5" s="44" t="s">
        <v>594</v>
      </c>
      <c r="K5" s="44"/>
    </row>
    <row r="8" spans="1:34" x14ac:dyDescent="0.3">
      <c r="A8" s="9" t="s">
        <v>552</v>
      </c>
      <c r="C8" s="1" t="s">
        <v>553</v>
      </c>
      <c r="D8" s="10" t="s">
        <v>554</v>
      </c>
      <c r="E8" s="10" t="s">
        <v>555</v>
      </c>
      <c r="F8" s="10" t="s">
        <v>556</v>
      </c>
      <c r="G8" s="10" t="s">
        <v>557</v>
      </c>
      <c r="H8" s="5" t="s">
        <v>526</v>
      </c>
      <c r="J8" s="1" t="s">
        <v>553</v>
      </c>
      <c r="K8" s="10" t="s">
        <v>554</v>
      </c>
      <c r="L8" s="10" t="s">
        <v>555</v>
      </c>
      <c r="M8" s="10" t="s">
        <v>556</v>
      </c>
      <c r="N8" s="10" t="s">
        <v>557</v>
      </c>
      <c r="O8" s="5" t="s">
        <v>526</v>
      </c>
      <c r="Q8" s="1" t="s">
        <v>553</v>
      </c>
      <c r="R8" s="10" t="s">
        <v>554</v>
      </c>
      <c r="S8" s="10" t="s">
        <v>555</v>
      </c>
      <c r="T8" s="10" t="s">
        <v>556</v>
      </c>
      <c r="U8" s="10" t="s">
        <v>557</v>
      </c>
      <c r="V8" s="5" t="s">
        <v>526</v>
      </c>
      <c r="AC8" s="1" t="s">
        <v>553</v>
      </c>
      <c r="AD8" s="10" t="s">
        <v>554</v>
      </c>
      <c r="AE8" s="10" t="s">
        <v>555</v>
      </c>
      <c r="AF8" s="10" t="s">
        <v>556</v>
      </c>
      <c r="AG8" s="10" t="s">
        <v>557</v>
      </c>
      <c r="AH8" s="5" t="s">
        <v>526</v>
      </c>
    </row>
    <row r="9" spans="1:34" x14ac:dyDescent="0.3">
      <c r="C9" s="11" t="s">
        <v>23</v>
      </c>
      <c r="D9" s="12">
        <v>123345</v>
      </c>
      <c r="E9" s="12">
        <v>194285</v>
      </c>
      <c r="F9" s="12">
        <v>82115</v>
      </c>
      <c r="G9" s="12">
        <v>155824</v>
      </c>
      <c r="H9" s="28">
        <f>SUM(D9:G9)</f>
        <v>555569</v>
      </c>
      <c r="J9" s="11" t="s">
        <v>23</v>
      </c>
      <c r="K9" s="12">
        <v>123345</v>
      </c>
      <c r="L9" s="12">
        <v>194285</v>
      </c>
      <c r="M9" s="12">
        <v>82115</v>
      </c>
      <c r="N9" s="12">
        <v>155824</v>
      </c>
      <c r="O9" s="28">
        <f>SUM(K9:N9)</f>
        <v>555569</v>
      </c>
      <c r="Q9" s="11" t="s">
        <v>23</v>
      </c>
      <c r="R9" s="12">
        <v>123345</v>
      </c>
      <c r="S9" s="12">
        <v>194285</v>
      </c>
      <c r="T9" s="12">
        <v>82115</v>
      </c>
      <c r="U9" s="12">
        <v>155824</v>
      </c>
      <c r="V9" s="28">
        <f>SUM(R9:U9)</f>
        <v>555569</v>
      </c>
      <c r="AC9" s="11" t="s">
        <v>23</v>
      </c>
      <c r="AD9" s="12">
        <v>123345</v>
      </c>
      <c r="AE9" s="12">
        <v>194285</v>
      </c>
      <c r="AF9" s="12">
        <v>82115</v>
      </c>
      <c r="AG9" s="12">
        <v>155824</v>
      </c>
      <c r="AH9" s="28">
        <f>SUM(AD9:AG9)</f>
        <v>555569</v>
      </c>
    </row>
    <row r="10" spans="1:34" x14ac:dyDescent="0.3">
      <c r="C10" s="11" t="s">
        <v>37</v>
      </c>
      <c r="D10" s="12">
        <v>199098</v>
      </c>
      <c r="E10" s="12">
        <v>135251</v>
      </c>
      <c r="F10" s="12">
        <v>89683</v>
      </c>
      <c r="G10" s="12">
        <v>203438</v>
      </c>
      <c r="H10" s="28">
        <f t="shared" ref="H10:H17" si="0">SUM(D10:G10)</f>
        <v>627470</v>
      </c>
      <c r="J10" s="11" t="s">
        <v>37</v>
      </c>
      <c r="K10" s="12">
        <v>199098</v>
      </c>
      <c r="L10" s="12">
        <v>135251</v>
      </c>
      <c r="M10" s="12">
        <v>89683</v>
      </c>
      <c r="N10" s="12">
        <v>203438</v>
      </c>
      <c r="O10" s="28">
        <f t="shared" ref="O10:O17" si="1">SUM(K10:N10)</f>
        <v>627470</v>
      </c>
      <c r="Q10" s="11" t="s">
        <v>37</v>
      </c>
      <c r="R10" s="12">
        <v>199098</v>
      </c>
      <c r="S10" s="12">
        <v>135251</v>
      </c>
      <c r="T10" s="12">
        <v>89683</v>
      </c>
      <c r="U10" s="12">
        <v>203438</v>
      </c>
      <c r="V10" s="28">
        <f t="shared" ref="V10:V17" si="2">SUM(R10:U10)</f>
        <v>627470</v>
      </c>
      <c r="AC10" s="11" t="s">
        <v>37</v>
      </c>
      <c r="AD10" s="12">
        <v>199098</v>
      </c>
      <c r="AE10" s="12">
        <v>135251</v>
      </c>
      <c r="AF10" s="12">
        <v>89683</v>
      </c>
      <c r="AG10" s="12">
        <v>203438</v>
      </c>
      <c r="AH10" s="28">
        <f t="shared" ref="AH10:AH17" si="3">SUM(AD10:AG10)</f>
        <v>627470</v>
      </c>
    </row>
    <row r="11" spans="1:34" x14ac:dyDescent="0.3">
      <c r="C11" s="11" t="s">
        <v>49</v>
      </c>
      <c r="D11" s="12">
        <v>149459</v>
      </c>
      <c r="E11" s="12">
        <v>225425</v>
      </c>
      <c r="F11" s="12">
        <v>122280</v>
      </c>
      <c r="G11" s="12">
        <v>214436</v>
      </c>
      <c r="H11" s="28">
        <f t="shared" si="0"/>
        <v>711600</v>
      </c>
      <c r="J11" s="11" t="s">
        <v>49</v>
      </c>
      <c r="K11" s="12">
        <v>149459</v>
      </c>
      <c r="L11" s="12">
        <v>225425</v>
      </c>
      <c r="M11" s="12">
        <v>122280</v>
      </c>
      <c r="N11" s="12">
        <v>214436</v>
      </c>
      <c r="O11" s="28">
        <f t="shared" si="1"/>
        <v>711600</v>
      </c>
      <c r="Q11" s="11" t="s">
        <v>49</v>
      </c>
      <c r="R11" s="12">
        <v>149459</v>
      </c>
      <c r="S11" s="12">
        <v>225425</v>
      </c>
      <c r="T11" s="12">
        <v>122280</v>
      </c>
      <c r="U11" s="12">
        <v>214436</v>
      </c>
      <c r="V11" s="28">
        <f t="shared" si="2"/>
        <v>711600</v>
      </c>
      <c r="AC11" s="11" t="s">
        <v>49</v>
      </c>
      <c r="AD11" s="12">
        <v>149459</v>
      </c>
      <c r="AE11" s="12">
        <v>225425</v>
      </c>
      <c r="AF11" s="12">
        <v>122280</v>
      </c>
      <c r="AG11" s="12">
        <v>214436</v>
      </c>
      <c r="AH11" s="28">
        <f t="shared" si="3"/>
        <v>711600</v>
      </c>
    </row>
    <row r="12" spans="1:34" x14ac:dyDescent="0.3">
      <c r="C12" s="11" t="s">
        <v>60</v>
      </c>
      <c r="D12" s="12">
        <v>229623</v>
      </c>
      <c r="E12" s="12">
        <v>147992</v>
      </c>
      <c r="F12" s="12">
        <v>223096</v>
      </c>
      <c r="G12" s="12">
        <v>140388</v>
      </c>
      <c r="H12" s="28">
        <f t="shared" si="0"/>
        <v>741099</v>
      </c>
      <c r="J12" s="11" t="s">
        <v>60</v>
      </c>
      <c r="K12" s="12">
        <v>229623</v>
      </c>
      <c r="L12" s="12">
        <v>147992</v>
      </c>
      <c r="M12" s="12">
        <v>223096</v>
      </c>
      <c r="N12" s="12">
        <v>140388</v>
      </c>
      <c r="O12" s="28">
        <f t="shared" si="1"/>
        <v>741099</v>
      </c>
      <c r="Q12" s="11" t="s">
        <v>60</v>
      </c>
      <c r="R12" s="12">
        <v>229623</v>
      </c>
      <c r="S12" s="12">
        <v>147992</v>
      </c>
      <c r="T12" s="12">
        <v>223096</v>
      </c>
      <c r="U12" s="12">
        <v>140388</v>
      </c>
      <c r="V12" s="28">
        <f t="shared" si="2"/>
        <v>741099</v>
      </c>
      <c r="AC12" s="11" t="s">
        <v>60</v>
      </c>
      <c r="AD12" s="12">
        <v>229623</v>
      </c>
      <c r="AE12" s="12">
        <v>147992</v>
      </c>
      <c r="AF12" s="12">
        <v>223096</v>
      </c>
      <c r="AG12" s="12">
        <v>140388</v>
      </c>
      <c r="AH12" s="28">
        <f t="shared" si="3"/>
        <v>741099</v>
      </c>
    </row>
    <row r="13" spans="1:34" x14ac:dyDescent="0.3">
      <c r="C13" s="11" t="s">
        <v>37</v>
      </c>
      <c r="D13" s="12">
        <v>134747</v>
      </c>
      <c r="E13" s="12">
        <v>165395</v>
      </c>
      <c r="F13" s="12">
        <v>90076</v>
      </c>
      <c r="G13" s="12">
        <v>153540</v>
      </c>
      <c r="H13" s="28">
        <f t="shared" si="0"/>
        <v>543758</v>
      </c>
      <c r="J13" s="11" t="s">
        <v>37</v>
      </c>
      <c r="K13" s="12">
        <v>134747</v>
      </c>
      <c r="L13" s="12">
        <v>165395</v>
      </c>
      <c r="M13" s="12">
        <v>90076</v>
      </c>
      <c r="N13" s="12">
        <v>153540</v>
      </c>
      <c r="O13" s="28">
        <f t="shared" si="1"/>
        <v>543758</v>
      </c>
      <c r="Q13" s="11" t="s">
        <v>37</v>
      </c>
      <c r="R13" s="12">
        <v>134747</v>
      </c>
      <c r="S13" s="12">
        <v>165395</v>
      </c>
      <c r="T13" s="12">
        <v>90076</v>
      </c>
      <c r="U13" s="12">
        <v>153540</v>
      </c>
      <c r="V13" s="28">
        <f t="shared" si="2"/>
        <v>543758</v>
      </c>
      <c r="AC13" s="11" t="s">
        <v>37</v>
      </c>
      <c r="AD13" s="12">
        <v>134747</v>
      </c>
      <c r="AE13" s="12">
        <v>165395</v>
      </c>
      <c r="AF13" s="12">
        <v>90076</v>
      </c>
      <c r="AG13" s="12">
        <v>153540</v>
      </c>
      <c r="AH13" s="28">
        <f t="shared" si="3"/>
        <v>543758</v>
      </c>
    </row>
    <row r="14" spans="1:34" x14ac:dyDescent="0.3">
      <c r="C14" s="11" t="s">
        <v>75</v>
      </c>
      <c r="D14" s="12">
        <v>168619</v>
      </c>
      <c r="E14" s="12">
        <v>188206</v>
      </c>
      <c r="F14" s="12">
        <v>84947</v>
      </c>
      <c r="G14" s="12">
        <v>111195</v>
      </c>
      <c r="H14" s="28">
        <f t="shared" si="0"/>
        <v>552967</v>
      </c>
      <c r="J14" s="11" t="s">
        <v>75</v>
      </c>
      <c r="K14" s="12">
        <v>168619</v>
      </c>
      <c r="L14" s="12">
        <v>188206</v>
      </c>
      <c r="M14" s="12">
        <v>84947</v>
      </c>
      <c r="N14" s="12">
        <v>111195</v>
      </c>
      <c r="O14" s="28">
        <f t="shared" si="1"/>
        <v>552967</v>
      </c>
      <c r="Q14" s="11" t="s">
        <v>75</v>
      </c>
      <c r="R14" s="12">
        <v>168619</v>
      </c>
      <c r="S14" s="12">
        <v>188206</v>
      </c>
      <c r="T14" s="12">
        <v>84947</v>
      </c>
      <c r="U14" s="12">
        <v>111195</v>
      </c>
      <c r="V14" s="28">
        <f t="shared" si="2"/>
        <v>552967</v>
      </c>
      <c r="AC14" s="11" t="s">
        <v>75</v>
      </c>
      <c r="AD14" s="12">
        <v>168619</v>
      </c>
      <c r="AE14" s="12">
        <v>188206</v>
      </c>
      <c r="AF14" s="12">
        <v>84947</v>
      </c>
      <c r="AG14" s="12">
        <v>111195</v>
      </c>
      <c r="AH14" s="28">
        <f t="shared" si="3"/>
        <v>552967</v>
      </c>
    </row>
    <row r="15" spans="1:34" x14ac:dyDescent="0.3">
      <c r="C15" s="11" t="s">
        <v>37</v>
      </c>
      <c r="D15" s="12">
        <v>153340</v>
      </c>
      <c r="E15" s="12">
        <v>168185</v>
      </c>
      <c r="F15" s="12">
        <v>178980</v>
      </c>
      <c r="G15" s="12">
        <v>186270</v>
      </c>
      <c r="H15" s="28">
        <f t="shared" si="0"/>
        <v>686775</v>
      </c>
      <c r="J15" s="11" t="s">
        <v>37</v>
      </c>
      <c r="K15" s="12">
        <v>153340</v>
      </c>
      <c r="L15" s="12">
        <v>168185</v>
      </c>
      <c r="M15" s="12">
        <v>178980</v>
      </c>
      <c r="N15" s="12">
        <v>186270</v>
      </c>
      <c r="O15" s="28">
        <f t="shared" si="1"/>
        <v>686775</v>
      </c>
      <c r="Q15" s="11" t="s">
        <v>37</v>
      </c>
      <c r="R15" s="12">
        <v>153340</v>
      </c>
      <c r="S15" s="12">
        <v>168185</v>
      </c>
      <c r="T15" s="12">
        <v>178980</v>
      </c>
      <c r="U15" s="12">
        <v>186270</v>
      </c>
      <c r="V15" s="28">
        <f t="shared" si="2"/>
        <v>686775</v>
      </c>
      <c r="AC15" s="11" t="s">
        <v>37</v>
      </c>
      <c r="AD15" s="12">
        <v>153340</v>
      </c>
      <c r="AE15" s="12">
        <v>168185</v>
      </c>
      <c r="AF15" s="12">
        <v>178980</v>
      </c>
      <c r="AG15" s="12">
        <v>186270</v>
      </c>
      <c r="AH15" s="28">
        <f t="shared" si="3"/>
        <v>686775</v>
      </c>
    </row>
    <row r="16" spans="1:34" x14ac:dyDescent="0.3">
      <c r="C16" s="11" t="s">
        <v>89</v>
      </c>
      <c r="D16" s="12">
        <v>133171</v>
      </c>
      <c r="E16" s="12">
        <v>245809</v>
      </c>
      <c r="F16" s="12">
        <v>152222</v>
      </c>
      <c r="G16" s="12">
        <v>97253</v>
      </c>
      <c r="H16" s="28">
        <f t="shared" si="0"/>
        <v>628455</v>
      </c>
      <c r="J16" s="11" t="s">
        <v>89</v>
      </c>
      <c r="K16" s="12">
        <v>133171</v>
      </c>
      <c r="L16" s="12">
        <v>245809</v>
      </c>
      <c r="M16" s="12">
        <v>152222</v>
      </c>
      <c r="N16" s="12">
        <v>97253</v>
      </c>
      <c r="O16" s="28">
        <f t="shared" si="1"/>
        <v>628455</v>
      </c>
      <c r="Q16" s="11" t="s">
        <v>89</v>
      </c>
      <c r="R16" s="12">
        <v>133171</v>
      </c>
      <c r="S16" s="12">
        <v>245809</v>
      </c>
      <c r="T16" s="12">
        <v>152222</v>
      </c>
      <c r="U16" s="12">
        <v>97253</v>
      </c>
      <c r="V16" s="28">
        <f t="shared" si="2"/>
        <v>628455</v>
      </c>
      <c r="AC16" s="11" t="s">
        <v>89</v>
      </c>
      <c r="AD16" s="12">
        <v>133171</v>
      </c>
      <c r="AE16" s="12">
        <v>245809</v>
      </c>
      <c r="AF16" s="12">
        <v>152222</v>
      </c>
      <c r="AG16" s="12">
        <v>97253</v>
      </c>
      <c r="AH16" s="28">
        <f t="shared" si="3"/>
        <v>628455</v>
      </c>
    </row>
    <row r="17" spans="1:34" x14ac:dyDescent="0.3">
      <c r="C17" s="11" t="s">
        <v>23</v>
      </c>
      <c r="D17" s="12">
        <v>241783</v>
      </c>
      <c r="E17" s="12">
        <v>243416</v>
      </c>
      <c r="F17" s="12">
        <v>214738</v>
      </c>
      <c r="G17" s="12">
        <v>164343</v>
      </c>
      <c r="H17" s="28">
        <f t="shared" si="0"/>
        <v>864280</v>
      </c>
      <c r="J17" s="11" t="s">
        <v>23</v>
      </c>
      <c r="K17" s="12">
        <v>241783</v>
      </c>
      <c r="L17" s="12">
        <v>243416</v>
      </c>
      <c r="M17" s="12">
        <v>214738</v>
      </c>
      <c r="N17" s="12">
        <v>164343</v>
      </c>
      <c r="O17" s="28">
        <f t="shared" si="1"/>
        <v>864280</v>
      </c>
      <c r="Q17" s="11" t="s">
        <v>23</v>
      </c>
      <c r="R17" s="12">
        <v>241783</v>
      </c>
      <c r="S17" s="12">
        <v>243416</v>
      </c>
      <c r="T17" s="12">
        <v>214738</v>
      </c>
      <c r="U17" s="12">
        <v>164343</v>
      </c>
      <c r="V17" s="28">
        <f t="shared" si="2"/>
        <v>864280</v>
      </c>
      <c r="AC17" s="11" t="s">
        <v>23</v>
      </c>
      <c r="AD17" s="12">
        <v>241783</v>
      </c>
      <c r="AE17" s="12">
        <v>243416</v>
      </c>
      <c r="AF17" s="12">
        <v>214738</v>
      </c>
      <c r="AG17" s="12">
        <v>164343</v>
      </c>
      <c r="AH17" s="28">
        <f t="shared" si="3"/>
        <v>864280</v>
      </c>
    </row>
    <row r="18" spans="1:34" x14ac:dyDescent="0.3">
      <c r="C18" s="5" t="s">
        <v>526</v>
      </c>
      <c r="D18" s="27">
        <f>SUM(D9:D17)</f>
        <v>1533185</v>
      </c>
      <c r="E18" s="27">
        <f t="shared" ref="E18:H18" si="4">SUM(E9:E17)</f>
        <v>1713964</v>
      </c>
      <c r="F18" s="27">
        <f t="shared" si="4"/>
        <v>1238137</v>
      </c>
      <c r="G18" s="27">
        <f t="shared" si="4"/>
        <v>1426687</v>
      </c>
      <c r="H18" s="27">
        <f t="shared" si="4"/>
        <v>5911973</v>
      </c>
      <c r="J18" s="5" t="s">
        <v>526</v>
      </c>
      <c r="K18" s="27">
        <f>SUM(K9:K17)</f>
        <v>1533185</v>
      </c>
      <c r="L18" s="27">
        <f t="shared" ref="L18:O18" si="5">SUM(L9:L17)</f>
        <v>1713964</v>
      </c>
      <c r="M18" s="27">
        <f t="shared" si="5"/>
        <v>1238137</v>
      </c>
      <c r="N18" s="27">
        <f t="shared" si="5"/>
        <v>1426687</v>
      </c>
      <c r="O18" s="27">
        <f t="shared" si="5"/>
        <v>5911973</v>
      </c>
      <c r="Q18" s="5" t="s">
        <v>526</v>
      </c>
      <c r="R18" s="27">
        <f>SUM(R9:R17)</f>
        <v>1533185</v>
      </c>
      <c r="S18" s="27">
        <f t="shared" ref="S18:V18" si="6">SUM(S9:S17)</f>
        <v>1713964</v>
      </c>
      <c r="T18" s="27">
        <f t="shared" si="6"/>
        <v>1238137</v>
      </c>
      <c r="U18" s="27">
        <f t="shared" si="6"/>
        <v>1426687</v>
      </c>
      <c r="V18" s="27">
        <f t="shared" si="6"/>
        <v>5911973</v>
      </c>
      <c r="AC18" s="5" t="s">
        <v>526</v>
      </c>
      <c r="AD18" s="27">
        <f>SUM(AD9:AD17)</f>
        <v>1533185</v>
      </c>
      <c r="AE18" s="27">
        <f t="shared" ref="AE18:AH18" si="7">SUM(AE9:AE17)</f>
        <v>1713964</v>
      </c>
      <c r="AF18" s="27">
        <f t="shared" si="7"/>
        <v>1238137</v>
      </c>
      <c r="AG18" s="27">
        <f t="shared" si="7"/>
        <v>1426687</v>
      </c>
      <c r="AH18" s="27">
        <f t="shared" si="7"/>
        <v>5911973</v>
      </c>
    </row>
    <row r="20" spans="1:34" ht="25.8" x14ac:dyDescent="0.5">
      <c r="J20" s="44" t="s">
        <v>594</v>
      </c>
      <c r="K20" s="44"/>
    </row>
    <row r="22" spans="1:34" x14ac:dyDescent="0.3">
      <c r="A22" s="9" t="s">
        <v>558</v>
      </c>
      <c r="C22" s="1" t="s">
        <v>559</v>
      </c>
      <c r="D22" s="10" t="s">
        <v>560</v>
      </c>
      <c r="E22" s="10" t="s">
        <v>561</v>
      </c>
      <c r="G22" s="1" t="s">
        <v>567</v>
      </c>
      <c r="J22" s="1" t="s">
        <v>559</v>
      </c>
      <c r="K22" s="10" t="s">
        <v>560</v>
      </c>
      <c r="L22" s="10" t="s">
        <v>561</v>
      </c>
      <c r="M22" s="6"/>
      <c r="N22" s="1" t="s">
        <v>567</v>
      </c>
      <c r="Q22" s="1" t="s">
        <v>559</v>
      </c>
      <c r="R22" s="10" t="s">
        <v>560</v>
      </c>
      <c r="S22" s="10" t="s">
        <v>561</v>
      </c>
      <c r="U22" s="1" t="s">
        <v>567</v>
      </c>
      <c r="AC22" s="1" t="s">
        <v>559</v>
      </c>
      <c r="AD22" s="10" t="s">
        <v>560</v>
      </c>
      <c r="AE22" s="10" t="s">
        <v>561</v>
      </c>
      <c r="AG22" s="1" t="s">
        <v>567</v>
      </c>
    </row>
    <row r="23" spans="1:34" x14ac:dyDescent="0.3">
      <c r="C23" s="11" t="s">
        <v>544</v>
      </c>
      <c r="D23" s="4">
        <v>65000</v>
      </c>
      <c r="E23" s="4">
        <f>D23*G$23</f>
        <v>9750</v>
      </c>
      <c r="G23" s="14">
        <v>0.15</v>
      </c>
      <c r="J23" s="11" t="s">
        <v>544</v>
      </c>
      <c r="K23" s="4">
        <v>65000</v>
      </c>
      <c r="L23" s="4">
        <f>K23*$N$23</f>
        <v>9750</v>
      </c>
      <c r="M23" s="6"/>
      <c r="N23" s="14">
        <v>0.15</v>
      </c>
      <c r="Q23" s="11" t="s">
        <v>544</v>
      </c>
      <c r="R23" s="4">
        <v>65000</v>
      </c>
      <c r="S23" s="4">
        <f>R23*$U$23</f>
        <v>9750</v>
      </c>
      <c r="U23" s="14">
        <v>0.15</v>
      </c>
      <c r="AC23" s="11" t="s">
        <v>544</v>
      </c>
      <c r="AD23" s="4">
        <v>65000</v>
      </c>
      <c r="AE23" s="4">
        <f>AD23*$AG$23</f>
        <v>9750</v>
      </c>
      <c r="AG23" s="14">
        <v>0.15</v>
      </c>
    </row>
    <row r="24" spans="1:34" x14ac:dyDescent="0.3">
      <c r="C24" s="11" t="s">
        <v>562</v>
      </c>
      <c r="D24" s="4">
        <v>90000</v>
      </c>
      <c r="E24" s="4">
        <f t="shared" ref="E24:E29" si="8">D24*G$23</f>
        <v>13500</v>
      </c>
      <c r="J24" s="11" t="s">
        <v>562</v>
      </c>
      <c r="K24" s="4">
        <v>90000</v>
      </c>
      <c r="L24" s="4">
        <f t="shared" ref="L24:L29" si="9">K24*$N$23</f>
        <v>13500</v>
      </c>
      <c r="M24" s="6"/>
      <c r="N24" s="6"/>
      <c r="Q24" s="11" t="s">
        <v>562</v>
      </c>
      <c r="R24" s="4">
        <v>90000</v>
      </c>
      <c r="S24" s="4">
        <f t="shared" ref="S24:S29" si="10">R24*$U$23</f>
        <v>13500</v>
      </c>
      <c r="AC24" s="11" t="s">
        <v>562</v>
      </c>
      <c r="AD24" s="4">
        <v>90000</v>
      </c>
      <c r="AE24" s="4">
        <f t="shared" ref="AE24:AE29" si="11">AD24*$AG$23</f>
        <v>13500</v>
      </c>
    </row>
    <row r="25" spans="1:34" x14ac:dyDescent="0.3">
      <c r="C25" s="11" t="s">
        <v>545</v>
      </c>
      <c r="D25" s="4">
        <v>80000</v>
      </c>
      <c r="E25" s="4">
        <f t="shared" si="8"/>
        <v>12000</v>
      </c>
      <c r="J25" s="11" t="s">
        <v>545</v>
      </c>
      <c r="K25" s="4">
        <v>80000</v>
      </c>
      <c r="L25" s="4">
        <f t="shared" si="9"/>
        <v>12000</v>
      </c>
      <c r="M25" s="6"/>
      <c r="N25" s="6"/>
      <c r="Q25" s="11" t="s">
        <v>545</v>
      </c>
      <c r="R25" s="4">
        <v>80000</v>
      </c>
      <c r="S25" s="4">
        <f t="shared" si="10"/>
        <v>12000</v>
      </c>
      <c r="AC25" s="11" t="s">
        <v>545</v>
      </c>
      <c r="AD25" s="4">
        <v>80000</v>
      </c>
      <c r="AE25" s="4">
        <f t="shared" si="11"/>
        <v>12000</v>
      </c>
    </row>
    <row r="26" spans="1:34" x14ac:dyDescent="0.3">
      <c r="C26" s="11" t="s">
        <v>563</v>
      </c>
      <c r="D26" s="4">
        <v>150000</v>
      </c>
      <c r="E26" s="4">
        <f t="shared" si="8"/>
        <v>22500</v>
      </c>
      <c r="J26" s="11" t="s">
        <v>563</v>
      </c>
      <c r="K26" s="4">
        <v>150000</v>
      </c>
      <c r="L26" s="4">
        <f t="shared" si="9"/>
        <v>22500</v>
      </c>
      <c r="M26" s="6"/>
      <c r="N26" s="6"/>
      <c r="Q26" s="11" t="s">
        <v>563</v>
      </c>
      <c r="R26" s="4">
        <v>150000</v>
      </c>
      <c r="S26" s="4">
        <f t="shared" si="10"/>
        <v>22500</v>
      </c>
      <c r="AC26" s="11" t="s">
        <v>563</v>
      </c>
      <c r="AD26" s="4">
        <v>150000</v>
      </c>
      <c r="AE26" s="4">
        <f t="shared" si="11"/>
        <v>22500</v>
      </c>
    </row>
    <row r="27" spans="1:34" x14ac:dyDescent="0.3">
      <c r="C27" s="11" t="s">
        <v>564</v>
      </c>
      <c r="D27" s="4">
        <v>65000</v>
      </c>
      <c r="E27" s="4">
        <f t="shared" si="8"/>
        <v>9750</v>
      </c>
      <c r="J27" s="11" t="s">
        <v>564</v>
      </c>
      <c r="K27" s="4">
        <v>65000</v>
      </c>
      <c r="L27" s="4">
        <f t="shared" si="9"/>
        <v>9750</v>
      </c>
      <c r="M27" s="6"/>
      <c r="N27" s="6"/>
      <c r="Q27" s="11" t="s">
        <v>564</v>
      </c>
      <c r="R27" s="4">
        <v>65000</v>
      </c>
      <c r="S27" s="4">
        <f t="shared" si="10"/>
        <v>9750</v>
      </c>
      <c r="AC27" s="11" t="s">
        <v>564</v>
      </c>
      <c r="AD27" s="4">
        <v>65000</v>
      </c>
      <c r="AE27" s="4">
        <f t="shared" si="11"/>
        <v>9750</v>
      </c>
    </row>
    <row r="28" spans="1:34" x14ac:dyDescent="0.3">
      <c r="C28" s="11" t="s">
        <v>565</v>
      </c>
      <c r="D28" s="4">
        <v>3500</v>
      </c>
      <c r="E28" s="4">
        <f t="shared" si="8"/>
        <v>525</v>
      </c>
      <c r="J28" s="11" t="s">
        <v>565</v>
      </c>
      <c r="K28" s="4">
        <v>3500</v>
      </c>
      <c r="L28" s="4">
        <f t="shared" si="9"/>
        <v>525</v>
      </c>
      <c r="M28" s="6"/>
      <c r="N28" s="6"/>
      <c r="Q28" s="11" t="s">
        <v>565</v>
      </c>
      <c r="R28" s="4">
        <v>3500</v>
      </c>
      <c r="S28" s="4">
        <f t="shared" si="10"/>
        <v>525</v>
      </c>
      <c r="AC28" s="11" t="s">
        <v>565</v>
      </c>
      <c r="AD28" s="4">
        <v>3500</v>
      </c>
      <c r="AE28" s="4">
        <f t="shared" si="11"/>
        <v>525</v>
      </c>
    </row>
    <row r="29" spans="1:34" x14ac:dyDescent="0.3">
      <c r="C29" s="11" t="s">
        <v>566</v>
      </c>
      <c r="D29" s="4">
        <v>4500</v>
      </c>
      <c r="E29" s="4">
        <f t="shared" si="8"/>
        <v>675</v>
      </c>
      <c r="J29" s="11" t="s">
        <v>566</v>
      </c>
      <c r="K29" s="4">
        <v>4500</v>
      </c>
      <c r="L29" s="4">
        <f t="shared" si="9"/>
        <v>675</v>
      </c>
      <c r="M29" s="6"/>
      <c r="N29" s="6"/>
      <c r="Q29" s="11" t="s">
        <v>566</v>
      </c>
      <c r="R29" s="4">
        <v>4500</v>
      </c>
      <c r="S29" s="4">
        <f t="shared" si="10"/>
        <v>675</v>
      </c>
      <c r="AC29" s="11" t="s">
        <v>566</v>
      </c>
      <c r="AD29" s="4">
        <v>4500</v>
      </c>
      <c r="AE29" s="4">
        <f t="shared" si="11"/>
        <v>675</v>
      </c>
    </row>
    <row r="31" spans="1:34" ht="25.8" x14ac:dyDescent="0.5">
      <c r="J31" s="44" t="s">
        <v>594</v>
      </c>
      <c r="K31" s="44"/>
    </row>
    <row r="32" spans="1:34" x14ac:dyDescent="0.3">
      <c r="Q32" s="13" t="s">
        <v>569</v>
      </c>
      <c r="R32" s="13" t="s">
        <v>570</v>
      </c>
      <c r="S32" s="13" t="s">
        <v>571</v>
      </c>
      <c r="AC32" s="13" t="s">
        <v>569</v>
      </c>
      <c r="AD32" s="13" t="s">
        <v>570</v>
      </c>
      <c r="AE32" s="13" t="s">
        <v>571</v>
      </c>
    </row>
    <row r="33" spans="1:33" x14ac:dyDescent="0.3">
      <c r="A33" s="9" t="s">
        <v>568</v>
      </c>
      <c r="C33" s="1" t="s">
        <v>559</v>
      </c>
      <c r="D33" s="10" t="s">
        <v>560</v>
      </c>
      <c r="E33" s="10" t="s">
        <v>569</v>
      </c>
      <c r="F33" s="10" t="s">
        <v>570</v>
      </c>
      <c r="G33" s="10" t="s">
        <v>571</v>
      </c>
      <c r="I33" s="13" t="s">
        <v>569</v>
      </c>
      <c r="J33" s="13" t="s">
        <v>570</v>
      </c>
      <c r="K33" s="13" t="s">
        <v>571</v>
      </c>
      <c r="Q33" s="14">
        <v>0.15</v>
      </c>
      <c r="R33" s="14">
        <v>0.1</v>
      </c>
      <c r="S33" s="14">
        <v>0.08</v>
      </c>
      <c r="AC33" s="14">
        <v>0.15</v>
      </c>
      <c r="AD33" s="14">
        <v>0.1</v>
      </c>
      <c r="AE33" s="14">
        <v>0.08</v>
      </c>
    </row>
    <row r="34" spans="1:33" x14ac:dyDescent="0.3">
      <c r="C34" s="11" t="s">
        <v>544</v>
      </c>
      <c r="D34" s="4">
        <v>65000</v>
      </c>
      <c r="E34" s="4">
        <f t="shared" ref="E34:G40" si="12">$D34*I$34</f>
        <v>9750</v>
      </c>
      <c r="F34" s="4">
        <f t="shared" si="12"/>
        <v>6500</v>
      </c>
      <c r="G34" s="4">
        <f t="shared" si="12"/>
        <v>5200</v>
      </c>
      <c r="I34" s="14">
        <v>0.15</v>
      </c>
      <c r="J34" s="14">
        <v>0.1</v>
      </c>
      <c r="K34" s="14">
        <v>0.08</v>
      </c>
    </row>
    <row r="35" spans="1:33" x14ac:dyDescent="0.3">
      <c r="C35" s="11" t="s">
        <v>562</v>
      </c>
      <c r="D35" s="4">
        <v>90000</v>
      </c>
      <c r="E35" s="4">
        <f t="shared" si="12"/>
        <v>13500</v>
      </c>
      <c r="F35" s="4">
        <f t="shared" si="12"/>
        <v>9000</v>
      </c>
      <c r="G35" s="4">
        <f t="shared" si="12"/>
        <v>7200</v>
      </c>
    </row>
    <row r="36" spans="1:33" x14ac:dyDescent="0.3">
      <c r="C36" s="11" t="s">
        <v>545</v>
      </c>
      <c r="D36" s="4">
        <v>80000</v>
      </c>
      <c r="E36" s="4">
        <f t="shared" si="12"/>
        <v>12000</v>
      </c>
      <c r="F36" s="4">
        <f t="shared" si="12"/>
        <v>8000</v>
      </c>
      <c r="G36" s="4">
        <f t="shared" si="12"/>
        <v>6400</v>
      </c>
    </row>
    <row r="37" spans="1:33" x14ac:dyDescent="0.3">
      <c r="C37" s="11" t="s">
        <v>563</v>
      </c>
      <c r="D37" s="4">
        <v>150000</v>
      </c>
      <c r="E37" s="4">
        <f t="shared" si="12"/>
        <v>22500</v>
      </c>
      <c r="F37" s="4">
        <f t="shared" si="12"/>
        <v>15000</v>
      </c>
      <c r="G37" s="4">
        <f t="shared" si="12"/>
        <v>12000</v>
      </c>
      <c r="I37" s="1" t="s">
        <v>559</v>
      </c>
      <c r="J37" s="10" t="s">
        <v>560</v>
      </c>
      <c r="K37" s="10" t="s">
        <v>569</v>
      </c>
      <c r="L37" s="10" t="s">
        <v>570</v>
      </c>
      <c r="M37" s="10" t="s">
        <v>571</v>
      </c>
      <c r="Q37" s="1" t="s">
        <v>559</v>
      </c>
      <c r="R37" s="10" t="s">
        <v>560</v>
      </c>
      <c r="S37" s="10" t="s">
        <v>569</v>
      </c>
      <c r="T37" s="10" t="s">
        <v>570</v>
      </c>
      <c r="U37" s="10" t="s">
        <v>571</v>
      </c>
      <c r="AC37" s="1" t="s">
        <v>559</v>
      </c>
      <c r="AD37" s="10" t="s">
        <v>560</v>
      </c>
      <c r="AE37" s="10" t="s">
        <v>569</v>
      </c>
      <c r="AF37" s="10" t="s">
        <v>570</v>
      </c>
      <c r="AG37" s="10" t="s">
        <v>571</v>
      </c>
    </row>
    <row r="38" spans="1:33" x14ac:dyDescent="0.3">
      <c r="C38" s="11" t="s">
        <v>564</v>
      </c>
      <c r="D38" s="4">
        <v>65000</v>
      </c>
      <c r="E38" s="4">
        <f t="shared" si="12"/>
        <v>9750</v>
      </c>
      <c r="F38" s="4">
        <f t="shared" si="12"/>
        <v>6500</v>
      </c>
      <c r="G38" s="4">
        <f t="shared" si="12"/>
        <v>5200</v>
      </c>
      <c r="I38" s="11" t="s">
        <v>544</v>
      </c>
      <c r="J38" s="4">
        <v>65000</v>
      </c>
      <c r="K38" s="4">
        <f>$J38*I$34</f>
        <v>9750</v>
      </c>
      <c r="L38" s="4">
        <f t="shared" ref="L38:M44" si="13">$J38*J$34</f>
        <v>6500</v>
      </c>
      <c r="M38" s="4">
        <f t="shared" si="13"/>
        <v>5200</v>
      </c>
      <c r="Q38" s="11" t="s">
        <v>544</v>
      </c>
      <c r="R38" s="4">
        <v>65000</v>
      </c>
      <c r="S38" s="4">
        <f>$R38*Q$33</f>
        <v>9750</v>
      </c>
      <c r="T38" s="4">
        <f t="shared" ref="T38:U38" si="14">$R38*R$33</f>
        <v>6500</v>
      </c>
      <c r="U38" s="4">
        <f t="shared" si="14"/>
        <v>5200</v>
      </c>
      <c r="AC38" s="11" t="s">
        <v>544</v>
      </c>
      <c r="AD38" s="4">
        <v>65000</v>
      </c>
      <c r="AE38" s="4">
        <f>$AD38*AC$33</f>
        <v>9750</v>
      </c>
      <c r="AF38" s="4">
        <f t="shared" ref="AF38:AG44" si="15">$AD38*AD$33</f>
        <v>6500</v>
      </c>
      <c r="AG38" s="4">
        <f t="shared" si="15"/>
        <v>5200</v>
      </c>
    </row>
    <row r="39" spans="1:33" x14ac:dyDescent="0.3">
      <c r="C39" s="11" t="s">
        <v>565</v>
      </c>
      <c r="D39" s="4">
        <v>3500</v>
      </c>
      <c r="E39" s="4">
        <f t="shared" si="12"/>
        <v>525</v>
      </c>
      <c r="F39" s="4">
        <f t="shared" si="12"/>
        <v>350</v>
      </c>
      <c r="G39" s="4">
        <f t="shared" si="12"/>
        <v>280</v>
      </c>
      <c r="I39" s="11" t="s">
        <v>562</v>
      </c>
      <c r="J39" s="4">
        <v>90000</v>
      </c>
      <c r="K39" s="4">
        <f t="shared" ref="K39:K44" si="16">$J39*I$34</f>
        <v>13500</v>
      </c>
      <c r="L39" s="4">
        <f t="shared" si="13"/>
        <v>9000</v>
      </c>
      <c r="M39" s="4">
        <f t="shared" si="13"/>
        <v>7200</v>
      </c>
      <c r="Q39" s="11" t="s">
        <v>562</v>
      </c>
      <c r="R39" s="4">
        <v>90000</v>
      </c>
      <c r="S39" s="4">
        <f t="shared" ref="S39:S44" si="17">$R39*Q$33</f>
        <v>13500</v>
      </c>
      <c r="T39" s="4">
        <f t="shared" ref="T39:T44" si="18">$R39*R$33</f>
        <v>9000</v>
      </c>
      <c r="U39" s="4">
        <f t="shared" ref="U39:U44" si="19">$R39*S$33</f>
        <v>7200</v>
      </c>
      <c r="AC39" s="11" t="s">
        <v>562</v>
      </c>
      <c r="AD39" s="4">
        <v>90000</v>
      </c>
      <c r="AE39" s="4">
        <f t="shared" ref="AE39:AE44" si="20">$AD39*AC$33</f>
        <v>13500</v>
      </c>
      <c r="AF39" s="4">
        <f t="shared" si="15"/>
        <v>9000</v>
      </c>
      <c r="AG39" s="4">
        <f t="shared" si="15"/>
        <v>7200</v>
      </c>
    </row>
    <row r="40" spans="1:33" x14ac:dyDescent="0.3">
      <c r="C40" s="11" t="s">
        <v>566</v>
      </c>
      <c r="D40" s="4">
        <v>4500</v>
      </c>
      <c r="E40" s="4">
        <f t="shared" si="12"/>
        <v>675</v>
      </c>
      <c r="F40" s="4">
        <f t="shared" si="12"/>
        <v>450</v>
      </c>
      <c r="G40" s="4">
        <f t="shared" si="12"/>
        <v>360</v>
      </c>
      <c r="I40" s="11" t="s">
        <v>545</v>
      </c>
      <c r="J40" s="4">
        <v>80000</v>
      </c>
      <c r="K40" s="4">
        <f t="shared" si="16"/>
        <v>12000</v>
      </c>
      <c r="L40" s="4">
        <f t="shared" si="13"/>
        <v>8000</v>
      </c>
      <c r="M40" s="4">
        <f t="shared" si="13"/>
        <v>6400</v>
      </c>
      <c r="Q40" s="11" t="s">
        <v>545</v>
      </c>
      <c r="R40" s="4">
        <v>80000</v>
      </c>
      <c r="S40" s="4">
        <f t="shared" si="17"/>
        <v>12000</v>
      </c>
      <c r="T40" s="4">
        <f t="shared" si="18"/>
        <v>8000</v>
      </c>
      <c r="U40" s="4">
        <f t="shared" si="19"/>
        <v>6400</v>
      </c>
      <c r="AC40" s="11" t="s">
        <v>545</v>
      </c>
      <c r="AD40" s="4">
        <v>80000</v>
      </c>
      <c r="AE40" s="4">
        <f t="shared" si="20"/>
        <v>12000</v>
      </c>
      <c r="AF40" s="4">
        <f t="shared" si="15"/>
        <v>8000</v>
      </c>
      <c r="AG40" s="4">
        <f t="shared" si="15"/>
        <v>6400</v>
      </c>
    </row>
    <row r="41" spans="1:33" x14ac:dyDescent="0.3">
      <c r="I41" s="11" t="s">
        <v>563</v>
      </c>
      <c r="J41" s="4">
        <v>150000</v>
      </c>
      <c r="K41" s="4">
        <f t="shared" si="16"/>
        <v>22500</v>
      </c>
      <c r="L41" s="4">
        <f t="shared" si="13"/>
        <v>15000</v>
      </c>
      <c r="M41" s="4">
        <f t="shared" si="13"/>
        <v>12000</v>
      </c>
      <c r="Q41" s="11" t="s">
        <v>563</v>
      </c>
      <c r="R41" s="4">
        <v>150000</v>
      </c>
      <c r="S41" s="4">
        <f t="shared" si="17"/>
        <v>22500</v>
      </c>
      <c r="T41" s="4">
        <f t="shared" si="18"/>
        <v>15000</v>
      </c>
      <c r="U41" s="4">
        <f t="shared" si="19"/>
        <v>12000</v>
      </c>
      <c r="AC41" s="11" t="s">
        <v>563</v>
      </c>
      <c r="AD41" s="4">
        <v>150000</v>
      </c>
      <c r="AE41" s="4">
        <f t="shared" si="20"/>
        <v>22500</v>
      </c>
      <c r="AF41" s="4">
        <f t="shared" si="15"/>
        <v>15000</v>
      </c>
      <c r="AG41" s="4">
        <f t="shared" si="15"/>
        <v>12000</v>
      </c>
    </row>
    <row r="42" spans="1:33" x14ac:dyDescent="0.3">
      <c r="I42" s="11" t="s">
        <v>564</v>
      </c>
      <c r="J42" s="4">
        <v>65000</v>
      </c>
      <c r="K42" s="4">
        <f t="shared" si="16"/>
        <v>9750</v>
      </c>
      <c r="L42" s="4">
        <f t="shared" si="13"/>
        <v>6500</v>
      </c>
      <c r="M42" s="4">
        <f t="shared" si="13"/>
        <v>5200</v>
      </c>
      <c r="Q42" s="11" t="s">
        <v>564</v>
      </c>
      <c r="R42" s="4">
        <v>65000</v>
      </c>
      <c r="S42" s="4">
        <f t="shared" si="17"/>
        <v>9750</v>
      </c>
      <c r="T42" s="4">
        <f t="shared" si="18"/>
        <v>6500</v>
      </c>
      <c r="U42" s="4">
        <f t="shared" si="19"/>
        <v>5200</v>
      </c>
      <c r="AC42" s="11" t="s">
        <v>564</v>
      </c>
      <c r="AD42" s="4">
        <v>65000</v>
      </c>
      <c r="AE42" s="4">
        <f t="shared" si="20"/>
        <v>9750</v>
      </c>
      <c r="AF42" s="4">
        <f t="shared" si="15"/>
        <v>6500</v>
      </c>
      <c r="AG42" s="4">
        <f t="shared" si="15"/>
        <v>5200</v>
      </c>
    </row>
    <row r="43" spans="1:33" x14ac:dyDescent="0.3">
      <c r="I43" s="11" t="s">
        <v>565</v>
      </c>
      <c r="J43" s="4">
        <v>3500</v>
      </c>
      <c r="K43" s="4">
        <f t="shared" si="16"/>
        <v>525</v>
      </c>
      <c r="L43" s="4">
        <f t="shared" si="13"/>
        <v>350</v>
      </c>
      <c r="M43" s="4">
        <f t="shared" si="13"/>
        <v>280</v>
      </c>
      <c r="Q43" s="11" t="s">
        <v>565</v>
      </c>
      <c r="R43" s="4">
        <v>3500</v>
      </c>
      <c r="S43" s="4">
        <f t="shared" si="17"/>
        <v>525</v>
      </c>
      <c r="T43" s="4">
        <f t="shared" si="18"/>
        <v>350</v>
      </c>
      <c r="U43" s="4">
        <f t="shared" si="19"/>
        <v>280</v>
      </c>
      <c r="AC43" s="11" t="s">
        <v>565</v>
      </c>
      <c r="AD43" s="4">
        <v>3500</v>
      </c>
      <c r="AE43" s="4">
        <f t="shared" si="20"/>
        <v>525</v>
      </c>
      <c r="AF43" s="4">
        <f t="shared" si="15"/>
        <v>350</v>
      </c>
      <c r="AG43" s="4">
        <f t="shared" si="15"/>
        <v>280</v>
      </c>
    </row>
    <row r="44" spans="1:33" x14ac:dyDescent="0.3">
      <c r="A44" s="9" t="s">
        <v>572</v>
      </c>
      <c r="C44" s="43" t="s">
        <v>573</v>
      </c>
      <c r="D44" s="43"/>
      <c r="E44" s="43"/>
      <c r="F44" s="43"/>
      <c r="I44" s="11" t="s">
        <v>566</v>
      </c>
      <c r="J44" s="4">
        <v>4500</v>
      </c>
      <c r="K44" s="4">
        <f t="shared" si="16"/>
        <v>675</v>
      </c>
      <c r="L44" s="4">
        <f t="shared" si="13"/>
        <v>450</v>
      </c>
      <c r="M44" s="4">
        <f t="shared" si="13"/>
        <v>360</v>
      </c>
      <c r="Q44" s="11" t="s">
        <v>566</v>
      </c>
      <c r="R44" s="4">
        <v>4500</v>
      </c>
      <c r="S44" s="4">
        <f t="shared" si="17"/>
        <v>675</v>
      </c>
      <c r="T44" s="4">
        <f t="shared" si="18"/>
        <v>450</v>
      </c>
      <c r="U44" s="4">
        <f t="shared" si="19"/>
        <v>360</v>
      </c>
      <c r="AC44" s="11" t="s">
        <v>566</v>
      </c>
      <c r="AD44" s="4">
        <v>4500</v>
      </c>
      <c r="AE44" s="4">
        <f t="shared" si="20"/>
        <v>675</v>
      </c>
      <c r="AF44" s="4">
        <f t="shared" si="15"/>
        <v>450</v>
      </c>
      <c r="AG44" s="4">
        <f t="shared" si="15"/>
        <v>360</v>
      </c>
    </row>
    <row r="46" spans="1:33" x14ac:dyDescent="0.3">
      <c r="C46">
        <v>5000</v>
      </c>
      <c r="D46" s="6">
        <v>2000</v>
      </c>
      <c r="E46" s="6">
        <v>1000</v>
      </c>
      <c r="F46" s="6">
        <v>500</v>
      </c>
    </row>
    <row r="47" spans="1:33" x14ac:dyDescent="0.3">
      <c r="B47" s="6">
        <v>80</v>
      </c>
      <c r="C47" s="15">
        <f>$B47*C$46</f>
        <v>400000</v>
      </c>
      <c r="D47" s="15">
        <f t="shared" ref="D47:F50" si="21">$B47*D$46</f>
        <v>160000</v>
      </c>
      <c r="E47" s="15">
        <f t="shared" si="21"/>
        <v>80000</v>
      </c>
      <c r="F47" s="15">
        <f t="shared" si="21"/>
        <v>40000</v>
      </c>
    </row>
    <row r="48" spans="1:33" x14ac:dyDescent="0.3">
      <c r="B48" s="6">
        <v>100</v>
      </c>
      <c r="C48" s="15">
        <f t="shared" ref="C48:C50" si="22">$B48*C$46</f>
        <v>500000</v>
      </c>
      <c r="D48" s="15">
        <f t="shared" si="21"/>
        <v>200000</v>
      </c>
      <c r="E48" s="15">
        <f t="shared" si="21"/>
        <v>100000</v>
      </c>
      <c r="F48" s="15">
        <f t="shared" si="21"/>
        <v>50000</v>
      </c>
    </row>
    <row r="49" spans="1:34" x14ac:dyDescent="0.3">
      <c r="B49" s="6">
        <v>65</v>
      </c>
      <c r="C49" s="15">
        <f t="shared" si="22"/>
        <v>325000</v>
      </c>
      <c r="D49" s="15">
        <f t="shared" si="21"/>
        <v>130000</v>
      </c>
      <c r="E49" s="15">
        <f t="shared" si="21"/>
        <v>65000</v>
      </c>
      <c r="F49" s="15">
        <f t="shared" si="21"/>
        <v>32500</v>
      </c>
    </row>
    <row r="50" spans="1:34" x14ac:dyDescent="0.3">
      <c r="B50" s="6">
        <v>10</v>
      </c>
      <c r="C50" s="15">
        <f t="shared" si="22"/>
        <v>50000</v>
      </c>
      <c r="D50" s="15">
        <f t="shared" si="21"/>
        <v>20000</v>
      </c>
      <c r="E50" s="15">
        <f t="shared" si="21"/>
        <v>10000</v>
      </c>
      <c r="F50" s="15">
        <f t="shared" si="21"/>
        <v>5000</v>
      </c>
    </row>
    <row r="52" spans="1:34" ht="25.8" x14ac:dyDescent="0.5">
      <c r="A52" s="44" t="s">
        <v>594</v>
      </c>
      <c r="B52" s="44"/>
    </row>
    <row r="54" spans="1:34" x14ac:dyDescent="0.3">
      <c r="C54" s="43" t="s">
        <v>573</v>
      </c>
      <c r="D54" s="43"/>
      <c r="E54" s="43"/>
      <c r="F54" s="43"/>
      <c r="S54" s="43" t="s">
        <v>573</v>
      </c>
      <c r="T54" s="43"/>
      <c r="U54" s="43"/>
      <c r="V54" s="43"/>
      <c r="AE54" s="43" t="s">
        <v>573</v>
      </c>
      <c r="AF54" s="43"/>
      <c r="AG54" s="43"/>
      <c r="AH54" s="43"/>
    </row>
    <row r="55" spans="1:34" x14ac:dyDescent="0.3">
      <c r="T55" s="6"/>
      <c r="U55" s="6"/>
      <c r="V55" s="6"/>
      <c r="AF55" s="6"/>
      <c r="AG55" s="6"/>
      <c r="AH55" s="6"/>
    </row>
    <row r="56" spans="1:34" x14ac:dyDescent="0.3">
      <c r="C56">
        <v>5000</v>
      </c>
      <c r="D56" s="6">
        <v>2000</v>
      </c>
      <c r="E56" s="6">
        <v>1000</v>
      </c>
      <c r="F56" s="6">
        <v>500</v>
      </c>
      <c r="S56">
        <v>5000</v>
      </c>
      <c r="T56" s="6">
        <v>2000</v>
      </c>
      <c r="U56" s="6">
        <v>1000</v>
      </c>
      <c r="V56" s="6">
        <v>500</v>
      </c>
      <c r="AE56">
        <v>5000</v>
      </c>
      <c r="AF56" s="6">
        <v>2000</v>
      </c>
      <c r="AG56" s="6">
        <v>1000</v>
      </c>
      <c r="AH56" s="6">
        <v>500</v>
      </c>
    </row>
    <row r="57" spans="1:34" x14ac:dyDescent="0.3">
      <c r="B57" s="6">
        <v>80</v>
      </c>
      <c r="C57" s="15">
        <f>$B57*C$56</f>
        <v>400000</v>
      </c>
      <c r="D57" s="15">
        <f t="shared" ref="D57:F57" si="23">$B57*D$56</f>
        <v>160000</v>
      </c>
      <c r="E57" s="15">
        <f t="shared" si="23"/>
        <v>80000</v>
      </c>
      <c r="F57" s="15">
        <f t="shared" si="23"/>
        <v>40000</v>
      </c>
      <c r="R57" s="6">
        <v>80</v>
      </c>
      <c r="S57" s="15">
        <f>$R57*S$56</f>
        <v>400000</v>
      </c>
      <c r="T57" s="15">
        <f t="shared" ref="T57:V57" si="24">$R57*T$56</f>
        <v>160000</v>
      </c>
      <c r="U57" s="15">
        <f t="shared" si="24"/>
        <v>80000</v>
      </c>
      <c r="V57" s="15">
        <f t="shared" si="24"/>
        <v>40000</v>
      </c>
      <c r="AD57" s="6">
        <v>80</v>
      </c>
      <c r="AE57" s="15">
        <f>$AD57*AE$56</f>
        <v>400000</v>
      </c>
      <c r="AF57" s="15">
        <f t="shared" ref="AF57:AH57" si="25">$AD57*AF$56</f>
        <v>160000</v>
      </c>
      <c r="AG57" s="15">
        <f t="shared" si="25"/>
        <v>80000</v>
      </c>
      <c r="AH57" s="15">
        <f t="shared" si="25"/>
        <v>40000</v>
      </c>
    </row>
    <row r="58" spans="1:34" x14ac:dyDescent="0.3">
      <c r="B58" s="6">
        <v>100</v>
      </c>
      <c r="C58" s="15">
        <f t="shared" ref="C58:F60" si="26">$B58*C$56</f>
        <v>500000</v>
      </c>
      <c r="D58" s="15">
        <f t="shared" si="26"/>
        <v>200000</v>
      </c>
      <c r="E58" s="15">
        <f t="shared" si="26"/>
        <v>100000</v>
      </c>
      <c r="F58" s="15">
        <f t="shared" si="26"/>
        <v>50000</v>
      </c>
      <c r="R58" s="6">
        <v>100</v>
      </c>
      <c r="S58" s="15">
        <f t="shared" ref="S58:V60" si="27">$R58*S$56</f>
        <v>500000</v>
      </c>
      <c r="T58" s="15">
        <f t="shared" si="27"/>
        <v>200000</v>
      </c>
      <c r="U58" s="15">
        <f t="shared" si="27"/>
        <v>100000</v>
      </c>
      <c r="V58" s="15">
        <f t="shared" si="27"/>
        <v>50000</v>
      </c>
      <c r="AD58" s="6">
        <v>100</v>
      </c>
      <c r="AE58" s="15">
        <f t="shared" ref="AE58:AH60" si="28">$AD58*AE$56</f>
        <v>500000</v>
      </c>
      <c r="AF58" s="15">
        <f t="shared" si="28"/>
        <v>200000</v>
      </c>
      <c r="AG58" s="15">
        <f t="shared" si="28"/>
        <v>100000</v>
      </c>
      <c r="AH58" s="15">
        <f t="shared" si="28"/>
        <v>50000</v>
      </c>
    </row>
    <row r="59" spans="1:34" x14ac:dyDescent="0.3">
      <c r="B59" s="6">
        <v>65</v>
      </c>
      <c r="C59" s="15">
        <f t="shared" si="26"/>
        <v>325000</v>
      </c>
      <c r="D59" s="15">
        <f t="shared" si="26"/>
        <v>130000</v>
      </c>
      <c r="E59" s="15">
        <f t="shared" si="26"/>
        <v>65000</v>
      </c>
      <c r="F59" s="15">
        <f t="shared" si="26"/>
        <v>32500</v>
      </c>
      <c r="R59" s="6">
        <v>65</v>
      </c>
      <c r="S59" s="15">
        <f t="shared" si="27"/>
        <v>325000</v>
      </c>
      <c r="T59" s="15">
        <f t="shared" si="27"/>
        <v>130000</v>
      </c>
      <c r="U59" s="15">
        <f t="shared" si="27"/>
        <v>65000</v>
      </c>
      <c r="V59" s="15">
        <f t="shared" si="27"/>
        <v>32500</v>
      </c>
      <c r="AD59" s="6">
        <v>65</v>
      </c>
      <c r="AE59" s="15">
        <f t="shared" si="28"/>
        <v>325000</v>
      </c>
      <c r="AF59" s="15">
        <f t="shared" si="28"/>
        <v>130000</v>
      </c>
      <c r="AG59" s="15">
        <f t="shared" si="28"/>
        <v>65000</v>
      </c>
      <c r="AH59" s="15">
        <f t="shared" si="28"/>
        <v>32500</v>
      </c>
    </row>
    <row r="60" spans="1:34" x14ac:dyDescent="0.3">
      <c r="B60" s="6">
        <v>10</v>
      </c>
      <c r="C60" s="15">
        <f t="shared" si="26"/>
        <v>50000</v>
      </c>
      <c r="D60" s="15">
        <f t="shared" si="26"/>
        <v>20000</v>
      </c>
      <c r="E60" s="15">
        <f t="shared" si="26"/>
        <v>10000</v>
      </c>
      <c r="F60" s="15">
        <f t="shared" si="26"/>
        <v>5000</v>
      </c>
      <c r="R60" s="6">
        <v>10</v>
      </c>
      <c r="S60" s="15">
        <f t="shared" si="27"/>
        <v>50000</v>
      </c>
      <c r="T60" s="15">
        <f t="shared" si="27"/>
        <v>20000</v>
      </c>
      <c r="U60" s="15">
        <f t="shared" si="27"/>
        <v>10000</v>
      </c>
      <c r="V60" s="15">
        <f t="shared" si="27"/>
        <v>5000</v>
      </c>
      <c r="AD60" s="6">
        <v>10</v>
      </c>
      <c r="AE60" s="15">
        <f t="shared" si="28"/>
        <v>50000</v>
      </c>
      <c r="AF60" s="15">
        <f t="shared" si="28"/>
        <v>20000</v>
      </c>
      <c r="AG60" s="15">
        <f t="shared" si="28"/>
        <v>10000</v>
      </c>
      <c r="AH60" s="15">
        <f t="shared" si="28"/>
        <v>5000</v>
      </c>
    </row>
    <row r="65" spans="1:38" x14ac:dyDescent="0.3">
      <c r="A65" s="22" t="s">
        <v>543</v>
      </c>
      <c r="B65" s="20" t="s">
        <v>574</v>
      </c>
      <c r="C65" s="20" t="s">
        <v>575</v>
      </c>
      <c r="D65" s="20" t="s">
        <v>576</v>
      </c>
      <c r="E65" s="17" t="s">
        <v>577</v>
      </c>
      <c r="F65" s="17" t="s">
        <v>578</v>
      </c>
      <c r="G65" s="17" t="s">
        <v>579</v>
      </c>
      <c r="H65" s="18" t="s">
        <v>574</v>
      </c>
      <c r="I65" s="18" t="s">
        <v>575</v>
      </c>
      <c r="J65" s="18" t="s">
        <v>576</v>
      </c>
    </row>
    <row r="66" spans="1:38" x14ac:dyDescent="0.3">
      <c r="A66" s="11" t="s">
        <v>99</v>
      </c>
      <c r="B66" s="11">
        <v>250000</v>
      </c>
      <c r="C66" s="11">
        <v>270000</v>
      </c>
      <c r="D66" s="11">
        <v>300000</v>
      </c>
      <c r="E66" s="21">
        <v>0.1</v>
      </c>
      <c r="F66" s="19">
        <v>0.15</v>
      </c>
      <c r="G66" s="19">
        <v>0.2</v>
      </c>
      <c r="H66" s="15">
        <f>B66*E$66</f>
        <v>25000</v>
      </c>
      <c r="I66" s="15">
        <f t="shared" ref="I66:I70" si="29">C66*F$66</f>
        <v>40500</v>
      </c>
      <c r="J66" s="15">
        <f t="shared" ref="J66:J70" si="30">D66*G$66</f>
        <v>60000</v>
      </c>
    </row>
    <row r="67" spans="1:38" x14ac:dyDescent="0.3">
      <c r="A67" s="11" t="s">
        <v>84</v>
      </c>
      <c r="B67" s="11">
        <v>180000</v>
      </c>
      <c r="C67" s="11">
        <v>210000</v>
      </c>
      <c r="D67" s="11">
        <v>240000</v>
      </c>
      <c r="E67"/>
      <c r="F67"/>
      <c r="G67"/>
      <c r="H67" s="15">
        <f t="shared" ref="H67:H70" si="31">B67*E$66</f>
        <v>18000</v>
      </c>
      <c r="I67" s="15">
        <f t="shared" si="29"/>
        <v>31500</v>
      </c>
      <c r="J67" s="15">
        <f t="shared" si="30"/>
        <v>48000</v>
      </c>
    </row>
    <row r="68" spans="1:38" x14ac:dyDescent="0.3">
      <c r="A68" s="11" t="s">
        <v>33</v>
      </c>
      <c r="B68" s="11">
        <v>150000</v>
      </c>
      <c r="C68" s="11">
        <v>170000</v>
      </c>
      <c r="D68" s="11">
        <v>190000</v>
      </c>
      <c r="E68"/>
      <c r="F68"/>
      <c r="G68"/>
      <c r="H68" s="15">
        <f t="shared" si="31"/>
        <v>15000</v>
      </c>
      <c r="I68" s="15">
        <f t="shared" si="29"/>
        <v>25500</v>
      </c>
      <c r="J68" s="15">
        <f t="shared" si="30"/>
        <v>38000</v>
      </c>
    </row>
    <row r="69" spans="1:38" x14ac:dyDescent="0.3">
      <c r="A69" s="11" t="s">
        <v>55</v>
      </c>
      <c r="B69" s="11">
        <v>200000</v>
      </c>
      <c r="C69" s="11">
        <v>220000</v>
      </c>
      <c r="D69" s="11">
        <v>250000</v>
      </c>
      <c r="E69"/>
      <c r="F69"/>
      <c r="G69"/>
      <c r="H69" s="15">
        <f t="shared" si="31"/>
        <v>20000</v>
      </c>
      <c r="I69" s="15">
        <f t="shared" si="29"/>
        <v>33000</v>
      </c>
      <c r="J69" s="15">
        <f t="shared" si="30"/>
        <v>50000</v>
      </c>
    </row>
    <row r="70" spans="1:38" x14ac:dyDescent="0.3">
      <c r="A70" s="11" t="s">
        <v>77</v>
      </c>
      <c r="B70" s="11">
        <v>160000</v>
      </c>
      <c r="C70" s="11">
        <v>180000</v>
      </c>
      <c r="D70" s="11">
        <v>210000</v>
      </c>
      <c r="E70"/>
      <c r="F70"/>
      <c r="G70"/>
      <c r="H70" s="15">
        <f t="shared" si="31"/>
        <v>16000</v>
      </c>
      <c r="I70" s="15">
        <f t="shared" si="29"/>
        <v>27000</v>
      </c>
      <c r="J70" s="15">
        <f t="shared" si="30"/>
        <v>42000</v>
      </c>
    </row>
    <row r="72" spans="1:38" ht="25.8" x14ac:dyDescent="0.5">
      <c r="A72" s="44" t="s">
        <v>594</v>
      </c>
      <c r="B72" s="44"/>
    </row>
    <row r="74" spans="1:38" x14ac:dyDescent="0.3">
      <c r="A74" s="22" t="s">
        <v>543</v>
      </c>
      <c r="B74" s="20" t="s">
        <v>574</v>
      </c>
      <c r="C74" s="20" t="s">
        <v>575</v>
      </c>
      <c r="D74" s="20" t="s">
        <v>576</v>
      </c>
      <c r="E74" s="17" t="s">
        <v>577</v>
      </c>
      <c r="F74" s="17" t="s">
        <v>578</v>
      </c>
      <c r="G74" s="17" t="s">
        <v>579</v>
      </c>
      <c r="H74" s="18" t="s">
        <v>574</v>
      </c>
      <c r="I74" s="18" t="s">
        <v>575</v>
      </c>
      <c r="J74" s="18" t="s">
        <v>576</v>
      </c>
      <c r="Q74" s="22" t="s">
        <v>543</v>
      </c>
      <c r="R74" s="20" t="s">
        <v>574</v>
      </c>
      <c r="S74" s="20" t="s">
        <v>575</v>
      </c>
      <c r="T74" s="20" t="s">
        <v>576</v>
      </c>
      <c r="U74" s="17" t="s">
        <v>577</v>
      </c>
      <c r="V74" s="17" t="s">
        <v>578</v>
      </c>
      <c r="W74" s="17" t="s">
        <v>579</v>
      </c>
      <c r="X74" s="18" t="s">
        <v>574</v>
      </c>
      <c r="Y74" s="18" t="s">
        <v>575</v>
      </c>
      <c r="Z74" s="18" t="s">
        <v>576</v>
      </c>
      <c r="AC74" s="22" t="s">
        <v>543</v>
      </c>
      <c r="AD74" s="20" t="s">
        <v>574</v>
      </c>
      <c r="AE74" s="20" t="s">
        <v>575</v>
      </c>
      <c r="AF74" s="20" t="s">
        <v>576</v>
      </c>
      <c r="AG74" s="17" t="s">
        <v>577</v>
      </c>
      <c r="AH74" s="17" t="s">
        <v>578</v>
      </c>
      <c r="AI74" s="17" t="s">
        <v>579</v>
      </c>
      <c r="AJ74" s="18" t="s">
        <v>574</v>
      </c>
      <c r="AK74" s="18" t="s">
        <v>575</v>
      </c>
      <c r="AL74" s="18" t="s">
        <v>576</v>
      </c>
    </row>
    <row r="75" spans="1:38" x14ac:dyDescent="0.3">
      <c r="A75" s="11" t="s">
        <v>99</v>
      </c>
      <c r="B75" s="11">
        <v>250000</v>
      </c>
      <c r="C75" s="11">
        <v>270000</v>
      </c>
      <c r="D75" s="11">
        <v>300000</v>
      </c>
      <c r="E75" s="21">
        <v>0.1</v>
      </c>
      <c r="F75" s="19">
        <v>0.15</v>
      </c>
      <c r="G75" s="19">
        <v>0.2</v>
      </c>
      <c r="H75" s="15">
        <f>B75*E$75</f>
        <v>25000</v>
      </c>
      <c r="I75" s="15">
        <f t="shared" ref="I75:J79" si="32">C75*F$75</f>
        <v>40500</v>
      </c>
      <c r="J75" s="15">
        <f t="shared" si="32"/>
        <v>60000</v>
      </c>
      <c r="Q75" s="11" t="s">
        <v>99</v>
      </c>
      <c r="R75" s="11">
        <v>250000</v>
      </c>
      <c r="S75" s="11">
        <v>270000</v>
      </c>
      <c r="T75" s="11">
        <v>300000</v>
      </c>
      <c r="U75" s="21">
        <v>0.1</v>
      </c>
      <c r="V75" s="19">
        <v>0.15</v>
      </c>
      <c r="W75" s="19">
        <v>0.2</v>
      </c>
      <c r="X75" s="15">
        <f>R75*U$75</f>
        <v>25000</v>
      </c>
      <c r="Y75" s="15">
        <f t="shared" ref="Y75:Z79" si="33">S75*V$75</f>
        <v>40500</v>
      </c>
      <c r="Z75" s="15">
        <f t="shared" si="33"/>
        <v>60000</v>
      </c>
      <c r="AC75" s="11" t="s">
        <v>99</v>
      </c>
      <c r="AD75" s="11">
        <v>250000</v>
      </c>
      <c r="AE75" s="11">
        <v>270000</v>
      </c>
      <c r="AF75" s="11">
        <v>300000</v>
      </c>
      <c r="AG75" s="21">
        <v>0.1</v>
      </c>
      <c r="AH75" s="19">
        <v>0.15</v>
      </c>
      <c r="AI75" s="19">
        <v>0.2</v>
      </c>
      <c r="AJ75" s="15">
        <f>AD75*AG$75</f>
        <v>25000</v>
      </c>
      <c r="AK75" s="15">
        <f t="shared" ref="AK75:AL79" si="34">AE75*AH$75</f>
        <v>40500</v>
      </c>
      <c r="AL75" s="15">
        <f t="shared" si="34"/>
        <v>60000</v>
      </c>
    </row>
    <row r="76" spans="1:38" x14ac:dyDescent="0.3">
      <c r="A76" s="11" t="s">
        <v>84</v>
      </c>
      <c r="B76" s="11">
        <v>180000</v>
      </c>
      <c r="C76" s="11">
        <v>210000</v>
      </c>
      <c r="D76" s="11">
        <v>240000</v>
      </c>
      <c r="E76"/>
      <c r="F76"/>
      <c r="G76"/>
      <c r="H76" s="15">
        <f t="shared" ref="H76:H79" si="35">B76*E$75</f>
        <v>18000</v>
      </c>
      <c r="I76" s="15">
        <f t="shared" si="32"/>
        <v>31500</v>
      </c>
      <c r="J76" s="15">
        <f t="shared" si="32"/>
        <v>48000</v>
      </c>
      <c r="Q76" s="11" t="s">
        <v>84</v>
      </c>
      <c r="R76" s="11">
        <v>180000</v>
      </c>
      <c r="S76" s="11">
        <v>210000</v>
      </c>
      <c r="T76" s="11">
        <v>240000</v>
      </c>
      <c r="X76" s="15">
        <f t="shared" ref="X76:X79" si="36">R76*U$75</f>
        <v>18000</v>
      </c>
      <c r="Y76" s="15">
        <f t="shared" si="33"/>
        <v>31500</v>
      </c>
      <c r="Z76" s="15">
        <f t="shared" si="33"/>
        <v>48000</v>
      </c>
      <c r="AC76" s="11" t="s">
        <v>84</v>
      </c>
      <c r="AD76" s="11">
        <v>180000</v>
      </c>
      <c r="AE76" s="11">
        <v>210000</v>
      </c>
      <c r="AF76" s="11">
        <v>240000</v>
      </c>
      <c r="AJ76" s="15">
        <f t="shared" ref="AJ76:AJ79" si="37">AD76*AG$75</f>
        <v>18000</v>
      </c>
      <c r="AK76" s="15">
        <f t="shared" si="34"/>
        <v>31500</v>
      </c>
      <c r="AL76" s="15">
        <f t="shared" si="34"/>
        <v>48000</v>
      </c>
    </row>
    <row r="77" spans="1:38" x14ac:dyDescent="0.3">
      <c r="A77" s="11" t="s">
        <v>33</v>
      </c>
      <c r="B77" s="11">
        <v>150000</v>
      </c>
      <c r="C77" s="11">
        <v>170000</v>
      </c>
      <c r="D77" s="11">
        <v>190000</v>
      </c>
      <c r="E77"/>
      <c r="F77"/>
      <c r="G77"/>
      <c r="H77" s="15">
        <f t="shared" si="35"/>
        <v>15000</v>
      </c>
      <c r="I77" s="15">
        <f t="shared" si="32"/>
        <v>25500</v>
      </c>
      <c r="J77" s="15">
        <f t="shared" si="32"/>
        <v>38000</v>
      </c>
      <c r="Q77" s="11" t="s">
        <v>33</v>
      </c>
      <c r="R77" s="11">
        <v>150000</v>
      </c>
      <c r="S77" s="11">
        <v>170000</v>
      </c>
      <c r="T77" s="11">
        <v>190000</v>
      </c>
      <c r="X77" s="15">
        <f t="shared" si="36"/>
        <v>15000</v>
      </c>
      <c r="Y77" s="15">
        <f t="shared" si="33"/>
        <v>25500</v>
      </c>
      <c r="Z77" s="15">
        <f t="shared" si="33"/>
        <v>38000</v>
      </c>
      <c r="AC77" s="11" t="s">
        <v>33</v>
      </c>
      <c r="AD77" s="11">
        <v>150000</v>
      </c>
      <c r="AE77" s="11">
        <v>170000</v>
      </c>
      <c r="AF77" s="11">
        <v>190000</v>
      </c>
      <c r="AJ77" s="15">
        <f t="shared" si="37"/>
        <v>15000</v>
      </c>
      <c r="AK77" s="15">
        <f t="shared" si="34"/>
        <v>25500</v>
      </c>
      <c r="AL77" s="15">
        <f t="shared" si="34"/>
        <v>38000</v>
      </c>
    </row>
    <row r="78" spans="1:38" x14ac:dyDescent="0.3">
      <c r="A78" s="11" t="s">
        <v>55</v>
      </c>
      <c r="B78" s="11">
        <v>200000</v>
      </c>
      <c r="C78" s="11">
        <v>220000</v>
      </c>
      <c r="D78" s="11">
        <v>250000</v>
      </c>
      <c r="E78"/>
      <c r="F78"/>
      <c r="G78"/>
      <c r="H78" s="15">
        <f t="shared" si="35"/>
        <v>20000</v>
      </c>
      <c r="I78" s="15">
        <f t="shared" si="32"/>
        <v>33000</v>
      </c>
      <c r="J78" s="15">
        <f t="shared" si="32"/>
        <v>50000</v>
      </c>
      <c r="Q78" s="11" t="s">
        <v>55</v>
      </c>
      <c r="R78" s="11">
        <v>200000</v>
      </c>
      <c r="S78" s="11">
        <v>220000</v>
      </c>
      <c r="T78" s="11">
        <v>250000</v>
      </c>
      <c r="X78" s="15">
        <f t="shared" si="36"/>
        <v>20000</v>
      </c>
      <c r="Y78" s="15">
        <f t="shared" si="33"/>
        <v>33000</v>
      </c>
      <c r="Z78" s="15">
        <f t="shared" si="33"/>
        <v>50000</v>
      </c>
      <c r="AC78" s="11" t="s">
        <v>55</v>
      </c>
      <c r="AD78" s="11">
        <v>200000</v>
      </c>
      <c r="AE78" s="11">
        <v>220000</v>
      </c>
      <c r="AF78" s="11">
        <v>250000</v>
      </c>
      <c r="AJ78" s="15">
        <f t="shared" si="37"/>
        <v>20000</v>
      </c>
      <c r="AK78" s="15">
        <f t="shared" si="34"/>
        <v>33000</v>
      </c>
      <c r="AL78" s="15">
        <f t="shared" si="34"/>
        <v>50000</v>
      </c>
    </row>
    <row r="79" spans="1:38" x14ac:dyDescent="0.3">
      <c r="A79" s="11" t="s">
        <v>77</v>
      </c>
      <c r="B79" s="11">
        <v>160000</v>
      </c>
      <c r="C79" s="11">
        <v>180000</v>
      </c>
      <c r="D79" s="11">
        <v>210000</v>
      </c>
      <c r="E79"/>
      <c r="F79"/>
      <c r="G79"/>
      <c r="H79" s="15">
        <f t="shared" si="35"/>
        <v>16000</v>
      </c>
      <c r="I79" s="15">
        <f t="shared" si="32"/>
        <v>27000</v>
      </c>
      <c r="J79" s="15">
        <f t="shared" si="32"/>
        <v>42000</v>
      </c>
      <c r="Q79" s="11" t="s">
        <v>77</v>
      </c>
      <c r="R79" s="11">
        <v>160000</v>
      </c>
      <c r="S79" s="11">
        <v>180000</v>
      </c>
      <c r="T79" s="11">
        <v>210000</v>
      </c>
      <c r="X79" s="15">
        <f t="shared" si="36"/>
        <v>16000</v>
      </c>
      <c r="Y79" s="15">
        <f t="shared" si="33"/>
        <v>27000</v>
      </c>
      <c r="Z79" s="15">
        <f t="shared" si="33"/>
        <v>42000</v>
      </c>
      <c r="AC79" s="11" t="s">
        <v>77</v>
      </c>
      <c r="AD79" s="11">
        <v>160000</v>
      </c>
      <c r="AE79" s="11">
        <v>180000</v>
      </c>
      <c r="AF79" s="11">
        <v>210000</v>
      </c>
      <c r="AJ79" s="15">
        <f t="shared" si="37"/>
        <v>16000</v>
      </c>
      <c r="AK79" s="15">
        <f t="shared" si="34"/>
        <v>27000</v>
      </c>
      <c r="AL79" s="15">
        <f t="shared" si="34"/>
        <v>42000</v>
      </c>
    </row>
  </sheetData>
  <mergeCells count="9">
    <mergeCell ref="S54:V54"/>
    <mergeCell ref="AE54:AH54"/>
    <mergeCell ref="A72:B72"/>
    <mergeCell ref="A52:B52"/>
    <mergeCell ref="J5:K5"/>
    <mergeCell ref="J20:K20"/>
    <mergeCell ref="J31:K31"/>
    <mergeCell ref="C44:F44"/>
    <mergeCell ref="C54:F54"/>
  </mergeCells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3CCCE-DDD9-4F65-8AF8-492C66DB44F0}">
  <dimension ref="A1:S209"/>
  <sheetViews>
    <sheetView zoomScale="90" zoomScaleNormal="90" workbookViewId="0">
      <selection activeCell="H4" sqref="H4"/>
    </sheetView>
  </sheetViews>
  <sheetFormatPr defaultRowHeight="14.4" x14ac:dyDescent="0.3"/>
  <cols>
    <col min="1" max="1" width="20.109375" customWidth="1"/>
    <col min="2" max="2" width="18.33203125" style="24" customWidth="1"/>
    <col min="3" max="3" width="12.109375" bestFit="1" customWidth="1"/>
    <col min="4" max="4" width="12.44140625" bestFit="1" customWidth="1"/>
    <col min="5" max="5" width="18.5546875" bestFit="1" customWidth="1"/>
    <col min="6" max="6" width="19" bestFit="1" customWidth="1"/>
    <col min="7" max="7" width="13.88671875" bestFit="1" customWidth="1"/>
    <col min="8" max="8" width="17" bestFit="1" customWidth="1"/>
    <col min="9" max="9" width="18.33203125" bestFit="1" customWidth="1"/>
    <col min="10" max="10" width="9.44140625" customWidth="1"/>
    <col min="11" max="11" width="15.109375" bestFit="1" customWidth="1"/>
    <col min="12" max="12" width="8" bestFit="1" customWidth="1"/>
    <col min="13" max="13" width="12.88671875" bestFit="1" customWidth="1"/>
    <col min="14" max="14" width="18" customWidth="1"/>
    <col min="15" max="15" width="11.6640625" customWidth="1"/>
    <col min="16" max="16" width="17" customWidth="1"/>
    <col min="17" max="17" width="18.88671875" customWidth="1"/>
    <col min="18" max="18" width="13.88671875" bestFit="1" customWidth="1"/>
    <col min="19" max="19" width="14.5546875" bestFit="1" customWidth="1"/>
    <col min="21" max="21" width="18.77734375" customWidth="1"/>
    <col min="22" max="22" width="18.44140625" customWidth="1"/>
    <col min="23" max="23" width="8.6640625" customWidth="1"/>
    <col min="24" max="24" width="8.109375" customWidth="1"/>
    <col min="25" max="25" width="8.77734375" customWidth="1"/>
  </cols>
  <sheetData>
    <row r="1" spans="1:19" x14ac:dyDescent="0.3">
      <c r="A1" s="23" t="s">
        <v>580</v>
      </c>
      <c r="B1" s="25" t="s">
        <v>581</v>
      </c>
      <c r="C1" s="26" t="s">
        <v>582</v>
      </c>
      <c r="D1" s="26" t="s">
        <v>583</v>
      </c>
      <c r="E1" s="26" t="s">
        <v>584</v>
      </c>
      <c r="F1" s="26" t="s">
        <v>587</v>
      </c>
      <c r="G1" s="16" t="s">
        <v>585</v>
      </c>
      <c r="H1" s="16" t="s">
        <v>586</v>
      </c>
    </row>
    <row r="2" spans="1:19" x14ac:dyDescent="0.3">
      <c r="B2"/>
    </row>
    <row r="3" spans="1:19" x14ac:dyDescent="0.3">
      <c r="A3" s="35" t="s">
        <v>595</v>
      </c>
      <c r="B3" s="39">
        <f>SUBTOTAL(9,N10:N209)</f>
        <v>614</v>
      </c>
    </row>
    <row r="4" spans="1:19" x14ac:dyDescent="0.3">
      <c r="A4" s="37" t="s">
        <v>596</v>
      </c>
      <c r="B4" s="40">
        <f>SUBTOTAL(9,P10:P209)</f>
        <v>42877893</v>
      </c>
    </row>
    <row r="5" spans="1:19" x14ac:dyDescent="0.3">
      <c r="A5" s="36" t="s">
        <v>597</v>
      </c>
      <c r="B5" s="41">
        <f>SUBTOTAL(1,P10:P209)</f>
        <v>216555.01515151514</v>
      </c>
    </row>
    <row r="6" spans="1:19" x14ac:dyDescent="0.3">
      <c r="A6" s="38" t="s">
        <v>598</v>
      </c>
      <c r="B6" s="42">
        <f>SUBTOTAL(5,P10:P209)</f>
        <v>500</v>
      </c>
    </row>
    <row r="7" spans="1:19" x14ac:dyDescent="0.3">
      <c r="A7" s="33" t="s">
        <v>599</v>
      </c>
      <c r="B7" s="41">
        <f>SUBTOTAL(4,P10:P209)</f>
        <v>949995</v>
      </c>
    </row>
    <row r="8" spans="1:19" x14ac:dyDescent="0.3">
      <c r="B8"/>
    </row>
    <row r="9" spans="1:19" x14ac:dyDescent="0.3">
      <c r="A9" s="29" t="s">
        <v>0</v>
      </c>
      <c r="B9" s="30" t="s">
        <v>1</v>
      </c>
      <c r="C9" s="29" t="s">
        <v>2</v>
      </c>
      <c r="D9" s="29" t="s">
        <v>3</v>
      </c>
      <c r="E9" s="29" t="s">
        <v>4</v>
      </c>
      <c r="F9" s="29" t="s">
        <v>5</v>
      </c>
      <c r="G9" s="29" t="s">
        <v>6</v>
      </c>
      <c r="H9" s="29" t="s">
        <v>7</v>
      </c>
      <c r="I9" s="29" t="s">
        <v>8</v>
      </c>
      <c r="J9" s="29" t="s">
        <v>9</v>
      </c>
      <c r="K9" s="29" t="s">
        <v>10</v>
      </c>
      <c r="L9" s="29" t="s">
        <v>11</v>
      </c>
      <c r="M9" s="29" t="s">
        <v>12</v>
      </c>
      <c r="N9" s="29" t="s">
        <v>13</v>
      </c>
      <c r="O9" s="29" t="s">
        <v>14</v>
      </c>
      <c r="P9" s="29" t="s">
        <v>592</v>
      </c>
      <c r="Q9" s="29" t="s">
        <v>15</v>
      </c>
      <c r="R9" s="34" t="s">
        <v>16</v>
      </c>
      <c r="S9" s="29" t="s">
        <v>17</v>
      </c>
    </row>
    <row r="10" spans="1:19" x14ac:dyDescent="0.3">
      <c r="A10" s="11" t="s">
        <v>18</v>
      </c>
      <c r="B10" s="31">
        <v>46027</v>
      </c>
      <c r="C10" s="11" t="s">
        <v>19</v>
      </c>
      <c r="D10" s="11" t="s">
        <v>19</v>
      </c>
      <c r="E10" s="11" t="s">
        <v>20</v>
      </c>
      <c r="F10" s="11" t="s">
        <v>21</v>
      </c>
      <c r="G10" s="11" t="s">
        <v>22</v>
      </c>
      <c r="H10" s="11" t="s">
        <v>23</v>
      </c>
      <c r="I10" s="11" t="s">
        <v>24</v>
      </c>
      <c r="J10" s="11" t="s">
        <v>25</v>
      </c>
      <c r="K10" s="11" t="s">
        <v>26</v>
      </c>
      <c r="L10" s="11" t="s">
        <v>27</v>
      </c>
      <c r="M10" s="11" t="s">
        <v>28</v>
      </c>
      <c r="N10" s="11">
        <v>3</v>
      </c>
      <c r="O10" s="11">
        <v>13999</v>
      </c>
      <c r="P10" s="11">
        <f>O10*N10</f>
        <v>41997</v>
      </c>
      <c r="Q10" s="11" t="s">
        <v>29</v>
      </c>
      <c r="R10" s="11" t="s">
        <v>30</v>
      </c>
      <c r="S10" s="11" t="s">
        <v>31</v>
      </c>
    </row>
    <row r="11" spans="1:19" x14ac:dyDescent="0.3">
      <c r="A11" s="11" t="s">
        <v>32</v>
      </c>
      <c r="B11" s="31">
        <v>46027</v>
      </c>
      <c r="C11" s="11" t="s">
        <v>33</v>
      </c>
      <c r="D11" s="11" t="s">
        <v>33</v>
      </c>
      <c r="E11" s="11" t="s">
        <v>34</v>
      </c>
      <c r="F11" s="11" t="s">
        <v>35</v>
      </c>
      <c r="G11" s="11" t="s">
        <v>36</v>
      </c>
      <c r="H11" s="11" t="s">
        <v>37</v>
      </c>
      <c r="I11" s="11" t="s">
        <v>24</v>
      </c>
      <c r="J11" s="11" t="s">
        <v>25</v>
      </c>
      <c r="K11" s="11" t="s">
        <v>38</v>
      </c>
      <c r="L11" s="11" t="s">
        <v>39</v>
      </c>
      <c r="M11" s="11" t="s">
        <v>28</v>
      </c>
      <c r="N11" s="11">
        <v>8</v>
      </c>
      <c r="O11" s="11">
        <v>54999</v>
      </c>
      <c r="P11" s="11">
        <f t="shared" ref="P11:P74" si="0">O11*N11</f>
        <v>439992</v>
      </c>
      <c r="Q11" s="11" t="s">
        <v>40</v>
      </c>
      <c r="R11" s="11" t="s">
        <v>41</v>
      </c>
      <c r="S11" s="11" t="s">
        <v>42</v>
      </c>
    </row>
    <row r="12" spans="1:19" x14ac:dyDescent="0.3">
      <c r="A12" s="11" t="s">
        <v>43</v>
      </c>
      <c r="B12" s="31">
        <v>46027</v>
      </c>
      <c r="C12" s="11" t="s">
        <v>44</v>
      </c>
      <c r="D12" s="11" t="s">
        <v>45</v>
      </c>
      <c r="E12" s="11" t="s">
        <v>46</v>
      </c>
      <c r="F12" s="11" t="s">
        <v>47</v>
      </c>
      <c r="G12" s="11" t="s">
        <v>48</v>
      </c>
      <c r="H12" s="11" t="s">
        <v>49</v>
      </c>
      <c r="I12" s="11" t="s">
        <v>24</v>
      </c>
      <c r="J12" s="11" t="s">
        <v>25</v>
      </c>
      <c r="K12" s="11" t="s">
        <v>50</v>
      </c>
      <c r="L12" s="11" t="s">
        <v>51</v>
      </c>
      <c r="M12" s="11" t="s">
        <v>28</v>
      </c>
      <c r="N12" s="11">
        <v>1</v>
      </c>
      <c r="O12" s="11">
        <v>22999</v>
      </c>
      <c r="P12" s="11">
        <f t="shared" si="0"/>
        <v>22999</v>
      </c>
      <c r="Q12" s="11" t="s">
        <v>52</v>
      </c>
      <c r="R12" s="11" t="s">
        <v>41</v>
      </c>
      <c r="S12" s="11" t="s">
        <v>53</v>
      </c>
    </row>
    <row r="13" spans="1:19" x14ac:dyDescent="0.3">
      <c r="A13" s="11" t="s">
        <v>54</v>
      </c>
      <c r="B13" s="31">
        <v>46027</v>
      </c>
      <c r="C13" s="11" t="s">
        <v>55</v>
      </c>
      <c r="D13" s="11" t="s">
        <v>56</v>
      </c>
      <c r="E13" s="11" t="s">
        <v>57</v>
      </c>
      <c r="F13" s="11" t="s">
        <v>58</v>
      </c>
      <c r="G13" s="11" t="s">
        <v>59</v>
      </c>
      <c r="H13" s="11" t="s">
        <v>60</v>
      </c>
      <c r="I13" s="11" t="s">
        <v>24</v>
      </c>
      <c r="J13" s="11" t="s">
        <v>25</v>
      </c>
      <c r="K13" s="11" t="s">
        <v>61</v>
      </c>
      <c r="L13" s="11" t="s">
        <v>62</v>
      </c>
      <c r="M13" s="11" t="s">
        <v>28</v>
      </c>
      <c r="N13" s="11">
        <v>3</v>
      </c>
      <c r="O13" s="11">
        <v>189999</v>
      </c>
      <c r="P13" s="11">
        <v>500</v>
      </c>
      <c r="Q13" s="11" t="s">
        <v>52</v>
      </c>
      <c r="R13" s="11" t="s">
        <v>30</v>
      </c>
      <c r="S13" s="11" t="s">
        <v>31</v>
      </c>
    </row>
    <row r="14" spans="1:19" x14ac:dyDescent="0.3">
      <c r="A14" s="11" t="s">
        <v>63</v>
      </c>
      <c r="B14" s="31">
        <v>46027</v>
      </c>
      <c r="C14" s="11" t="s">
        <v>33</v>
      </c>
      <c r="D14" s="11" t="s">
        <v>64</v>
      </c>
      <c r="E14" s="11" t="s">
        <v>65</v>
      </c>
      <c r="F14" s="11" t="s">
        <v>35</v>
      </c>
      <c r="G14" s="11" t="s">
        <v>66</v>
      </c>
      <c r="H14" s="11" t="s">
        <v>37</v>
      </c>
      <c r="I14" s="11" t="s">
        <v>24</v>
      </c>
      <c r="J14" s="11" t="s">
        <v>25</v>
      </c>
      <c r="K14" s="11" t="s">
        <v>67</v>
      </c>
      <c r="L14" s="11" t="s">
        <v>68</v>
      </c>
      <c r="M14" s="11" t="s">
        <v>28</v>
      </c>
      <c r="N14" s="11">
        <v>3</v>
      </c>
      <c r="O14" s="11">
        <v>38999</v>
      </c>
      <c r="P14" s="11">
        <f t="shared" si="0"/>
        <v>116997</v>
      </c>
      <c r="Q14" s="11" t="s">
        <v>52</v>
      </c>
      <c r="R14" s="11" t="s">
        <v>41</v>
      </c>
      <c r="S14" s="11" t="s">
        <v>53</v>
      </c>
    </row>
    <row r="15" spans="1:19" x14ac:dyDescent="0.3">
      <c r="A15" s="11" t="s">
        <v>69</v>
      </c>
      <c r="B15" s="31">
        <v>46027</v>
      </c>
      <c r="C15" s="11" t="s">
        <v>70</v>
      </c>
      <c r="D15" s="11" t="s">
        <v>71</v>
      </c>
      <c r="E15" s="11" t="s">
        <v>72</v>
      </c>
      <c r="F15" s="11" t="s">
        <v>73</v>
      </c>
      <c r="G15" s="11" t="s">
        <v>74</v>
      </c>
      <c r="H15" s="11" t="s">
        <v>75</v>
      </c>
      <c r="I15" s="11" t="s">
        <v>24</v>
      </c>
      <c r="J15" s="11" t="s">
        <v>25</v>
      </c>
      <c r="K15" s="11" t="s">
        <v>26</v>
      </c>
      <c r="L15" s="11" t="s">
        <v>39</v>
      </c>
      <c r="M15" s="11" t="s">
        <v>28</v>
      </c>
      <c r="N15" s="11">
        <v>3</v>
      </c>
      <c r="O15" s="11">
        <v>13999</v>
      </c>
      <c r="P15" s="11">
        <f t="shared" si="0"/>
        <v>41997</v>
      </c>
      <c r="Q15" s="11" t="s">
        <v>52</v>
      </c>
      <c r="R15" s="11" t="s">
        <v>41</v>
      </c>
      <c r="S15" s="11" t="s">
        <v>53</v>
      </c>
    </row>
    <row r="16" spans="1:19" x14ac:dyDescent="0.3">
      <c r="A16" s="11" t="s">
        <v>76</v>
      </c>
      <c r="B16" s="31">
        <v>46058</v>
      </c>
      <c r="C16" s="11" t="s">
        <v>77</v>
      </c>
      <c r="D16" s="11" t="s">
        <v>77</v>
      </c>
      <c r="E16" s="11" t="s">
        <v>78</v>
      </c>
      <c r="F16" s="11" t="s">
        <v>79</v>
      </c>
      <c r="G16" s="11" t="s">
        <v>80</v>
      </c>
      <c r="H16" s="11" t="s">
        <v>37</v>
      </c>
      <c r="I16" s="11" t="s">
        <v>24</v>
      </c>
      <c r="J16" s="11" t="s">
        <v>25</v>
      </c>
      <c r="K16" s="11" t="s">
        <v>26</v>
      </c>
      <c r="L16" s="11" t="s">
        <v>81</v>
      </c>
      <c r="M16" s="11" t="s">
        <v>28</v>
      </c>
      <c r="N16" s="11">
        <v>4</v>
      </c>
      <c r="O16" s="11">
        <v>13999</v>
      </c>
      <c r="P16" s="11">
        <f t="shared" si="0"/>
        <v>55996</v>
      </c>
      <c r="Q16" s="11" t="s">
        <v>29</v>
      </c>
      <c r="R16" s="11" t="s">
        <v>82</v>
      </c>
      <c r="S16" s="11" t="s">
        <v>31</v>
      </c>
    </row>
    <row r="17" spans="1:19" x14ac:dyDescent="0.3">
      <c r="A17" s="11" t="s">
        <v>83</v>
      </c>
      <c r="B17" s="31">
        <v>46058</v>
      </c>
      <c r="C17" s="11" t="s">
        <v>84</v>
      </c>
      <c r="D17" s="11" t="s">
        <v>85</v>
      </c>
      <c r="E17" s="11" t="s">
        <v>86</v>
      </c>
      <c r="F17" s="11" t="s">
        <v>87</v>
      </c>
      <c r="G17" s="11" t="s">
        <v>88</v>
      </c>
      <c r="H17" s="11" t="s">
        <v>89</v>
      </c>
      <c r="I17" s="11" t="s">
        <v>24</v>
      </c>
      <c r="J17" s="11" t="s">
        <v>25</v>
      </c>
      <c r="K17" s="11" t="s">
        <v>26</v>
      </c>
      <c r="L17" s="11" t="s">
        <v>27</v>
      </c>
      <c r="M17" s="11" t="s">
        <v>28</v>
      </c>
      <c r="N17" s="11">
        <v>4</v>
      </c>
      <c r="O17" s="11">
        <v>13999</v>
      </c>
      <c r="P17" s="11">
        <f t="shared" si="0"/>
        <v>55996</v>
      </c>
      <c r="Q17" s="11" t="s">
        <v>40</v>
      </c>
      <c r="R17" s="11" t="s">
        <v>41</v>
      </c>
      <c r="S17" s="11" t="s">
        <v>31</v>
      </c>
    </row>
    <row r="18" spans="1:19" x14ac:dyDescent="0.3">
      <c r="A18" s="11" t="s">
        <v>90</v>
      </c>
      <c r="B18" s="31">
        <v>46058</v>
      </c>
      <c r="C18" s="11" t="s">
        <v>84</v>
      </c>
      <c r="D18" s="11" t="s">
        <v>85</v>
      </c>
      <c r="E18" s="11" t="s">
        <v>86</v>
      </c>
      <c r="F18" s="11" t="s">
        <v>79</v>
      </c>
      <c r="G18" s="11" t="s">
        <v>91</v>
      </c>
      <c r="H18" s="11" t="s">
        <v>23</v>
      </c>
      <c r="I18" s="11" t="s">
        <v>24</v>
      </c>
      <c r="J18" s="11" t="s">
        <v>25</v>
      </c>
      <c r="K18" s="11" t="s">
        <v>92</v>
      </c>
      <c r="L18" s="11" t="s">
        <v>68</v>
      </c>
      <c r="M18" s="11" t="s">
        <v>28</v>
      </c>
      <c r="N18" s="11">
        <v>3</v>
      </c>
      <c r="O18" s="11">
        <v>21999</v>
      </c>
      <c r="P18" s="11">
        <f t="shared" si="0"/>
        <v>65997</v>
      </c>
      <c r="Q18" s="11" t="s">
        <v>93</v>
      </c>
      <c r="R18" s="11" t="s">
        <v>82</v>
      </c>
      <c r="S18" s="11" t="s">
        <v>31</v>
      </c>
    </row>
    <row r="19" spans="1:19" x14ac:dyDescent="0.3">
      <c r="A19" s="11" t="s">
        <v>94</v>
      </c>
      <c r="B19" s="31">
        <v>46058</v>
      </c>
      <c r="C19" s="11" t="s">
        <v>77</v>
      </c>
      <c r="D19" s="11" t="s">
        <v>77</v>
      </c>
      <c r="E19" s="11" t="s">
        <v>95</v>
      </c>
      <c r="F19" s="11" t="s">
        <v>79</v>
      </c>
      <c r="G19" s="11" t="s">
        <v>96</v>
      </c>
      <c r="H19" s="11" t="s">
        <v>75</v>
      </c>
      <c r="I19" s="11" t="s">
        <v>24</v>
      </c>
      <c r="J19" s="11" t="s">
        <v>25</v>
      </c>
      <c r="K19" s="11" t="s">
        <v>97</v>
      </c>
      <c r="L19" s="11" t="s">
        <v>51</v>
      </c>
      <c r="M19" s="11" t="s">
        <v>28</v>
      </c>
      <c r="N19" s="11">
        <v>3</v>
      </c>
      <c r="O19" s="11">
        <v>124999</v>
      </c>
      <c r="P19" s="11">
        <f t="shared" si="0"/>
        <v>374997</v>
      </c>
      <c r="Q19" s="11" t="s">
        <v>40</v>
      </c>
      <c r="R19" s="11" t="s">
        <v>30</v>
      </c>
      <c r="S19" s="11" t="s">
        <v>42</v>
      </c>
    </row>
    <row r="20" spans="1:19" x14ac:dyDescent="0.3">
      <c r="A20" s="11" t="s">
        <v>98</v>
      </c>
      <c r="B20" s="31">
        <v>46058</v>
      </c>
      <c r="C20" s="11" t="s">
        <v>99</v>
      </c>
      <c r="D20" s="11" t="s">
        <v>99</v>
      </c>
      <c r="E20" s="11" t="s">
        <v>100</v>
      </c>
      <c r="F20" s="11" t="s">
        <v>73</v>
      </c>
      <c r="G20" s="11" t="s">
        <v>101</v>
      </c>
      <c r="H20" s="11" t="s">
        <v>23</v>
      </c>
      <c r="I20" s="11" t="s">
        <v>24</v>
      </c>
      <c r="J20" s="11" t="s">
        <v>25</v>
      </c>
      <c r="K20" s="11" t="s">
        <v>67</v>
      </c>
      <c r="L20" s="11" t="s">
        <v>39</v>
      </c>
      <c r="M20" s="11" t="s">
        <v>28</v>
      </c>
      <c r="N20" s="11">
        <v>2</v>
      </c>
      <c r="O20" s="11">
        <v>38999</v>
      </c>
      <c r="P20" s="11">
        <f t="shared" si="0"/>
        <v>77998</v>
      </c>
      <c r="Q20" s="11" t="s">
        <v>52</v>
      </c>
      <c r="R20" s="11" t="s">
        <v>82</v>
      </c>
      <c r="S20" s="11" t="s">
        <v>53</v>
      </c>
    </row>
    <row r="21" spans="1:19" x14ac:dyDescent="0.3">
      <c r="A21" s="11" t="s">
        <v>102</v>
      </c>
      <c r="B21" s="31">
        <v>46058</v>
      </c>
      <c r="C21" s="11" t="s">
        <v>44</v>
      </c>
      <c r="D21" s="11" t="s">
        <v>45</v>
      </c>
      <c r="E21" s="11" t="s">
        <v>46</v>
      </c>
      <c r="F21" s="11" t="s">
        <v>79</v>
      </c>
      <c r="G21" s="11" t="s">
        <v>103</v>
      </c>
      <c r="H21" s="11" t="s">
        <v>75</v>
      </c>
      <c r="I21" s="11" t="s">
        <v>24</v>
      </c>
      <c r="J21" s="11" t="s">
        <v>25</v>
      </c>
      <c r="K21" s="11" t="s">
        <v>104</v>
      </c>
      <c r="L21" s="11" t="s">
        <v>105</v>
      </c>
      <c r="M21" s="11" t="s">
        <v>28</v>
      </c>
      <c r="N21" s="11">
        <v>2</v>
      </c>
      <c r="O21" s="11">
        <v>33999</v>
      </c>
      <c r="P21" s="11">
        <f t="shared" si="0"/>
        <v>67998</v>
      </c>
      <c r="Q21" s="11" t="s">
        <v>52</v>
      </c>
      <c r="R21" s="11" t="s">
        <v>41</v>
      </c>
      <c r="S21" s="11" t="s">
        <v>31</v>
      </c>
    </row>
    <row r="22" spans="1:19" x14ac:dyDescent="0.3">
      <c r="A22" s="11" t="s">
        <v>106</v>
      </c>
      <c r="B22" s="31">
        <v>46058</v>
      </c>
      <c r="C22" s="11" t="s">
        <v>19</v>
      </c>
      <c r="D22" s="11" t="s">
        <v>107</v>
      </c>
      <c r="E22" s="11" t="s">
        <v>108</v>
      </c>
      <c r="F22" s="11" t="s">
        <v>73</v>
      </c>
      <c r="G22" s="11" t="s">
        <v>109</v>
      </c>
      <c r="H22" s="11" t="s">
        <v>110</v>
      </c>
      <c r="I22" s="11" t="s">
        <v>24</v>
      </c>
      <c r="J22" s="11" t="s">
        <v>25</v>
      </c>
      <c r="K22" s="11" t="s">
        <v>92</v>
      </c>
      <c r="L22" s="11" t="s">
        <v>51</v>
      </c>
      <c r="M22" s="11" t="s">
        <v>28</v>
      </c>
      <c r="N22" s="11">
        <v>5</v>
      </c>
      <c r="O22" s="11">
        <v>21999</v>
      </c>
      <c r="P22" s="11">
        <f t="shared" si="0"/>
        <v>109995</v>
      </c>
      <c r="Q22" s="11" t="s">
        <v>93</v>
      </c>
      <c r="R22" s="11" t="s">
        <v>41</v>
      </c>
      <c r="S22" s="11" t="s">
        <v>42</v>
      </c>
    </row>
    <row r="23" spans="1:19" x14ac:dyDescent="0.3">
      <c r="A23" s="11" t="s">
        <v>111</v>
      </c>
      <c r="B23" s="31">
        <v>46058</v>
      </c>
      <c r="C23" s="11" t="s">
        <v>33</v>
      </c>
      <c r="D23" s="11" t="s">
        <v>64</v>
      </c>
      <c r="E23" s="11" t="s">
        <v>112</v>
      </c>
      <c r="F23" s="11" t="s">
        <v>58</v>
      </c>
      <c r="G23" s="11" t="s">
        <v>113</v>
      </c>
      <c r="H23" s="11" t="s">
        <v>75</v>
      </c>
      <c r="I23" s="11" t="s">
        <v>24</v>
      </c>
      <c r="J23" s="11" t="s">
        <v>25</v>
      </c>
      <c r="K23" s="11" t="s">
        <v>114</v>
      </c>
      <c r="L23" s="11" t="s">
        <v>27</v>
      </c>
      <c r="M23" s="11" t="s">
        <v>28</v>
      </c>
      <c r="N23" s="11">
        <v>1</v>
      </c>
      <c r="O23" s="11">
        <v>24999</v>
      </c>
      <c r="P23" s="11">
        <f t="shared" si="0"/>
        <v>24999</v>
      </c>
      <c r="Q23" s="11" t="s">
        <v>93</v>
      </c>
      <c r="R23" s="11" t="s">
        <v>41</v>
      </c>
      <c r="S23" s="11" t="s">
        <v>31</v>
      </c>
    </row>
    <row r="24" spans="1:19" x14ac:dyDescent="0.3">
      <c r="A24" s="11" t="s">
        <v>115</v>
      </c>
      <c r="B24" s="31">
        <v>46058</v>
      </c>
      <c r="C24" s="11" t="s">
        <v>44</v>
      </c>
      <c r="D24" s="11" t="s">
        <v>44</v>
      </c>
      <c r="E24" s="11" t="s">
        <v>116</v>
      </c>
      <c r="F24" s="11" t="s">
        <v>35</v>
      </c>
      <c r="G24" s="11" t="s">
        <v>117</v>
      </c>
      <c r="H24" s="11" t="s">
        <v>89</v>
      </c>
      <c r="I24" s="11" t="s">
        <v>24</v>
      </c>
      <c r="J24" s="11" t="s">
        <v>25</v>
      </c>
      <c r="K24" s="11" t="s">
        <v>50</v>
      </c>
      <c r="L24" s="11" t="s">
        <v>51</v>
      </c>
      <c r="M24" s="11" t="s">
        <v>28</v>
      </c>
      <c r="N24" s="11">
        <v>5</v>
      </c>
      <c r="O24" s="11">
        <v>22999</v>
      </c>
      <c r="P24" s="11">
        <f t="shared" si="0"/>
        <v>114995</v>
      </c>
      <c r="Q24" s="11" t="s">
        <v>40</v>
      </c>
      <c r="R24" s="11" t="s">
        <v>41</v>
      </c>
      <c r="S24" s="11" t="s">
        <v>31</v>
      </c>
    </row>
    <row r="25" spans="1:19" x14ac:dyDescent="0.3">
      <c r="A25" s="11" t="s">
        <v>118</v>
      </c>
      <c r="B25" s="31">
        <v>46086</v>
      </c>
      <c r="C25" s="11" t="s">
        <v>70</v>
      </c>
      <c r="D25" s="11" t="s">
        <v>71</v>
      </c>
      <c r="E25" s="11" t="s">
        <v>119</v>
      </c>
      <c r="F25" s="11" t="s">
        <v>35</v>
      </c>
      <c r="G25" s="11" t="s">
        <v>120</v>
      </c>
      <c r="H25" s="11" t="s">
        <v>89</v>
      </c>
      <c r="I25" s="11" t="s">
        <v>24</v>
      </c>
      <c r="J25" s="11" t="s">
        <v>25</v>
      </c>
      <c r="K25" s="11" t="s">
        <v>114</v>
      </c>
      <c r="L25" s="11" t="s">
        <v>81</v>
      </c>
      <c r="M25" s="11" t="s">
        <v>28</v>
      </c>
      <c r="N25" s="11">
        <v>1</v>
      </c>
      <c r="O25" s="11">
        <v>24999</v>
      </c>
      <c r="P25" s="11">
        <f t="shared" si="0"/>
        <v>24999</v>
      </c>
      <c r="Q25" s="11" t="s">
        <v>52</v>
      </c>
      <c r="R25" s="11" t="s">
        <v>41</v>
      </c>
      <c r="S25" s="11" t="s">
        <v>53</v>
      </c>
    </row>
    <row r="26" spans="1:19" x14ac:dyDescent="0.3">
      <c r="A26" s="11" t="s">
        <v>121</v>
      </c>
      <c r="B26" s="31">
        <v>46086</v>
      </c>
      <c r="C26" s="11" t="s">
        <v>44</v>
      </c>
      <c r="D26" s="11" t="s">
        <v>45</v>
      </c>
      <c r="E26" s="11" t="s">
        <v>46</v>
      </c>
      <c r="F26" s="11" t="s">
        <v>122</v>
      </c>
      <c r="G26" s="11" t="s">
        <v>123</v>
      </c>
      <c r="H26" s="11" t="s">
        <v>124</v>
      </c>
      <c r="I26" s="11" t="s">
        <v>24</v>
      </c>
      <c r="J26" s="11" t="s">
        <v>25</v>
      </c>
      <c r="K26" s="11" t="s">
        <v>125</v>
      </c>
      <c r="L26" s="11" t="s">
        <v>105</v>
      </c>
      <c r="M26" s="11" t="s">
        <v>28</v>
      </c>
      <c r="N26" s="11">
        <v>2</v>
      </c>
      <c r="O26" s="11">
        <v>84999</v>
      </c>
      <c r="P26" s="11">
        <v>40000</v>
      </c>
      <c r="Q26" s="11" t="s">
        <v>52</v>
      </c>
      <c r="R26" s="11" t="s">
        <v>30</v>
      </c>
      <c r="S26" s="11" t="s">
        <v>53</v>
      </c>
    </row>
    <row r="27" spans="1:19" x14ac:dyDescent="0.3">
      <c r="A27" s="11" t="s">
        <v>126</v>
      </c>
      <c r="B27" s="31">
        <v>46086</v>
      </c>
      <c r="C27" s="11" t="s">
        <v>99</v>
      </c>
      <c r="D27" s="11" t="s">
        <v>127</v>
      </c>
      <c r="E27" s="11" t="s">
        <v>128</v>
      </c>
      <c r="F27" s="11" t="s">
        <v>87</v>
      </c>
      <c r="G27" s="11" t="s">
        <v>129</v>
      </c>
      <c r="H27" s="11" t="s">
        <v>89</v>
      </c>
      <c r="I27" s="11" t="s">
        <v>24</v>
      </c>
      <c r="J27" s="11" t="s">
        <v>25</v>
      </c>
      <c r="K27" s="11" t="s">
        <v>97</v>
      </c>
      <c r="L27" s="11" t="s">
        <v>39</v>
      </c>
      <c r="M27" s="11" t="s">
        <v>28</v>
      </c>
      <c r="N27" s="11">
        <v>5</v>
      </c>
      <c r="O27" s="11">
        <v>124999</v>
      </c>
      <c r="P27" s="11">
        <f t="shared" si="0"/>
        <v>624995</v>
      </c>
      <c r="Q27" s="11" t="s">
        <v>52</v>
      </c>
      <c r="R27" s="11" t="s">
        <v>82</v>
      </c>
      <c r="S27" s="11" t="s">
        <v>53</v>
      </c>
    </row>
    <row r="28" spans="1:19" x14ac:dyDescent="0.3">
      <c r="A28" s="11" t="s">
        <v>130</v>
      </c>
      <c r="B28" s="31">
        <v>46086</v>
      </c>
      <c r="C28" s="11" t="s">
        <v>70</v>
      </c>
      <c r="D28" s="11" t="s">
        <v>71</v>
      </c>
      <c r="E28" s="11" t="s">
        <v>119</v>
      </c>
      <c r="F28" s="11" t="s">
        <v>122</v>
      </c>
      <c r="G28" s="11" t="s">
        <v>131</v>
      </c>
      <c r="H28" s="11" t="s">
        <v>110</v>
      </c>
      <c r="I28" s="11" t="s">
        <v>24</v>
      </c>
      <c r="J28" s="11" t="s">
        <v>25</v>
      </c>
      <c r="K28" s="11" t="s">
        <v>50</v>
      </c>
      <c r="L28" s="11" t="s">
        <v>39</v>
      </c>
      <c r="M28" s="11" t="s">
        <v>28</v>
      </c>
      <c r="N28" s="11">
        <v>1</v>
      </c>
      <c r="O28" s="11">
        <v>22999</v>
      </c>
      <c r="P28" s="11"/>
      <c r="Q28" s="11" t="s">
        <v>29</v>
      </c>
      <c r="R28" s="11" t="s">
        <v>41</v>
      </c>
      <c r="S28" s="11" t="s">
        <v>42</v>
      </c>
    </row>
    <row r="29" spans="1:19" x14ac:dyDescent="0.3">
      <c r="A29" s="11" t="s">
        <v>132</v>
      </c>
      <c r="B29" s="31">
        <v>46117</v>
      </c>
      <c r="C29" s="11" t="s">
        <v>19</v>
      </c>
      <c r="D29" s="11" t="s">
        <v>107</v>
      </c>
      <c r="E29" s="11" t="s">
        <v>133</v>
      </c>
      <c r="F29" s="11" t="s">
        <v>134</v>
      </c>
      <c r="G29" s="11" t="s">
        <v>135</v>
      </c>
      <c r="H29" s="11" t="s">
        <v>110</v>
      </c>
      <c r="I29" s="11" t="s">
        <v>24</v>
      </c>
      <c r="J29" s="11" t="s">
        <v>25</v>
      </c>
      <c r="K29" s="11" t="s">
        <v>97</v>
      </c>
      <c r="L29" s="11" t="s">
        <v>51</v>
      </c>
      <c r="M29" s="11" t="s">
        <v>28</v>
      </c>
      <c r="N29" s="11">
        <v>1</v>
      </c>
      <c r="O29" s="11">
        <v>124999</v>
      </c>
      <c r="P29" s="11"/>
      <c r="Q29" s="11" t="s">
        <v>29</v>
      </c>
      <c r="R29" s="11" t="s">
        <v>41</v>
      </c>
      <c r="S29" s="11" t="s">
        <v>31</v>
      </c>
    </row>
    <row r="30" spans="1:19" x14ac:dyDescent="0.3">
      <c r="A30" s="11" t="s">
        <v>136</v>
      </c>
      <c r="B30" s="31">
        <v>46117</v>
      </c>
      <c r="C30" s="11" t="s">
        <v>55</v>
      </c>
      <c r="D30" s="11" t="s">
        <v>55</v>
      </c>
      <c r="E30" s="11" t="s">
        <v>137</v>
      </c>
      <c r="F30" s="11" t="s">
        <v>138</v>
      </c>
      <c r="G30" s="11" t="s">
        <v>139</v>
      </c>
      <c r="H30" s="11" t="s">
        <v>23</v>
      </c>
      <c r="I30" s="11" t="s">
        <v>24</v>
      </c>
      <c r="J30" s="11" t="s">
        <v>25</v>
      </c>
      <c r="K30" s="11" t="s">
        <v>92</v>
      </c>
      <c r="L30" s="11" t="s">
        <v>81</v>
      </c>
      <c r="M30" s="11" t="s">
        <v>28</v>
      </c>
      <c r="N30" s="11">
        <v>1</v>
      </c>
      <c r="O30" s="11">
        <v>21999</v>
      </c>
      <c r="P30" s="11">
        <f t="shared" si="0"/>
        <v>21999</v>
      </c>
      <c r="Q30" s="11" t="s">
        <v>52</v>
      </c>
      <c r="R30" s="11" t="s">
        <v>82</v>
      </c>
      <c r="S30" s="11" t="s">
        <v>53</v>
      </c>
    </row>
    <row r="31" spans="1:19" x14ac:dyDescent="0.3">
      <c r="A31" s="11" t="s">
        <v>140</v>
      </c>
      <c r="B31" s="31">
        <v>46117</v>
      </c>
      <c r="C31" s="11" t="s">
        <v>70</v>
      </c>
      <c r="D31" s="11" t="s">
        <v>70</v>
      </c>
      <c r="E31" s="11" t="s">
        <v>119</v>
      </c>
      <c r="F31" s="11" t="s">
        <v>73</v>
      </c>
      <c r="G31" s="11" t="s">
        <v>141</v>
      </c>
      <c r="H31" s="11" t="s">
        <v>142</v>
      </c>
      <c r="I31" s="11" t="s">
        <v>24</v>
      </c>
      <c r="J31" s="11" t="s">
        <v>25</v>
      </c>
      <c r="K31" s="11" t="s">
        <v>125</v>
      </c>
      <c r="L31" s="11" t="s">
        <v>62</v>
      </c>
      <c r="M31" s="11" t="s">
        <v>28</v>
      </c>
      <c r="N31" s="11">
        <v>3</v>
      </c>
      <c r="O31" s="11">
        <v>84999</v>
      </c>
      <c r="P31" s="11">
        <f t="shared" si="0"/>
        <v>254997</v>
      </c>
      <c r="Q31" s="11" t="s">
        <v>52</v>
      </c>
      <c r="R31" s="11" t="s">
        <v>41</v>
      </c>
      <c r="S31" s="11" t="s">
        <v>42</v>
      </c>
    </row>
    <row r="32" spans="1:19" x14ac:dyDescent="0.3">
      <c r="A32" s="11" t="s">
        <v>143</v>
      </c>
      <c r="B32" s="31">
        <v>46117</v>
      </c>
      <c r="C32" s="11" t="s">
        <v>44</v>
      </c>
      <c r="D32" s="11" t="s">
        <v>44</v>
      </c>
      <c r="E32" s="11" t="s">
        <v>144</v>
      </c>
      <c r="F32" s="11" t="s">
        <v>138</v>
      </c>
      <c r="G32" s="11" t="s">
        <v>145</v>
      </c>
      <c r="H32" s="11" t="s">
        <v>142</v>
      </c>
      <c r="I32" s="11" t="s">
        <v>24</v>
      </c>
      <c r="J32" s="11" t="s">
        <v>25</v>
      </c>
      <c r="K32" s="11" t="s">
        <v>61</v>
      </c>
      <c r="L32" s="11" t="s">
        <v>39</v>
      </c>
      <c r="M32" s="11" t="s">
        <v>28</v>
      </c>
      <c r="N32" s="11">
        <v>2</v>
      </c>
      <c r="O32" s="11">
        <v>189999</v>
      </c>
      <c r="P32" s="11">
        <f t="shared" si="0"/>
        <v>379998</v>
      </c>
      <c r="Q32" s="11" t="s">
        <v>93</v>
      </c>
      <c r="R32" s="11" t="s">
        <v>82</v>
      </c>
      <c r="S32" s="11" t="s">
        <v>53</v>
      </c>
    </row>
    <row r="33" spans="1:19" x14ac:dyDescent="0.3">
      <c r="A33" s="11" t="s">
        <v>146</v>
      </c>
      <c r="B33" s="31">
        <v>46117</v>
      </c>
      <c r="C33" s="11" t="s">
        <v>84</v>
      </c>
      <c r="D33" s="11" t="s">
        <v>85</v>
      </c>
      <c r="E33" s="11" t="s">
        <v>147</v>
      </c>
      <c r="F33" s="11" t="s">
        <v>73</v>
      </c>
      <c r="G33" s="11" t="s">
        <v>148</v>
      </c>
      <c r="H33" s="11" t="s">
        <v>60</v>
      </c>
      <c r="I33" s="11" t="s">
        <v>24</v>
      </c>
      <c r="J33" s="11" t="s">
        <v>25</v>
      </c>
      <c r="K33" s="11" t="s">
        <v>92</v>
      </c>
      <c r="L33" s="11" t="s">
        <v>105</v>
      </c>
      <c r="M33" s="11" t="s">
        <v>28</v>
      </c>
      <c r="N33" s="11">
        <v>3</v>
      </c>
      <c r="O33" s="11">
        <v>21999</v>
      </c>
      <c r="P33" s="11">
        <f t="shared" si="0"/>
        <v>65997</v>
      </c>
      <c r="Q33" s="11" t="s">
        <v>93</v>
      </c>
      <c r="R33" s="11" t="s">
        <v>41</v>
      </c>
      <c r="S33" s="11" t="s">
        <v>53</v>
      </c>
    </row>
    <row r="34" spans="1:19" x14ac:dyDescent="0.3">
      <c r="A34" s="11" t="s">
        <v>149</v>
      </c>
      <c r="B34" s="31">
        <v>46117</v>
      </c>
      <c r="C34" s="11" t="s">
        <v>77</v>
      </c>
      <c r="D34" s="11" t="s">
        <v>150</v>
      </c>
      <c r="E34" s="11" t="s">
        <v>151</v>
      </c>
      <c r="F34" s="11" t="s">
        <v>87</v>
      </c>
      <c r="G34" s="11" t="s">
        <v>152</v>
      </c>
      <c r="H34" s="11" t="s">
        <v>153</v>
      </c>
      <c r="I34" s="11" t="s">
        <v>24</v>
      </c>
      <c r="J34" s="11" t="s">
        <v>25</v>
      </c>
      <c r="K34" s="11" t="s">
        <v>61</v>
      </c>
      <c r="L34" s="11" t="s">
        <v>51</v>
      </c>
      <c r="M34" s="11" t="s">
        <v>28</v>
      </c>
      <c r="N34" s="11">
        <v>1</v>
      </c>
      <c r="O34" s="11">
        <v>189999</v>
      </c>
      <c r="P34" s="11">
        <f t="shared" si="0"/>
        <v>189999</v>
      </c>
      <c r="Q34" s="11" t="s">
        <v>52</v>
      </c>
      <c r="R34" s="11" t="s">
        <v>82</v>
      </c>
      <c r="S34" s="11" t="s">
        <v>31</v>
      </c>
    </row>
    <row r="35" spans="1:19" x14ac:dyDescent="0.3">
      <c r="A35" s="11" t="s">
        <v>154</v>
      </c>
      <c r="B35" s="31">
        <v>46117</v>
      </c>
      <c r="C35" s="11" t="s">
        <v>99</v>
      </c>
      <c r="D35" s="11" t="s">
        <v>99</v>
      </c>
      <c r="E35" s="11" t="s">
        <v>155</v>
      </c>
      <c r="F35" s="11" t="s">
        <v>58</v>
      </c>
      <c r="G35" s="11" t="s">
        <v>156</v>
      </c>
      <c r="H35" s="11" t="s">
        <v>49</v>
      </c>
      <c r="I35" s="11" t="s">
        <v>24</v>
      </c>
      <c r="J35" s="11" t="s">
        <v>25</v>
      </c>
      <c r="K35" s="11" t="s">
        <v>92</v>
      </c>
      <c r="L35" s="11" t="s">
        <v>105</v>
      </c>
      <c r="M35" s="11" t="s">
        <v>28</v>
      </c>
      <c r="N35" s="11">
        <v>2</v>
      </c>
      <c r="O35" s="11">
        <v>21999</v>
      </c>
      <c r="P35" s="11">
        <f t="shared" si="0"/>
        <v>43998</v>
      </c>
      <c r="Q35" s="11" t="s">
        <v>93</v>
      </c>
      <c r="R35" s="11" t="s">
        <v>41</v>
      </c>
      <c r="S35" s="11" t="s">
        <v>53</v>
      </c>
    </row>
    <row r="36" spans="1:19" x14ac:dyDescent="0.3">
      <c r="A36" s="11" t="s">
        <v>157</v>
      </c>
      <c r="B36" s="31">
        <v>46147</v>
      </c>
      <c r="C36" s="11" t="s">
        <v>70</v>
      </c>
      <c r="D36" s="11" t="s">
        <v>70</v>
      </c>
      <c r="E36" s="11" t="s">
        <v>119</v>
      </c>
      <c r="F36" s="11" t="s">
        <v>87</v>
      </c>
      <c r="G36" s="11" t="s">
        <v>158</v>
      </c>
      <c r="H36" s="11" t="s">
        <v>142</v>
      </c>
      <c r="I36" s="11" t="s">
        <v>24</v>
      </c>
      <c r="J36" s="11" t="s">
        <v>25</v>
      </c>
      <c r="K36" s="11" t="s">
        <v>114</v>
      </c>
      <c r="L36" s="11" t="s">
        <v>27</v>
      </c>
      <c r="M36" s="11" t="s">
        <v>28</v>
      </c>
      <c r="N36" s="11">
        <v>4</v>
      </c>
      <c r="O36" s="11">
        <v>24999</v>
      </c>
      <c r="P36" s="11">
        <f t="shared" si="0"/>
        <v>99996</v>
      </c>
      <c r="Q36" s="11" t="s">
        <v>29</v>
      </c>
      <c r="R36" s="11" t="s">
        <v>30</v>
      </c>
      <c r="S36" s="11" t="s">
        <v>42</v>
      </c>
    </row>
    <row r="37" spans="1:19" x14ac:dyDescent="0.3">
      <c r="A37" s="11" t="s">
        <v>159</v>
      </c>
      <c r="B37" s="31">
        <v>46147</v>
      </c>
      <c r="C37" s="11" t="s">
        <v>99</v>
      </c>
      <c r="D37" s="11" t="s">
        <v>127</v>
      </c>
      <c r="E37" s="11" t="s">
        <v>128</v>
      </c>
      <c r="F37" s="11" t="s">
        <v>47</v>
      </c>
      <c r="G37" s="11" t="s">
        <v>160</v>
      </c>
      <c r="H37" s="11" t="s">
        <v>23</v>
      </c>
      <c r="I37" s="11" t="s">
        <v>24</v>
      </c>
      <c r="J37" s="11" t="s">
        <v>25</v>
      </c>
      <c r="K37" s="11" t="s">
        <v>125</v>
      </c>
      <c r="L37" s="11" t="s">
        <v>51</v>
      </c>
      <c r="M37" s="11" t="s">
        <v>28</v>
      </c>
      <c r="N37" s="11">
        <v>2</v>
      </c>
      <c r="O37" s="11">
        <v>84999</v>
      </c>
      <c r="P37" s="11">
        <f t="shared" si="0"/>
        <v>169998</v>
      </c>
      <c r="Q37" s="11" t="s">
        <v>93</v>
      </c>
      <c r="R37" s="11" t="s">
        <v>30</v>
      </c>
      <c r="S37" s="11" t="s">
        <v>31</v>
      </c>
    </row>
    <row r="38" spans="1:19" x14ac:dyDescent="0.3">
      <c r="A38" s="11" t="s">
        <v>161</v>
      </c>
      <c r="B38" s="31">
        <v>46147</v>
      </c>
      <c r="C38" s="11" t="s">
        <v>19</v>
      </c>
      <c r="D38" s="11" t="s">
        <v>107</v>
      </c>
      <c r="E38" s="11" t="s">
        <v>108</v>
      </c>
      <c r="F38" s="11" t="s">
        <v>162</v>
      </c>
      <c r="G38" s="11" t="s">
        <v>163</v>
      </c>
      <c r="H38" s="11" t="s">
        <v>60</v>
      </c>
      <c r="I38" s="11" t="s">
        <v>24</v>
      </c>
      <c r="J38" s="11" t="s">
        <v>25</v>
      </c>
      <c r="K38" s="11" t="s">
        <v>97</v>
      </c>
      <c r="L38" s="11" t="s">
        <v>39</v>
      </c>
      <c r="M38" s="11" t="s">
        <v>28</v>
      </c>
      <c r="N38" s="11">
        <v>4</v>
      </c>
      <c r="O38" s="11">
        <v>124999</v>
      </c>
      <c r="P38" s="11">
        <f t="shared" si="0"/>
        <v>499996</v>
      </c>
      <c r="Q38" s="11" t="s">
        <v>29</v>
      </c>
      <c r="R38" s="11" t="s">
        <v>82</v>
      </c>
      <c r="S38" s="11" t="s">
        <v>42</v>
      </c>
    </row>
    <row r="39" spans="1:19" x14ac:dyDescent="0.3">
      <c r="A39" s="11" t="s">
        <v>164</v>
      </c>
      <c r="B39" s="31">
        <v>46147</v>
      </c>
      <c r="C39" s="11" t="s">
        <v>77</v>
      </c>
      <c r="D39" s="11" t="s">
        <v>77</v>
      </c>
      <c r="E39" s="11" t="s">
        <v>78</v>
      </c>
      <c r="F39" s="11" t="s">
        <v>35</v>
      </c>
      <c r="G39" s="11" t="s">
        <v>165</v>
      </c>
      <c r="H39" s="11" t="s">
        <v>49</v>
      </c>
      <c r="I39" s="11" t="s">
        <v>24</v>
      </c>
      <c r="J39" s="11" t="s">
        <v>25</v>
      </c>
      <c r="K39" s="11" t="s">
        <v>50</v>
      </c>
      <c r="L39" s="11" t="s">
        <v>27</v>
      </c>
      <c r="M39" s="11" t="s">
        <v>28</v>
      </c>
      <c r="N39" s="11">
        <v>3</v>
      </c>
      <c r="O39" s="11">
        <v>22999</v>
      </c>
      <c r="P39" s="11">
        <f t="shared" si="0"/>
        <v>68997</v>
      </c>
      <c r="Q39" s="11" t="s">
        <v>93</v>
      </c>
      <c r="R39" s="11" t="s">
        <v>30</v>
      </c>
      <c r="S39" s="11" t="s">
        <v>31</v>
      </c>
    </row>
    <row r="40" spans="1:19" x14ac:dyDescent="0.3">
      <c r="A40" s="11" t="s">
        <v>166</v>
      </c>
      <c r="B40" s="31">
        <v>46147</v>
      </c>
      <c r="C40" s="11" t="s">
        <v>84</v>
      </c>
      <c r="D40" s="11" t="s">
        <v>84</v>
      </c>
      <c r="E40" s="11" t="s">
        <v>167</v>
      </c>
      <c r="F40" s="11" t="s">
        <v>138</v>
      </c>
      <c r="G40" s="11" t="s">
        <v>168</v>
      </c>
      <c r="H40" s="11" t="s">
        <v>89</v>
      </c>
      <c r="I40" s="11" t="s">
        <v>24</v>
      </c>
      <c r="J40" s="11" t="s">
        <v>25</v>
      </c>
      <c r="K40" s="11" t="s">
        <v>104</v>
      </c>
      <c r="L40" s="11" t="s">
        <v>62</v>
      </c>
      <c r="M40" s="11" t="s">
        <v>28</v>
      </c>
      <c r="N40" s="11">
        <v>2</v>
      </c>
      <c r="O40" s="11">
        <v>33999</v>
      </c>
      <c r="P40" s="11">
        <f t="shared" si="0"/>
        <v>67998</v>
      </c>
      <c r="Q40" s="11" t="s">
        <v>40</v>
      </c>
      <c r="R40" s="11" t="s">
        <v>41</v>
      </c>
      <c r="S40" s="11" t="s">
        <v>53</v>
      </c>
    </row>
    <row r="41" spans="1:19" x14ac:dyDescent="0.3">
      <c r="A41" s="11" t="s">
        <v>169</v>
      </c>
      <c r="B41" s="31">
        <v>46147</v>
      </c>
      <c r="C41" s="11" t="s">
        <v>70</v>
      </c>
      <c r="D41" s="11" t="s">
        <v>70</v>
      </c>
      <c r="E41" s="11" t="s">
        <v>119</v>
      </c>
      <c r="F41" s="11" t="s">
        <v>73</v>
      </c>
      <c r="G41" s="11" t="s">
        <v>170</v>
      </c>
      <c r="H41" s="11" t="s">
        <v>124</v>
      </c>
      <c r="I41" s="11" t="s">
        <v>24</v>
      </c>
      <c r="J41" s="11" t="s">
        <v>25</v>
      </c>
      <c r="K41" s="11" t="s">
        <v>114</v>
      </c>
      <c r="L41" s="11" t="s">
        <v>105</v>
      </c>
      <c r="M41" s="11" t="s">
        <v>28</v>
      </c>
      <c r="N41" s="11">
        <v>4</v>
      </c>
      <c r="O41" s="11">
        <v>24999</v>
      </c>
      <c r="P41" s="11">
        <f t="shared" si="0"/>
        <v>99996</v>
      </c>
      <c r="Q41" s="11" t="s">
        <v>52</v>
      </c>
      <c r="R41" s="11" t="s">
        <v>82</v>
      </c>
      <c r="S41" s="11" t="s">
        <v>31</v>
      </c>
    </row>
    <row r="42" spans="1:19" x14ac:dyDescent="0.3">
      <c r="A42" s="11" t="s">
        <v>171</v>
      </c>
      <c r="B42" s="31">
        <v>46147</v>
      </c>
      <c r="C42" s="11" t="s">
        <v>55</v>
      </c>
      <c r="D42" s="11" t="s">
        <v>56</v>
      </c>
      <c r="E42" s="11" t="s">
        <v>172</v>
      </c>
      <c r="F42" s="11" t="s">
        <v>73</v>
      </c>
      <c r="G42" s="11" t="s">
        <v>173</v>
      </c>
      <c r="H42" s="11" t="s">
        <v>110</v>
      </c>
      <c r="I42" s="11" t="s">
        <v>24</v>
      </c>
      <c r="J42" s="11" t="s">
        <v>25</v>
      </c>
      <c r="K42" s="11" t="s">
        <v>114</v>
      </c>
      <c r="L42" s="11" t="s">
        <v>81</v>
      </c>
      <c r="M42" s="11" t="s">
        <v>28</v>
      </c>
      <c r="N42" s="11">
        <v>2</v>
      </c>
      <c r="O42" s="11">
        <v>24999</v>
      </c>
      <c r="P42" s="11">
        <f t="shared" si="0"/>
        <v>49998</v>
      </c>
      <c r="Q42" s="11" t="s">
        <v>52</v>
      </c>
      <c r="R42" s="11" t="s">
        <v>82</v>
      </c>
      <c r="S42" s="11" t="s">
        <v>53</v>
      </c>
    </row>
    <row r="43" spans="1:19" x14ac:dyDescent="0.3">
      <c r="A43" s="11" t="s">
        <v>174</v>
      </c>
      <c r="B43" s="31">
        <v>46147</v>
      </c>
      <c r="C43" s="11" t="s">
        <v>99</v>
      </c>
      <c r="D43" s="11" t="s">
        <v>175</v>
      </c>
      <c r="E43" s="11" t="s">
        <v>176</v>
      </c>
      <c r="F43" s="11" t="s">
        <v>79</v>
      </c>
      <c r="G43" s="11" t="s">
        <v>177</v>
      </c>
      <c r="H43" s="11" t="s">
        <v>142</v>
      </c>
      <c r="I43" s="11" t="s">
        <v>24</v>
      </c>
      <c r="J43" s="11" t="s">
        <v>25</v>
      </c>
      <c r="K43" s="11" t="s">
        <v>114</v>
      </c>
      <c r="L43" s="11" t="s">
        <v>105</v>
      </c>
      <c r="M43" s="11" t="s">
        <v>28</v>
      </c>
      <c r="N43" s="11">
        <v>3</v>
      </c>
      <c r="O43" s="11">
        <v>24999</v>
      </c>
      <c r="P43" s="11">
        <f t="shared" si="0"/>
        <v>74997</v>
      </c>
      <c r="Q43" s="11" t="s">
        <v>40</v>
      </c>
      <c r="R43" s="11" t="s">
        <v>30</v>
      </c>
      <c r="S43" s="11" t="s">
        <v>31</v>
      </c>
    </row>
    <row r="44" spans="1:19" x14ac:dyDescent="0.3">
      <c r="A44" s="11" t="s">
        <v>178</v>
      </c>
      <c r="B44" s="31">
        <v>46147</v>
      </c>
      <c r="C44" s="11" t="s">
        <v>33</v>
      </c>
      <c r="D44" s="11" t="s">
        <v>64</v>
      </c>
      <c r="E44" s="11" t="s">
        <v>112</v>
      </c>
      <c r="F44" s="11" t="s">
        <v>79</v>
      </c>
      <c r="G44" s="11" t="s">
        <v>179</v>
      </c>
      <c r="H44" s="11" t="s">
        <v>49</v>
      </c>
      <c r="I44" s="11" t="s">
        <v>24</v>
      </c>
      <c r="J44" s="11" t="s">
        <v>25</v>
      </c>
      <c r="K44" s="11" t="s">
        <v>114</v>
      </c>
      <c r="L44" s="11" t="s">
        <v>105</v>
      </c>
      <c r="M44" s="11" t="s">
        <v>28</v>
      </c>
      <c r="N44" s="11">
        <v>4</v>
      </c>
      <c r="O44" s="11">
        <v>24999</v>
      </c>
      <c r="P44" s="11">
        <f t="shared" si="0"/>
        <v>99996</v>
      </c>
      <c r="Q44" s="11" t="s">
        <v>93</v>
      </c>
      <c r="R44" s="11" t="s">
        <v>82</v>
      </c>
      <c r="S44" s="11" t="s">
        <v>42</v>
      </c>
    </row>
    <row r="45" spans="1:19" x14ac:dyDescent="0.3">
      <c r="A45" s="11" t="s">
        <v>180</v>
      </c>
      <c r="B45" s="31">
        <v>46147</v>
      </c>
      <c r="C45" s="11" t="s">
        <v>44</v>
      </c>
      <c r="D45" s="11" t="s">
        <v>44</v>
      </c>
      <c r="E45" s="11" t="s">
        <v>116</v>
      </c>
      <c r="F45" s="11" t="s">
        <v>79</v>
      </c>
      <c r="G45" s="11" t="s">
        <v>181</v>
      </c>
      <c r="H45" s="11" t="s">
        <v>75</v>
      </c>
      <c r="I45" s="11" t="s">
        <v>24</v>
      </c>
      <c r="J45" s="11" t="s">
        <v>25</v>
      </c>
      <c r="K45" s="11" t="s">
        <v>67</v>
      </c>
      <c r="L45" s="11" t="s">
        <v>105</v>
      </c>
      <c r="M45" s="11" t="s">
        <v>28</v>
      </c>
      <c r="N45" s="11">
        <v>2</v>
      </c>
      <c r="O45" s="11">
        <v>38999</v>
      </c>
      <c r="P45" s="11">
        <f t="shared" si="0"/>
        <v>77998</v>
      </c>
      <c r="Q45" s="11" t="s">
        <v>40</v>
      </c>
      <c r="R45" s="11" t="s">
        <v>82</v>
      </c>
      <c r="S45" s="11" t="s">
        <v>53</v>
      </c>
    </row>
    <row r="46" spans="1:19" x14ac:dyDescent="0.3">
      <c r="A46" s="11" t="s">
        <v>182</v>
      </c>
      <c r="B46" s="31">
        <v>46153</v>
      </c>
      <c r="C46" s="11" t="s">
        <v>33</v>
      </c>
      <c r="D46" s="11" t="s">
        <v>64</v>
      </c>
      <c r="E46" s="11" t="s">
        <v>65</v>
      </c>
      <c r="F46" s="11" t="s">
        <v>79</v>
      </c>
      <c r="G46" s="11" t="s">
        <v>183</v>
      </c>
      <c r="H46" s="11" t="s">
        <v>110</v>
      </c>
      <c r="I46" s="11" t="s">
        <v>24</v>
      </c>
      <c r="J46" s="11" t="s">
        <v>25</v>
      </c>
      <c r="K46" s="11" t="s">
        <v>104</v>
      </c>
      <c r="L46" s="11" t="s">
        <v>68</v>
      </c>
      <c r="M46" s="11" t="s">
        <v>28</v>
      </c>
      <c r="N46" s="11">
        <v>1</v>
      </c>
      <c r="O46" s="11">
        <v>33999</v>
      </c>
      <c r="P46" s="11">
        <f t="shared" si="0"/>
        <v>33999</v>
      </c>
      <c r="Q46" s="11" t="s">
        <v>40</v>
      </c>
      <c r="R46" s="11" t="s">
        <v>82</v>
      </c>
      <c r="S46" s="11" t="s">
        <v>42</v>
      </c>
    </row>
    <row r="47" spans="1:19" x14ac:dyDescent="0.3">
      <c r="A47" s="11" t="s">
        <v>184</v>
      </c>
      <c r="B47" s="31">
        <v>46155</v>
      </c>
      <c r="C47" s="11" t="s">
        <v>77</v>
      </c>
      <c r="D47" s="11" t="s">
        <v>77</v>
      </c>
      <c r="E47" s="11" t="s">
        <v>78</v>
      </c>
      <c r="F47" s="11" t="s">
        <v>35</v>
      </c>
      <c r="G47" s="11" t="s">
        <v>185</v>
      </c>
      <c r="H47" s="11" t="s">
        <v>110</v>
      </c>
      <c r="I47" s="11" t="s">
        <v>24</v>
      </c>
      <c r="J47" s="11" t="s">
        <v>25</v>
      </c>
      <c r="K47" s="11" t="s">
        <v>97</v>
      </c>
      <c r="L47" s="11" t="s">
        <v>68</v>
      </c>
      <c r="M47" s="11" t="s">
        <v>28</v>
      </c>
      <c r="N47" s="11">
        <v>4</v>
      </c>
      <c r="O47" s="11">
        <v>124999</v>
      </c>
      <c r="P47" s="11">
        <f t="shared" si="0"/>
        <v>499996</v>
      </c>
      <c r="Q47" s="11" t="s">
        <v>40</v>
      </c>
      <c r="R47" s="11" t="s">
        <v>41</v>
      </c>
      <c r="S47" s="11" t="s">
        <v>42</v>
      </c>
    </row>
    <row r="48" spans="1:19" x14ac:dyDescent="0.3">
      <c r="A48" s="11" t="s">
        <v>186</v>
      </c>
      <c r="B48" s="31">
        <v>46178</v>
      </c>
      <c r="C48" s="11" t="s">
        <v>99</v>
      </c>
      <c r="D48" s="11" t="s">
        <v>127</v>
      </c>
      <c r="E48" s="11" t="s">
        <v>187</v>
      </c>
      <c r="F48" s="11" t="s">
        <v>21</v>
      </c>
      <c r="G48" s="11" t="s">
        <v>188</v>
      </c>
      <c r="H48" s="11" t="s">
        <v>37</v>
      </c>
      <c r="I48" s="11" t="s">
        <v>24</v>
      </c>
      <c r="J48" s="11" t="s">
        <v>25</v>
      </c>
      <c r="K48" s="11" t="s">
        <v>97</v>
      </c>
      <c r="L48" s="11" t="s">
        <v>81</v>
      </c>
      <c r="M48" s="11" t="s">
        <v>28</v>
      </c>
      <c r="N48" s="11">
        <v>5</v>
      </c>
      <c r="O48" s="11">
        <v>124999</v>
      </c>
      <c r="P48" s="11">
        <f t="shared" si="0"/>
        <v>624995</v>
      </c>
      <c r="Q48" s="11" t="s">
        <v>93</v>
      </c>
      <c r="R48" s="11" t="s">
        <v>30</v>
      </c>
      <c r="S48" s="11" t="s">
        <v>42</v>
      </c>
    </row>
    <row r="49" spans="1:19" x14ac:dyDescent="0.3">
      <c r="A49" s="11" t="s">
        <v>189</v>
      </c>
      <c r="B49" s="31">
        <v>46178</v>
      </c>
      <c r="C49" s="11" t="s">
        <v>77</v>
      </c>
      <c r="D49" s="11" t="s">
        <v>77</v>
      </c>
      <c r="E49" s="11" t="s">
        <v>95</v>
      </c>
      <c r="F49" s="11" t="s">
        <v>134</v>
      </c>
      <c r="G49" s="11" t="s">
        <v>190</v>
      </c>
      <c r="H49" s="11" t="s">
        <v>75</v>
      </c>
      <c r="I49" s="11" t="s">
        <v>24</v>
      </c>
      <c r="J49" s="11" t="s">
        <v>25</v>
      </c>
      <c r="K49" s="11" t="s">
        <v>61</v>
      </c>
      <c r="L49" s="11" t="s">
        <v>27</v>
      </c>
      <c r="M49" s="11" t="s">
        <v>28</v>
      </c>
      <c r="N49" s="11">
        <v>3</v>
      </c>
      <c r="O49" s="11">
        <v>189999</v>
      </c>
      <c r="P49" s="11">
        <f t="shared" si="0"/>
        <v>569997</v>
      </c>
      <c r="Q49" s="11" t="s">
        <v>52</v>
      </c>
      <c r="R49" s="11" t="s">
        <v>82</v>
      </c>
      <c r="S49" s="11" t="s">
        <v>42</v>
      </c>
    </row>
    <row r="50" spans="1:19" x14ac:dyDescent="0.3">
      <c r="A50" s="11" t="s">
        <v>191</v>
      </c>
      <c r="B50" s="31">
        <v>46178</v>
      </c>
      <c r="C50" s="11" t="s">
        <v>77</v>
      </c>
      <c r="D50" s="11" t="s">
        <v>150</v>
      </c>
      <c r="E50" s="11" t="s">
        <v>151</v>
      </c>
      <c r="F50" s="11" t="s">
        <v>122</v>
      </c>
      <c r="G50" s="11" t="s">
        <v>192</v>
      </c>
      <c r="H50" s="11" t="s">
        <v>75</v>
      </c>
      <c r="I50" s="11" t="s">
        <v>24</v>
      </c>
      <c r="J50" s="11" t="s">
        <v>25</v>
      </c>
      <c r="K50" s="11" t="s">
        <v>125</v>
      </c>
      <c r="L50" s="11" t="s">
        <v>51</v>
      </c>
      <c r="M50" s="11" t="s">
        <v>28</v>
      </c>
      <c r="N50" s="11">
        <v>5</v>
      </c>
      <c r="O50" s="11">
        <v>84999</v>
      </c>
      <c r="P50" s="11">
        <f t="shared" si="0"/>
        <v>424995</v>
      </c>
      <c r="Q50" s="11" t="s">
        <v>40</v>
      </c>
      <c r="R50" s="11" t="s">
        <v>41</v>
      </c>
      <c r="S50" s="11" t="s">
        <v>31</v>
      </c>
    </row>
    <row r="51" spans="1:19" x14ac:dyDescent="0.3">
      <c r="A51" s="11" t="s">
        <v>193</v>
      </c>
      <c r="B51" s="31">
        <v>46178</v>
      </c>
      <c r="C51" s="11" t="s">
        <v>55</v>
      </c>
      <c r="D51" s="11" t="s">
        <v>56</v>
      </c>
      <c r="E51" s="11" t="s">
        <v>172</v>
      </c>
      <c r="F51" s="11" t="s">
        <v>138</v>
      </c>
      <c r="G51" s="11" t="s">
        <v>194</v>
      </c>
      <c r="H51" s="11" t="s">
        <v>75</v>
      </c>
      <c r="I51" s="11" t="s">
        <v>24</v>
      </c>
      <c r="J51" s="11" t="s">
        <v>25</v>
      </c>
      <c r="K51" s="11" t="s">
        <v>50</v>
      </c>
      <c r="L51" s="11" t="s">
        <v>81</v>
      </c>
      <c r="M51" s="11" t="s">
        <v>28</v>
      </c>
      <c r="N51" s="11">
        <v>4</v>
      </c>
      <c r="O51" s="11">
        <v>22999</v>
      </c>
      <c r="P51" s="11">
        <f t="shared" si="0"/>
        <v>91996</v>
      </c>
      <c r="Q51" s="11" t="s">
        <v>52</v>
      </c>
      <c r="R51" s="11" t="s">
        <v>41</v>
      </c>
      <c r="S51" s="11" t="s">
        <v>53</v>
      </c>
    </row>
    <row r="52" spans="1:19" x14ac:dyDescent="0.3">
      <c r="A52" s="11" t="s">
        <v>195</v>
      </c>
      <c r="B52" s="31">
        <v>46178</v>
      </c>
      <c r="C52" s="11" t="s">
        <v>55</v>
      </c>
      <c r="D52" s="11" t="s">
        <v>56</v>
      </c>
      <c r="E52" s="11" t="s">
        <v>57</v>
      </c>
      <c r="F52" s="11" t="s">
        <v>138</v>
      </c>
      <c r="G52" s="11" t="s">
        <v>196</v>
      </c>
      <c r="H52" s="11" t="s">
        <v>124</v>
      </c>
      <c r="I52" s="11" t="s">
        <v>24</v>
      </c>
      <c r="J52" s="11" t="s">
        <v>25</v>
      </c>
      <c r="K52" s="11" t="s">
        <v>67</v>
      </c>
      <c r="L52" s="11" t="s">
        <v>105</v>
      </c>
      <c r="M52" s="11" t="s">
        <v>28</v>
      </c>
      <c r="N52" s="11">
        <v>1</v>
      </c>
      <c r="O52" s="11">
        <v>38999</v>
      </c>
      <c r="P52" s="11">
        <f t="shared" si="0"/>
        <v>38999</v>
      </c>
      <c r="Q52" s="11" t="s">
        <v>29</v>
      </c>
      <c r="R52" s="11" t="s">
        <v>82</v>
      </c>
      <c r="S52" s="11" t="s">
        <v>31</v>
      </c>
    </row>
    <row r="53" spans="1:19" x14ac:dyDescent="0.3">
      <c r="A53" s="11" t="s">
        <v>197</v>
      </c>
      <c r="B53" s="31">
        <v>46178</v>
      </c>
      <c r="C53" s="11" t="s">
        <v>44</v>
      </c>
      <c r="D53" s="11" t="s">
        <v>45</v>
      </c>
      <c r="E53" s="11" t="s">
        <v>198</v>
      </c>
      <c r="F53" s="11" t="s">
        <v>138</v>
      </c>
      <c r="G53" s="11" t="s">
        <v>199</v>
      </c>
      <c r="H53" s="11" t="s">
        <v>37</v>
      </c>
      <c r="I53" s="11" t="s">
        <v>24</v>
      </c>
      <c r="J53" s="11" t="s">
        <v>25</v>
      </c>
      <c r="K53" s="11" t="s">
        <v>61</v>
      </c>
      <c r="L53" s="11" t="s">
        <v>27</v>
      </c>
      <c r="M53" s="11" t="s">
        <v>28</v>
      </c>
      <c r="N53" s="11">
        <v>4</v>
      </c>
      <c r="O53" s="11">
        <v>189999</v>
      </c>
      <c r="P53" s="11">
        <f t="shared" si="0"/>
        <v>759996</v>
      </c>
      <c r="Q53" s="11" t="s">
        <v>40</v>
      </c>
      <c r="R53" s="11" t="s">
        <v>41</v>
      </c>
      <c r="S53" s="11" t="s">
        <v>53</v>
      </c>
    </row>
    <row r="54" spans="1:19" x14ac:dyDescent="0.3">
      <c r="A54" s="11" t="s">
        <v>200</v>
      </c>
      <c r="B54" s="31">
        <v>46178</v>
      </c>
      <c r="C54" s="11" t="s">
        <v>99</v>
      </c>
      <c r="D54" s="11" t="s">
        <v>127</v>
      </c>
      <c r="E54" s="11" t="s">
        <v>128</v>
      </c>
      <c r="F54" s="11" t="s">
        <v>87</v>
      </c>
      <c r="G54" s="11" t="s">
        <v>201</v>
      </c>
      <c r="H54" s="11" t="s">
        <v>110</v>
      </c>
      <c r="I54" s="11" t="s">
        <v>24</v>
      </c>
      <c r="J54" s="11" t="s">
        <v>25</v>
      </c>
      <c r="K54" s="11" t="s">
        <v>104</v>
      </c>
      <c r="L54" s="11" t="s">
        <v>62</v>
      </c>
      <c r="M54" s="11" t="s">
        <v>28</v>
      </c>
      <c r="N54" s="11">
        <v>4</v>
      </c>
      <c r="O54" s="11">
        <v>33999</v>
      </c>
      <c r="P54" s="11">
        <f t="shared" si="0"/>
        <v>135996</v>
      </c>
      <c r="Q54" s="11" t="s">
        <v>29</v>
      </c>
      <c r="R54" s="11" t="s">
        <v>82</v>
      </c>
      <c r="S54" s="11" t="s">
        <v>31</v>
      </c>
    </row>
    <row r="55" spans="1:19" x14ac:dyDescent="0.3">
      <c r="A55" s="11" t="s">
        <v>202</v>
      </c>
      <c r="B55" s="31">
        <v>46178</v>
      </c>
      <c r="C55" s="11" t="s">
        <v>33</v>
      </c>
      <c r="D55" s="11" t="s">
        <v>64</v>
      </c>
      <c r="E55" s="11" t="s">
        <v>65</v>
      </c>
      <c r="F55" s="11" t="s">
        <v>47</v>
      </c>
      <c r="G55" s="11" t="s">
        <v>203</v>
      </c>
      <c r="H55" s="11" t="s">
        <v>49</v>
      </c>
      <c r="I55" s="11" t="s">
        <v>24</v>
      </c>
      <c r="J55" s="11" t="s">
        <v>25</v>
      </c>
      <c r="K55" s="11" t="s">
        <v>92</v>
      </c>
      <c r="L55" s="11" t="s">
        <v>105</v>
      </c>
      <c r="M55" s="11" t="s">
        <v>28</v>
      </c>
      <c r="N55" s="11">
        <v>4</v>
      </c>
      <c r="O55" s="11">
        <v>21999</v>
      </c>
      <c r="P55" s="11">
        <f t="shared" si="0"/>
        <v>87996</v>
      </c>
      <c r="Q55" s="11" t="s">
        <v>52</v>
      </c>
      <c r="R55" s="11" t="s">
        <v>82</v>
      </c>
      <c r="S55" s="11" t="s">
        <v>53</v>
      </c>
    </row>
    <row r="56" spans="1:19" x14ac:dyDescent="0.3">
      <c r="A56" s="11" t="s">
        <v>204</v>
      </c>
      <c r="B56" s="31">
        <v>46178</v>
      </c>
      <c r="C56" s="11" t="s">
        <v>84</v>
      </c>
      <c r="D56" s="11" t="s">
        <v>84</v>
      </c>
      <c r="E56" s="11" t="s">
        <v>205</v>
      </c>
      <c r="F56" s="11" t="s">
        <v>87</v>
      </c>
      <c r="G56" s="11" t="s">
        <v>206</v>
      </c>
      <c r="H56" s="11" t="s">
        <v>110</v>
      </c>
      <c r="I56" s="11" t="s">
        <v>24</v>
      </c>
      <c r="J56" s="11" t="s">
        <v>25</v>
      </c>
      <c r="K56" s="11" t="s">
        <v>104</v>
      </c>
      <c r="L56" s="11" t="s">
        <v>39</v>
      </c>
      <c r="M56" s="11" t="s">
        <v>28</v>
      </c>
      <c r="N56" s="11">
        <v>3</v>
      </c>
      <c r="O56" s="11">
        <v>33999</v>
      </c>
      <c r="P56" s="11">
        <f t="shared" si="0"/>
        <v>101997</v>
      </c>
      <c r="Q56" s="11" t="s">
        <v>93</v>
      </c>
      <c r="R56" s="11" t="s">
        <v>82</v>
      </c>
      <c r="S56" s="11" t="s">
        <v>53</v>
      </c>
    </row>
    <row r="57" spans="1:19" x14ac:dyDescent="0.3">
      <c r="A57" s="11" t="s">
        <v>207</v>
      </c>
      <c r="B57" s="31">
        <v>46208</v>
      </c>
      <c r="C57" s="11" t="s">
        <v>99</v>
      </c>
      <c r="D57" s="11" t="s">
        <v>127</v>
      </c>
      <c r="E57" s="11" t="s">
        <v>187</v>
      </c>
      <c r="F57" s="11" t="s">
        <v>47</v>
      </c>
      <c r="G57" s="11" t="s">
        <v>208</v>
      </c>
      <c r="H57" s="11" t="s">
        <v>153</v>
      </c>
      <c r="I57" s="11" t="s">
        <v>24</v>
      </c>
      <c r="J57" s="11" t="s">
        <v>25</v>
      </c>
      <c r="K57" s="11" t="s">
        <v>114</v>
      </c>
      <c r="L57" s="11" t="s">
        <v>81</v>
      </c>
      <c r="M57" s="11" t="s">
        <v>28</v>
      </c>
      <c r="N57" s="11">
        <v>1</v>
      </c>
      <c r="O57" s="11">
        <v>24999</v>
      </c>
      <c r="P57" s="11">
        <f t="shared" si="0"/>
        <v>24999</v>
      </c>
      <c r="Q57" s="11" t="s">
        <v>29</v>
      </c>
      <c r="R57" s="11" t="s">
        <v>41</v>
      </c>
      <c r="S57" s="11" t="s">
        <v>31</v>
      </c>
    </row>
    <row r="58" spans="1:19" x14ac:dyDescent="0.3">
      <c r="A58" s="11" t="s">
        <v>209</v>
      </c>
      <c r="B58" s="31">
        <v>46208</v>
      </c>
      <c r="C58" s="11" t="s">
        <v>77</v>
      </c>
      <c r="D58" s="11" t="s">
        <v>150</v>
      </c>
      <c r="E58" s="11" t="s">
        <v>210</v>
      </c>
      <c r="F58" s="11" t="s">
        <v>162</v>
      </c>
      <c r="G58" s="11" t="s">
        <v>211</v>
      </c>
      <c r="H58" s="11" t="s">
        <v>142</v>
      </c>
      <c r="I58" s="11" t="s">
        <v>24</v>
      </c>
      <c r="J58" s="11" t="s">
        <v>25</v>
      </c>
      <c r="K58" s="11" t="s">
        <v>61</v>
      </c>
      <c r="L58" s="11" t="s">
        <v>39</v>
      </c>
      <c r="M58" s="11" t="s">
        <v>28</v>
      </c>
      <c r="N58" s="11">
        <v>2</v>
      </c>
      <c r="O58" s="11">
        <v>189999</v>
      </c>
      <c r="P58" s="11">
        <f t="shared" si="0"/>
        <v>379998</v>
      </c>
      <c r="Q58" s="11" t="s">
        <v>40</v>
      </c>
      <c r="R58" s="11" t="s">
        <v>30</v>
      </c>
      <c r="S58" s="11" t="s">
        <v>42</v>
      </c>
    </row>
    <row r="59" spans="1:19" x14ac:dyDescent="0.3">
      <c r="A59" s="11" t="s">
        <v>212</v>
      </c>
      <c r="B59" s="31">
        <v>46208</v>
      </c>
      <c r="C59" s="11" t="s">
        <v>55</v>
      </c>
      <c r="D59" s="11" t="s">
        <v>55</v>
      </c>
      <c r="E59" s="11" t="s">
        <v>46</v>
      </c>
      <c r="F59" s="11" t="s">
        <v>73</v>
      </c>
      <c r="G59" s="11" t="s">
        <v>213</v>
      </c>
      <c r="H59" s="11" t="s">
        <v>60</v>
      </c>
      <c r="I59" s="11" t="s">
        <v>24</v>
      </c>
      <c r="J59" s="11" t="s">
        <v>25</v>
      </c>
      <c r="K59" s="11" t="s">
        <v>61</v>
      </c>
      <c r="L59" s="11" t="s">
        <v>81</v>
      </c>
      <c r="M59" s="11" t="s">
        <v>28</v>
      </c>
      <c r="N59" s="11">
        <v>3</v>
      </c>
      <c r="O59" s="11">
        <v>189999</v>
      </c>
      <c r="P59" s="11">
        <f t="shared" si="0"/>
        <v>569997</v>
      </c>
      <c r="Q59" s="11" t="s">
        <v>52</v>
      </c>
      <c r="R59" s="11" t="s">
        <v>30</v>
      </c>
      <c r="S59" s="11" t="s">
        <v>53</v>
      </c>
    </row>
    <row r="60" spans="1:19" x14ac:dyDescent="0.3">
      <c r="A60" s="11" t="s">
        <v>214</v>
      </c>
      <c r="B60" s="31">
        <v>46208</v>
      </c>
      <c r="C60" s="11" t="s">
        <v>70</v>
      </c>
      <c r="D60" s="11" t="s">
        <v>70</v>
      </c>
      <c r="E60" s="11" t="s">
        <v>215</v>
      </c>
      <c r="F60" s="11" t="s">
        <v>21</v>
      </c>
      <c r="G60" s="11" t="s">
        <v>216</v>
      </c>
      <c r="H60" s="11" t="s">
        <v>37</v>
      </c>
      <c r="I60" s="11" t="s">
        <v>24</v>
      </c>
      <c r="J60" s="11" t="s">
        <v>25</v>
      </c>
      <c r="K60" s="11" t="s">
        <v>104</v>
      </c>
      <c r="L60" s="11" t="s">
        <v>62</v>
      </c>
      <c r="M60" s="11" t="s">
        <v>28</v>
      </c>
      <c r="N60" s="11">
        <v>3</v>
      </c>
      <c r="O60" s="11">
        <v>33999</v>
      </c>
      <c r="P60" s="11">
        <f t="shared" si="0"/>
        <v>101997</v>
      </c>
      <c r="Q60" s="11" t="s">
        <v>40</v>
      </c>
      <c r="R60" s="11" t="s">
        <v>41</v>
      </c>
      <c r="S60" s="11" t="s">
        <v>31</v>
      </c>
    </row>
    <row r="61" spans="1:19" x14ac:dyDescent="0.3">
      <c r="A61" s="11" t="s">
        <v>217</v>
      </c>
      <c r="B61" s="31">
        <v>46208</v>
      </c>
      <c r="C61" s="11" t="s">
        <v>70</v>
      </c>
      <c r="D61" s="11" t="s">
        <v>71</v>
      </c>
      <c r="E61" s="11" t="s">
        <v>72</v>
      </c>
      <c r="F61" s="11" t="s">
        <v>58</v>
      </c>
      <c r="G61" s="11" t="s">
        <v>218</v>
      </c>
      <c r="H61" s="11" t="s">
        <v>60</v>
      </c>
      <c r="I61" s="11" t="s">
        <v>24</v>
      </c>
      <c r="J61" s="11" t="s">
        <v>25</v>
      </c>
      <c r="K61" s="11" t="s">
        <v>67</v>
      </c>
      <c r="L61" s="11" t="s">
        <v>39</v>
      </c>
      <c r="M61" s="11" t="s">
        <v>28</v>
      </c>
      <c r="N61" s="11">
        <v>5</v>
      </c>
      <c r="O61" s="11">
        <v>38999</v>
      </c>
      <c r="P61" s="11">
        <f t="shared" si="0"/>
        <v>194995</v>
      </c>
      <c r="Q61" s="11" t="s">
        <v>52</v>
      </c>
      <c r="R61" s="11" t="s">
        <v>41</v>
      </c>
      <c r="S61" s="11" t="s">
        <v>42</v>
      </c>
    </row>
    <row r="62" spans="1:19" x14ac:dyDescent="0.3">
      <c r="A62" s="11" t="s">
        <v>219</v>
      </c>
      <c r="B62" s="31">
        <v>46208</v>
      </c>
      <c r="C62" s="11" t="s">
        <v>55</v>
      </c>
      <c r="D62" s="11" t="s">
        <v>56</v>
      </c>
      <c r="E62" s="11" t="s">
        <v>172</v>
      </c>
      <c r="F62" s="11" t="s">
        <v>73</v>
      </c>
      <c r="G62" s="11" t="s">
        <v>220</v>
      </c>
      <c r="H62" s="11" t="s">
        <v>49</v>
      </c>
      <c r="I62" s="11" t="s">
        <v>24</v>
      </c>
      <c r="J62" s="11" t="s">
        <v>25</v>
      </c>
      <c r="K62" s="11" t="s">
        <v>125</v>
      </c>
      <c r="L62" s="11" t="s">
        <v>68</v>
      </c>
      <c r="M62" s="11" t="s">
        <v>28</v>
      </c>
      <c r="N62" s="11">
        <v>4</v>
      </c>
      <c r="O62" s="11">
        <v>84999</v>
      </c>
      <c r="P62" s="11">
        <f t="shared" si="0"/>
        <v>339996</v>
      </c>
      <c r="Q62" s="11" t="s">
        <v>40</v>
      </c>
      <c r="R62" s="11" t="s">
        <v>82</v>
      </c>
      <c r="S62" s="11" t="s">
        <v>53</v>
      </c>
    </row>
    <row r="63" spans="1:19" x14ac:dyDescent="0.3">
      <c r="A63" s="11" t="s">
        <v>221</v>
      </c>
      <c r="B63" s="31">
        <v>46208</v>
      </c>
      <c r="C63" s="11" t="s">
        <v>70</v>
      </c>
      <c r="D63" s="11" t="s">
        <v>71</v>
      </c>
      <c r="E63" s="11" t="s">
        <v>72</v>
      </c>
      <c r="F63" s="11" t="s">
        <v>58</v>
      </c>
      <c r="G63" s="11" t="s">
        <v>222</v>
      </c>
      <c r="H63" s="11" t="s">
        <v>110</v>
      </c>
      <c r="I63" s="11" t="s">
        <v>24</v>
      </c>
      <c r="J63" s="11" t="s">
        <v>25</v>
      </c>
      <c r="K63" s="11" t="s">
        <v>92</v>
      </c>
      <c r="L63" s="11" t="s">
        <v>68</v>
      </c>
      <c r="M63" s="11" t="s">
        <v>28</v>
      </c>
      <c r="N63" s="11">
        <v>3</v>
      </c>
      <c r="O63" s="11">
        <v>21999</v>
      </c>
      <c r="P63" s="11">
        <f t="shared" si="0"/>
        <v>65997</v>
      </c>
      <c r="Q63" s="11" t="s">
        <v>40</v>
      </c>
      <c r="R63" s="11" t="s">
        <v>82</v>
      </c>
      <c r="S63" s="11" t="s">
        <v>42</v>
      </c>
    </row>
    <row r="64" spans="1:19" x14ac:dyDescent="0.3">
      <c r="A64" s="11" t="s">
        <v>223</v>
      </c>
      <c r="B64" s="31">
        <v>46239</v>
      </c>
      <c r="C64" s="11" t="s">
        <v>44</v>
      </c>
      <c r="D64" s="11" t="s">
        <v>45</v>
      </c>
      <c r="E64" s="11" t="s">
        <v>198</v>
      </c>
      <c r="F64" s="11" t="s">
        <v>134</v>
      </c>
      <c r="G64" s="11" t="s">
        <v>224</v>
      </c>
      <c r="H64" s="11" t="s">
        <v>37</v>
      </c>
      <c r="I64" s="11" t="s">
        <v>24</v>
      </c>
      <c r="J64" s="11" t="s">
        <v>25</v>
      </c>
      <c r="K64" s="11" t="s">
        <v>104</v>
      </c>
      <c r="L64" s="11" t="s">
        <v>62</v>
      </c>
      <c r="M64" s="11" t="s">
        <v>28</v>
      </c>
      <c r="N64" s="11">
        <v>4</v>
      </c>
      <c r="O64" s="11">
        <v>33999</v>
      </c>
      <c r="P64" s="11">
        <f t="shared" si="0"/>
        <v>135996</v>
      </c>
      <c r="Q64" s="11" t="s">
        <v>93</v>
      </c>
      <c r="R64" s="11" t="s">
        <v>41</v>
      </c>
      <c r="S64" s="11" t="s">
        <v>53</v>
      </c>
    </row>
    <row r="65" spans="1:19" x14ac:dyDescent="0.3">
      <c r="A65" s="11" t="s">
        <v>225</v>
      </c>
      <c r="B65" s="31">
        <v>46239</v>
      </c>
      <c r="C65" s="11" t="s">
        <v>77</v>
      </c>
      <c r="D65" s="11" t="s">
        <v>150</v>
      </c>
      <c r="E65" s="11" t="s">
        <v>151</v>
      </c>
      <c r="F65" s="11" t="s">
        <v>134</v>
      </c>
      <c r="G65" s="11" t="s">
        <v>226</v>
      </c>
      <c r="H65" s="11" t="s">
        <v>75</v>
      </c>
      <c r="I65" s="11" t="s">
        <v>24</v>
      </c>
      <c r="J65" s="11" t="s">
        <v>25</v>
      </c>
      <c r="K65" s="11" t="s">
        <v>97</v>
      </c>
      <c r="L65" s="11" t="s">
        <v>81</v>
      </c>
      <c r="M65" s="11" t="s">
        <v>28</v>
      </c>
      <c r="N65" s="11">
        <v>5</v>
      </c>
      <c r="O65" s="11">
        <v>124999</v>
      </c>
      <c r="P65" s="11">
        <f t="shared" si="0"/>
        <v>624995</v>
      </c>
      <c r="Q65" s="11" t="s">
        <v>40</v>
      </c>
      <c r="R65" s="11" t="s">
        <v>30</v>
      </c>
      <c r="S65" s="11" t="s">
        <v>42</v>
      </c>
    </row>
    <row r="66" spans="1:19" x14ac:dyDescent="0.3">
      <c r="A66" s="11" t="s">
        <v>227</v>
      </c>
      <c r="B66" s="31">
        <v>46239</v>
      </c>
      <c r="C66" s="11" t="s">
        <v>44</v>
      </c>
      <c r="D66" s="11" t="s">
        <v>45</v>
      </c>
      <c r="E66" s="11" t="s">
        <v>198</v>
      </c>
      <c r="F66" s="11" t="s">
        <v>58</v>
      </c>
      <c r="G66" s="11" t="s">
        <v>228</v>
      </c>
      <c r="H66" s="11" t="s">
        <v>142</v>
      </c>
      <c r="I66" s="11" t="s">
        <v>24</v>
      </c>
      <c r="J66" s="11" t="s">
        <v>25</v>
      </c>
      <c r="K66" s="11" t="s">
        <v>50</v>
      </c>
      <c r="L66" s="11" t="s">
        <v>81</v>
      </c>
      <c r="M66" s="11" t="s">
        <v>28</v>
      </c>
      <c r="N66" s="11">
        <v>4</v>
      </c>
      <c r="O66" s="11">
        <v>22999</v>
      </c>
      <c r="P66" s="11">
        <f t="shared" si="0"/>
        <v>91996</v>
      </c>
      <c r="Q66" s="11" t="s">
        <v>93</v>
      </c>
      <c r="R66" s="11" t="s">
        <v>82</v>
      </c>
      <c r="S66" s="11" t="s">
        <v>53</v>
      </c>
    </row>
    <row r="67" spans="1:19" x14ac:dyDescent="0.3">
      <c r="A67" s="11" t="s">
        <v>229</v>
      </c>
      <c r="B67" s="31">
        <v>46239</v>
      </c>
      <c r="C67" s="11" t="s">
        <v>77</v>
      </c>
      <c r="D67" s="11" t="s">
        <v>77</v>
      </c>
      <c r="E67" s="11" t="s">
        <v>95</v>
      </c>
      <c r="F67" s="11" t="s">
        <v>162</v>
      </c>
      <c r="G67" s="11" t="s">
        <v>230</v>
      </c>
      <c r="H67" s="11" t="s">
        <v>60</v>
      </c>
      <c r="I67" s="11" t="s">
        <v>24</v>
      </c>
      <c r="J67" s="11" t="s">
        <v>25</v>
      </c>
      <c r="K67" s="11" t="s">
        <v>38</v>
      </c>
      <c r="L67" s="11" t="s">
        <v>27</v>
      </c>
      <c r="M67" s="11" t="s">
        <v>28</v>
      </c>
      <c r="N67" s="11">
        <v>2</v>
      </c>
      <c r="O67" s="11">
        <v>54999</v>
      </c>
      <c r="P67" s="11">
        <f t="shared" si="0"/>
        <v>109998</v>
      </c>
      <c r="Q67" s="11" t="s">
        <v>93</v>
      </c>
      <c r="R67" s="11" t="s">
        <v>30</v>
      </c>
      <c r="S67" s="11" t="s">
        <v>42</v>
      </c>
    </row>
    <row r="68" spans="1:19" x14ac:dyDescent="0.3">
      <c r="A68" s="11" t="s">
        <v>231</v>
      </c>
      <c r="B68" s="31">
        <v>46239</v>
      </c>
      <c r="C68" s="11" t="s">
        <v>99</v>
      </c>
      <c r="D68" s="11" t="s">
        <v>99</v>
      </c>
      <c r="E68" s="11" t="s">
        <v>100</v>
      </c>
      <c r="F68" s="11" t="s">
        <v>122</v>
      </c>
      <c r="G68" s="11" t="s">
        <v>232</v>
      </c>
      <c r="H68" s="11" t="s">
        <v>142</v>
      </c>
      <c r="I68" s="11" t="s">
        <v>24</v>
      </c>
      <c r="J68" s="11" t="s">
        <v>25</v>
      </c>
      <c r="K68" s="11" t="s">
        <v>125</v>
      </c>
      <c r="L68" s="11" t="s">
        <v>105</v>
      </c>
      <c r="M68" s="11" t="s">
        <v>28</v>
      </c>
      <c r="N68" s="11">
        <v>3</v>
      </c>
      <c r="O68" s="11">
        <v>84999</v>
      </c>
      <c r="P68" s="11">
        <f t="shared" si="0"/>
        <v>254997</v>
      </c>
      <c r="Q68" s="11" t="s">
        <v>52</v>
      </c>
      <c r="R68" s="11" t="s">
        <v>82</v>
      </c>
      <c r="S68" s="11" t="s">
        <v>31</v>
      </c>
    </row>
    <row r="69" spans="1:19" x14ac:dyDescent="0.3">
      <c r="A69" s="11" t="s">
        <v>233</v>
      </c>
      <c r="B69" s="31">
        <v>46239</v>
      </c>
      <c r="C69" s="11" t="s">
        <v>33</v>
      </c>
      <c r="D69" s="11" t="s">
        <v>33</v>
      </c>
      <c r="E69" s="11" t="s">
        <v>34</v>
      </c>
      <c r="F69" s="11" t="s">
        <v>138</v>
      </c>
      <c r="G69" s="11" t="s">
        <v>234</v>
      </c>
      <c r="H69" s="11" t="s">
        <v>60</v>
      </c>
      <c r="I69" s="11" t="s">
        <v>24</v>
      </c>
      <c r="J69" s="11" t="s">
        <v>25</v>
      </c>
      <c r="K69" s="11" t="s">
        <v>97</v>
      </c>
      <c r="L69" s="11" t="s">
        <v>68</v>
      </c>
      <c r="M69" s="11" t="s">
        <v>28</v>
      </c>
      <c r="N69" s="11">
        <v>4</v>
      </c>
      <c r="O69" s="11">
        <v>124999</v>
      </c>
      <c r="P69" s="11">
        <f t="shared" si="0"/>
        <v>499996</v>
      </c>
      <c r="Q69" s="11" t="s">
        <v>93</v>
      </c>
      <c r="R69" s="11" t="s">
        <v>30</v>
      </c>
      <c r="S69" s="11" t="s">
        <v>53</v>
      </c>
    </row>
    <row r="70" spans="1:19" x14ac:dyDescent="0.3">
      <c r="A70" s="11" t="s">
        <v>235</v>
      </c>
      <c r="B70" s="31">
        <v>46239</v>
      </c>
      <c r="C70" s="11" t="s">
        <v>77</v>
      </c>
      <c r="D70" s="11" t="s">
        <v>150</v>
      </c>
      <c r="E70" s="11" t="s">
        <v>210</v>
      </c>
      <c r="F70" s="11" t="s">
        <v>162</v>
      </c>
      <c r="G70" s="11" t="s">
        <v>236</v>
      </c>
      <c r="H70" s="11" t="s">
        <v>153</v>
      </c>
      <c r="I70" s="11" t="s">
        <v>24</v>
      </c>
      <c r="J70" s="11" t="s">
        <v>25</v>
      </c>
      <c r="K70" s="11" t="s">
        <v>92</v>
      </c>
      <c r="L70" s="11" t="s">
        <v>51</v>
      </c>
      <c r="M70" s="11" t="s">
        <v>28</v>
      </c>
      <c r="N70" s="11">
        <v>4</v>
      </c>
      <c r="O70" s="11">
        <v>21999</v>
      </c>
      <c r="P70" s="11">
        <f t="shared" si="0"/>
        <v>87996</v>
      </c>
      <c r="Q70" s="11" t="s">
        <v>29</v>
      </c>
      <c r="R70" s="11" t="s">
        <v>41</v>
      </c>
      <c r="S70" s="11" t="s">
        <v>42</v>
      </c>
    </row>
    <row r="71" spans="1:19" x14ac:dyDescent="0.3">
      <c r="A71" s="11" t="s">
        <v>237</v>
      </c>
      <c r="B71" s="31">
        <v>46239</v>
      </c>
      <c r="C71" s="11" t="s">
        <v>84</v>
      </c>
      <c r="D71" s="11" t="s">
        <v>84</v>
      </c>
      <c r="E71" s="11" t="s">
        <v>238</v>
      </c>
      <c r="F71" s="11" t="s">
        <v>21</v>
      </c>
      <c r="G71" s="11" t="s">
        <v>239</v>
      </c>
      <c r="H71" s="11" t="s">
        <v>124</v>
      </c>
      <c r="I71" s="11" t="s">
        <v>24</v>
      </c>
      <c r="J71" s="11" t="s">
        <v>25</v>
      </c>
      <c r="K71" s="11" t="s">
        <v>38</v>
      </c>
      <c r="L71" s="11" t="s">
        <v>51</v>
      </c>
      <c r="M71" s="11" t="s">
        <v>28</v>
      </c>
      <c r="N71" s="11">
        <v>3</v>
      </c>
      <c r="O71" s="11">
        <v>54999</v>
      </c>
      <c r="P71" s="11">
        <f t="shared" si="0"/>
        <v>164997</v>
      </c>
      <c r="Q71" s="11" t="s">
        <v>52</v>
      </c>
      <c r="R71" s="11" t="s">
        <v>41</v>
      </c>
      <c r="S71" s="11" t="s">
        <v>31</v>
      </c>
    </row>
    <row r="72" spans="1:19" x14ac:dyDescent="0.3">
      <c r="A72" s="11" t="s">
        <v>240</v>
      </c>
      <c r="B72" s="31">
        <v>46270</v>
      </c>
      <c r="C72" s="11" t="s">
        <v>33</v>
      </c>
      <c r="D72" s="11" t="s">
        <v>33</v>
      </c>
      <c r="E72" s="11" t="s">
        <v>241</v>
      </c>
      <c r="F72" s="11" t="s">
        <v>47</v>
      </c>
      <c r="G72" s="11" t="s">
        <v>242</v>
      </c>
      <c r="H72" s="11" t="s">
        <v>75</v>
      </c>
      <c r="I72" s="11" t="s">
        <v>24</v>
      </c>
      <c r="J72" s="11" t="s">
        <v>25</v>
      </c>
      <c r="K72" s="11" t="s">
        <v>114</v>
      </c>
      <c r="L72" s="11" t="s">
        <v>81</v>
      </c>
      <c r="M72" s="11" t="s">
        <v>28</v>
      </c>
      <c r="N72" s="11">
        <v>5</v>
      </c>
      <c r="O72" s="11">
        <v>24999</v>
      </c>
      <c r="P72" s="11">
        <f t="shared" si="0"/>
        <v>124995</v>
      </c>
      <c r="Q72" s="11" t="s">
        <v>29</v>
      </c>
      <c r="R72" s="11" t="s">
        <v>30</v>
      </c>
      <c r="S72" s="11" t="s">
        <v>31</v>
      </c>
    </row>
    <row r="73" spans="1:19" x14ac:dyDescent="0.3">
      <c r="A73" s="11" t="s">
        <v>243</v>
      </c>
      <c r="B73" s="31">
        <v>46270</v>
      </c>
      <c r="C73" s="11" t="s">
        <v>99</v>
      </c>
      <c r="D73" s="11" t="s">
        <v>175</v>
      </c>
      <c r="E73" s="11" t="s">
        <v>244</v>
      </c>
      <c r="F73" s="11" t="s">
        <v>35</v>
      </c>
      <c r="G73" s="11" t="s">
        <v>245</v>
      </c>
      <c r="H73" s="11" t="s">
        <v>124</v>
      </c>
      <c r="I73" s="11" t="s">
        <v>24</v>
      </c>
      <c r="J73" s="11" t="s">
        <v>25</v>
      </c>
      <c r="K73" s="11" t="s">
        <v>125</v>
      </c>
      <c r="L73" s="11" t="s">
        <v>27</v>
      </c>
      <c r="M73" s="11" t="s">
        <v>28</v>
      </c>
      <c r="N73" s="11">
        <v>3</v>
      </c>
      <c r="O73" s="11">
        <v>84999</v>
      </c>
      <c r="P73" s="11">
        <f t="shared" si="0"/>
        <v>254997</v>
      </c>
      <c r="Q73" s="11" t="s">
        <v>40</v>
      </c>
      <c r="R73" s="11" t="s">
        <v>41</v>
      </c>
      <c r="S73" s="11" t="s">
        <v>42</v>
      </c>
    </row>
    <row r="74" spans="1:19" x14ac:dyDescent="0.3">
      <c r="A74" s="11" t="s">
        <v>246</v>
      </c>
      <c r="B74" s="31">
        <v>46270</v>
      </c>
      <c r="C74" s="11" t="s">
        <v>55</v>
      </c>
      <c r="D74" s="11" t="s">
        <v>55</v>
      </c>
      <c r="E74" s="11" t="s">
        <v>137</v>
      </c>
      <c r="F74" s="11" t="s">
        <v>79</v>
      </c>
      <c r="G74" s="11" t="s">
        <v>247</v>
      </c>
      <c r="H74" s="11" t="s">
        <v>142</v>
      </c>
      <c r="I74" s="11" t="s">
        <v>24</v>
      </c>
      <c r="J74" s="11" t="s">
        <v>25</v>
      </c>
      <c r="K74" s="11" t="s">
        <v>61</v>
      </c>
      <c r="L74" s="11" t="s">
        <v>27</v>
      </c>
      <c r="M74" s="11" t="s">
        <v>28</v>
      </c>
      <c r="N74" s="11">
        <v>3</v>
      </c>
      <c r="O74" s="11">
        <v>189999</v>
      </c>
      <c r="P74" s="11">
        <f t="shared" si="0"/>
        <v>569997</v>
      </c>
      <c r="Q74" s="11" t="s">
        <v>29</v>
      </c>
      <c r="R74" s="11" t="s">
        <v>82</v>
      </c>
      <c r="S74" s="11" t="s">
        <v>53</v>
      </c>
    </row>
    <row r="75" spans="1:19" x14ac:dyDescent="0.3">
      <c r="A75" s="11" t="s">
        <v>248</v>
      </c>
      <c r="B75" s="31">
        <v>46270</v>
      </c>
      <c r="C75" s="11" t="s">
        <v>55</v>
      </c>
      <c r="D75" s="11" t="s">
        <v>56</v>
      </c>
      <c r="E75" s="11" t="s">
        <v>172</v>
      </c>
      <c r="F75" s="11" t="s">
        <v>79</v>
      </c>
      <c r="G75" s="11" t="s">
        <v>249</v>
      </c>
      <c r="H75" s="11" t="s">
        <v>124</v>
      </c>
      <c r="I75" s="11" t="s">
        <v>24</v>
      </c>
      <c r="J75" s="11" t="s">
        <v>25</v>
      </c>
      <c r="K75" s="11" t="s">
        <v>104</v>
      </c>
      <c r="L75" s="11" t="s">
        <v>81</v>
      </c>
      <c r="M75" s="11" t="s">
        <v>28</v>
      </c>
      <c r="N75" s="11">
        <v>4</v>
      </c>
      <c r="O75" s="11">
        <v>33999</v>
      </c>
      <c r="P75" s="11">
        <f t="shared" ref="P75:P138" si="1">O75*N75</f>
        <v>135996</v>
      </c>
      <c r="Q75" s="11" t="s">
        <v>52</v>
      </c>
      <c r="R75" s="11" t="s">
        <v>30</v>
      </c>
      <c r="S75" s="11" t="s">
        <v>42</v>
      </c>
    </row>
    <row r="76" spans="1:19" x14ac:dyDescent="0.3">
      <c r="A76" s="11" t="s">
        <v>250</v>
      </c>
      <c r="B76" s="31">
        <v>46270</v>
      </c>
      <c r="C76" s="11" t="s">
        <v>33</v>
      </c>
      <c r="D76" s="11" t="s">
        <v>64</v>
      </c>
      <c r="E76" s="11" t="s">
        <v>112</v>
      </c>
      <c r="F76" s="11" t="s">
        <v>73</v>
      </c>
      <c r="G76" s="11" t="s">
        <v>251</v>
      </c>
      <c r="H76" s="11" t="s">
        <v>153</v>
      </c>
      <c r="I76" s="11" t="s">
        <v>24</v>
      </c>
      <c r="J76" s="11" t="s">
        <v>25</v>
      </c>
      <c r="K76" s="11" t="s">
        <v>97</v>
      </c>
      <c r="L76" s="11" t="s">
        <v>39</v>
      </c>
      <c r="M76" s="11" t="s">
        <v>28</v>
      </c>
      <c r="N76" s="11">
        <v>1</v>
      </c>
      <c r="O76" s="11">
        <v>124999</v>
      </c>
      <c r="P76" s="11">
        <f t="shared" si="1"/>
        <v>124999</v>
      </c>
      <c r="Q76" s="11" t="s">
        <v>93</v>
      </c>
      <c r="R76" s="11" t="s">
        <v>82</v>
      </c>
      <c r="S76" s="11" t="s">
        <v>31</v>
      </c>
    </row>
    <row r="77" spans="1:19" x14ac:dyDescent="0.3">
      <c r="A77" s="11" t="s">
        <v>252</v>
      </c>
      <c r="B77" s="31">
        <v>46270</v>
      </c>
      <c r="C77" s="11" t="s">
        <v>55</v>
      </c>
      <c r="D77" s="11" t="s">
        <v>55</v>
      </c>
      <c r="E77" s="11" t="s">
        <v>46</v>
      </c>
      <c r="F77" s="11" t="s">
        <v>122</v>
      </c>
      <c r="G77" s="11" t="s">
        <v>253</v>
      </c>
      <c r="H77" s="11" t="s">
        <v>89</v>
      </c>
      <c r="I77" s="11" t="s">
        <v>24</v>
      </c>
      <c r="J77" s="11" t="s">
        <v>25</v>
      </c>
      <c r="K77" s="11" t="s">
        <v>61</v>
      </c>
      <c r="L77" s="11" t="s">
        <v>68</v>
      </c>
      <c r="M77" s="11" t="s">
        <v>28</v>
      </c>
      <c r="N77" s="11">
        <v>4</v>
      </c>
      <c r="O77" s="11">
        <v>189999</v>
      </c>
      <c r="P77" s="11">
        <f t="shared" si="1"/>
        <v>759996</v>
      </c>
      <c r="Q77" s="11" t="s">
        <v>52</v>
      </c>
      <c r="R77" s="11" t="s">
        <v>82</v>
      </c>
      <c r="S77" s="11" t="s">
        <v>53</v>
      </c>
    </row>
    <row r="78" spans="1:19" x14ac:dyDescent="0.3">
      <c r="A78" s="11" t="s">
        <v>254</v>
      </c>
      <c r="B78" s="31">
        <v>46270</v>
      </c>
      <c r="C78" s="11" t="s">
        <v>44</v>
      </c>
      <c r="D78" s="11" t="s">
        <v>45</v>
      </c>
      <c r="E78" s="11" t="s">
        <v>198</v>
      </c>
      <c r="F78" s="11" t="s">
        <v>35</v>
      </c>
      <c r="G78" s="11" t="s">
        <v>255</v>
      </c>
      <c r="H78" s="11" t="s">
        <v>124</v>
      </c>
      <c r="I78" s="11" t="s">
        <v>24</v>
      </c>
      <c r="J78" s="11" t="s">
        <v>25</v>
      </c>
      <c r="K78" s="11" t="s">
        <v>67</v>
      </c>
      <c r="L78" s="11" t="s">
        <v>39</v>
      </c>
      <c r="M78" s="11" t="s">
        <v>28</v>
      </c>
      <c r="N78" s="11">
        <v>3</v>
      </c>
      <c r="O78" s="11">
        <v>38999</v>
      </c>
      <c r="P78" s="11">
        <f t="shared" si="1"/>
        <v>116997</v>
      </c>
      <c r="Q78" s="11" t="s">
        <v>40</v>
      </c>
      <c r="R78" s="11" t="s">
        <v>30</v>
      </c>
      <c r="S78" s="11" t="s">
        <v>53</v>
      </c>
    </row>
    <row r="79" spans="1:19" x14ac:dyDescent="0.3">
      <c r="A79" s="11" t="s">
        <v>256</v>
      </c>
      <c r="B79" s="31">
        <v>46300</v>
      </c>
      <c r="C79" s="11" t="s">
        <v>70</v>
      </c>
      <c r="D79" s="11" t="s">
        <v>70</v>
      </c>
      <c r="E79" s="11" t="s">
        <v>215</v>
      </c>
      <c r="F79" s="11" t="s">
        <v>138</v>
      </c>
      <c r="G79" s="11" t="s">
        <v>257</v>
      </c>
      <c r="H79" s="11" t="s">
        <v>75</v>
      </c>
      <c r="I79" s="11" t="s">
        <v>24</v>
      </c>
      <c r="J79" s="11" t="s">
        <v>25</v>
      </c>
      <c r="K79" s="11" t="s">
        <v>104</v>
      </c>
      <c r="L79" s="11" t="s">
        <v>62</v>
      </c>
      <c r="M79" s="11" t="s">
        <v>28</v>
      </c>
      <c r="N79" s="11">
        <v>1</v>
      </c>
      <c r="O79" s="11">
        <v>33999</v>
      </c>
      <c r="P79" s="11">
        <f t="shared" si="1"/>
        <v>33999</v>
      </c>
      <c r="Q79" s="11" t="s">
        <v>40</v>
      </c>
      <c r="R79" s="11" t="s">
        <v>82</v>
      </c>
      <c r="S79" s="11" t="s">
        <v>31</v>
      </c>
    </row>
    <row r="80" spans="1:19" x14ac:dyDescent="0.3">
      <c r="A80" s="11" t="s">
        <v>258</v>
      </c>
      <c r="B80" s="31">
        <v>46300</v>
      </c>
      <c r="C80" s="11" t="s">
        <v>33</v>
      </c>
      <c r="D80" s="11" t="s">
        <v>33</v>
      </c>
      <c r="E80" s="11" t="s">
        <v>241</v>
      </c>
      <c r="F80" s="11" t="s">
        <v>47</v>
      </c>
      <c r="G80" s="11" t="s">
        <v>259</v>
      </c>
      <c r="H80" s="11" t="s">
        <v>89</v>
      </c>
      <c r="I80" s="11" t="s">
        <v>24</v>
      </c>
      <c r="J80" s="11" t="s">
        <v>25</v>
      </c>
      <c r="K80" s="11" t="s">
        <v>114</v>
      </c>
      <c r="L80" s="11" t="s">
        <v>68</v>
      </c>
      <c r="M80" s="11" t="s">
        <v>28</v>
      </c>
      <c r="N80" s="11">
        <v>4</v>
      </c>
      <c r="O80" s="11">
        <v>24999</v>
      </c>
      <c r="P80" s="11">
        <f t="shared" si="1"/>
        <v>99996</v>
      </c>
      <c r="Q80" s="11" t="s">
        <v>40</v>
      </c>
      <c r="R80" s="11" t="s">
        <v>30</v>
      </c>
      <c r="S80" s="11" t="s">
        <v>31</v>
      </c>
    </row>
    <row r="81" spans="1:19" x14ac:dyDescent="0.3">
      <c r="A81" s="11" t="s">
        <v>260</v>
      </c>
      <c r="B81" s="31">
        <v>46300</v>
      </c>
      <c r="C81" s="11" t="s">
        <v>55</v>
      </c>
      <c r="D81" s="11" t="s">
        <v>56</v>
      </c>
      <c r="E81" s="11" t="s">
        <v>57</v>
      </c>
      <c r="F81" s="11" t="s">
        <v>58</v>
      </c>
      <c r="G81" s="11" t="s">
        <v>261</v>
      </c>
      <c r="H81" s="11" t="s">
        <v>110</v>
      </c>
      <c r="I81" s="11" t="s">
        <v>24</v>
      </c>
      <c r="J81" s="11" t="s">
        <v>25</v>
      </c>
      <c r="K81" s="11" t="s">
        <v>26</v>
      </c>
      <c r="L81" s="11" t="s">
        <v>39</v>
      </c>
      <c r="M81" s="11" t="s">
        <v>28</v>
      </c>
      <c r="N81" s="11">
        <v>2</v>
      </c>
      <c r="O81" s="11">
        <v>13999</v>
      </c>
      <c r="P81" s="11">
        <f t="shared" si="1"/>
        <v>27998</v>
      </c>
      <c r="Q81" s="11" t="s">
        <v>29</v>
      </c>
      <c r="R81" s="11" t="s">
        <v>82</v>
      </c>
      <c r="S81" s="11" t="s">
        <v>31</v>
      </c>
    </row>
    <row r="82" spans="1:19" x14ac:dyDescent="0.3">
      <c r="A82" s="11" t="s">
        <v>262</v>
      </c>
      <c r="B82" s="31">
        <v>46300</v>
      </c>
      <c r="C82" s="11" t="s">
        <v>55</v>
      </c>
      <c r="D82" s="11" t="s">
        <v>55</v>
      </c>
      <c r="E82" s="11" t="s">
        <v>46</v>
      </c>
      <c r="F82" s="11" t="s">
        <v>58</v>
      </c>
      <c r="G82" s="11" t="s">
        <v>263</v>
      </c>
      <c r="H82" s="11" t="s">
        <v>75</v>
      </c>
      <c r="I82" s="11" t="s">
        <v>24</v>
      </c>
      <c r="J82" s="11" t="s">
        <v>25</v>
      </c>
      <c r="K82" s="11" t="s">
        <v>61</v>
      </c>
      <c r="L82" s="11" t="s">
        <v>51</v>
      </c>
      <c r="M82" s="11" t="s">
        <v>28</v>
      </c>
      <c r="N82" s="11">
        <v>1</v>
      </c>
      <c r="O82" s="11">
        <v>189999</v>
      </c>
      <c r="P82" s="11">
        <f t="shared" si="1"/>
        <v>189999</v>
      </c>
      <c r="Q82" s="11" t="s">
        <v>29</v>
      </c>
      <c r="R82" s="11" t="s">
        <v>82</v>
      </c>
      <c r="S82" s="11" t="s">
        <v>31</v>
      </c>
    </row>
    <row r="83" spans="1:19" x14ac:dyDescent="0.3">
      <c r="A83" s="11" t="s">
        <v>264</v>
      </c>
      <c r="B83" s="31">
        <v>46300</v>
      </c>
      <c r="C83" s="11" t="s">
        <v>84</v>
      </c>
      <c r="D83" s="11" t="s">
        <v>84</v>
      </c>
      <c r="E83" s="11" t="s">
        <v>205</v>
      </c>
      <c r="F83" s="11" t="s">
        <v>58</v>
      </c>
      <c r="G83" s="11" t="s">
        <v>265</v>
      </c>
      <c r="H83" s="11" t="s">
        <v>75</v>
      </c>
      <c r="I83" s="11" t="s">
        <v>24</v>
      </c>
      <c r="J83" s="11" t="s">
        <v>25</v>
      </c>
      <c r="K83" s="11" t="s">
        <v>97</v>
      </c>
      <c r="L83" s="11" t="s">
        <v>27</v>
      </c>
      <c r="M83" s="11" t="s">
        <v>28</v>
      </c>
      <c r="N83" s="11">
        <v>5</v>
      </c>
      <c r="O83" s="11">
        <v>124999</v>
      </c>
      <c r="P83" s="11">
        <f t="shared" si="1"/>
        <v>624995</v>
      </c>
      <c r="Q83" s="11" t="s">
        <v>52</v>
      </c>
      <c r="R83" s="11" t="s">
        <v>82</v>
      </c>
      <c r="S83" s="11" t="s">
        <v>42</v>
      </c>
    </row>
    <row r="84" spans="1:19" x14ac:dyDescent="0.3">
      <c r="A84" s="11" t="s">
        <v>266</v>
      </c>
      <c r="B84" s="31">
        <v>46331</v>
      </c>
      <c r="C84" s="11" t="s">
        <v>19</v>
      </c>
      <c r="D84" s="11" t="s">
        <v>19</v>
      </c>
      <c r="E84" s="11" t="s">
        <v>20</v>
      </c>
      <c r="F84" s="11" t="s">
        <v>162</v>
      </c>
      <c r="G84" s="11" t="s">
        <v>267</v>
      </c>
      <c r="H84" s="11" t="s">
        <v>37</v>
      </c>
      <c r="I84" s="11" t="s">
        <v>24</v>
      </c>
      <c r="J84" s="11" t="s">
        <v>25</v>
      </c>
      <c r="K84" s="11" t="s">
        <v>38</v>
      </c>
      <c r="L84" s="11" t="s">
        <v>68</v>
      </c>
      <c r="M84" s="11" t="s">
        <v>28</v>
      </c>
      <c r="N84" s="11">
        <v>3</v>
      </c>
      <c r="O84" s="11">
        <v>54999</v>
      </c>
      <c r="P84" s="11">
        <f t="shared" si="1"/>
        <v>164997</v>
      </c>
      <c r="Q84" s="11" t="s">
        <v>40</v>
      </c>
      <c r="R84" s="11" t="s">
        <v>30</v>
      </c>
      <c r="S84" s="11" t="s">
        <v>31</v>
      </c>
    </row>
    <row r="85" spans="1:19" x14ac:dyDescent="0.3">
      <c r="A85" s="11" t="s">
        <v>268</v>
      </c>
      <c r="B85" s="31">
        <v>46331</v>
      </c>
      <c r="C85" s="11" t="s">
        <v>99</v>
      </c>
      <c r="D85" s="11" t="s">
        <v>175</v>
      </c>
      <c r="E85" s="11" t="s">
        <v>244</v>
      </c>
      <c r="F85" s="11" t="s">
        <v>35</v>
      </c>
      <c r="G85" s="11" t="s">
        <v>269</v>
      </c>
      <c r="H85" s="11" t="s">
        <v>37</v>
      </c>
      <c r="I85" s="11" t="s">
        <v>24</v>
      </c>
      <c r="J85" s="11" t="s">
        <v>25</v>
      </c>
      <c r="K85" s="11" t="s">
        <v>67</v>
      </c>
      <c r="L85" s="11" t="s">
        <v>105</v>
      </c>
      <c r="M85" s="11" t="s">
        <v>28</v>
      </c>
      <c r="N85" s="11">
        <v>4</v>
      </c>
      <c r="O85" s="11">
        <v>38999</v>
      </c>
      <c r="P85" s="11">
        <f t="shared" si="1"/>
        <v>155996</v>
      </c>
      <c r="Q85" s="11" t="s">
        <v>40</v>
      </c>
      <c r="R85" s="11" t="s">
        <v>30</v>
      </c>
      <c r="S85" s="11" t="s">
        <v>53</v>
      </c>
    </row>
    <row r="86" spans="1:19" x14ac:dyDescent="0.3">
      <c r="A86" s="11" t="s">
        <v>270</v>
      </c>
      <c r="B86" s="31">
        <v>46331</v>
      </c>
      <c r="C86" s="11" t="s">
        <v>55</v>
      </c>
      <c r="D86" s="11" t="s">
        <v>55</v>
      </c>
      <c r="E86" s="11" t="s">
        <v>137</v>
      </c>
      <c r="F86" s="11" t="s">
        <v>35</v>
      </c>
      <c r="G86" s="11" t="s">
        <v>271</v>
      </c>
      <c r="H86" s="11" t="s">
        <v>89</v>
      </c>
      <c r="I86" s="11" t="s">
        <v>24</v>
      </c>
      <c r="J86" s="11" t="s">
        <v>25</v>
      </c>
      <c r="K86" s="11" t="s">
        <v>61</v>
      </c>
      <c r="L86" s="11" t="s">
        <v>51</v>
      </c>
      <c r="M86" s="11" t="s">
        <v>28</v>
      </c>
      <c r="N86" s="11">
        <v>5</v>
      </c>
      <c r="O86" s="11">
        <v>189999</v>
      </c>
      <c r="P86" s="11">
        <f t="shared" si="1"/>
        <v>949995</v>
      </c>
      <c r="Q86" s="11" t="s">
        <v>52</v>
      </c>
      <c r="R86" s="11" t="s">
        <v>30</v>
      </c>
      <c r="S86" s="11" t="s">
        <v>53</v>
      </c>
    </row>
    <row r="87" spans="1:19" x14ac:dyDescent="0.3">
      <c r="A87" s="11" t="s">
        <v>272</v>
      </c>
      <c r="B87" s="31">
        <v>46331</v>
      </c>
      <c r="C87" s="11" t="s">
        <v>55</v>
      </c>
      <c r="D87" s="11" t="s">
        <v>55</v>
      </c>
      <c r="E87" s="11" t="s">
        <v>137</v>
      </c>
      <c r="F87" s="11" t="s">
        <v>134</v>
      </c>
      <c r="G87" s="11" t="s">
        <v>273</v>
      </c>
      <c r="H87" s="11" t="s">
        <v>153</v>
      </c>
      <c r="I87" s="11" t="s">
        <v>24</v>
      </c>
      <c r="J87" s="11" t="s">
        <v>25</v>
      </c>
      <c r="K87" s="11" t="s">
        <v>38</v>
      </c>
      <c r="L87" s="11" t="s">
        <v>39</v>
      </c>
      <c r="M87" s="11" t="s">
        <v>28</v>
      </c>
      <c r="N87" s="11">
        <v>5</v>
      </c>
      <c r="O87" s="11">
        <v>54999</v>
      </c>
      <c r="P87" s="11">
        <f t="shared" si="1"/>
        <v>274995</v>
      </c>
      <c r="Q87" s="11" t="s">
        <v>40</v>
      </c>
      <c r="R87" s="11" t="s">
        <v>82</v>
      </c>
      <c r="S87" s="11" t="s">
        <v>53</v>
      </c>
    </row>
    <row r="88" spans="1:19" x14ac:dyDescent="0.3">
      <c r="A88" s="11" t="s">
        <v>274</v>
      </c>
      <c r="B88" s="31">
        <v>46331</v>
      </c>
      <c r="C88" s="11" t="s">
        <v>33</v>
      </c>
      <c r="D88" s="11" t="s">
        <v>64</v>
      </c>
      <c r="E88" s="11" t="s">
        <v>65</v>
      </c>
      <c r="F88" s="11" t="s">
        <v>58</v>
      </c>
      <c r="G88" s="11" t="s">
        <v>275</v>
      </c>
      <c r="H88" s="11" t="s">
        <v>37</v>
      </c>
      <c r="I88" s="11" t="s">
        <v>24</v>
      </c>
      <c r="J88" s="11" t="s">
        <v>25</v>
      </c>
      <c r="K88" s="11" t="s">
        <v>50</v>
      </c>
      <c r="L88" s="11" t="s">
        <v>68</v>
      </c>
      <c r="M88" s="11" t="s">
        <v>28</v>
      </c>
      <c r="N88" s="11">
        <v>3</v>
      </c>
      <c r="O88" s="11">
        <v>22999</v>
      </c>
      <c r="P88" s="11">
        <f t="shared" si="1"/>
        <v>68997</v>
      </c>
      <c r="Q88" s="11" t="s">
        <v>52</v>
      </c>
      <c r="R88" s="11" t="s">
        <v>82</v>
      </c>
      <c r="S88" s="11" t="s">
        <v>53</v>
      </c>
    </row>
    <row r="89" spans="1:19" x14ac:dyDescent="0.3">
      <c r="A89" s="11" t="s">
        <v>276</v>
      </c>
      <c r="B89" s="31">
        <v>46331</v>
      </c>
      <c r="C89" s="11" t="s">
        <v>99</v>
      </c>
      <c r="D89" s="11" t="s">
        <v>175</v>
      </c>
      <c r="E89" s="11" t="s">
        <v>244</v>
      </c>
      <c r="F89" s="11" t="s">
        <v>87</v>
      </c>
      <c r="G89" s="11" t="s">
        <v>277</v>
      </c>
      <c r="H89" s="11" t="s">
        <v>60</v>
      </c>
      <c r="I89" s="11" t="s">
        <v>24</v>
      </c>
      <c r="J89" s="11" t="s">
        <v>25</v>
      </c>
      <c r="K89" s="11" t="s">
        <v>26</v>
      </c>
      <c r="L89" s="11" t="s">
        <v>27</v>
      </c>
      <c r="M89" s="11" t="s">
        <v>28</v>
      </c>
      <c r="N89" s="11">
        <v>1</v>
      </c>
      <c r="O89" s="11">
        <v>13999</v>
      </c>
      <c r="P89" s="11">
        <f t="shared" si="1"/>
        <v>13999</v>
      </c>
      <c r="Q89" s="11" t="s">
        <v>40</v>
      </c>
      <c r="R89" s="11" t="s">
        <v>30</v>
      </c>
      <c r="S89" s="11" t="s">
        <v>42</v>
      </c>
    </row>
    <row r="90" spans="1:19" x14ac:dyDescent="0.3">
      <c r="A90" s="11" t="s">
        <v>278</v>
      </c>
      <c r="B90" s="31">
        <v>46331</v>
      </c>
      <c r="C90" s="11" t="s">
        <v>99</v>
      </c>
      <c r="D90" s="11" t="s">
        <v>175</v>
      </c>
      <c r="E90" s="11" t="s">
        <v>244</v>
      </c>
      <c r="F90" s="11" t="s">
        <v>138</v>
      </c>
      <c r="G90" s="11" t="s">
        <v>279</v>
      </c>
      <c r="H90" s="11" t="s">
        <v>37</v>
      </c>
      <c r="I90" s="11" t="s">
        <v>24</v>
      </c>
      <c r="J90" s="11" t="s">
        <v>25</v>
      </c>
      <c r="K90" s="11" t="s">
        <v>67</v>
      </c>
      <c r="L90" s="11" t="s">
        <v>51</v>
      </c>
      <c r="M90" s="11" t="s">
        <v>28</v>
      </c>
      <c r="N90" s="11">
        <v>3</v>
      </c>
      <c r="O90" s="11">
        <v>38999</v>
      </c>
      <c r="P90" s="11">
        <f t="shared" si="1"/>
        <v>116997</v>
      </c>
      <c r="Q90" s="11" t="s">
        <v>93</v>
      </c>
      <c r="R90" s="11" t="s">
        <v>82</v>
      </c>
      <c r="S90" s="11" t="s">
        <v>42</v>
      </c>
    </row>
    <row r="91" spans="1:19" x14ac:dyDescent="0.3">
      <c r="A91" s="11" t="s">
        <v>280</v>
      </c>
      <c r="B91" s="31">
        <v>46331</v>
      </c>
      <c r="C91" s="11" t="s">
        <v>70</v>
      </c>
      <c r="D91" s="11" t="s">
        <v>70</v>
      </c>
      <c r="E91" s="11" t="s">
        <v>119</v>
      </c>
      <c r="F91" s="11" t="s">
        <v>73</v>
      </c>
      <c r="G91" s="11" t="s">
        <v>281</v>
      </c>
      <c r="H91" s="11" t="s">
        <v>60</v>
      </c>
      <c r="I91" s="11" t="s">
        <v>24</v>
      </c>
      <c r="J91" s="11" t="s">
        <v>25</v>
      </c>
      <c r="K91" s="11" t="s">
        <v>61</v>
      </c>
      <c r="L91" s="11" t="s">
        <v>81</v>
      </c>
      <c r="M91" s="11" t="s">
        <v>28</v>
      </c>
      <c r="N91" s="11">
        <v>1</v>
      </c>
      <c r="O91" s="11">
        <v>189999</v>
      </c>
      <c r="P91" s="11">
        <f t="shared" si="1"/>
        <v>189999</v>
      </c>
      <c r="Q91" s="11" t="s">
        <v>52</v>
      </c>
      <c r="R91" s="11" t="s">
        <v>82</v>
      </c>
      <c r="S91" s="11" t="s">
        <v>53</v>
      </c>
    </row>
    <row r="92" spans="1:19" x14ac:dyDescent="0.3">
      <c r="A92" s="11" t="s">
        <v>282</v>
      </c>
      <c r="B92" s="31">
        <v>46361</v>
      </c>
      <c r="C92" s="11" t="s">
        <v>55</v>
      </c>
      <c r="D92" s="11" t="s">
        <v>55</v>
      </c>
      <c r="E92" s="11" t="s">
        <v>137</v>
      </c>
      <c r="F92" s="11" t="s">
        <v>47</v>
      </c>
      <c r="G92" s="11" t="s">
        <v>283</v>
      </c>
      <c r="H92" s="11" t="s">
        <v>75</v>
      </c>
      <c r="I92" s="11" t="s">
        <v>24</v>
      </c>
      <c r="J92" s="11" t="s">
        <v>25</v>
      </c>
      <c r="K92" s="11" t="s">
        <v>26</v>
      </c>
      <c r="L92" s="11" t="s">
        <v>51</v>
      </c>
      <c r="M92" s="11" t="s">
        <v>28</v>
      </c>
      <c r="N92" s="11">
        <v>5</v>
      </c>
      <c r="O92" s="11">
        <v>13999</v>
      </c>
      <c r="P92" s="11">
        <f t="shared" si="1"/>
        <v>69995</v>
      </c>
      <c r="Q92" s="11" t="s">
        <v>29</v>
      </c>
      <c r="R92" s="11" t="s">
        <v>41</v>
      </c>
      <c r="S92" s="11" t="s">
        <v>42</v>
      </c>
    </row>
    <row r="93" spans="1:19" x14ac:dyDescent="0.3">
      <c r="A93" s="11" t="s">
        <v>284</v>
      </c>
      <c r="B93" s="31">
        <v>46361</v>
      </c>
      <c r="C93" s="11" t="s">
        <v>77</v>
      </c>
      <c r="D93" s="11" t="s">
        <v>77</v>
      </c>
      <c r="E93" s="11" t="s">
        <v>95</v>
      </c>
      <c r="F93" s="11" t="s">
        <v>79</v>
      </c>
      <c r="G93" s="11" t="s">
        <v>285</v>
      </c>
      <c r="H93" s="11" t="s">
        <v>75</v>
      </c>
      <c r="I93" s="11" t="s">
        <v>24</v>
      </c>
      <c r="J93" s="11" t="s">
        <v>25</v>
      </c>
      <c r="K93" s="11" t="s">
        <v>92</v>
      </c>
      <c r="L93" s="11" t="s">
        <v>81</v>
      </c>
      <c r="M93" s="11" t="s">
        <v>28</v>
      </c>
      <c r="N93" s="11">
        <v>2</v>
      </c>
      <c r="O93" s="11">
        <v>21999</v>
      </c>
      <c r="P93" s="11">
        <f t="shared" si="1"/>
        <v>43998</v>
      </c>
      <c r="Q93" s="11" t="s">
        <v>93</v>
      </c>
      <c r="R93" s="11" t="s">
        <v>30</v>
      </c>
      <c r="S93" s="11" t="s">
        <v>42</v>
      </c>
    </row>
    <row r="94" spans="1:19" x14ac:dyDescent="0.3">
      <c r="A94" s="11" t="s">
        <v>286</v>
      </c>
      <c r="B94" s="31">
        <v>46361</v>
      </c>
      <c r="C94" s="11" t="s">
        <v>99</v>
      </c>
      <c r="D94" s="11" t="s">
        <v>127</v>
      </c>
      <c r="E94" s="11" t="s">
        <v>128</v>
      </c>
      <c r="F94" s="11" t="s">
        <v>122</v>
      </c>
      <c r="G94" s="11" t="s">
        <v>287</v>
      </c>
      <c r="H94" s="11" t="s">
        <v>89</v>
      </c>
      <c r="I94" s="11" t="s">
        <v>24</v>
      </c>
      <c r="J94" s="11" t="s">
        <v>25</v>
      </c>
      <c r="K94" s="11" t="s">
        <v>67</v>
      </c>
      <c r="L94" s="11" t="s">
        <v>51</v>
      </c>
      <c r="M94" s="11" t="s">
        <v>28</v>
      </c>
      <c r="N94" s="11">
        <v>3</v>
      </c>
      <c r="O94" s="11">
        <v>38999</v>
      </c>
      <c r="P94" s="11">
        <f t="shared" si="1"/>
        <v>116997</v>
      </c>
      <c r="Q94" s="11" t="s">
        <v>93</v>
      </c>
      <c r="R94" s="11" t="s">
        <v>30</v>
      </c>
      <c r="S94" s="11" t="s">
        <v>42</v>
      </c>
    </row>
    <row r="95" spans="1:19" x14ac:dyDescent="0.3">
      <c r="A95" s="11" t="s">
        <v>288</v>
      </c>
      <c r="B95" s="31">
        <v>46361</v>
      </c>
      <c r="C95" s="11" t="s">
        <v>84</v>
      </c>
      <c r="D95" s="11" t="s">
        <v>84</v>
      </c>
      <c r="E95" s="11" t="s">
        <v>205</v>
      </c>
      <c r="F95" s="11" t="s">
        <v>87</v>
      </c>
      <c r="G95" s="11" t="s">
        <v>289</v>
      </c>
      <c r="H95" s="11" t="s">
        <v>142</v>
      </c>
      <c r="I95" s="11" t="s">
        <v>24</v>
      </c>
      <c r="J95" s="11" t="s">
        <v>25</v>
      </c>
      <c r="K95" s="11" t="s">
        <v>92</v>
      </c>
      <c r="L95" s="11" t="s">
        <v>27</v>
      </c>
      <c r="M95" s="11" t="s">
        <v>28</v>
      </c>
      <c r="N95" s="11">
        <v>3</v>
      </c>
      <c r="O95" s="11">
        <v>21999</v>
      </c>
      <c r="P95" s="11">
        <f t="shared" si="1"/>
        <v>65997</v>
      </c>
      <c r="Q95" s="11" t="s">
        <v>29</v>
      </c>
      <c r="R95" s="11" t="s">
        <v>30</v>
      </c>
      <c r="S95" s="11" t="s">
        <v>53</v>
      </c>
    </row>
    <row r="96" spans="1:19" x14ac:dyDescent="0.3">
      <c r="A96" s="11" t="s">
        <v>290</v>
      </c>
      <c r="B96" s="31">
        <v>46361</v>
      </c>
      <c r="C96" s="11" t="s">
        <v>99</v>
      </c>
      <c r="D96" s="11" t="s">
        <v>99</v>
      </c>
      <c r="E96" s="11" t="s">
        <v>155</v>
      </c>
      <c r="F96" s="11" t="s">
        <v>21</v>
      </c>
      <c r="G96" s="11" t="s">
        <v>291</v>
      </c>
      <c r="H96" s="11" t="s">
        <v>124</v>
      </c>
      <c r="I96" s="11" t="s">
        <v>24</v>
      </c>
      <c r="J96" s="11" t="s">
        <v>25</v>
      </c>
      <c r="K96" s="11" t="s">
        <v>104</v>
      </c>
      <c r="L96" s="11" t="s">
        <v>68</v>
      </c>
      <c r="M96" s="11" t="s">
        <v>28</v>
      </c>
      <c r="N96" s="11">
        <v>2</v>
      </c>
      <c r="O96" s="11">
        <v>33999</v>
      </c>
      <c r="P96" s="11">
        <f t="shared" si="1"/>
        <v>67998</v>
      </c>
      <c r="Q96" s="11" t="s">
        <v>40</v>
      </c>
      <c r="R96" s="11" t="s">
        <v>41</v>
      </c>
      <c r="S96" s="11" t="s">
        <v>42</v>
      </c>
    </row>
    <row r="97" spans="1:19" x14ac:dyDescent="0.3">
      <c r="A97" s="11" t="s">
        <v>292</v>
      </c>
      <c r="B97" s="31">
        <v>46361</v>
      </c>
      <c r="C97" s="11" t="s">
        <v>55</v>
      </c>
      <c r="D97" s="11" t="s">
        <v>55</v>
      </c>
      <c r="E97" s="11" t="s">
        <v>137</v>
      </c>
      <c r="F97" s="11" t="s">
        <v>58</v>
      </c>
      <c r="G97" s="11" t="s">
        <v>293</v>
      </c>
      <c r="H97" s="11" t="s">
        <v>49</v>
      </c>
      <c r="I97" s="11" t="s">
        <v>24</v>
      </c>
      <c r="J97" s="11" t="s">
        <v>25</v>
      </c>
      <c r="K97" s="11" t="s">
        <v>67</v>
      </c>
      <c r="L97" s="11" t="s">
        <v>62</v>
      </c>
      <c r="M97" s="11" t="s">
        <v>28</v>
      </c>
      <c r="N97" s="11">
        <v>5</v>
      </c>
      <c r="O97" s="11">
        <v>38999</v>
      </c>
      <c r="P97" s="11">
        <f t="shared" si="1"/>
        <v>194995</v>
      </c>
      <c r="Q97" s="11" t="s">
        <v>40</v>
      </c>
      <c r="R97" s="11" t="s">
        <v>82</v>
      </c>
      <c r="S97" s="11" t="s">
        <v>31</v>
      </c>
    </row>
    <row r="98" spans="1:19" x14ac:dyDescent="0.3">
      <c r="A98" s="11" t="s">
        <v>294</v>
      </c>
      <c r="B98" s="31">
        <v>46361</v>
      </c>
      <c r="C98" s="11" t="s">
        <v>33</v>
      </c>
      <c r="D98" s="11" t="s">
        <v>33</v>
      </c>
      <c r="E98" s="11" t="s">
        <v>241</v>
      </c>
      <c r="F98" s="11" t="s">
        <v>134</v>
      </c>
      <c r="G98" s="11" t="s">
        <v>295</v>
      </c>
      <c r="H98" s="11" t="s">
        <v>23</v>
      </c>
      <c r="I98" s="11" t="s">
        <v>24</v>
      </c>
      <c r="J98" s="11" t="s">
        <v>25</v>
      </c>
      <c r="K98" s="11" t="s">
        <v>61</v>
      </c>
      <c r="L98" s="11" t="s">
        <v>68</v>
      </c>
      <c r="M98" s="11" t="s">
        <v>28</v>
      </c>
      <c r="N98" s="11">
        <v>4</v>
      </c>
      <c r="O98" s="11">
        <v>189999</v>
      </c>
      <c r="P98" s="11">
        <f t="shared" si="1"/>
        <v>759996</v>
      </c>
      <c r="Q98" s="11" t="s">
        <v>52</v>
      </c>
      <c r="R98" s="11" t="s">
        <v>41</v>
      </c>
      <c r="S98" s="11" t="s">
        <v>42</v>
      </c>
    </row>
    <row r="99" spans="1:19" x14ac:dyDescent="0.3">
      <c r="A99" s="11" t="s">
        <v>296</v>
      </c>
      <c r="B99" s="31">
        <v>46361</v>
      </c>
      <c r="C99" s="11" t="s">
        <v>84</v>
      </c>
      <c r="D99" s="11" t="s">
        <v>85</v>
      </c>
      <c r="E99" s="11" t="s">
        <v>86</v>
      </c>
      <c r="F99" s="11" t="s">
        <v>122</v>
      </c>
      <c r="G99" s="11" t="s">
        <v>297</v>
      </c>
      <c r="H99" s="11" t="s">
        <v>75</v>
      </c>
      <c r="I99" s="11" t="s">
        <v>24</v>
      </c>
      <c r="J99" s="11" t="s">
        <v>25</v>
      </c>
      <c r="K99" s="11" t="s">
        <v>92</v>
      </c>
      <c r="L99" s="11" t="s">
        <v>105</v>
      </c>
      <c r="M99" s="11" t="s">
        <v>28</v>
      </c>
      <c r="N99" s="11">
        <v>3</v>
      </c>
      <c r="O99" s="11">
        <v>21999</v>
      </c>
      <c r="P99" s="11">
        <f t="shared" si="1"/>
        <v>65997</v>
      </c>
      <c r="Q99" s="11" t="s">
        <v>52</v>
      </c>
      <c r="R99" s="11" t="s">
        <v>82</v>
      </c>
      <c r="S99" s="11" t="s">
        <v>53</v>
      </c>
    </row>
    <row r="100" spans="1:19" x14ac:dyDescent="0.3">
      <c r="A100" s="11" t="s">
        <v>298</v>
      </c>
      <c r="B100" s="31">
        <v>46361</v>
      </c>
      <c r="C100" s="11" t="s">
        <v>84</v>
      </c>
      <c r="D100" s="11" t="s">
        <v>85</v>
      </c>
      <c r="E100" s="11" t="s">
        <v>86</v>
      </c>
      <c r="F100" s="11" t="s">
        <v>162</v>
      </c>
      <c r="G100" s="11" t="s">
        <v>299</v>
      </c>
      <c r="H100" s="11" t="s">
        <v>23</v>
      </c>
      <c r="I100" s="11" t="s">
        <v>24</v>
      </c>
      <c r="J100" s="11" t="s">
        <v>25</v>
      </c>
      <c r="K100" s="11" t="s">
        <v>67</v>
      </c>
      <c r="L100" s="11" t="s">
        <v>51</v>
      </c>
      <c r="M100" s="11" t="s">
        <v>28</v>
      </c>
      <c r="N100" s="11">
        <v>3</v>
      </c>
      <c r="O100" s="11">
        <v>38999</v>
      </c>
      <c r="P100" s="11">
        <f t="shared" si="1"/>
        <v>116997</v>
      </c>
      <c r="Q100" s="11" t="s">
        <v>52</v>
      </c>
      <c r="R100" s="11" t="s">
        <v>41</v>
      </c>
      <c r="S100" s="11" t="s">
        <v>31</v>
      </c>
    </row>
    <row r="101" spans="1:19" x14ac:dyDescent="0.3">
      <c r="A101" s="11" t="s">
        <v>300</v>
      </c>
      <c r="B101" s="31">
        <v>46361</v>
      </c>
      <c r="C101" s="11" t="s">
        <v>99</v>
      </c>
      <c r="D101" s="11" t="s">
        <v>127</v>
      </c>
      <c r="E101" s="11" t="s">
        <v>128</v>
      </c>
      <c r="F101" s="11" t="s">
        <v>87</v>
      </c>
      <c r="G101" s="11" t="s">
        <v>301</v>
      </c>
      <c r="H101" s="11" t="s">
        <v>110</v>
      </c>
      <c r="I101" s="11" t="s">
        <v>24</v>
      </c>
      <c r="J101" s="11" t="s">
        <v>25</v>
      </c>
      <c r="K101" s="11" t="s">
        <v>38</v>
      </c>
      <c r="L101" s="11" t="s">
        <v>51</v>
      </c>
      <c r="M101" s="11" t="s">
        <v>28</v>
      </c>
      <c r="N101" s="11">
        <v>5</v>
      </c>
      <c r="O101" s="11">
        <v>54999</v>
      </c>
      <c r="P101" s="11">
        <f t="shared" si="1"/>
        <v>274995</v>
      </c>
      <c r="Q101" s="11" t="s">
        <v>52</v>
      </c>
      <c r="R101" s="11" t="s">
        <v>82</v>
      </c>
      <c r="S101" s="11" t="s">
        <v>31</v>
      </c>
    </row>
    <row r="102" spans="1:19" x14ac:dyDescent="0.3">
      <c r="A102" s="11" t="s">
        <v>302</v>
      </c>
      <c r="B102" s="31">
        <v>46361</v>
      </c>
      <c r="C102" s="11" t="s">
        <v>77</v>
      </c>
      <c r="D102" s="11" t="s">
        <v>77</v>
      </c>
      <c r="E102" s="11" t="s">
        <v>95</v>
      </c>
      <c r="F102" s="11" t="s">
        <v>79</v>
      </c>
      <c r="G102" s="11" t="s">
        <v>303</v>
      </c>
      <c r="H102" s="11" t="s">
        <v>49</v>
      </c>
      <c r="I102" s="11" t="s">
        <v>24</v>
      </c>
      <c r="J102" s="11" t="s">
        <v>25</v>
      </c>
      <c r="K102" s="11" t="s">
        <v>125</v>
      </c>
      <c r="L102" s="11" t="s">
        <v>62</v>
      </c>
      <c r="M102" s="11" t="s">
        <v>28</v>
      </c>
      <c r="N102" s="11">
        <v>5</v>
      </c>
      <c r="O102" s="11">
        <v>84999</v>
      </c>
      <c r="P102" s="11">
        <f t="shared" si="1"/>
        <v>424995</v>
      </c>
      <c r="Q102" s="11" t="s">
        <v>93</v>
      </c>
      <c r="R102" s="11" t="s">
        <v>82</v>
      </c>
      <c r="S102" s="11" t="s">
        <v>42</v>
      </c>
    </row>
    <row r="103" spans="1:19" x14ac:dyDescent="0.3">
      <c r="A103" s="11" t="s">
        <v>304</v>
      </c>
      <c r="B103" s="31">
        <v>46155</v>
      </c>
      <c r="C103" s="11" t="s">
        <v>55</v>
      </c>
      <c r="D103" s="11" t="s">
        <v>55</v>
      </c>
      <c r="E103" s="11" t="s">
        <v>46</v>
      </c>
      <c r="F103" s="11" t="s">
        <v>122</v>
      </c>
      <c r="G103" s="11" t="s">
        <v>305</v>
      </c>
      <c r="H103" s="11" t="s">
        <v>37</v>
      </c>
      <c r="I103" s="11" t="s">
        <v>24</v>
      </c>
      <c r="J103" s="11" t="s">
        <v>25</v>
      </c>
      <c r="K103" s="11" t="s">
        <v>92</v>
      </c>
      <c r="L103" s="11" t="s">
        <v>105</v>
      </c>
      <c r="M103" s="11" t="s">
        <v>28</v>
      </c>
      <c r="N103" s="11">
        <v>4</v>
      </c>
      <c r="O103" s="11">
        <v>21999</v>
      </c>
      <c r="P103" s="11">
        <f t="shared" si="1"/>
        <v>87996</v>
      </c>
      <c r="Q103" s="11" t="s">
        <v>93</v>
      </c>
      <c r="R103" s="11" t="s">
        <v>41</v>
      </c>
      <c r="S103" s="11" t="s">
        <v>53</v>
      </c>
    </row>
    <row r="104" spans="1:19" x14ac:dyDescent="0.3">
      <c r="A104" s="11" t="s">
        <v>306</v>
      </c>
      <c r="B104" s="31">
        <v>46155</v>
      </c>
      <c r="C104" s="11" t="s">
        <v>33</v>
      </c>
      <c r="D104" s="11" t="s">
        <v>64</v>
      </c>
      <c r="E104" s="11" t="s">
        <v>65</v>
      </c>
      <c r="F104" s="11" t="s">
        <v>35</v>
      </c>
      <c r="G104" s="11" t="s">
        <v>307</v>
      </c>
      <c r="H104" s="11" t="s">
        <v>153</v>
      </c>
      <c r="I104" s="11" t="s">
        <v>24</v>
      </c>
      <c r="J104" s="11" t="s">
        <v>25</v>
      </c>
      <c r="K104" s="11" t="s">
        <v>125</v>
      </c>
      <c r="L104" s="11" t="s">
        <v>81</v>
      </c>
      <c r="M104" s="11" t="s">
        <v>28</v>
      </c>
      <c r="N104" s="11">
        <v>1</v>
      </c>
      <c r="O104" s="11">
        <v>84999</v>
      </c>
      <c r="P104" s="11">
        <f t="shared" si="1"/>
        <v>84999</v>
      </c>
      <c r="Q104" s="11" t="s">
        <v>52</v>
      </c>
      <c r="R104" s="11" t="s">
        <v>30</v>
      </c>
      <c r="S104" s="11" t="s">
        <v>42</v>
      </c>
    </row>
    <row r="105" spans="1:19" x14ac:dyDescent="0.3">
      <c r="A105" s="11" t="s">
        <v>308</v>
      </c>
      <c r="B105" s="31">
        <v>46155</v>
      </c>
      <c r="C105" s="11" t="s">
        <v>44</v>
      </c>
      <c r="D105" s="11" t="s">
        <v>44</v>
      </c>
      <c r="E105" s="11" t="s">
        <v>144</v>
      </c>
      <c r="F105" s="11" t="s">
        <v>138</v>
      </c>
      <c r="G105" s="11" t="s">
        <v>309</v>
      </c>
      <c r="H105" s="11" t="s">
        <v>110</v>
      </c>
      <c r="I105" s="11" t="s">
        <v>24</v>
      </c>
      <c r="J105" s="11" t="s">
        <v>25</v>
      </c>
      <c r="K105" s="11" t="s">
        <v>67</v>
      </c>
      <c r="L105" s="11" t="s">
        <v>68</v>
      </c>
      <c r="M105" s="11" t="s">
        <v>28</v>
      </c>
      <c r="N105" s="11">
        <v>2</v>
      </c>
      <c r="O105" s="11">
        <v>38999</v>
      </c>
      <c r="P105" s="11">
        <f t="shared" si="1"/>
        <v>77998</v>
      </c>
      <c r="Q105" s="11" t="s">
        <v>93</v>
      </c>
      <c r="R105" s="11" t="s">
        <v>41</v>
      </c>
      <c r="S105" s="11" t="s">
        <v>31</v>
      </c>
    </row>
    <row r="106" spans="1:19" x14ac:dyDescent="0.3">
      <c r="A106" s="11" t="s">
        <v>310</v>
      </c>
      <c r="B106" s="31">
        <v>46155</v>
      </c>
      <c r="C106" s="11" t="s">
        <v>84</v>
      </c>
      <c r="D106" s="11" t="s">
        <v>84</v>
      </c>
      <c r="E106" s="11" t="s">
        <v>205</v>
      </c>
      <c r="F106" s="11" t="s">
        <v>73</v>
      </c>
      <c r="G106" s="11" t="s">
        <v>311</v>
      </c>
      <c r="H106" s="11" t="s">
        <v>89</v>
      </c>
      <c r="I106" s="11" t="s">
        <v>24</v>
      </c>
      <c r="J106" s="11" t="s">
        <v>25</v>
      </c>
      <c r="K106" s="11" t="s">
        <v>104</v>
      </c>
      <c r="L106" s="11" t="s">
        <v>68</v>
      </c>
      <c r="M106" s="11" t="s">
        <v>28</v>
      </c>
      <c r="N106" s="11">
        <v>4</v>
      </c>
      <c r="O106" s="11">
        <v>33999</v>
      </c>
      <c r="P106" s="11">
        <f t="shared" si="1"/>
        <v>135996</v>
      </c>
      <c r="Q106" s="11" t="s">
        <v>93</v>
      </c>
      <c r="R106" s="11" t="s">
        <v>30</v>
      </c>
      <c r="S106" s="11" t="s">
        <v>31</v>
      </c>
    </row>
    <row r="107" spans="1:19" x14ac:dyDescent="0.3">
      <c r="A107" s="11" t="s">
        <v>312</v>
      </c>
      <c r="B107" s="31">
        <v>46156</v>
      </c>
      <c r="C107" s="11" t="s">
        <v>77</v>
      </c>
      <c r="D107" s="11" t="s">
        <v>77</v>
      </c>
      <c r="E107" s="11" t="s">
        <v>78</v>
      </c>
      <c r="F107" s="11" t="s">
        <v>122</v>
      </c>
      <c r="G107" s="11" t="s">
        <v>313</v>
      </c>
      <c r="H107" s="11" t="s">
        <v>75</v>
      </c>
      <c r="I107" s="11" t="s">
        <v>24</v>
      </c>
      <c r="J107" s="11" t="s">
        <v>25</v>
      </c>
      <c r="K107" s="11" t="s">
        <v>92</v>
      </c>
      <c r="L107" s="11" t="s">
        <v>39</v>
      </c>
      <c r="M107" s="11" t="s">
        <v>28</v>
      </c>
      <c r="N107" s="11">
        <v>4</v>
      </c>
      <c r="O107" s="11">
        <v>21999</v>
      </c>
      <c r="P107" s="11">
        <f t="shared" si="1"/>
        <v>87996</v>
      </c>
      <c r="Q107" s="11" t="s">
        <v>40</v>
      </c>
      <c r="R107" s="11" t="s">
        <v>82</v>
      </c>
      <c r="S107" s="11" t="s">
        <v>53</v>
      </c>
    </row>
    <row r="108" spans="1:19" x14ac:dyDescent="0.3">
      <c r="A108" s="11" t="s">
        <v>314</v>
      </c>
      <c r="B108" s="31">
        <v>46156</v>
      </c>
      <c r="C108" s="11" t="s">
        <v>70</v>
      </c>
      <c r="D108" s="11" t="s">
        <v>70</v>
      </c>
      <c r="E108" s="11" t="s">
        <v>215</v>
      </c>
      <c r="F108" s="11" t="s">
        <v>79</v>
      </c>
      <c r="G108" s="11" t="s">
        <v>315</v>
      </c>
      <c r="H108" s="11" t="s">
        <v>37</v>
      </c>
      <c r="I108" s="11" t="s">
        <v>24</v>
      </c>
      <c r="J108" s="11" t="s">
        <v>25</v>
      </c>
      <c r="K108" s="11" t="s">
        <v>97</v>
      </c>
      <c r="L108" s="11" t="s">
        <v>51</v>
      </c>
      <c r="M108" s="11" t="s">
        <v>28</v>
      </c>
      <c r="N108" s="11">
        <v>4</v>
      </c>
      <c r="O108" s="11">
        <v>124999</v>
      </c>
      <c r="P108" s="11">
        <f t="shared" si="1"/>
        <v>499996</v>
      </c>
      <c r="Q108" s="11" t="s">
        <v>40</v>
      </c>
      <c r="R108" s="11" t="s">
        <v>82</v>
      </c>
      <c r="S108" s="11" t="s">
        <v>42</v>
      </c>
    </row>
    <row r="109" spans="1:19" x14ac:dyDescent="0.3">
      <c r="A109" s="11" t="s">
        <v>316</v>
      </c>
      <c r="B109" s="31">
        <v>46156</v>
      </c>
      <c r="C109" s="11" t="s">
        <v>84</v>
      </c>
      <c r="D109" s="11" t="s">
        <v>84</v>
      </c>
      <c r="E109" s="11" t="s">
        <v>205</v>
      </c>
      <c r="F109" s="11" t="s">
        <v>58</v>
      </c>
      <c r="G109" s="11" t="s">
        <v>317</v>
      </c>
      <c r="H109" s="11" t="s">
        <v>23</v>
      </c>
      <c r="I109" s="11" t="s">
        <v>24</v>
      </c>
      <c r="J109" s="11" t="s">
        <v>25</v>
      </c>
      <c r="K109" s="11" t="s">
        <v>92</v>
      </c>
      <c r="L109" s="11" t="s">
        <v>81</v>
      </c>
      <c r="M109" s="11" t="s">
        <v>28</v>
      </c>
      <c r="N109" s="11">
        <v>3</v>
      </c>
      <c r="O109" s="11">
        <v>21999</v>
      </c>
      <c r="P109" s="11">
        <f t="shared" si="1"/>
        <v>65997</v>
      </c>
      <c r="Q109" s="11" t="s">
        <v>40</v>
      </c>
      <c r="R109" s="11" t="s">
        <v>41</v>
      </c>
      <c r="S109" s="11" t="s">
        <v>53</v>
      </c>
    </row>
    <row r="110" spans="1:19" x14ac:dyDescent="0.3">
      <c r="A110" s="11" t="s">
        <v>318</v>
      </c>
      <c r="B110" s="31">
        <v>46156</v>
      </c>
      <c r="C110" s="11" t="s">
        <v>99</v>
      </c>
      <c r="D110" s="11" t="s">
        <v>127</v>
      </c>
      <c r="E110" s="11" t="s">
        <v>128</v>
      </c>
      <c r="F110" s="11" t="s">
        <v>47</v>
      </c>
      <c r="G110" s="11" t="s">
        <v>319</v>
      </c>
      <c r="H110" s="11" t="s">
        <v>89</v>
      </c>
      <c r="I110" s="11" t="s">
        <v>24</v>
      </c>
      <c r="J110" s="11" t="s">
        <v>25</v>
      </c>
      <c r="K110" s="11" t="s">
        <v>125</v>
      </c>
      <c r="L110" s="11" t="s">
        <v>27</v>
      </c>
      <c r="M110" s="11" t="s">
        <v>28</v>
      </c>
      <c r="N110" s="11">
        <v>4</v>
      </c>
      <c r="O110" s="11">
        <v>84999</v>
      </c>
      <c r="P110" s="11">
        <f t="shared" si="1"/>
        <v>339996</v>
      </c>
      <c r="Q110" s="11" t="s">
        <v>52</v>
      </c>
      <c r="R110" s="11" t="s">
        <v>30</v>
      </c>
      <c r="S110" s="11" t="s">
        <v>31</v>
      </c>
    </row>
    <row r="111" spans="1:19" x14ac:dyDescent="0.3">
      <c r="A111" s="11" t="s">
        <v>320</v>
      </c>
      <c r="B111" s="31">
        <v>46156</v>
      </c>
      <c r="C111" s="11" t="s">
        <v>84</v>
      </c>
      <c r="D111" s="11" t="s">
        <v>84</v>
      </c>
      <c r="E111" s="11" t="s">
        <v>167</v>
      </c>
      <c r="F111" s="11" t="s">
        <v>47</v>
      </c>
      <c r="G111" s="11" t="s">
        <v>321</v>
      </c>
      <c r="H111" s="11" t="s">
        <v>142</v>
      </c>
      <c r="I111" s="11" t="s">
        <v>24</v>
      </c>
      <c r="J111" s="11" t="s">
        <v>25</v>
      </c>
      <c r="K111" s="11" t="s">
        <v>92</v>
      </c>
      <c r="L111" s="11" t="s">
        <v>68</v>
      </c>
      <c r="M111" s="11" t="s">
        <v>28</v>
      </c>
      <c r="N111" s="11">
        <v>5</v>
      </c>
      <c r="O111" s="11">
        <v>21999</v>
      </c>
      <c r="P111" s="11">
        <f t="shared" si="1"/>
        <v>109995</v>
      </c>
      <c r="Q111" s="11" t="s">
        <v>93</v>
      </c>
      <c r="R111" s="11" t="s">
        <v>82</v>
      </c>
      <c r="S111" s="11" t="s">
        <v>31</v>
      </c>
    </row>
    <row r="112" spans="1:19" x14ac:dyDescent="0.3">
      <c r="A112" s="11" t="s">
        <v>322</v>
      </c>
      <c r="B112" s="31">
        <v>46157</v>
      </c>
      <c r="C112" s="11" t="s">
        <v>19</v>
      </c>
      <c r="D112" s="11" t="s">
        <v>107</v>
      </c>
      <c r="E112" s="11" t="s">
        <v>133</v>
      </c>
      <c r="F112" s="11" t="s">
        <v>21</v>
      </c>
      <c r="G112" s="11" t="s">
        <v>323</v>
      </c>
      <c r="H112" s="11" t="s">
        <v>60</v>
      </c>
      <c r="I112" s="11" t="s">
        <v>24</v>
      </c>
      <c r="J112" s="11" t="s">
        <v>25</v>
      </c>
      <c r="K112" s="11" t="s">
        <v>125</v>
      </c>
      <c r="L112" s="11" t="s">
        <v>27</v>
      </c>
      <c r="M112" s="11" t="s">
        <v>28</v>
      </c>
      <c r="N112" s="11">
        <v>2</v>
      </c>
      <c r="O112" s="11">
        <v>84999</v>
      </c>
      <c r="P112" s="11">
        <f t="shared" si="1"/>
        <v>169998</v>
      </c>
      <c r="Q112" s="11" t="s">
        <v>40</v>
      </c>
      <c r="R112" s="11" t="s">
        <v>30</v>
      </c>
      <c r="S112" s="11" t="s">
        <v>31</v>
      </c>
    </row>
    <row r="113" spans="1:19" x14ac:dyDescent="0.3">
      <c r="A113" s="11" t="s">
        <v>324</v>
      </c>
      <c r="B113" s="31">
        <v>46157</v>
      </c>
      <c r="C113" s="11" t="s">
        <v>19</v>
      </c>
      <c r="D113" s="11" t="s">
        <v>107</v>
      </c>
      <c r="E113" s="11" t="s">
        <v>108</v>
      </c>
      <c r="F113" s="11" t="s">
        <v>138</v>
      </c>
      <c r="G113" s="11" t="s">
        <v>325</v>
      </c>
      <c r="H113" s="11" t="s">
        <v>37</v>
      </c>
      <c r="I113" s="11" t="s">
        <v>24</v>
      </c>
      <c r="J113" s="11" t="s">
        <v>25</v>
      </c>
      <c r="K113" s="11" t="s">
        <v>38</v>
      </c>
      <c r="L113" s="11" t="s">
        <v>27</v>
      </c>
      <c r="M113" s="11" t="s">
        <v>28</v>
      </c>
      <c r="N113" s="11">
        <v>2</v>
      </c>
      <c r="O113" s="11">
        <v>54999</v>
      </c>
      <c r="P113" s="11">
        <f t="shared" si="1"/>
        <v>109998</v>
      </c>
      <c r="Q113" s="11" t="s">
        <v>29</v>
      </c>
      <c r="R113" s="11" t="s">
        <v>30</v>
      </c>
      <c r="S113" s="11" t="s">
        <v>42</v>
      </c>
    </row>
    <row r="114" spans="1:19" x14ac:dyDescent="0.3">
      <c r="A114" s="11" t="s">
        <v>326</v>
      </c>
      <c r="B114" s="31">
        <v>46157</v>
      </c>
      <c r="C114" s="11" t="s">
        <v>70</v>
      </c>
      <c r="D114" s="11" t="s">
        <v>70</v>
      </c>
      <c r="E114" s="11" t="s">
        <v>215</v>
      </c>
      <c r="F114" s="11" t="s">
        <v>47</v>
      </c>
      <c r="G114" s="11" t="s">
        <v>327</v>
      </c>
      <c r="H114" s="11" t="s">
        <v>110</v>
      </c>
      <c r="I114" s="11" t="s">
        <v>24</v>
      </c>
      <c r="J114" s="11" t="s">
        <v>25</v>
      </c>
      <c r="K114" s="11" t="s">
        <v>97</v>
      </c>
      <c r="L114" s="11" t="s">
        <v>68</v>
      </c>
      <c r="M114" s="11" t="s">
        <v>28</v>
      </c>
      <c r="N114" s="11">
        <v>5</v>
      </c>
      <c r="O114" s="11">
        <v>124999</v>
      </c>
      <c r="P114" s="11">
        <f t="shared" si="1"/>
        <v>624995</v>
      </c>
      <c r="Q114" s="11" t="s">
        <v>29</v>
      </c>
      <c r="R114" s="11" t="s">
        <v>82</v>
      </c>
      <c r="S114" s="11" t="s">
        <v>31</v>
      </c>
    </row>
    <row r="115" spans="1:19" x14ac:dyDescent="0.3">
      <c r="A115" s="11" t="s">
        <v>328</v>
      </c>
      <c r="B115" s="31">
        <v>46157</v>
      </c>
      <c r="C115" s="11" t="s">
        <v>55</v>
      </c>
      <c r="D115" s="11" t="s">
        <v>55</v>
      </c>
      <c r="E115" s="11" t="s">
        <v>46</v>
      </c>
      <c r="F115" s="11" t="s">
        <v>162</v>
      </c>
      <c r="G115" s="11" t="s">
        <v>329</v>
      </c>
      <c r="H115" s="11" t="s">
        <v>75</v>
      </c>
      <c r="I115" s="11" t="s">
        <v>24</v>
      </c>
      <c r="J115" s="11" t="s">
        <v>25</v>
      </c>
      <c r="K115" s="11" t="s">
        <v>50</v>
      </c>
      <c r="L115" s="11" t="s">
        <v>62</v>
      </c>
      <c r="M115" s="11" t="s">
        <v>28</v>
      </c>
      <c r="N115" s="11">
        <v>1</v>
      </c>
      <c r="O115" s="11">
        <v>22999</v>
      </c>
      <c r="P115" s="11">
        <f t="shared" si="1"/>
        <v>22999</v>
      </c>
      <c r="Q115" s="11" t="s">
        <v>29</v>
      </c>
      <c r="R115" s="11" t="s">
        <v>41</v>
      </c>
      <c r="S115" s="11" t="s">
        <v>42</v>
      </c>
    </row>
    <row r="116" spans="1:19" x14ac:dyDescent="0.3">
      <c r="A116" s="11" t="s">
        <v>330</v>
      </c>
      <c r="B116" s="31">
        <v>46157</v>
      </c>
      <c r="C116" s="11" t="s">
        <v>44</v>
      </c>
      <c r="D116" s="11" t="s">
        <v>45</v>
      </c>
      <c r="E116" s="11" t="s">
        <v>198</v>
      </c>
      <c r="F116" s="11" t="s">
        <v>138</v>
      </c>
      <c r="G116" s="11" t="s">
        <v>331</v>
      </c>
      <c r="H116" s="11" t="s">
        <v>60</v>
      </c>
      <c r="I116" s="11" t="s">
        <v>24</v>
      </c>
      <c r="J116" s="11" t="s">
        <v>25</v>
      </c>
      <c r="K116" s="11" t="s">
        <v>92</v>
      </c>
      <c r="L116" s="11" t="s">
        <v>51</v>
      </c>
      <c r="M116" s="11" t="s">
        <v>28</v>
      </c>
      <c r="N116" s="11">
        <v>1</v>
      </c>
      <c r="O116" s="11">
        <v>21999</v>
      </c>
      <c r="P116" s="11">
        <f t="shared" si="1"/>
        <v>21999</v>
      </c>
      <c r="Q116" s="11" t="s">
        <v>40</v>
      </c>
      <c r="R116" s="11" t="s">
        <v>82</v>
      </c>
      <c r="S116" s="11" t="s">
        <v>31</v>
      </c>
    </row>
    <row r="117" spans="1:19" x14ac:dyDescent="0.3">
      <c r="A117" s="11" t="s">
        <v>332</v>
      </c>
      <c r="B117" s="31">
        <v>46157</v>
      </c>
      <c r="C117" s="11" t="s">
        <v>33</v>
      </c>
      <c r="D117" s="11" t="s">
        <v>33</v>
      </c>
      <c r="E117" s="11" t="s">
        <v>34</v>
      </c>
      <c r="F117" s="11" t="s">
        <v>35</v>
      </c>
      <c r="G117" s="11" t="s">
        <v>333</v>
      </c>
      <c r="H117" s="11" t="s">
        <v>142</v>
      </c>
      <c r="I117" s="11" t="s">
        <v>24</v>
      </c>
      <c r="J117" s="11" t="s">
        <v>25</v>
      </c>
      <c r="K117" s="11" t="s">
        <v>26</v>
      </c>
      <c r="L117" s="11" t="s">
        <v>51</v>
      </c>
      <c r="M117" s="11" t="s">
        <v>28</v>
      </c>
      <c r="N117" s="11">
        <v>5</v>
      </c>
      <c r="O117" s="11">
        <v>13999</v>
      </c>
      <c r="P117" s="11">
        <f t="shared" si="1"/>
        <v>69995</v>
      </c>
      <c r="Q117" s="11" t="s">
        <v>52</v>
      </c>
      <c r="R117" s="11" t="s">
        <v>82</v>
      </c>
      <c r="S117" s="11" t="s">
        <v>53</v>
      </c>
    </row>
    <row r="118" spans="1:19" x14ac:dyDescent="0.3">
      <c r="A118" s="11" t="s">
        <v>334</v>
      </c>
      <c r="B118" s="31">
        <v>46157</v>
      </c>
      <c r="C118" s="11" t="s">
        <v>77</v>
      </c>
      <c r="D118" s="11" t="s">
        <v>77</v>
      </c>
      <c r="E118" s="11" t="s">
        <v>78</v>
      </c>
      <c r="F118" s="11" t="s">
        <v>87</v>
      </c>
      <c r="G118" s="11" t="s">
        <v>335</v>
      </c>
      <c r="H118" s="11" t="s">
        <v>124</v>
      </c>
      <c r="I118" s="11" t="s">
        <v>24</v>
      </c>
      <c r="J118" s="11" t="s">
        <v>25</v>
      </c>
      <c r="K118" s="11" t="s">
        <v>61</v>
      </c>
      <c r="L118" s="11" t="s">
        <v>27</v>
      </c>
      <c r="M118" s="11" t="s">
        <v>28</v>
      </c>
      <c r="N118" s="11">
        <v>1</v>
      </c>
      <c r="O118" s="11">
        <v>189999</v>
      </c>
      <c r="P118" s="11">
        <f t="shared" si="1"/>
        <v>189999</v>
      </c>
      <c r="Q118" s="11" t="s">
        <v>93</v>
      </c>
      <c r="R118" s="11" t="s">
        <v>82</v>
      </c>
      <c r="S118" s="11" t="s">
        <v>31</v>
      </c>
    </row>
    <row r="119" spans="1:19" x14ac:dyDescent="0.3">
      <c r="A119" s="11" t="s">
        <v>336</v>
      </c>
      <c r="B119" s="31">
        <v>46157</v>
      </c>
      <c r="C119" s="11" t="s">
        <v>55</v>
      </c>
      <c r="D119" s="11" t="s">
        <v>56</v>
      </c>
      <c r="E119" s="11" t="s">
        <v>172</v>
      </c>
      <c r="F119" s="11" t="s">
        <v>134</v>
      </c>
      <c r="G119" s="11" t="s">
        <v>337</v>
      </c>
      <c r="H119" s="11" t="s">
        <v>75</v>
      </c>
      <c r="I119" s="11" t="s">
        <v>24</v>
      </c>
      <c r="J119" s="11" t="s">
        <v>25</v>
      </c>
      <c r="K119" s="11" t="s">
        <v>61</v>
      </c>
      <c r="L119" s="11" t="s">
        <v>105</v>
      </c>
      <c r="M119" s="11" t="s">
        <v>28</v>
      </c>
      <c r="N119" s="11">
        <v>2</v>
      </c>
      <c r="O119" s="11">
        <v>189999</v>
      </c>
      <c r="P119" s="11">
        <f t="shared" si="1"/>
        <v>379998</v>
      </c>
      <c r="Q119" s="11" t="s">
        <v>52</v>
      </c>
      <c r="R119" s="11" t="s">
        <v>30</v>
      </c>
      <c r="S119" s="11" t="s">
        <v>53</v>
      </c>
    </row>
    <row r="120" spans="1:19" x14ac:dyDescent="0.3">
      <c r="A120" s="11" t="s">
        <v>338</v>
      </c>
      <c r="B120" s="31">
        <v>46157</v>
      </c>
      <c r="C120" s="11" t="s">
        <v>44</v>
      </c>
      <c r="D120" s="11" t="s">
        <v>45</v>
      </c>
      <c r="E120" s="11" t="s">
        <v>46</v>
      </c>
      <c r="F120" s="11" t="s">
        <v>122</v>
      </c>
      <c r="G120" s="11" t="s">
        <v>339</v>
      </c>
      <c r="H120" s="11" t="s">
        <v>75</v>
      </c>
      <c r="I120" s="11" t="s">
        <v>24</v>
      </c>
      <c r="J120" s="11" t="s">
        <v>25</v>
      </c>
      <c r="K120" s="11" t="s">
        <v>38</v>
      </c>
      <c r="L120" s="11" t="s">
        <v>81</v>
      </c>
      <c r="M120" s="11" t="s">
        <v>28</v>
      </c>
      <c r="N120" s="11">
        <v>4</v>
      </c>
      <c r="O120" s="11">
        <v>54999</v>
      </c>
      <c r="P120" s="11">
        <f t="shared" si="1"/>
        <v>219996</v>
      </c>
      <c r="Q120" s="11" t="s">
        <v>29</v>
      </c>
      <c r="R120" s="11" t="s">
        <v>30</v>
      </c>
      <c r="S120" s="11" t="s">
        <v>31</v>
      </c>
    </row>
    <row r="121" spans="1:19" x14ac:dyDescent="0.3">
      <c r="A121" s="11" t="s">
        <v>340</v>
      </c>
      <c r="B121" s="31">
        <v>46157</v>
      </c>
      <c r="C121" s="11" t="s">
        <v>33</v>
      </c>
      <c r="D121" s="11" t="s">
        <v>64</v>
      </c>
      <c r="E121" s="11" t="s">
        <v>65</v>
      </c>
      <c r="F121" s="11" t="s">
        <v>162</v>
      </c>
      <c r="G121" s="11" t="s">
        <v>341</v>
      </c>
      <c r="H121" s="11" t="s">
        <v>23</v>
      </c>
      <c r="I121" s="11" t="s">
        <v>24</v>
      </c>
      <c r="J121" s="11" t="s">
        <v>25</v>
      </c>
      <c r="K121" s="11" t="s">
        <v>92</v>
      </c>
      <c r="L121" s="11" t="s">
        <v>105</v>
      </c>
      <c r="M121" s="11" t="s">
        <v>28</v>
      </c>
      <c r="N121" s="11">
        <v>5</v>
      </c>
      <c r="O121" s="11">
        <v>21999</v>
      </c>
      <c r="P121" s="11">
        <f t="shared" si="1"/>
        <v>109995</v>
      </c>
      <c r="Q121" s="11" t="s">
        <v>52</v>
      </c>
      <c r="R121" s="11" t="s">
        <v>41</v>
      </c>
      <c r="S121" s="11" t="s">
        <v>42</v>
      </c>
    </row>
    <row r="122" spans="1:19" x14ac:dyDescent="0.3">
      <c r="A122" s="11" t="s">
        <v>342</v>
      </c>
      <c r="B122" s="31">
        <v>46158</v>
      </c>
      <c r="C122" s="11" t="s">
        <v>55</v>
      </c>
      <c r="D122" s="11" t="s">
        <v>55</v>
      </c>
      <c r="E122" s="11" t="s">
        <v>137</v>
      </c>
      <c r="F122" s="11" t="s">
        <v>122</v>
      </c>
      <c r="G122" s="11" t="s">
        <v>343</v>
      </c>
      <c r="H122" s="11" t="s">
        <v>75</v>
      </c>
      <c r="I122" s="11" t="s">
        <v>24</v>
      </c>
      <c r="J122" s="11" t="s">
        <v>25</v>
      </c>
      <c r="K122" s="11" t="s">
        <v>61</v>
      </c>
      <c r="L122" s="11" t="s">
        <v>68</v>
      </c>
      <c r="M122" s="11" t="s">
        <v>28</v>
      </c>
      <c r="N122" s="11">
        <v>4</v>
      </c>
      <c r="O122" s="11">
        <v>189999</v>
      </c>
      <c r="P122" s="11">
        <f t="shared" si="1"/>
        <v>759996</v>
      </c>
      <c r="Q122" s="11" t="s">
        <v>52</v>
      </c>
      <c r="R122" s="11" t="s">
        <v>82</v>
      </c>
      <c r="S122" s="11" t="s">
        <v>31</v>
      </c>
    </row>
    <row r="123" spans="1:19" x14ac:dyDescent="0.3">
      <c r="A123" s="11" t="s">
        <v>344</v>
      </c>
      <c r="B123" s="31">
        <v>46158</v>
      </c>
      <c r="C123" s="11" t="s">
        <v>77</v>
      </c>
      <c r="D123" s="11" t="s">
        <v>150</v>
      </c>
      <c r="E123" s="11" t="s">
        <v>151</v>
      </c>
      <c r="F123" s="11" t="s">
        <v>122</v>
      </c>
      <c r="G123" s="11" t="s">
        <v>345</v>
      </c>
      <c r="H123" s="11" t="s">
        <v>124</v>
      </c>
      <c r="I123" s="11" t="s">
        <v>24</v>
      </c>
      <c r="J123" s="11" t="s">
        <v>25</v>
      </c>
      <c r="K123" s="11" t="s">
        <v>97</v>
      </c>
      <c r="L123" s="11" t="s">
        <v>27</v>
      </c>
      <c r="M123" s="11" t="s">
        <v>28</v>
      </c>
      <c r="N123" s="11">
        <v>5</v>
      </c>
      <c r="O123" s="11">
        <v>124999</v>
      </c>
      <c r="P123" s="11">
        <f t="shared" si="1"/>
        <v>624995</v>
      </c>
      <c r="Q123" s="11" t="s">
        <v>40</v>
      </c>
      <c r="R123" s="11" t="s">
        <v>30</v>
      </c>
      <c r="S123" s="11" t="s">
        <v>42</v>
      </c>
    </row>
    <row r="124" spans="1:19" x14ac:dyDescent="0.3">
      <c r="A124" s="11" t="s">
        <v>346</v>
      </c>
      <c r="B124" s="31">
        <v>46158</v>
      </c>
      <c r="C124" s="11" t="s">
        <v>77</v>
      </c>
      <c r="D124" s="11" t="s">
        <v>150</v>
      </c>
      <c r="E124" s="11" t="s">
        <v>151</v>
      </c>
      <c r="F124" s="11" t="s">
        <v>87</v>
      </c>
      <c r="G124" s="11" t="s">
        <v>347</v>
      </c>
      <c r="H124" s="11" t="s">
        <v>49</v>
      </c>
      <c r="I124" s="11" t="s">
        <v>24</v>
      </c>
      <c r="J124" s="11" t="s">
        <v>25</v>
      </c>
      <c r="K124" s="11" t="s">
        <v>26</v>
      </c>
      <c r="L124" s="11" t="s">
        <v>62</v>
      </c>
      <c r="M124" s="11" t="s">
        <v>28</v>
      </c>
      <c r="N124" s="11">
        <v>4</v>
      </c>
      <c r="O124" s="11">
        <v>13999</v>
      </c>
      <c r="P124" s="11">
        <f t="shared" si="1"/>
        <v>55996</v>
      </c>
      <c r="Q124" s="11" t="s">
        <v>40</v>
      </c>
      <c r="R124" s="11" t="s">
        <v>41</v>
      </c>
      <c r="S124" s="11" t="s">
        <v>31</v>
      </c>
    </row>
    <row r="125" spans="1:19" x14ac:dyDescent="0.3">
      <c r="A125" s="11" t="s">
        <v>348</v>
      </c>
      <c r="B125" s="31">
        <v>46158</v>
      </c>
      <c r="C125" s="11" t="s">
        <v>55</v>
      </c>
      <c r="D125" s="11" t="s">
        <v>56</v>
      </c>
      <c r="E125" s="11" t="s">
        <v>57</v>
      </c>
      <c r="F125" s="11" t="s">
        <v>79</v>
      </c>
      <c r="G125" s="11" t="s">
        <v>349</v>
      </c>
      <c r="H125" s="11" t="s">
        <v>124</v>
      </c>
      <c r="I125" s="11" t="s">
        <v>24</v>
      </c>
      <c r="J125" s="11" t="s">
        <v>25</v>
      </c>
      <c r="K125" s="11" t="s">
        <v>104</v>
      </c>
      <c r="L125" s="11" t="s">
        <v>51</v>
      </c>
      <c r="M125" s="11" t="s">
        <v>28</v>
      </c>
      <c r="N125" s="11">
        <v>4</v>
      </c>
      <c r="O125" s="11">
        <v>33999</v>
      </c>
      <c r="P125" s="11">
        <f t="shared" si="1"/>
        <v>135996</v>
      </c>
      <c r="Q125" s="11" t="s">
        <v>52</v>
      </c>
      <c r="R125" s="11" t="s">
        <v>82</v>
      </c>
      <c r="S125" s="11" t="s">
        <v>42</v>
      </c>
    </row>
    <row r="126" spans="1:19" x14ac:dyDescent="0.3">
      <c r="A126" s="11" t="s">
        <v>350</v>
      </c>
      <c r="B126" s="31">
        <v>46158</v>
      </c>
      <c r="C126" s="11" t="s">
        <v>70</v>
      </c>
      <c r="D126" s="11" t="s">
        <v>70</v>
      </c>
      <c r="E126" s="11" t="s">
        <v>119</v>
      </c>
      <c r="F126" s="11" t="s">
        <v>162</v>
      </c>
      <c r="G126" s="11" t="s">
        <v>351</v>
      </c>
      <c r="H126" s="11" t="s">
        <v>124</v>
      </c>
      <c r="I126" s="11" t="s">
        <v>24</v>
      </c>
      <c r="J126" s="11" t="s">
        <v>25</v>
      </c>
      <c r="K126" s="11" t="s">
        <v>61</v>
      </c>
      <c r="L126" s="11" t="s">
        <v>39</v>
      </c>
      <c r="M126" s="11" t="s">
        <v>28</v>
      </c>
      <c r="N126" s="11">
        <v>3</v>
      </c>
      <c r="O126" s="11">
        <v>189999</v>
      </c>
      <c r="P126" s="11">
        <f t="shared" si="1"/>
        <v>569997</v>
      </c>
      <c r="Q126" s="11" t="s">
        <v>29</v>
      </c>
      <c r="R126" s="11" t="s">
        <v>30</v>
      </c>
      <c r="S126" s="11" t="s">
        <v>42</v>
      </c>
    </row>
    <row r="127" spans="1:19" x14ac:dyDescent="0.3">
      <c r="A127" s="11" t="s">
        <v>352</v>
      </c>
      <c r="B127" s="31">
        <v>46158</v>
      </c>
      <c r="C127" s="11" t="s">
        <v>84</v>
      </c>
      <c r="D127" s="11" t="s">
        <v>84</v>
      </c>
      <c r="E127" s="11" t="s">
        <v>167</v>
      </c>
      <c r="F127" s="11" t="s">
        <v>58</v>
      </c>
      <c r="G127" s="11" t="s">
        <v>353</v>
      </c>
      <c r="H127" s="11" t="s">
        <v>23</v>
      </c>
      <c r="I127" s="11" t="s">
        <v>24</v>
      </c>
      <c r="J127" s="11" t="s">
        <v>25</v>
      </c>
      <c r="K127" s="11" t="s">
        <v>104</v>
      </c>
      <c r="L127" s="11" t="s">
        <v>81</v>
      </c>
      <c r="M127" s="11" t="s">
        <v>28</v>
      </c>
      <c r="N127" s="11">
        <v>1</v>
      </c>
      <c r="O127" s="11">
        <v>33999</v>
      </c>
      <c r="P127" s="11">
        <f t="shared" si="1"/>
        <v>33999</v>
      </c>
      <c r="Q127" s="11" t="s">
        <v>40</v>
      </c>
      <c r="R127" s="11" t="s">
        <v>30</v>
      </c>
      <c r="S127" s="11" t="s">
        <v>53</v>
      </c>
    </row>
    <row r="128" spans="1:19" x14ac:dyDescent="0.3">
      <c r="A128" s="11" t="s">
        <v>354</v>
      </c>
      <c r="B128" s="31">
        <v>46158</v>
      </c>
      <c r="C128" s="11" t="s">
        <v>84</v>
      </c>
      <c r="D128" s="11" t="s">
        <v>85</v>
      </c>
      <c r="E128" s="11" t="s">
        <v>147</v>
      </c>
      <c r="F128" s="11" t="s">
        <v>79</v>
      </c>
      <c r="G128" s="11" t="s">
        <v>355</v>
      </c>
      <c r="H128" s="11" t="s">
        <v>110</v>
      </c>
      <c r="I128" s="11" t="s">
        <v>24</v>
      </c>
      <c r="J128" s="11" t="s">
        <v>25</v>
      </c>
      <c r="K128" s="11" t="s">
        <v>125</v>
      </c>
      <c r="L128" s="11" t="s">
        <v>68</v>
      </c>
      <c r="M128" s="11" t="s">
        <v>28</v>
      </c>
      <c r="N128" s="11">
        <v>2</v>
      </c>
      <c r="O128" s="11">
        <v>84999</v>
      </c>
      <c r="P128" s="11">
        <f t="shared" si="1"/>
        <v>169998</v>
      </c>
      <c r="Q128" s="11" t="s">
        <v>40</v>
      </c>
      <c r="R128" s="11" t="s">
        <v>82</v>
      </c>
      <c r="S128" s="11" t="s">
        <v>31</v>
      </c>
    </row>
    <row r="129" spans="1:19" x14ac:dyDescent="0.3">
      <c r="A129" s="11" t="s">
        <v>356</v>
      </c>
      <c r="B129" s="31">
        <v>46158</v>
      </c>
      <c r="C129" s="11" t="s">
        <v>19</v>
      </c>
      <c r="D129" s="11" t="s">
        <v>19</v>
      </c>
      <c r="E129" s="11" t="s">
        <v>357</v>
      </c>
      <c r="F129" s="11" t="s">
        <v>134</v>
      </c>
      <c r="G129" s="11" t="s">
        <v>358</v>
      </c>
      <c r="H129" s="11" t="s">
        <v>60</v>
      </c>
      <c r="I129" s="11" t="s">
        <v>24</v>
      </c>
      <c r="J129" s="11" t="s">
        <v>25</v>
      </c>
      <c r="K129" s="11" t="s">
        <v>104</v>
      </c>
      <c r="L129" s="11" t="s">
        <v>68</v>
      </c>
      <c r="M129" s="11" t="s">
        <v>28</v>
      </c>
      <c r="N129" s="11">
        <v>3</v>
      </c>
      <c r="O129" s="11">
        <v>33999</v>
      </c>
      <c r="P129" s="11">
        <f t="shared" si="1"/>
        <v>101997</v>
      </c>
      <c r="Q129" s="11" t="s">
        <v>93</v>
      </c>
      <c r="R129" s="11" t="s">
        <v>41</v>
      </c>
      <c r="S129" s="11" t="s">
        <v>31</v>
      </c>
    </row>
    <row r="130" spans="1:19" x14ac:dyDescent="0.3">
      <c r="A130" s="11" t="s">
        <v>359</v>
      </c>
      <c r="B130" s="31">
        <v>46158</v>
      </c>
      <c r="C130" s="11" t="s">
        <v>99</v>
      </c>
      <c r="D130" s="11" t="s">
        <v>175</v>
      </c>
      <c r="E130" s="11" t="s">
        <v>244</v>
      </c>
      <c r="F130" s="11" t="s">
        <v>47</v>
      </c>
      <c r="G130" s="11" t="s">
        <v>360</v>
      </c>
      <c r="H130" s="11" t="s">
        <v>37</v>
      </c>
      <c r="I130" s="11" t="s">
        <v>24</v>
      </c>
      <c r="J130" s="11" t="s">
        <v>25</v>
      </c>
      <c r="K130" s="11" t="s">
        <v>67</v>
      </c>
      <c r="L130" s="11" t="s">
        <v>105</v>
      </c>
      <c r="M130" s="11" t="s">
        <v>28</v>
      </c>
      <c r="N130" s="11">
        <v>1</v>
      </c>
      <c r="O130" s="11">
        <v>38999</v>
      </c>
      <c r="P130" s="11">
        <f t="shared" si="1"/>
        <v>38999</v>
      </c>
      <c r="Q130" s="11" t="s">
        <v>93</v>
      </c>
      <c r="R130" s="11" t="s">
        <v>82</v>
      </c>
      <c r="S130" s="11" t="s">
        <v>53</v>
      </c>
    </row>
    <row r="131" spans="1:19" x14ac:dyDescent="0.3">
      <c r="A131" s="11" t="s">
        <v>361</v>
      </c>
      <c r="B131" s="31">
        <v>46158</v>
      </c>
      <c r="C131" s="11" t="s">
        <v>19</v>
      </c>
      <c r="D131" s="11" t="s">
        <v>107</v>
      </c>
      <c r="E131" s="11" t="s">
        <v>133</v>
      </c>
      <c r="F131" s="11" t="s">
        <v>138</v>
      </c>
      <c r="G131" s="11" t="s">
        <v>362</v>
      </c>
      <c r="H131" s="11" t="s">
        <v>110</v>
      </c>
      <c r="I131" s="11" t="s">
        <v>24</v>
      </c>
      <c r="J131" s="11" t="s">
        <v>25</v>
      </c>
      <c r="K131" s="11" t="s">
        <v>61</v>
      </c>
      <c r="L131" s="11" t="s">
        <v>105</v>
      </c>
      <c r="M131" s="11" t="s">
        <v>28</v>
      </c>
      <c r="N131" s="11">
        <v>3</v>
      </c>
      <c r="O131" s="11">
        <v>189999</v>
      </c>
      <c r="P131" s="11">
        <f t="shared" si="1"/>
        <v>569997</v>
      </c>
      <c r="Q131" s="11" t="s">
        <v>52</v>
      </c>
      <c r="R131" s="11" t="s">
        <v>41</v>
      </c>
      <c r="S131" s="11" t="s">
        <v>31</v>
      </c>
    </row>
    <row r="132" spans="1:19" x14ac:dyDescent="0.3">
      <c r="A132" s="11" t="s">
        <v>363</v>
      </c>
      <c r="B132" s="31">
        <v>46159</v>
      </c>
      <c r="C132" s="11" t="s">
        <v>55</v>
      </c>
      <c r="D132" s="11" t="s">
        <v>56</v>
      </c>
      <c r="E132" s="11" t="s">
        <v>57</v>
      </c>
      <c r="F132" s="11" t="s">
        <v>87</v>
      </c>
      <c r="G132" s="11" t="s">
        <v>364</v>
      </c>
      <c r="H132" s="11" t="s">
        <v>124</v>
      </c>
      <c r="I132" s="11" t="s">
        <v>24</v>
      </c>
      <c r="J132" s="11" t="s">
        <v>25</v>
      </c>
      <c r="K132" s="11" t="s">
        <v>92</v>
      </c>
      <c r="L132" s="11" t="s">
        <v>62</v>
      </c>
      <c r="M132" s="11" t="s">
        <v>28</v>
      </c>
      <c r="N132" s="11">
        <v>2</v>
      </c>
      <c r="O132" s="11">
        <v>21999</v>
      </c>
      <c r="P132" s="11">
        <f t="shared" si="1"/>
        <v>43998</v>
      </c>
      <c r="Q132" s="11" t="s">
        <v>29</v>
      </c>
      <c r="R132" s="11" t="s">
        <v>30</v>
      </c>
      <c r="S132" s="11" t="s">
        <v>53</v>
      </c>
    </row>
    <row r="133" spans="1:19" x14ac:dyDescent="0.3">
      <c r="A133" s="11" t="s">
        <v>365</v>
      </c>
      <c r="B133" s="31">
        <v>46159</v>
      </c>
      <c r="C133" s="11" t="s">
        <v>70</v>
      </c>
      <c r="D133" s="11" t="s">
        <v>71</v>
      </c>
      <c r="E133" s="11" t="s">
        <v>119</v>
      </c>
      <c r="F133" s="11" t="s">
        <v>79</v>
      </c>
      <c r="G133" s="11" t="s">
        <v>366</v>
      </c>
      <c r="H133" s="11" t="s">
        <v>60</v>
      </c>
      <c r="I133" s="11" t="s">
        <v>24</v>
      </c>
      <c r="J133" s="11" t="s">
        <v>25</v>
      </c>
      <c r="K133" s="11" t="s">
        <v>26</v>
      </c>
      <c r="L133" s="11" t="s">
        <v>27</v>
      </c>
      <c r="M133" s="11" t="s">
        <v>28</v>
      </c>
      <c r="N133" s="11">
        <v>1</v>
      </c>
      <c r="O133" s="11">
        <v>13999</v>
      </c>
      <c r="P133" s="11">
        <f t="shared" si="1"/>
        <v>13999</v>
      </c>
      <c r="Q133" s="11" t="s">
        <v>29</v>
      </c>
      <c r="R133" s="11" t="s">
        <v>41</v>
      </c>
      <c r="S133" s="11" t="s">
        <v>31</v>
      </c>
    </row>
    <row r="134" spans="1:19" x14ac:dyDescent="0.3">
      <c r="A134" s="11" t="s">
        <v>367</v>
      </c>
      <c r="B134" s="31">
        <v>46159</v>
      </c>
      <c r="C134" s="11" t="s">
        <v>99</v>
      </c>
      <c r="D134" s="11" t="s">
        <v>99</v>
      </c>
      <c r="E134" s="11" t="s">
        <v>368</v>
      </c>
      <c r="F134" s="11" t="s">
        <v>47</v>
      </c>
      <c r="G134" s="11" t="s">
        <v>369</v>
      </c>
      <c r="H134" s="11" t="s">
        <v>75</v>
      </c>
      <c r="I134" s="11" t="s">
        <v>24</v>
      </c>
      <c r="J134" s="11" t="s">
        <v>25</v>
      </c>
      <c r="K134" s="11" t="s">
        <v>50</v>
      </c>
      <c r="L134" s="11" t="s">
        <v>62</v>
      </c>
      <c r="M134" s="11" t="s">
        <v>28</v>
      </c>
      <c r="N134" s="11">
        <v>5</v>
      </c>
      <c r="O134" s="11">
        <v>22999</v>
      </c>
      <c r="P134" s="11">
        <f t="shared" si="1"/>
        <v>114995</v>
      </c>
      <c r="Q134" s="11" t="s">
        <v>52</v>
      </c>
      <c r="R134" s="11" t="s">
        <v>30</v>
      </c>
      <c r="S134" s="11" t="s">
        <v>53</v>
      </c>
    </row>
    <row r="135" spans="1:19" x14ac:dyDescent="0.3">
      <c r="A135" s="11" t="s">
        <v>370</v>
      </c>
      <c r="B135" s="31">
        <v>46159</v>
      </c>
      <c r="C135" s="11" t="s">
        <v>70</v>
      </c>
      <c r="D135" s="11" t="s">
        <v>70</v>
      </c>
      <c r="E135" s="11" t="s">
        <v>215</v>
      </c>
      <c r="F135" s="11" t="s">
        <v>35</v>
      </c>
      <c r="G135" s="11" t="s">
        <v>371</v>
      </c>
      <c r="H135" s="11" t="s">
        <v>110</v>
      </c>
      <c r="I135" s="11" t="s">
        <v>24</v>
      </c>
      <c r="J135" s="11" t="s">
        <v>25</v>
      </c>
      <c r="K135" s="11" t="s">
        <v>61</v>
      </c>
      <c r="L135" s="11" t="s">
        <v>68</v>
      </c>
      <c r="M135" s="11" t="s">
        <v>28</v>
      </c>
      <c r="N135" s="11">
        <v>5</v>
      </c>
      <c r="O135" s="11">
        <v>189999</v>
      </c>
      <c r="P135" s="11">
        <f t="shared" si="1"/>
        <v>949995</v>
      </c>
      <c r="Q135" s="11" t="s">
        <v>40</v>
      </c>
      <c r="R135" s="11" t="s">
        <v>41</v>
      </c>
      <c r="S135" s="11" t="s">
        <v>42</v>
      </c>
    </row>
    <row r="136" spans="1:19" x14ac:dyDescent="0.3">
      <c r="A136" s="11" t="s">
        <v>372</v>
      </c>
      <c r="B136" s="31">
        <v>46159</v>
      </c>
      <c r="C136" s="11" t="s">
        <v>99</v>
      </c>
      <c r="D136" s="11" t="s">
        <v>127</v>
      </c>
      <c r="E136" s="11" t="s">
        <v>187</v>
      </c>
      <c r="F136" s="11" t="s">
        <v>47</v>
      </c>
      <c r="G136" s="11" t="s">
        <v>373</v>
      </c>
      <c r="H136" s="11" t="s">
        <v>89</v>
      </c>
      <c r="I136" s="11" t="s">
        <v>24</v>
      </c>
      <c r="J136" s="11" t="s">
        <v>25</v>
      </c>
      <c r="K136" s="11" t="s">
        <v>61</v>
      </c>
      <c r="L136" s="11" t="s">
        <v>51</v>
      </c>
      <c r="M136" s="11" t="s">
        <v>28</v>
      </c>
      <c r="N136" s="11">
        <v>1</v>
      </c>
      <c r="O136" s="11">
        <v>189999</v>
      </c>
      <c r="P136" s="11">
        <f t="shared" si="1"/>
        <v>189999</v>
      </c>
      <c r="Q136" s="11" t="s">
        <v>40</v>
      </c>
      <c r="R136" s="11" t="s">
        <v>30</v>
      </c>
      <c r="S136" s="11" t="s">
        <v>42</v>
      </c>
    </row>
    <row r="137" spans="1:19" x14ac:dyDescent="0.3">
      <c r="A137" s="11" t="s">
        <v>374</v>
      </c>
      <c r="B137" s="31">
        <v>46159</v>
      </c>
      <c r="C137" s="11" t="s">
        <v>44</v>
      </c>
      <c r="D137" s="11" t="s">
        <v>44</v>
      </c>
      <c r="E137" s="11" t="s">
        <v>144</v>
      </c>
      <c r="F137" s="11" t="s">
        <v>134</v>
      </c>
      <c r="G137" s="11" t="s">
        <v>375</v>
      </c>
      <c r="H137" s="11" t="s">
        <v>49</v>
      </c>
      <c r="I137" s="11" t="s">
        <v>24</v>
      </c>
      <c r="J137" s="11" t="s">
        <v>25</v>
      </c>
      <c r="K137" s="11" t="s">
        <v>97</v>
      </c>
      <c r="L137" s="11" t="s">
        <v>51</v>
      </c>
      <c r="M137" s="11" t="s">
        <v>28</v>
      </c>
      <c r="N137" s="11">
        <v>3</v>
      </c>
      <c r="O137" s="11">
        <v>124999</v>
      </c>
      <c r="P137" s="11">
        <f t="shared" si="1"/>
        <v>374997</v>
      </c>
      <c r="Q137" s="11" t="s">
        <v>93</v>
      </c>
      <c r="R137" s="11" t="s">
        <v>82</v>
      </c>
      <c r="S137" s="11" t="s">
        <v>53</v>
      </c>
    </row>
    <row r="138" spans="1:19" x14ac:dyDescent="0.3">
      <c r="A138" s="11" t="s">
        <v>376</v>
      </c>
      <c r="B138" s="31">
        <v>46159</v>
      </c>
      <c r="C138" s="11" t="s">
        <v>33</v>
      </c>
      <c r="D138" s="11" t="s">
        <v>33</v>
      </c>
      <c r="E138" s="11" t="s">
        <v>34</v>
      </c>
      <c r="F138" s="11" t="s">
        <v>79</v>
      </c>
      <c r="G138" s="11" t="s">
        <v>377</v>
      </c>
      <c r="H138" s="11" t="s">
        <v>89</v>
      </c>
      <c r="I138" s="11" t="s">
        <v>24</v>
      </c>
      <c r="J138" s="11" t="s">
        <v>25</v>
      </c>
      <c r="K138" s="11" t="s">
        <v>61</v>
      </c>
      <c r="L138" s="11" t="s">
        <v>62</v>
      </c>
      <c r="M138" s="11" t="s">
        <v>28</v>
      </c>
      <c r="N138" s="11">
        <v>3</v>
      </c>
      <c r="O138" s="11">
        <v>189999</v>
      </c>
      <c r="P138" s="11">
        <f t="shared" si="1"/>
        <v>569997</v>
      </c>
      <c r="Q138" s="11" t="s">
        <v>29</v>
      </c>
      <c r="R138" s="11" t="s">
        <v>30</v>
      </c>
      <c r="S138" s="11" t="s">
        <v>53</v>
      </c>
    </row>
    <row r="139" spans="1:19" x14ac:dyDescent="0.3">
      <c r="A139" s="11" t="s">
        <v>378</v>
      </c>
      <c r="B139" s="31">
        <v>46159</v>
      </c>
      <c r="C139" s="11" t="s">
        <v>84</v>
      </c>
      <c r="D139" s="11" t="s">
        <v>85</v>
      </c>
      <c r="E139" s="11" t="s">
        <v>86</v>
      </c>
      <c r="F139" s="11" t="s">
        <v>47</v>
      </c>
      <c r="G139" s="11" t="s">
        <v>379</v>
      </c>
      <c r="H139" s="11" t="s">
        <v>142</v>
      </c>
      <c r="I139" s="11" t="s">
        <v>24</v>
      </c>
      <c r="J139" s="11" t="s">
        <v>25</v>
      </c>
      <c r="K139" s="11" t="s">
        <v>125</v>
      </c>
      <c r="L139" s="11" t="s">
        <v>62</v>
      </c>
      <c r="M139" s="11" t="s">
        <v>28</v>
      </c>
      <c r="N139" s="11">
        <v>2</v>
      </c>
      <c r="O139" s="11">
        <v>84999</v>
      </c>
      <c r="P139" s="11">
        <f t="shared" ref="P139:P202" si="2">O139*N139</f>
        <v>169998</v>
      </c>
      <c r="Q139" s="11" t="s">
        <v>40</v>
      </c>
      <c r="R139" s="11" t="s">
        <v>82</v>
      </c>
      <c r="S139" s="11" t="s">
        <v>42</v>
      </c>
    </row>
    <row r="140" spans="1:19" x14ac:dyDescent="0.3">
      <c r="A140" s="11" t="s">
        <v>380</v>
      </c>
      <c r="B140" s="31">
        <v>46159</v>
      </c>
      <c r="C140" s="11" t="s">
        <v>33</v>
      </c>
      <c r="D140" s="11" t="s">
        <v>33</v>
      </c>
      <c r="E140" s="11" t="s">
        <v>34</v>
      </c>
      <c r="F140" s="11" t="s">
        <v>21</v>
      </c>
      <c r="G140" s="11" t="s">
        <v>381</v>
      </c>
      <c r="H140" s="11" t="s">
        <v>37</v>
      </c>
      <c r="I140" s="11" t="s">
        <v>24</v>
      </c>
      <c r="J140" s="11" t="s">
        <v>25</v>
      </c>
      <c r="K140" s="11" t="s">
        <v>97</v>
      </c>
      <c r="L140" s="11" t="s">
        <v>81</v>
      </c>
      <c r="M140" s="11" t="s">
        <v>28</v>
      </c>
      <c r="N140" s="11">
        <v>2</v>
      </c>
      <c r="O140" s="11">
        <v>124999</v>
      </c>
      <c r="P140" s="11">
        <f t="shared" si="2"/>
        <v>249998</v>
      </c>
      <c r="Q140" s="11" t="s">
        <v>93</v>
      </c>
      <c r="R140" s="11" t="s">
        <v>41</v>
      </c>
      <c r="S140" s="11" t="s">
        <v>31</v>
      </c>
    </row>
    <row r="141" spans="1:19" x14ac:dyDescent="0.3">
      <c r="A141" s="11" t="s">
        <v>382</v>
      </c>
      <c r="B141" s="31">
        <v>46159</v>
      </c>
      <c r="C141" s="11" t="s">
        <v>99</v>
      </c>
      <c r="D141" s="11" t="s">
        <v>99</v>
      </c>
      <c r="E141" s="11" t="s">
        <v>100</v>
      </c>
      <c r="F141" s="11" t="s">
        <v>58</v>
      </c>
      <c r="G141" s="11" t="s">
        <v>383</v>
      </c>
      <c r="H141" s="11" t="s">
        <v>153</v>
      </c>
      <c r="I141" s="11" t="s">
        <v>24</v>
      </c>
      <c r="J141" s="11" t="s">
        <v>25</v>
      </c>
      <c r="K141" s="11" t="s">
        <v>92</v>
      </c>
      <c r="L141" s="11" t="s">
        <v>68</v>
      </c>
      <c r="M141" s="11" t="s">
        <v>28</v>
      </c>
      <c r="N141" s="11">
        <v>4</v>
      </c>
      <c r="O141" s="11">
        <v>21999</v>
      </c>
      <c r="P141" s="11">
        <f t="shared" si="2"/>
        <v>87996</v>
      </c>
      <c r="Q141" s="11" t="s">
        <v>52</v>
      </c>
      <c r="R141" s="11" t="s">
        <v>30</v>
      </c>
      <c r="S141" s="11" t="s">
        <v>42</v>
      </c>
    </row>
    <row r="142" spans="1:19" x14ac:dyDescent="0.3">
      <c r="A142" s="11" t="s">
        <v>384</v>
      </c>
      <c r="B142" s="31">
        <v>46159</v>
      </c>
      <c r="C142" s="11" t="s">
        <v>99</v>
      </c>
      <c r="D142" s="11" t="s">
        <v>175</v>
      </c>
      <c r="E142" s="11" t="s">
        <v>176</v>
      </c>
      <c r="F142" s="11" t="s">
        <v>58</v>
      </c>
      <c r="G142" s="11" t="s">
        <v>385</v>
      </c>
      <c r="H142" s="11" t="s">
        <v>142</v>
      </c>
      <c r="I142" s="11" t="s">
        <v>24</v>
      </c>
      <c r="J142" s="11" t="s">
        <v>25</v>
      </c>
      <c r="K142" s="11" t="s">
        <v>104</v>
      </c>
      <c r="L142" s="11" t="s">
        <v>68</v>
      </c>
      <c r="M142" s="11" t="s">
        <v>28</v>
      </c>
      <c r="N142" s="11">
        <v>5</v>
      </c>
      <c r="O142" s="11">
        <v>33999</v>
      </c>
      <c r="P142" s="11">
        <f t="shared" si="2"/>
        <v>169995</v>
      </c>
      <c r="Q142" s="11" t="s">
        <v>52</v>
      </c>
      <c r="R142" s="11" t="s">
        <v>82</v>
      </c>
      <c r="S142" s="11" t="s">
        <v>53</v>
      </c>
    </row>
    <row r="143" spans="1:19" x14ac:dyDescent="0.3">
      <c r="A143" s="11" t="s">
        <v>386</v>
      </c>
      <c r="B143" s="31">
        <v>46160</v>
      </c>
      <c r="C143" s="11" t="s">
        <v>84</v>
      </c>
      <c r="D143" s="11" t="s">
        <v>84</v>
      </c>
      <c r="E143" s="11" t="s">
        <v>205</v>
      </c>
      <c r="F143" s="11" t="s">
        <v>134</v>
      </c>
      <c r="G143" s="11" t="s">
        <v>387</v>
      </c>
      <c r="H143" s="11" t="s">
        <v>49</v>
      </c>
      <c r="I143" s="11" t="s">
        <v>24</v>
      </c>
      <c r="J143" s="11" t="s">
        <v>25</v>
      </c>
      <c r="K143" s="11" t="s">
        <v>97</v>
      </c>
      <c r="L143" s="11" t="s">
        <v>39</v>
      </c>
      <c r="M143" s="11" t="s">
        <v>28</v>
      </c>
      <c r="N143" s="11">
        <v>2</v>
      </c>
      <c r="O143" s="11">
        <v>124999</v>
      </c>
      <c r="P143" s="11">
        <f t="shared" si="2"/>
        <v>249998</v>
      </c>
      <c r="Q143" s="11" t="s">
        <v>40</v>
      </c>
      <c r="R143" s="11" t="s">
        <v>82</v>
      </c>
      <c r="S143" s="11" t="s">
        <v>31</v>
      </c>
    </row>
    <row r="144" spans="1:19" x14ac:dyDescent="0.3">
      <c r="A144" s="11" t="s">
        <v>388</v>
      </c>
      <c r="B144" s="31">
        <v>46160</v>
      </c>
      <c r="C144" s="11" t="s">
        <v>55</v>
      </c>
      <c r="D144" s="11" t="s">
        <v>55</v>
      </c>
      <c r="E144" s="11" t="s">
        <v>137</v>
      </c>
      <c r="F144" s="11" t="s">
        <v>47</v>
      </c>
      <c r="G144" s="11" t="s">
        <v>389</v>
      </c>
      <c r="H144" s="11" t="s">
        <v>142</v>
      </c>
      <c r="I144" s="11" t="s">
        <v>24</v>
      </c>
      <c r="J144" s="11" t="s">
        <v>25</v>
      </c>
      <c r="K144" s="11" t="s">
        <v>38</v>
      </c>
      <c r="L144" s="11" t="s">
        <v>51</v>
      </c>
      <c r="M144" s="11" t="s">
        <v>28</v>
      </c>
      <c r="N144" s="11">
        <v>5</v>
      </c>
      <c r="O144" s="11">
        <v>54999</v>
      </c>
      <c r="P144" s="11">
        <f t="shared" si="2"/>
        <v>274995</v>
      </c>
      <c r="Q144" s="11" t="s">
        <v>52</v>
      </c>
      <c r="R144" s="11" t="s">
        <v>41</v>
      </c>
      <c r="S144" s="11" t="s">
        <v>31</v>
      </c>
    </row>
    <row r="145" spans="1:19" x14ac:dyDescent="0.3">
      <c r="A145" s="11" t="s">
        <v>390</v>
      </c>
      <c r="B145" s="31">
        <v>46160</v>
      </c>
      <c r="C145" s="11" t="s">
        <v>55</v>
      </c>
      <c r="D145" s="11" t="s">
        <v>56</v>
      </c>
      <c r="E145" s="11" t="s">
        <v>57</v>
      </c>
      <c r="F145" s="11" t="s">
        <v>21</v>
      </c>
      <c r="G145" s="11" t="s">
        <v>391</v>
      </c>
      <c r="H145" s="11" t="s">
        <v>142</v>
      </c>
      <c r="I145" s="11" t="s">
        <v>24</v>
      </c>
      <c r="J145" s="11" t="s">
        <v>25</v>
      </c>
      <c r="K145" s="11" t="s">
        <v>61</v>
      </c>
      <c r="L145" s="11" t="s">
        <v>51</v>
      </c>
      <c r="M145" s="11" t="s">
        <v>28</v>
      </c>
      <c r="N145" s="11">
        <v>3</v>
      </c>
      <c r="O145" s="11">
        <v>189999</v>
      </c>
      <c r="P145" s="11">
        <f t="shared" si="2"/>
        <v>569997</v>
      </c>
      <c r="Q145" s="11" t="s">
        <v>29</v>
      </c>
      <c r="R145" s="11" t="s">
        <v>41</v>
      </c>
      <c r="S145" s="11" t="s">
        <v>42</v>
      </c>
    </row>
    <row r="146" spans="1:19" x14ac:dyDescent="0.3">
      <c r="A146" s="11" t="s">
        <v>392</v>
      </c>
      <c r="B146" s="31">
        <v>46160</v>
      </c>
      <c r="C146" s="11" t="s">
        <v>55</v>
      </c>
      <c r="D146" s="11" t="s">
        <v>55</v>
      </c>
      <c r="E146" s="11" t="s">
        <v>46</v>
      </c>
      <c r="F146" s="11" t="s">
        <v>47</v>
      </c>
      <c r="G146" s="11" t="s">
        <v>393</v>
      </c>
      <c r="H146" s="11" t="s">
        <v>110</v>
      </c>
      <c r="I146" s="11" t="s">
        <v>24</v>
      </c>
      <c r="J146" s="11" t="s">
        <v>25</v>
      </c>
      <c r="K146" s="11" t="s">
        <v>92</v>
      </c>
      <c r="L146" s="11" t="s">
        <v>39</v>
      </c>
      <c r="M146" s="11" t="s">
        <v>28</v>
      </c>
      <c r="N146" s="11">
        <v>1</v>
      </c>
      <c r="O146" s="11">
        <v>21999</v>
      </c>
      <c r="P146" s="11">
        <f t="shared" si="2"/>
        <v>21999</v>
      </c>
      <c r="Q146" s="11" t="s">
        <v>52</v>
      </c>
      <c r="R146" s="11" t="s">
        <v>82</v>
      </c>
      <c r="S146" s="11" t="s">
        <v>53</v>
      </c>
    </row>
    <row r="147" spans="1:19" x14ac:dyDescent="0.3">
      <c r="A147" s="11" t="s">
        <v>394</v>
      </c>
      <c r="B147" s="31">
        <v>46160</v>
      </c>
      <c r="C147" s="11" t="s">
        <v>70</v>
      </c>
      <c r="D147" s="11" t="s">
        <v>71</v>
      </c>
      <c r="E147" s="11" t="s">
        <v>119</v>
      </c>
      <c r="F147" s="11" t="s">
        <v>162</v>
      </c>
      <c r="G147" s="11" t="s">
        <v>395</v>
      </c>
      <c r="H147" s="11" t="s">
        <v>60</v>
      </c>
      <c r="I147" s="11" t="s">
        <v>24</v>
      </c>
      <c r="J147" s="11" t="s">
        <v>25</v>
      </c>
      <c r="K147" s="11" t="s">
        <v>50</v>
      </c>
      <c r="L147" s="11" t="s">
        <v>105</v>
      </c>
      <c r="M147" s="11" t="s">
        <v>28</v>
      </c>
      <c r="N147" s="11">
        <v>3</v>
      </c>
      <c r="O147" s="11">
        <v>22999</v>
      </c>
      <c r="P147" s="11">
        <f t="shared" si="2"/>
        <v>68997</v>
      </c>
      <c r="Q147" s="11" t="s">
        <v>93</v>
      </c>
      <c r="R147" s="11" t="s">
        <v>30</v>
      </c>
      <c r="S147" s="11" t="s">
        <v>31</v>
      </c>
    </row>
    <row r="148" spans="1:19" x14ac:dyDescent="0.3">
      <c r="A148" s="11" t="s">
        <v>396</v>
      </c>
      <c r="B148" s="31">
        <v>46160</v>
      </c>
      <c r="C148" s="11" t="s">
        <v>70</v>
      </c>
      <c r="D148" s="11" t="s">
        <v>70</v>
      </c>
      <c r="E148" s="11" t="s">
        <v>215</v>
      </c>
      <c r="F148" s="11" t="s">
        <v>134</v>
      </c>
      <c r="G148" s="11" t="s">
        <v>397</v>
      </c>
      <c r="H148" s="11" t="s">
        <v>75</v>
      </c>
      <c r="I148" s="11" t="s">
        <v>24</v>
      </c>
      <c r="J148" s="11" t="s">
        <v>25</v>
      </c>
      <c r="K148" s="11" t="s">
        <v>26</v>
      </c>
      <c r="L148" s="11" t="s">
        <v>105</v>
      </c>
      <c r="M148" s="11" t="s">
        <v>28</v>
      </c>
      <c r="N148" s="11">
        <v>6</v>
      </c>
      <c r="O148" s="11">
        <v>13999</v>
      </c>
      <c r="P148" s="11">
        <f t="shared" si="2"/>
        <v>83994</v>
      </c>
      <c r="Q148" s="11" t="s">
        <v>29</v>
      </c>
      <c r="R148" s="11" t="s">
        <v>82</v>
      </c>
      <c r="S148" s="11" t="s">
        <v>53</v>
      </c>
    </row>
    <row r="149" spans="1:19" x14ac:dyDescent="0.3">
      <c r="A149" s="11" t="s">
        <v>398</v>
      </c>
      <c r="B149" s="31">
        <v>46160</v>
      </c>
      <c r="C149" s="11" t="s">
        <v>44</v>
      </c>
      <c r="D149" s="11" t="s">
        <v>45</v>
      </c>
      <c r="E149" s="11" t="s">
        <v>46</v>
      </c>
      <c r="F149" s="11" t="s">
        <v>162</v>
      </c>
      <c r="G149" s="11" t="s">
        <v>399</v>
      </c>
      <c r="H149" s="11" t="s">
        <v>153</v>
      </c>
      <c r="I149" s="11" t="s">
        <v>24</v>
      </c>
      <c r="J149" s="11" t="s">
        <v>25</v>
      </c>
      <c r="K149" s="11" t="s">
        <v>125</v>
      </c>
      <c r="L149" s="11" t="s">
        <v>62</v>
      </c>
      <c r="M149" s="11" t="s">
        <v>28</v>
      </c>
      <c r="N149" s="11">
        <v>5</v>
      </c>
      <c r="O149" s="11">
        <v>84999</v>
      </c>
      <c r="P149" s="11">
        <f t="shared" si="2"/>
        <v>424995</v>
      </c>
      <c r="Q149" s="11" t="s">
        <v>29</v>
      </c>
      <c r="R149" s="11" t="s">
        <v>82</v>
      </c>
      <c r="S149" s="11" t="s">
        <v>31</v>
      </c>
    </row>
    <row r="150" spans="1:19" x14ac:dyDescent="0.3">
      <c r="A150" s="11" t="s">
        <v>400</v>
      </c>
      <c r="B150" s="31">
        <v>46161</v>
      </c>
      <c r="C150" s="11" t="s">
        <v>19</v>
      </c>
      <c r="D150" s="11" t="s">
        <v>107</v>
      </c>
      <c r="E150" s="11" t="s">
        <v>108</v>
      </c>
      <c r="F150" s="11" t="s">
        <v>122</v>
      </c>
      <c r="G150" s="11" t="s">
        <v>401</v>
      </c>
      <c r="H150" s="11" t="s">
        <v>110</v>
      </c>
      <c r="I150" s="11" t="s">
        <v>24</v>
      </c>
      <c r="J150" s="11" t="s">
        <v>25</v>
      </c>
      <c r="K150" s="11" t="s">
        <v>125</v>
      </c>
      <c r="L150" s="11" t="s">
        <v>27</v>
      </c>
      <c r="M150" s="11" t="s">
        <v>28</v>
      </c>
      <c r="N150" s="11">
        <v>5</v>
      </c>
      <c r="O150" s="11">
        <v>84999</v>
      </c>
      <c r="P150" s="11">
        <f t="shared" si="2"/>
        <v>424995</v>
      </c>
      <c r="Q150" s="11" t="s">
        <v>40</v>
      </c>
      <c r="R150" s="11" t="s">
        <v>41</v>
      </c>
      <c r="S150" s="11" t="s">
        <v>42</v>
      </c>
    </row>
    <row r="151" spans="1:19" x14ac:dyDescent="0.3">
      <c r="A151" s="11" t="s">
        <v>402</v>
      </c>
      <c r="B151" s="31">
        <v>46161</v>
      </c>
      <c r="C151" s="11" t="s">
        <v>44</v>
      </c>
      <c r="D151" s="11" t="s">
        <v>44</v>
      </c>
      <c r="E151" s="11" t="s">
        <v>144</v>
      </c>
      <c r="F151" s="11" t="s">
        <v>58</v>
      </c>
      <c r="G151" s="11" t="s">
        <v>403</v>
      </c>
      <c r="H151" s="11" t="s">
        <v>60</v>
      </c>
      <c r="I151" s="11" t="s">
        <v>24</v>
      </c>
      <c r="J151" s="11" t="s">
        <v>25</v>
      </c>
      <c r="K151" s="11" t="s">
        <v>114</v>
      </c>
      <c r="L151" s="11" t="s">
        <v>81</v>
      </c>
      <c r="M151" s="11" t="s">
        <v>28</v>
      </c>
      <c r="N151" s="11">
        <v>2</v>
      </c>
      <c r="O151" s="11">
        <v>24999</v>
      </c>
      <c r="P151" s="11">
        <f t="shared" si="2"/>
        <v>49998</v>
      </c>
      <c r="Q151" s="11" t="s">
        <v>52</v>
      </c>
      <c r="R151" s="11" t="s">
        <v>30</v>
      </c>
      <c r="S151" s="11" t="s">
        <v>53</v>
      </c>
    </row>
    <row r="152" spans="1:19" x14ac:dyDescent="0.3">
      <c r="A152" s="11" t="s">
        <v>404</v>
      </c>
      <c r="B152" s="31">
        <v>46161</v>
      </c>
      <c r="C152" s="11" t="s">
        <v>19</v>
      </c>
      <c r="D152" s="11" t="s">
        <v>19</v>
      </c>
      <c r="E152" s="11" t="s">
        <v>20</v>
      </c>
      <c r="F152" s="11" t="s">
        <v>73</v>
      </c>
      <c r="G152" s="11" t="s">
        <v>405</v>
      </c>
      <c r="H152" s="11" t="s">
        <v>142</v>
      </c>
      <c r="I152" s="11" t="s">
        <v>24</v>
      </c>
      <c r="J152" s="11" t="s">
        <v>25</v>
      </c>
      <c r="K152" s="11" t="s">
        <v>50</v>
      </c>
      <c r="L152" s="11" t="s">
        <v>62</v>
      </c>
      <c r="M152" s="11" t="s">
        <v>28</v>
      </c>
      <c r="N152" s="11">
        <v>5</v>
      </c>
      <c r="O152" s="11">
        <v>22999</v>
      </c>
      <c r="P152" s="11">
        <f t="shared" si="2"/>
        <v>114995</v>
      </c>
      <c r="Q152" s="11" t="s">
        <v>29</v>
      </c>
      <c r="R152" s="11" t="s">
        <v>30</v>
      </c>
      <c r="S152" s="11" t="s">
        <v>42</v>
      </c>
    </row>
    <row r="153" spans="1:19" x14ac:dyDescent="0.3">
      <c r="A153" s="11" t="s">
        <v>406</v>
      </c>
      <c r="B153" s="31">
        <v>46161</v>
      </c>
      <c r="C153" s="11" t="s">
        <v>77</v>
      </c>
      <c r="D153" s="11" t="s">
        <v>150</v>
      </c>
      <c r="E153" s="11" t="s">
        <v>210</v>
      </c>
      <c r="F153" s="11" t="s">
        <v>73</v>
      </c>
      <c r="G153" s="11" t="s">
        <v>407</v>
      </c>
      <c r="H153" s="11" t="s">
        <v>142</v>
      </c>
      <c r="I153" s="11" t="s">
        <v>24</v>
      </c>
      <c r="J153" s="11" t="s">
        <v>25</v>
      </c>
      <c r="K153" s="11" t="s">
        <v>114</v>
      </c>
      <c r="L153" s="11" t="s">
        <v>39</v>
      </c>
      <c r="M153" s="11" t="s">
        <v>28</v>
      </c>
      <c r="N153" s="11">
        <v>1</v>
      </c>
      <c r="O153" s="11">
        <v>24999</v>
      </c>
      <c r="P153" s="11">
        <f t="shared" si="2"/>
        <v>24999</v>
      </c>
      <c r="Q153" s="11" t="s">
        <v>29</v>
      </c>
      <c r="R153" s="11" t="s">
        <v>82</v>
      </c>
      <c r="S153" s="11" t="s">
        <v>42</v>
      </c>
    </row>
    <row r="154" spans="1:19" x14ac:dyDescent="0.3">
      <c r="A154" s="11" t="s">
        <v>408</v>
      </c>
      <c r="B154" s="31">
        <v>46161</v>
      </c>
      <c r="C154" s="11" t="s">
        <v>33</v>
      </c>
      <c r="D154" s="11" t="s">
        <v>33</v>
      </c>
      <c r="E154" s="11" t="s">
        <v>34</v>
      </c>
      <c r="F154" s="11" t="s">
        <v>87</v>
      </c>
      <c r="G154" s="11" t="s">
        <v>409</v>
      </c>
      <c r="H154" s="11" t="s">
        <v>153</v>
      </c>
      <c r="I154" s="11" t="s">
        <v>24</v>
      </c>
      <c r="J154" s="11" t="s">
        <v>25</v>
      </c>
      <c r="K154" s="11" t="s">
        <v>104</v>
      </c>
      <c r="L154" s="11" t="s">
        <v>27</v>
      </c>
      <c r="M154" s="11" t="s">
        <v>28</v>
      </c>
      <c r="N154" s="11">
        <v>1</v>
      </c>
      <c r="O154" s="11">
        <v>33999</v>
      </c>
      <c r="P154" s="11">
        <f t="shared" si="2"/>
        <v>33999</v>
      </c>
      <c r="Q154" s="11" t="s">
        <v>29</v>
      </c>
      <c r="R154" s="11" t="s">
        <v>30</v>
      </c>
      <c r="S154" s="11" t="s">
        <v>42</v>
      </c>
    </row>
    <row r="155" spans="1:19" x14ac:dyDescent="0.3">
      <c r="A155" s="11" t="s">
        <v>410</v>
      </c>
      <c r="B155" s="31">
        <v>46161</v>
      </c>
      <c r="C155" s="11" t="s">
        <v>77</v>
      </c>
      <c r="D155" s="11" t="s">
        <v>77</v>
      </c>
      <c r="E155" s="11" t="s">
        <v>78</v>
      </c>
      <c r="F155" s="11" t="s">
        <v>21</v>
      </c>
      <c r="G155" s="11" t="s">
        <v>411</v>
      </c>
      <c r="H155" s="11" t="s">
        <v>89</v>
      </c>
      <c r="I155" s="11" t="s">
        <v>24</v>
      </c>
      <c r="J155" s="11" t="s">
        <v>25</v>
      </c>
      <c r="K155" s="11" t="s">
        <v>114</v>
      </c>
      <c r="L155" s="11" t="s">
        <v>39</v>
      </c>
      <c r="M155" s="11" t="s">
        <v>28</v>
      </c>
      <c r="N155" s="11">
        <v>2</v>
      </c>
      <c r="O155" s="11">
        <v>24999</v>
      </c>
      <c r="P155" s="11">
        <f t="shared" si="2"/>
        <v>49998</v>
      </c>
      <c r="Q155" s="11" t="s">
        <v>93</v>
      </c>
      <c r="R155" s="11" t="s">
        <v>82</v>
      </c>
      <c r="S155" s="11" t="s">
        <v>31</v>
      </c>
    </row>
    <row r="156" spans="1:19" x14ac:dyDescent="0.3">
      <c r="A156" s="11" t="s">
        <v>412</v>
      </c>
      <c r="B156" s="31">
        <v>46161</v>
      </c>
      <c r="C156" s="11" t="s">
        <v>70</v>
      </c>
      <c r="D156" s="11" t="s">
        <v>70</v>
      </c>
      <c r="E156" s="11" t="s">
        <v>215</v>
      </c>
      <c r="F156" s="11" t="s">
        <v>47</v>
      </c>
      <c r="G156" s="11" t="s">
        <v>413</v>
      </c>
      <c r="H156" s="11" t="s">
        <v>89</v>
      </c>
      <c r="I156" s="11" t="s">
        <v>24</v>
      </c>
      <c r="J156" s="11" t="s">
        <v>25</v>
      </c>
      <c r="K156" s="11" t="s">
        <v>26</v>
      </c>
      <c r="L156" s="11" t="s">
        <v>105</v>
      </c>
      <c r="M156" s="11" t="s">
        <v>28</v>
      </c>
      <c r="N156" s="11">
        <v>2</v>
      </c>
      <c r="O156" s="11">
        <v>13999</v>
      </c>
      <c r="P156" s="11">
        <f t="shared" si="2"/>
        <v>27998</v>
      </c>
      <c r="Q156" s="11" t="s">
        <v>29</v>
      </c>
      <c r="R156" s="11" t="s">
        <v>30</v>
      </c>
      <c r="S156" s="11" t="s">
        <v>53</v>
      </c>
    </row>
    <row r="157" spans="1:19" x14ac:dyDescent="0.3">
      <c r="A157" s="11" t="s">
        <v>414</v>
      </c>
      <c r="B157" s="31">
        <v>46161</v>
      </c>
      <c r="C157" s="11" t="s">
        <v>84</v>
      </c>
      <c r="D157" s="11" t="s">
        <v>84</v>
      </c>
      <c r="E157" s="11" t="s">
        <v>238</v>
      </c>
      <c r="F157" s="11" t="s">
        <v>58</v>
      </c>
      <c r="G157" s="11" t="s">
        <v>415</v>
      </c>
      <c r="H157" s="11" t="s">
        <v>37</v>
      </c>
      <c r="I157" s="11" t="s">
        <v>24</v>
      </c>
      <c r="J157" s="11" t="s">
        <v>25</v>
      </c>
      <c r="K157" s="11" t="s">
        <v>114</v>
      </c>
      <c r="L157" s="11" t="s">
        <v>81</v>
      </c>
      <c r="M157" s="11" t="s">
        <v>28</v>
      </c>
      <c r="N157" s="11">
        <v>1</v>
      </c>
      <c r="O157" s="11">
        <v>24999</v>
      </c>
      <c r="P157" s="11">
        <f t="shared" si="2"/>
        <v>24999</v>
      </c>
      <c r="Q157" s="11" t="s">
        <v>40</v>
      </c>
      <c r="R157" s="11" t="s">
        <v>82</v>
      </c>
      <c r="S157" s="11" t="s">
        <v>53</v>
      </c>
    </row>
    <row r="158" spans="1:19" x14ac:dyDescent="0.3">
      <c r="A158" s="11" t="s">
        <v>416</v>
      </c>
      <c r="B158" s="31">
        <v>46161</v>
      </c>
      <c r="C158" s="11" t="s">
        <v>70</v>
      </c>
      <c r="D158" s="11" t="s">
        <v>71</v>
      </c>
      <c r="E158" s="11" t="s">
        <v>119</v>
      </c>
      <c r="F158" s="11" t="s">
        <v>35</v>
      </c>
      <c r="G158" s="11" t="s">
        <v>417</v>
      </c>
      <c r="H158" s="11" t="s">
        <v>153</v>
      </c>
      <c r="I158" s="11" t="s">
        <v>24</v>
      </c>
      <c r="J158" s="11" t="s">
        <v>25</v>
      </c>
      <c r="K158" s="11" t="s">
        <v>26</v>
      </c>
      <c r="L158" s="11" t="s">
        <v>62</v>
      </c>
      <c r="M158" s="11" t="s">
        <v>28</v>
      </c>
      <c r="N158" s="11">
        <v>1</v>
      </c>
      <c r="O158" s="11">
        <v>13999</v>
      </c>
      <c r="P158" s="11">
        <f t="shared" si="2"/>
        <v>13999</v>
      </c>
      <c r="Q158" s="11" t="s">
        <v>29</v>
      </c>
      <c r="R158" s="11" t="s">
        <v>41</v>
      </c>
      <c r="S158" s="11" t="s">
        <v>42</v>
      </c>
    </row>
    <row r="159" spans="1:19" x14ac:dyDescent="0.3">
      <c r="A159" s="11" t="s">
        <v>418</v>
      </c>
      <c r="B159" s="31">
        <v>46161</v>
      </c>
      <c r="C159" s="11" t="s">
        <v>77</v>
      </c>
      <c r="D159" s="11" t="s">
        <v>150</v>
      </c>
      <c r="E159" s="11" t="s">
        <v>210</v>
      </c>
      <c r="F159" s="11" t="s">
        <v>47</v>
      </c>
      <c r="G159" s="11" t="s">
        <v>419</v>
      </c>
      <c r="H159" s="11" t="s">
        <v>23</v>
      </c>
      <c r="I159" s="11" t="s">
        <v>24</v>
      </c>
      <c r="J159" s="11" t="s">
        <v>25</v>
      </c>
      <c r="K159" s="11" t="s">
        <v>26</v>
      </c>
      <c r="L159" s="11" t="s">
        <v>27</v>
      </c>
      <c r="M159" s="11" t="s">
        <v>28</v>
      </c>
      <c r="N159" s="11">
        <v>1</v>
      </c>
      <c r="O159" s="11">
        <v>13999</v>
      </c>
      <c r="P159" s="11">
        <f t="shared" si="2"/>
        <v>13999</v>
      </c>
      <c r="Q159" s="11" t="s">
        <v>52</v>
      </c>
      <c r="R159" s="11" t="s">
        <v>30</v>
      </c>
      <c r="S159" s="11" t="s">
        <v>42</v>
      </c>
    </row>
    <row r="160" spans="1:19" x14ac:dyDescent="0.3">
      <c r="A160" s="11" t="s">
        <v>420</v>
      </c>
      <c r="B160" s="31">
        <v>46161</v>
      </c>
      <c r="C160" s="11" t="s">
        <v>77</v>
      </c>
      <c r="D160" s="11" t="s">
        <v>77</v>
      </c>
      <c r="E160" s="11" t="s">
        <v>95</v>
      </c>
      <c r="F160" s="11" t="s">
        <v>21</v>
      </c>
      <c r="G160" s="11" t="s">
        <v>421</v>
      </c>
      <c r="H160" s="11" t="s">
        <v>110</v>
      </c>
      <c r="I160" s="11" t="s">
        <v>24</v>
      </c>
      <c r="J160" s="11" t="s">
        <v>25</v>
      </c>
      <c r="K160" s="11" t="s">
        <v>97</v>
      </c>
      <c r="L160" s="11" t="s">
        <v>105</v>
      </c>
      <c r="M160" s="11" t="s">
        <v>28</v>
      </c>
      <c r="N160" s="11">
        <v>5</v>
      </c>
      <c r="O160" s="11">
        <v>124999</v>
      </c>
      <c r="P160" s="11">
        <f t="shared" si="2"/>
        <v>624995</v>
      </c>
      <c r="Q160" s="11" t="s">
        <v>93</v>
      </c>
      <c r="R160" s="11" t="s">
        <v>82</v>
      </c>
      <c r="S160" s="11" t="s">
        <v>31</v>
      </c>
    </row>
    <row r="161" spans="1:19" x14ac:dyDescent="0.3">
      <c r="A161" s="11" t="s">
        <v>422</v>
      </c>
      <c r="B161" s="31">
        <v>46161</v>
      </c>
      <c r="C161" s="11" t="s">
        <v>44</v>
      </c>
      <c r="D161" s="11" t="s">
        <v>45</v>
      </c>
      <c r="E161" s="11" t="s">
        <v>198</v>
      </c>
      <c r="F161" s="11" t="s">
        <v>162</v>
      </c>
      <c r="G161" s="11" t="s">
        <v>423</v>
      </c>
      <c r="H161" s="11" t="s">
        <v>49</v>
      </c>
      <c r="I161" s="11" t="s">
        <v>24</v>
      </c>
      <c r="J161" s="11" t="s">
        <v>25</v>
      </c>
      <c r="K161" s="11" t="s">
        <v>61</v>
      </c>
      <c r="L161" s="11" t="s">
        <v>51</v>
      </c>
      <c r="M161" s="11" t="s">
        <v>28</v>
      </c>
      <c r="N161" s="11">
        <v>1</v>
      </c>
      <c r="O161" s="11">
        <v>189999</v>
      </c>
      <c r="P161" s="11">
        <f t="shared" si="2"/>
        <v>189999</v>
      </c>
      <c r="Q161" s="11" t="s">
        <v>52</v>
      </c>
      <c r="R161" s="11" t="s">
        <v>82</v>
      </c>
      <c r="S161" s="11" t="s">
        <v>53</v>
      </c>
    </row>
    <row r="162" spans="1:19" x14ac:dyDescent="0.3">
      <c r="A162" s="11" t="s">
        <v>424</v>
      </c>
      <c r="B162" s="31">
        <v>46162</v>
      </c>
      <c r="C162" s="11" t="s">
        <v>84</v>
      </c>
      <c r="D162" s="11" t="s">
        <v>84</v>
      </c>
      <c r="E162" s="11" t="s">
        <v>167</v>
      </c>
      <c r="F162" s="11" t="s">
        <v>87</v>
      </c>
      <c r="G162" s="11" t="s">
        <v>425</v>
      </c>
      <c r="H162" s="11" t="s">
        <v>110</v>
      </c>
      <c r="I162" s="11" t="s">
        <v>24</v>
      </c>
      <c r="J162" s="11" t="s">
        <v>25</v>
      </c>
      <c r="K162" s="11" t="s">
        <v>97</v>
      </c>
      <c r="L162" s="11" t="s">
        <v>51</v>
      </c>
      <c r="M162" s="11" t="s">
        <v>28</v>
      </c>
      <c r="N162" s="11">
        <v>2</v>
      </c>
      <c r="O162" s="11">
        <v>124999</v>
      </c>
      <c r="P162" s="11">
        <f t="shared" si="2"/>
        <v>249998</v>
      </c>
      <c r="Q162" s="11" t="s">
        <v>40</v>
      </c>
      <c r="R162" s="11" t="s">
        <v>41</v>
      </c>
      <c r="S162" s="11" t="s">
        <v>53</v>
      </c>
    </row>
    <row r="163" spans="1:19" x14ac:dyDescent="0.3">
      <c r="A163" s="11" t="s">
        <v>426</v>
      </c>
      <c r="B163" s="31">
        <v>46162</v>
      </c>
      <c r="C163" s="11" t="s">
        <v>70</v>
      </c>
      <c r="D163" s="11" t="s">
        <v>71</v>
      </c>
      <c r="E163" s="11" t="s">
        <v>119</v>
      </c>
      <c r="F163" s="11" t="s">
        <v>73</v>
      </c>
      <c r="G163" s="11" t="s">
        <v>427</v>
      </c>
      <c r="H163" s="11" t="s">
        <v>124</v>
      </c>
      <c r="I163" s="11" t="s">
        <v>24</v>
      </c>
      <c r="J163" s="11" t="s">
        <v>25</v>
      </c>
      <c r="K163" s="11" t="s">
        <v>125</v>
      </c>
      <c r="L163" s="11" t="s">
        <v>81</v>
      </c>
      <c r="M163" s="11" t="s">
        <v>28</v>
      </c>
      <c r="N163" s="11">
        <v>1</v>
      </c>
      <c r="O163" s="11">
        <v>84999</v>
      </c>
      <c r="P163" s="11">
        <f t="shared" si="2"/>
        <v>84999</v>
      </c>
      <c r="Q163" s="11" t="s">
        <v>40</v>
      </c>
      <c r="R163" s="11" t="s">
        <v>30</v>
      </c>
      <c r="S163" s="11" t="s">
        <v>31</v>
      </c>
    </row>
    <row r="164" spans="1:19" x14ac:dyDescent="0.3">
      <c r="A164" s="11" t="s">
        <v>428</v>
      </c>
      <c r="B164" s="31">
        <v>46162</v>
      </c>
      <c r="C164" s="11" t="s">
        <v>84</v>
      </c>
      <c r="D164" s="11" t="s">
        <v>85</v>
      </c>
      <c r="E164" s="11" t="s">
        <v>147</v>
      </c>
      <c r="F164" s="11" t="s">
        <v>35</v>
      </c>
      <c r="G164" s="11" t="s">
        <v>429</v>
      </c>
      <c r="H164" s="11" t="s">
        <v>142</v>
      </c>
      <c r="I164" s="11" t="s">
        <v>24</v>
      </c>
      <c r="J164" s="11" t="s">
        <v>25</v>
      </c>
      <c r="K164" s="11" t="s">
        <v>67</v>
      </c>
      <c r="L164" s="11" t="s">
        <v>68</v>
      </c>
      <c r="M164" s="11" t="s">
        <v>28</v>
      </c>
      <c r="N164" s="11">
        <v>1</v>
      </c>
      <c r="O164" s="11">
        <v>38999</v>
      </c>
      <c r="P164" s="11">
        <f t="shared" si="2"/>
        <v>38999</v>
      </c>
      <c r="Q164" s="11" t="s">
        <v>40</v>
      </c>
      <c r="R164" s="11" t="s">
        <v>30</v>
      </c>
      <c r="S164" s="11" t="s">
        <v>42</v>
      </c>
    </row>
    <row r="165" spans="1:19" x14ac:dyDescent="0.3">
      <c r="A165" s="11" t="s">
        <v>430</v>
      </c>
      <c r="B165" s="31">
        <v>46162</v>
      </c>
      <c r="C165" s="11" t="s">
        <v>44</v>
      </c>
      <c r="D165" s="11" t="s">
        <v>45</v>
      </c>
      <c r="E165" s="11" t="s">
        <v>198</v>
      </c>
      <c r="F165" s="11" t="s">
        <v>162</v>
      </c>
      <c r="G165" s="11" t="s">
        <v>431</v>
      </c>
      <c r="H165" s="11" t="s">
        <v>124</v>
      </c>
      <c r="I165" s="11" t="s">
        <v>24</v>
      </c>
      <c r="J165" s="11" t="s">
        <v>25</v>
      </c>
      <c r="K165" s="11" t="s">
        <v>50</v>
      </c>
      <c r="L165" s="11" t="s">
        <v>62</v>
      </c>
      <c r="M165" s="11" t="s">
        <v>28</v>
      </c>
      <c r="N165" s="11">
        <v>3</v>
      </c>
      <c r="O165" s="11">
        <v>22999</v>
      </c>
      <c r="P165" s="11">
        <f t="shared" si="2"/>
        <v>68997</v>
      </c>
      <c r="Q165" s="11" t="s">
        <v>40</v>
      </c>
      <c r="R165" s="11" t="s">
        <v>82</v>
      </c>
      <c r="S165" s="11" t="s">
        <v>42</v>
      </c>
    </row>
    <row r="166" spans="1:19" x14ac:dyDescent="0.3">
      <c r="A166" s="11" t="s">
        <v>432</v>
      </c>
      <c r="B166" s="31">
        <v>46162</v>
      </c>
      <c r="C166" s="11" t="s">
        <v>84</v>
      </c>
      <c r="D166" s="11" t="s">
        <v>85</v>
      </c>
      <c r="E166" s="11" t="s">
        <v>147</v>
      </c>
      <c r="F166" s="11" t="s">
        <v>58</v>
      </c>
      <c r="G166" s="11" t="s">
        <v>433</v>
      </c>
      <c r="H166" s="11" t="s">
        <v>75</v>
      </c>
      <c r="I166" s="11" t="s">
        <v>24</v>
      </c>
      <c r="J166" s="11" t="s">
        <v>25</v>
      </c>
      <c r="K166" s="11" t="s">
        <v>61</v>
      </c>
      <c r="L166" s="11" t="s">
        <v>105</v>
      </c>
      <c r="M166" s="11" t="s">
        <v>28</v>
      </c>
      <c r="N166" s="11">
        <v>2</v>
      </c>
      <c r="O166" s="11">
        <v>189999</v>
      </c>
      <c r="P166" s="11">
        <f t="shared" si="2"/>
        <v>379998</v>
      </c>
      <c r="Q166" s="11" t="s">
        <v>52</v>
      </c>
      <c r="R166" s="11" t="s">
        <v>30</v>
      </c>
      <c r="S166" s="11" t="s">
        <v>53</v>
      </c>
    </row>
    <row r="167" spans="1:19" x14ac:dyDescent="0.3">
      <c r="A167" s="11" t="s">
        <v>434</v>
      </c>
      <c r="B167" s="31">
        <v>46162</v>
      </c>
      <c r="C167" s="11" t="s">
        <v>84</v>
      </c>
      <c r="D167" s="11" t="s">
        <v>84</v>
      </c>
      <c r="E167" s="11" t="s">
        <v>238</v>
      </c>
      <c r="F167" s="11" t="s">
        <v>138</v>
      </c>
      <c r="G167" s="11" t="s">
        <v>435</v>
      </c>
      <c r="H167" s="11" t="s">
        <v>60</v>
      </c>
      <c r="I167" s="11" t="s">
        <v>24</v>
      </c>
      <c r="J167" s="11" t="s">
        <v>25</v>
      </c>
      <c r="K167" s="11" t="s">
        <v>92</v>
      </c>
      <c r="L167" s="11" t="s">
        <v>51</v>
      </c>
      <c r="M167" s="11" t="s">
        <v>28</v>
      </c>
      <c r="N167" s="11">
        <v>1</v>
      </c>
      <c r="O167" s="11">
        <v>21999</v>
      </c>
      <c r="P167" s="11">
        <f t="shared" si="2"/>
        <v>21999</v>
      </c>
      <c r="Q167" s="11" t="s">
        <v>52</v>
      </c>
      <c r="R167" s="11" t="s">
        <v>30</v>
      </c>
      <c r="S167" s="11" t="s">
        <v>42</v>
      </c>
    </row>
    <row r="168" spans="1:19" x14ac:dyDescent="0.3">
      <c r="A168" s="11" t="s">
        <v>436</v>
      </c>
      <c r="B168" s="31">
        <v>46162</v>
      </c>
      <c r="C168" s="11" t="s">
        <v>70</v>
      </c>
      <c r="D168" s="11" t="s">
        <v>71</v>
      </c>
      <c r="E168" s="11" t="s">
        <v>119</v>
      </c>
      <c r="F168" s="11" t="s">
        <v>134</v>
      </c>
      <c r="G168" s="11" t="s">
        <v>437</v>
      </c>
      <c r="H168" s="11" t="s">
        <v>142</v>
      </c>
      <c r="I168" s="11" t="s">
        <v>24</v>
      </c>
      <c r="J168" s="11" t="s">
        <v>25</v>
      </c>
      <c r="K168" s="11" t="s">
        <v>61</v>
      </c>
      <c r="L168" s="11" t="s">
        <v>62</v>
      </c>
      <c r="M168" s="11" t="s">
        <v>28</v>
      </c>
      <c r="N168" s="11">
        <v>4</v>
      </c>
      <c r="O168" s="11">
        <v>189999</v>
      </c>
      <c r="P168" s="11">
        <f t="shared" si="2"/>
        <v>759996</v>
      </c>
      <c r="Q168" s="11" t="s">
        <v>93</v>
      </c>
      <c r="R168" s="11" t="s">
        <v>30</v>
      </c>
      <c r="S168" s="11" t="s">
        <v>53</v>
      </c>
    </row>
    <row r="169" spans="1:19" x14ac:dyDescent="0.3">
      <c r="A169" s="11" t="s">
        <v>438</v>
      </c>
      <c r="B169" s="31">
        <v>46162</v>
      </c>
      <c r="C169" s="11" t="s">
        <v>84</v>
      </c>
      <c r="D169" s="11" t="s">
        <v>85</v>
      </c>
      <c r="E169" s="11" t="s">
        <v>86</v>
      </c>
      <c r="F169" s="11" t="s">
        <v>122</v>
      </c>
      <c r="G169" s="11" t="s">
        <v>439</v>
      </c>
      <c r="H169" s="11" t="s">
        <v>89</v>
      </c>
      <c r="I169" s="11" t="s">
        <v>24</v>
      </c>
      <c r="J169" s="11" t="s">
        <v>25</v>
      </c>
      <c r="K169" s="11" t="s">
        <v>26</v>
      </c>
      <c r="L169" s="11" t="s">
        <v>68</v>
      </c>
      <c r="M169" s="11" t="s">
        <v>28</v>
      </c>
      <c r="N169" s="11">
        <v>1</v>
      </c>
      <c r="O169" s="11">
        <v>13999</v>
      </c>
      <c r="P169" s="11">
        <f t="shared" si="2"/>
        <v>13999</v>
      </c>
      <c r="Q169" s="11" t="s">
        <v>40</v>
      </c>
      <c r="R169" s="11" t="s">
        <v>41</v>
      </c>
      <c r="S169" s="11" t="s">
        <v>31</v>
      </c>
    </row>
    <row r="170" spans="1:19" x14ac:dyDescent="0.3">
      <c r="A170" s="11" t="s">
        <v>440</v>
      </c>
      <c r="B170" s="31">
        <v>46162</v>
      </c>
      <c r="C170" s="11" t="s">
        <v>99</v>
      </c>
      <c r="D170" s="11" t="s">
        <v>127</v>
      </c>
      <c r="E170" s="11" t="s">
        <v>128</v>
      </c>
      <c r="F170" s="11" t="s">
        <v>87</v>
      </c>
      <c r="G170" s="11" t="s">
        <v>441</v>
      </c>
      <c r="H170" s="11" t="s">
        <v>153</v>
      </c>
      <c r="I170" s="11" t="s">
        <v>24</v>
      </c>
      <c r="J170" s="11" t="s">
        <v>25</v>
      </c>
      <c r="K170" s="11" t="s">
        <v>67</v>
      </c>
      <c r="L170" s="11" t="s">
        <v>62</v>
      </c>
      <c r="M170" s="11" t="s">
        <v>28</v>
      </c>
      <c r="N170" s="11">
        <v>4</v>
      </c>
      <c r="O170" s="11">
        <v>38999</v>
      </c>
      <c r="P170" s="11">
        <f t="shared" si="2"/>
        <v>155996</v>
      </c>
      <c r="Q170" s="11" t="s">
        <v>93</v>
      </c>
      <c r="R170" s="11" t="s">
        <v>30</v>
      </c>
      <c r="S170" s="11" t="s">
        <v>42</v>
      </c>
    </row>
    <row r="171" spans="1:19" x14ac:dyDescent="0.3">
      <c r="A171" s="11" t="s">
        <v>442</v>
      </c>
      <c r="B171" s="31">
        <v>46163</v>
      </c>
      <c r="C171" s="11" t="s">
        <v>99</v>
      </c>
      <c r="D171" s="11" t="s">
        <v>99</v>
      </c>
      <c r="E171" s="11" t="s">
        <v>368</v>
      </c>
      <c r="F171" s="11" t="s">
        <v>162</v>
      </c>
      <c r="G171" s="11" t="s">
        <v>443</v>
      </c>
      <c r="H171" s="11" t="s">
        <v>142</v>
      </c>
      <c r="I171" s="11" t="s">
        <v>24</v>
      </c>
      <c r="J171" s="11" t="s">
        <v>25</v>
      </c>
      <c r="K171" s="11" t="s">
        <v>67</v>
      </c>
      <c r="L171" s="11" t="s">
        <v>81</v>
      </c>
      <c r="M171" s="11" t="s">
        <v>28</v>
      </c>
      <c r="N171" s="11">
        <v>4</v>
      </c>
      <c r="O171" s="11">
        <v>38999</v>
      </c>
      <c r="P171" s="11">
        <f t="shared" si="2"/>
        <v>155996</v>
      </c>
      <c r="Q171" s="11" t="s">
        <v>52</v>
      </c>
      <c r="R171" s="11" t="s">
        <v>41</v>
      </c>
      <c r="S171" s="11" t="s">
        <v>53</v>
      </c>
    </row>
    <row r="172" spans="1:19" x14ac:dyDescent="0.3">
      <c r="A172" s="11" t="s">
        <v>444</v>
      </c>
      <c r="B172" s="31">
        <v>46163</v>
      </c>
      <c r="C172" s="11" t="s">
        <v>99</v>
      </c>
      <c r="D172" s="11" t="s">
        <v>99</v>
      </c>
      <c r="E172" s="11" t="s">
        <v>100</v>
      </c>
      <c r="F172" s="11" t="s">
        <v>47</v>
      </c>
      <c r="G172" s="11" t="s">
        <v>445</v>
      </c>
      <c r="H172" s="11" t="s">
        <v>153</v>
      </c>
      <c r="I172" s="11" t="s">
        <v>24</v>
      </c>
      <c r="J172" s="11" t="s">
        <v>25</v>
      </c>
      <c r="K172" s="11" t="s">
        <v>38</v>
      </c>
      <c r="L172" s="11" t="s">
        <v>81</v>
      </c>
      <c r="M172" s="11" t="s">
        <v>28</v>
      </c>
      <c r="N172" s="11">
        <v>2</v>
      </c>
      <c r="O172" s="11">
        <v>54999</v>
      </c>
      <c r="P172" s="11">
        <f t="shared" si="2"/>
        <v>109998</v>
      </c>
      <c r="Q172" s="11" t="s">
        <v>93</v>
      </c>
      <c r="R172" s="11" t="s">
        <v>41</v>
      </c>
      <c r="S172" s="11" t="s">
        <v>42</v>
      </c>
    </row>
    <row r="173" spans="1:19" x14ac:dyDescent="0.3">
      <c r="A173" s="11" t="s">
        <v>446</v>
      </c>
      <c r="B173" s="31">
        <v>46163</v>
      </c>
      <c r="C173" s="11" t="s">
        <v>84</v>
      </c>
      <c r="D173" s="11" t="s">
        <v>85</v>
      </c>
      <c r="E173" s="11" t="s">
        <v>86</v>
      </c>
      <c r="F173" s="11" t="s">
        <v>58</v>
      </c>
      <c r="G173" s="11" t="s">
        <v>447</v>
      </c>
      <c r="H173" s="11" t="s">
        <v>110</v>
      </c>
      <c r="I173" s="11" t="s">
        <v>24</v>
      </c>
      <c r="J173" s="11" t="s">
        <v>25</v>
      </c>
      <c r="K173" s="11" t="s">
        <v>67</v>
      </c>
      <c r="L173" s="11" t="s">
        <v>27</v>
      </c>
      <c r="M173" s="11" t="s">
        <v>28</v>
      </c>
      <c r="N173" s="11">
        <v>1</v>
      </c>
      <c r="O173" s="11">
        <v>38999</v>
      </c>
      <c r="P173" s="11">
        <f t="shared" si="2"/>
        <v>38999</v>
      </c>
      <c r="Q173" s="11" t="s">
        <v>29</v>
      </c>
      <c r="R173" s="11" t="s">
        <v>30</v>
      </c>
      <c r="S173" s="11" t="s">
        <v>31</v>
      </c>
    </row>
    <row r="174" spans="1:19" x14ac:dyDescent="0.3">
      <c r="A174" s="11" t="s">
        <v>448</v>
      </c>
      <c r="B174" s="31">
        <v>46163</v>
      </c>
      <c r="C174" s="11" t="s">
        <v>99</v>
      </c>
      <c r="D174" s="11" t="s">
        <v>127</v>
      </c>
      <c r="E174" s="11" t="s">
        <v>187</v>
      </c>
      <c r="F174" s="11" t="s">
        <v>79</v>
      </c>
      <c r="G174" s="11" t="s">
        <v>449</v>
      </c>
      <c r="H174" s="11" t="s">
        <v>124</v>
      </c>
      <c r="I174" s="11" t="s">
        <v>24</v>
      </c>
      <c r="J174" s="11" t="s">
        <v>25</v>
      </c>
      <c r="K174" s="11" t="s">
        <v>61</v>
      </c>
      <c r="L174" s="11" t="s">
        <v>68</v>
      </c>
      <c r="M174" s="11" t="s">
        <v>28</v>
      </c>
      <c r="N174" s="11">
        <v>5</v>
      </c>
      <c r="O174" s="11">
        <v>189999</v>
      </c>
      <c r="P174" s="11">
        <f t="shared" si="2"/>
        <v>949995</v>
      </c>
      <c r="Q174" s="11" t="s">
        <v>93</v>
      </c>
      <c r="R174" s="11" t="s">
        <v>41</v>
      </c>
      <c r="S174" s="11" t="s">
        <v>42</v>
      </c>
    </row>
    <row r="175" spans="1:19" x14ac:dyDescent="0.3">
      <c r="A175" s="11" t="s">
        <v>450</v>
      </c>
      <c r="B175" s="31">
        <v>46164</v>
      </c>
      <c r="C175" s="11" t="s">
        <v>70</v>
      </c>
      <c r="D175" s="11" t="s">
        <v>70</v>
      </c>
      <c r="E175" s="11" t="s">
        <v>215</v>
      </c>
      <c r="F175" s="11" t="s">
        <v>138</v>
      </c>
      <c r="G175" s="11" t="s">
        <v>451</v>
      </c>
      <c r="H175" s="11" t="s">
        <v>153</v>
      </c>
      <c r="I175" s="11" t="s">
        <v>24</v>
      </c>
      <c r="J175" s="11" t="s">
        <v>25</v>
      </c>
      <c r="K175" s="11" t="s">
        <v>50</v>
      </c>
      <c r="L175" s="11" t="s">
        <v>39</v>
      </c>
      <c r="M175" s="11" t="s">
        <v>28</v>
      </c>
      <c r="N175" s="11">
        <v>4</v>
      </c>
      <c r="O175" s="11">
        <v>22999</v>
      </c>
      <c r="P175" s="11">
        <f t="shared" si="2"/>
        <v>91996</v>
      </c>
      <c r="Q175" s="11" t="s">
        <v>40</v>
      </c>
      <c r="R175" s="11" t="s">
        <v>30</v>
      </c>
      <c r="S175" s="11" t="s">
        <v>42</v>
      </c>
    </row>
    <row r="176" spans="1:19" x14ac:dyDescent="0.3">
      <c r="A176" s="11" t="s">
        <v>452</v>
      </c>
      <c r="B176" s="31">
        <v>46164</v>
      </c>
      <c r="C176" s="11" t="s">
        <v>44</v>
      </c>
      <c r="D176" s="11" t="s">
        <v>45</v>
      </c>
      <c r="E176" s="11" t="s">
        <v>198</v>
      </c>
      <c r="F176" s="11" t="s">
        <v>138</v>
      </c>
      <c r="G176" s="11" t="s">
        <v>453</v>
      </c>
      <c r="H176" s="11" t="s">
        <v>89</v>
      </c>
      <c r="I176" s="11" t="s">
        <v>24</v>
      </c>
      <c r="J176" s="11" t="s">
        <v>25</v>
      </c>
      <c r="K176" s="11" t="s">
        <v>104</v>
      </c>
      <c r="L176" s="11" t="s">
        <v>27</v>
      </c>
      <c r="M176" s="11" t="s">
        <v>28</v>
      </c>
      <c r="N176" s="11">
        <v>4</v>
      </c>
      <c r="O176" s="11">
        <v>33999</v>
      </c>
      <c r="P176" s="11">
        <f t="shared" si="2"/>
        <v>135996</v>
      </c>
      <c r="Q176" s="11" t="s">
        <v>40</v>
      </c>
      <c r="R176" s="11" t="s">
        <v>30</v>
      </c>
      <c r="S176" s="11" t="s">
        <v>31</v>
      </c>
    </row>
    <row r="177" spans="1:19" x14ac:dyDescent="0.3">
      <c r="A177" s="11" t="s">
        <v>454</v>
      </c>
      <c r="B177" s="31">
        <v>46164</v>
      </c>
      <c r="C177" s="11" t="s">
        <v>33</v>
      </c>
      <c r="D177" s="11" t="s">
        <v>64</v>
      </c>
      <c r="E177" s="11" t="s">
        <v>112</v>
      </c>
      <c r="F177" s="11" t="s">
        <v>134</v>
      </c>
      <c r="G177" s="11" t="s">
        <v>455</v>
      </c>
      <c r="H177" s="11" t="s">
        <v>142</v>
      </c>
      <c r="I177" s="11" t="s">
        <v>24</v>
      </c>
      <c r="J177" s="11" t="s">
        <v>25</v>
      </c>
      <c r="K177" s="11" t="s">
        <v>97</v>
      </c>
      <c r="L177" s="11" t="s">
        <v>62</v>
      </c>
      <c r="M177" s="11" t="s">
        <v>28</v>
      </c>
      <c r="N177" s="11">
        <v>4</v>
      </c>
      <c r="O177" s="11">
        <v>124999</v>
      </c>
      <c r="P177" s="11">
        <f t="shared" si="2"/>
        <v>499996</v>
      </c>
      <c r="Q177" s="11" t="s">
        <v>29</v>
      </c>
      <c r="R177" s="11" t="s">
        <v>41</v>
      </c>
      <c r="S177" s="11" t="s">
        <v>53</v>
      </c>
    </row>
    <row r="178" spans="1:19" x14ac:dyDescent="0.3">
      <c r="A178" s="11" t="s">
        <v>456</v>
      </c>
      <c r="B178" s="31">
        <v>46164</v>
      </c>
      <c r="C178" s="11" t="s">
        <v>55</v>
      </c>
      <c r="D178" s="11" t="s">
        <v>55</v>
      </c>
      <c r="E178" s="11" t="s">
        <v>46</v>
      </c>
      <c r="F178" s="11" t="s">
        <v>21</v>
      </c>
      <c r="G178" s="11" t="s">
        <v>457</v>
      </c>
      <c r="H178" s="11" t="s">
        <v>153</v>
      </c>
      <c r="I178" s="11" t="s">
        <v>24</v>
      </c>
      <c r="J178" s="11" t="s">
        <v>25</v>
      </c>
      <c r="K178" s="11" t="s">
        <v>104</v>
      </c>
      <c r="L178" s="11" t="s">
        <v>39</v>
      </c>
      <c r="M178" s="11" t="s">
        <v>28</v>
      </c>
      <c r="N178" s="11">
        <v>5</v>
      </c>
      <c r="O178" s="11">
        <v>33999</v>
      </c>
      <c r="P178" s="11">
        <f t="shared" si="2"/>
        <v>169995</v>
      </c>
      <c r="Q178" s="11" t="s">
        <v>29</v>
      </c>
      <c r="R178" s="11" t="s">
        <v>30</v>
      </c>
      <c r="S178" s="11" t="s">
        <v>53</v>
      </c>
    </row>
    <row r="179" spans="1:19" x14ac:dyDescent="0.3">
      <c r="A179" s="11" t="s">
        <v>458</v>
      </c>
      <c r="B179" s="31">
        <v>46164</v>
      </c>
      <c r="C179" s="11" t="s">
        <v>77</v>
      </c>
      <c r="D179" s="11" t="s">
        <v>150</v>
      </c>
      <c r="E179" s="11" t="s">
        <v>151</v>
      </c>
      <c r="F179" s="11" t="s">
        <v>138</v>
      </c>
      <c r="G179" s="11" t="s">
        <v>459</v>
      </c>
      <c r="H179" s="11" t="s">
        <v>37</v>
      </c>
      <c r="I179" s="11" t="s">
        <v>24</v>
      </c>
      <c r="J179" s="11" t="s">
        <v>25</v>
      </c>
      <c r="K179" s="11" t="s">
        <v>50</v>
      </c>
      <c r="L179" s="11" t="s">
        <v>68</v>
      </c>
      <c r="M179" s="11" t="s">
        <v>28</v>
      </c>
      <c r="N179" s="11">
        <v>4</v>
      </c>
      <c r="O179" s="11">
        <v>22999</v>
      </c>
      <c r="P179" s="11">
        <f t="shared" si="2"/>
        <v>91996</v>
      </c>
      <c r="Q179" s="11" t="s">
        <v>29</v>
      </c>
      <c r="R179" s="11" t="s">
        <v>41</v>
      </c>
      <c r="S179" s="11" t="s">
        <v>53</v>
      </c>
    </row>
    <row r="180" spans="1:19" x14ac:dyDescent="0.3">
      <c r="A180" s="11" t="s">
        <v>460</v>
      </c>
      <c r="B180" s="31">
        <v>46164</v>
      </c>
      <c r="C180" s="11" t="s">
        <v>77</v>
      </c>
      <c r="D180" s="11" t="s">
        <v>77</v>
      </c>
      <c r="E180" s="11" t="s">
        <v>78</v>
      </c>
      <c r="F180" s="11" t="s">
        <v>134</v>
      </c>
      <c r="G180" s="11" t="s">
        <v>461</v>
      </c>
      <c r="H180" s="11" t="s">
        <v>75</v>
      </c>
      <c r="I180" s="11" t="s">
        <v>24</v>
      </c>
      <c r="J180" s="11" t="s">
        <v>25</v>
      </c>
      <c r="K180" s="11" t="s">
        <v>97</v>
      </c>
      <c r="L180" s="11" t="s">
        <v>51</v>
      </c>
      <c r="M180" s="11" t="s">
        <v>28</v>
      </c>
      <c r="N180" s="11">
        <v>2</v>
      </c>
      <c r="O180" s="11">
        <v>124999</v>
      </c>
      <c r="P180" s="11">
        <f t="shared" si="2"/>
        <v>249998</v>
      </c>
      <c r="Q180" s="11" t="s">
        <v>52</v>
      </c>
      <c r="R180" s="11" t="s">
        <v>30</v>
      </c>
      <c r="S180" s="11" t="s">
        <v>31</v>
      </c>
    </row>
    <row r="181" spans="1:19" x14ac:dyDescent="0.3">
      <c r="A181" s="11" t="s">
        <v>462</v>
      </c>
      <c r="B181" s="31">
        <v>46164</v>
      </c>
      <c r="C181" s="11" t="s">
        <v>33</v>
      </c>
      <c r="D181" s="11" t="s">
        <v>64</v>
      </c>
      <c r="E181" s="11" t="s">
        <v>65</v>
      </c>
      <c r="F181" s="11" t="s">
        <v>21</v>
      </c>
      <c r="G181" s="11" t="s">
        <v>463</v>
      </c>
      <c r="H181" s="11" t="s">
        <v>23</v>
      </c>
      <c r="I181" s="11" t="s">
        <v>24</v>
      </c>
      <c r="J181" s="11" t="s">
        <v>25</v>
      </c>
      <c r="K181" s="11" t="s">
        <v>92</v>
      </c>
      <c r="L181" s="11" t="s">
        <v>39</v>
      </c>
      <c r="M181" s="11" t="s">
        <v>28</v>
      </c>
      <c r="N181" s="11">
        <v>2</v>
      </c>
      <c r="O181" s="11">
        <v>21999</v>
      </c>
      <c r="P181" s="11">
        <f t="shared" si="2"/>
        <v>43998</v>
      </c>
      <c r="Q181" s="11" t="s">
        <v>40</v>
      </c>
      <c r="R181" s="11" t="s">
        <v>82</v>
      </c>
      <c r="S181" s="11" t="s">
        <v>42</v>
      </c>
    </row>
    <row r="182" spans="1:19" x14ac:dyDescent="0.3">
      <c r="A182" s="11" t="s">
        <v>464</v>
      </c>
      <c r="B182" s="31">
        <v>46164</v>
      </c>
      <c r="C182" s="11" t="s">
        <v>44</v>
      </c>
      <c r="D182" s="11" t="s">
        <v>45</v>
      </c>
      <c r="E182" s="11" t="s">
        <v>46</v>
      </c>
      <c r="F182" s="11" t="s">
        <v>134</v>
      </c>
      <c r="G182" s="11" t="s">
        <v>465</v>
      </c>
      <c r="H182" s="11" t="s">
        <v>153</v>
      </c>
      <c r="I182" s="11" t="s">
        <v>24</v>
      </c>
      <c r="J182" s="11" t="s">
        <v>25</v>
      </c>
      <c r="K182" s="11" t="s">
        <v>50</v>
      </c>
      <c r="L182" s="11" t="s">
        <v>105</v>
      </c>
      <c r="M182" s="11" t="s">
        <v>28</v>
      </c>
      <c r="N182" s="11">
        <v>5</v>
      </c>
      <c r="O182" s="11">
        <v>22999</v>
      </c>
      <c r="P182" s="11">
        <f t="shared" si="2"/>
        <v>114995</v>
      </c>
      <c r="Q182" s="11" t="s">
        <v>29</v>
      </c>
      <c r="R182" s="11" t="s">
        <v>82</v>
      </c>
      <c r="S182" s="11" t="s">
        <v>53</v>
      </c>
    </row>
    <row r="183" spans="1:19" x14ac:dyDescent="0.3">
      <c r="A183" s="11" t="s">
        <v>466</v>
      </c>
      <c r="B183" s="31">
        <v>46164</v>
      </c>
      <c r="C183" s="11" t="s">
        <v>77</v>
      </c>
      <c r="D183" s="11" t="s">
        <v>150</v>
      </c>
      <c r="E183" s="11" t="s">
        <v>210</v>
      </c>
      <c r="F183" s="11" t="s">
        <v>47</v>
      </c>
      <c r="G183" s="11" t="s">
        <v>467</v>
      </c>
      <c r="H183" s="11" t="s">
        <v>142</v>
      </c>
      <c r="I183" s="11" t="s">
        <v>24</v>
      </c>
      <c r="J183" s="11" t="s">
        <v>25</v>
      </c>
      <c r="K183" s="11" t="s">
        <v>104</v>
      </c>
      <c r="L183" s="11" t="s">
        <v>105</v>
      </c>
      <c r="M183" s="11" t="s">
        <v>28</v>
      </c>
      <c r="N183" s="11">
        <v>3</v>
      </c>
      <c r="O183" s="11">
        <v>33999</v>
      </c>
      <c r="P183" s="11">
        <f t="shared" si="2"/>
        <v>101997</v>
      </c>
      <c r="Q183" s="11" t="s">
        <v>93</v>
      </c>
      <c r="R183" s="11" t="s">
        <v>41</v>
      </c>
      <c r="S183" s="11" t="s">
        <v>53</v>
      </c>
    </row>
    <row r="184" spans="1:19" x14ac:dyDescent="0.3">
      <c r="A184" s="11" t="s">
        <v>468</v>
      </c>
      <c r="B184" s="31">
        <v>46164</v>
      </c>
      <c r="C184" s="11" t="s">
        <v>84</v>
      </c>
      <c r="D184" s="11" t="s">
        <v>85</v>
      </c>
      <c r="E184" s="11" t="s">
        <v>86</v>
      </c>
      <c r="F184" s="11" t="s">
        <v>47</v>
      </c>
      <c r="G184" s="11" t="s">
        <v>469</v>
      </c>
      <c r="H184" s="11" t="s">
        <v>60</v>
      </c>
      <c r="I184" s="11" t="s">
        <v>24</v>
      </c>
      <c r="J184" s="11" t="s">
        <v>25</v>
      </c>
      <c r="K184" s="11" t="s">
        <v>67</v>
      </c>
      <c r="L184" s="11" t="s">
        <v>105</v>
      </c>
      <c r="M184" s="11" t="s">
        <v>28</v>
      </c>
      <c r="N184" s="11">
        <v>1</v>
      </c>
      <c r="O184" s="11">
        <v>38999</v>
      </c>
      <c r="P184" s="11">
        <f t="shared" si="2"/>
        <v>38999</v>
      </c>
      <c r="Q184" s="11" t="s">
        <v>52</v>
      </c>
      <c r="R184" s="11" t="s">
        <v>82</v>
      </c>
      <c r="S184" s="11" t="s">
        <v>53</v>
      </c>
    </row>
    <row r="185" spans="1:19" x14ac:dyDescent="0.3">
      <c r="A185" s="11" t="s">
        <v>470</v>
      </c>
      <c r="B185" s="31">
        <v>46165</v>
      </c>
      <c r="C185" s="11" t="s">
        <v>33</v>
      </c>
      <c r="D185" s="11" t="s">
        <v>33</v>
      </c>
      <c r="E185" s="11" t="s">
        <v>241</v>
      </c>
      <c r="F185" s="11" t="s">
        <v>87</v>
      </c>
      <c r="G185" s="11" t="s">
        <v>471</v>
      </c>
      <c r="H185" s="11" t="s">
        <v>49</v>
      </c>
      <c r="I185" s="11" t="s">
        <v>24</v>
      </c>
      <c r="J185" s="11" t="s">
        <v>25</v>
      </c>
      <c r="K185" s="11" t="s">
        <v>61</v>
      </c>
      <c r="L185" s="11" t="s">
        <v>105</v>
      </c>
      <c r="M185" s="11" t="s">
        <v>28</v>
      </c>
      <c r="N185" s="11">
        <v>4</v>
      </c>
      <c r="O185" s="11">
        <v>189999</v>
      </c>
      <c r="P185" s="11">
        <f t="shared" si="2"/>
        <v>759996</v>
      </c>
      <c r="Q185" s="11" t="s">
        <v>29</v>
      </c>
      <c r="R185" s="11" t="s">
        <v>41</v>
      </c>
      <c r="S185" s="11" t="s">
        <v>31</v>
      </c>
    </row>
    <row r="186" spans="1:19" x14ac:dyDescent="0.3">
      <c r="A186" s="11" t="s">
        <v>472</v>
      </c>
      <c r="B186" s="31">
        <v>46165</v>
      </c>
      <c r="C186" s="11" t="s">
        <v>70</v>
      </c>
      <c r="D186" s="11" t="s">
        <v>71</v>
      </c>
      <c r="E186" s="11" t="s">
        <v>72</v>
      </c>
      <c r="F186" s="11" t="s">
        <v>122</v>
      </c>
      <c r="G186" s="11" t="s">
        <v>473</v>
      </c>
      <c r="H186" s="11" t="s">
        <v>60</v>
      </c>
      <c r="I186" s="11" t="s">
        <v>24</v>
      </c>
      <c r="J186" s="11" t="s">
        <v>25</v>
      </c>
      <c r="K186" s="11" t="s">
        <v>125</v>
      </c>
      <c r="L186" s="11" t="s">
        <v>62</v>
      </c>
      <c r="M186" s="11" t="s">
        <v>28</v>
      </c>
      <c r="N186" s="11">
        <v>5</v>
      </c>
      <c r="O186" s="11">
        <v>84999</v>
      </c>
      <c r="P186" s="11">
        <f t="shared" si="2"/>
        <v>424995</v>
      </c>
      <c r="Q186" s="11" t="s">
        <v>52</v>
      </c>
      <c r="R186" s="11" t="s">
        <v>41</v>
      </c>
      <c r="S186" s="11" t="s">
        <v>31</v>
      </c>
    </row>
    <row r="187" spans="1:19" x14ac:dyDescent="0.3">
      <c r="A187" s="11" t="s">
        <v>474</v>
      </c>
      <c r="B187" s="31">
        <v>46165</v>
      </c>
      <c r="C187" s="11" t="s">
        <v>19</v>
      </c>
      <c r="D187" s="11" t="s">
        <v>107</v>
      </c>
      <c r="E187" s="11" t="s">
        <v>133</v>
      </c>
      <c r="F187" s="11" t="s">
        <v>134</v>
      </c>
      <c r="G187" s="11" t="s">
        <v>475</v>
      </c>
      <c r="H187" s="11" t="s">
        <v>89</v>
      </c>
      <c r="I187" s="11" t="s">
        <v>24</v>
      </c>
      <c r="J187" s="11" t="s">
        <v>25</v>
      </c>
      <c r="K187" s="11" t="s">
        <v>67</v>
      </c>
      <c r="L187" s="11" t="s">
        <v>27</v>
      </c>
      <c r="M187" s="11" t="s">
        <v>28</v>
      </c>
      <c r="N187" s="11">
        <v>3</v>
      </c>
      <c r="O187" s="11">
        <v>38999</v>
      </c>
      <c r="P187" s="11">
        <f t="shared" si="2"/>
        <v>116997</v>
      </c>
      <c r="Q187" s="11" t="s">
        <v>52</v>
      </c>
      <c r="R187" s="11" t="s">
        <v>41</v>
      </c>
      <c r="S187" s="11" t="s">
        <v>42</v>
      </c>
    </row>
    <row r="188" spans="1:19" x14ac:dyDescent="0.3">
      <c r="A188" s="11" t="s">
        <v>476</v>
      </c>
      <c r="B188" s="31">
        <v>46165</v>
      </c>
      <c r="C188" s="11" t="s">
        <v>55</v>
      </c>
      <c r="D188" s="11" t="s">
        <v>55</v>
      </c>
      <c r="E188" s="11" t="s">
        <v>137</v>
      </c>
      <c r="F188" s="11" t="s">
        <v>47</v>
      </c>
      <c r="G188" s="11" t="s">
        <v>477</v>
      </c>
      <c r="H188" s="11" t="s">
        <v>153</v>
      </c>
      <c r="I188" s="11" t="s">
        <v>24</v>
      </c>
      <c r="J188" s="11" t="s">
        <v>25</v>
      </c>
      <c r="K188" s="11" t="s">
        <v>61</v>
      </c>
      <c r="L188" s="11" t="s">
        <v>27</v>
      </c>
      <c r="M188" s="11" t="s">
        <v>28</v>
      </c>
      <c r="N188" s="11">
        <v>4</v>
      </c>
      <c r="O188" s="11">
        <v>189999</v>
      </c>
      <c r="P188" s="11">
        <f t="shared" si="2"/>
        <v>759996</v>
      </c>
      <c r="Q188" s="11" t="s">
        <v>93</v>
      </c>
      <c r="R188" s="11" t="s">
        <v>30</v>
      </c>
      <c r="S188" s="11" t="s">
        <v>42</v>
      </c>
    </row>
    <row r="189" spans="1:19" x14ac:dyDescent="0.3">
      <c r="A189" s="11" t="s">
        <v>478</v>
      </c>
      <c r="B189" s="31">
        <v>46165</v>
      </c>
      <c r="C189" s="11" t="s">
        <v>33</v>
      </c>
      <c r="D189" s="11" t="s">
        <v>64</v>
      </c>
      <c r="E189" s="11" t="s">
        <v>65</v>
      </c>
      <c r="F189" s="11" t="s">
        <v>87</v>
      </c>
      <c r="G189" s="11" t="s">
        <v>479</v>
      </c>
      <c r="H189" s="11" t="s">
        <v>37</v>
      </c>
      <c r="I189" s="11" t="s">
        <v>24</v>
      </c>
      <c r="J189" s="11" t="s">
        <v>25</v>
      </c>
      <c r="K189" s="11" t="s">
        <v>114</v>
      </c>
      <c r="L189" s="11" t="s">
        <v>68</v>
      </c>
      <c r="M189" s="11" t="s">
        <v>28</v>
      </c>
      <c r="N189" s="11">
        <v>1</v>
      </c>
      <c r="O189" s="11">
        <v>24999</v>
      </c>
      <c r="P189" s="11">
        <f t="shared" si="2"/>
        <v>24999</v>
      </c>
      <c r="Q189" s="11" t="s">
        <v>40</v>
      </c>
      <c r="R189" s="11" t="s">
        <v>82</v>
      </c>
      <c r="S189" s="11" t="s">
        <v>42</v>
      </c>
    </row>
    <row r="190" spans="1:19" x14ac:dyDescent="0.3">
      <c r="A190" s="11" t="s">
        <v>480</v>
      </c>
      <c r="B190" s="31">
        <v>46166</v>
      </c>
      <c r="C190" s="11" t="s">
        <v>19</v>
      </c>
      <c r="D190" s="11" t="s">
        <v>19</v>
      </c>
      <c r="E190" s="11" t="s">
        <v>357</v>
      </c>
      <c r="F190" s="11" t="s">
        <v>58</v>
      </c>
      <c r="G190" s="11" t="s">
        <v>481</v>
      </c>
      <c r="H190" s="11" t="s">
        <v>124</v>
      </c>
      <c r="I190" s="11" t="s">
        <v>24</v>
      </c>
      <c r="J190" s="11" t="s">
        <v>25</v>
      </c>
      <c r="K190" s="11" t="s">
        <v>92</v>
      </c>
      <c r="L190" s="11" t="s">
        <v>62</v>
      </c>
      <c r="M190" s="11" t="s">
        <v>28</v>
      </c>
      <c r="N190" s="11">
        <v>3</v>
      </c>
      <c r="O190" s="11">
        <v>21999</v>
      </c>
      <c r="P190" s="11">
        <f t="shared" si="2"/>
        <v>65997</v>
      </c>
      <c r="Q190" s="11" t="s">
        <v>29</v>
      </c>
      <c r="R190" s="11" t="s">
        <v>82</v>
      </c>
      <c r="S190" s="11" t="s">
        <v>31</v>
      </c>
    </row>
    <row r="191" spans="1:19" x14ac:dyDescent="0.3">
      <c r="A191" s="11" t="s">
        <v>482</v>
      </c>
      <c r="B191" s="31">
        <v>46166</v>
      </c>
      <c r="C191" s="11" t="s">
        <v>84</v>
      </c>
      <c r="D191" s="11" t="s">
        <v>85</v>
      </c>
      <c r="E191" s="11" t="s">
        <v>147</v>
      </c>
      <c r="F191" s="11" t="s">
        <v>58</v>
      </c>
      <c r="G191" s="11" t="s">
        <v>483</v>
      </c>
      <c r="H191" s="11" t="s">
        <v>23</v>
      </c>
      <c r="I191" s="11" t="s">
        <v>24</v>
      </c>
      <c r="J191" s="11" t="s">
        <v>25</v>
      </c>
      <c r="K191" s="11" t="s">
        <v>38</v>
      </c>
      <c r="L191" s="11" t="s">
        <v>105</v>
      </c>
      <c r="M191" s="11" t="s">
        <v>28</v>
      </c>
      <c r="N191" s="11">
        <v>1</v>
      </c>
      <c r="O191" s="11">
        <v>54999</v>
      </c>
      <c r="P191" s="11">
        <f t="shared" si="2"/>
        <v>54999</v>
      </c>
      <c r="Q191" s="11" t="s">
        <v>52</v>
      </c>
      <c r="R191" s="11" t="s">
        <v>41</v>
      </c>
      <c r="S191" s="11" t="s">
        <v>53</v>
      </c>
    </row>
    <row r="192" spans="1:19" x14ac:dyDescent="0.3">
      <c r="A192" s="11" t="s">
        <v>484</v>
      </c>
      <c r="B192" s="31">
        <v>46166</v>
      </c>
      <c r="C192" s="11" t="s">
        <v>33</v>
      </c>
      <c r="D192" s="11" t="s">
        <v>64</v>
      </c>
      <c r="E192" s="11" t="s">
        <v>65</v>
      </c>
      <c r="F192" s="11" t="s">
        <v>134</v>
      </c>
      <c r="G192" s="11" t="s">
        <v>485</v>
      </c>
      <c r="H192" s="11" t="s">
        <v>142</v>
      </c>
      <c r="I192" s="11" t="s">
        <v>24</v>
      </c>
      <c r="J192" s="11" t="s">
        <v>25</v>
      </c>
      <c r="K192" s="11" t="s">
        <v>38</v>
      </c>
      <c r="L192" s="11" t="s">
        <v>51</v>
      </c>
      <c r="M192" s="11" t="s">
        <v>28</v>
      </c>
      <c r="N192" s="11">
        <v>4</v>
      </c>
      <c r="O192" s="11">
        <v>54999</v>
      </c>
      <c r="P192" s="11">
        <f t="shared" si="2"/>
        <v>219996</v>
      </c>
      <c r="Q192" s="11" t="s">
        <v>52</v>
      </c>
      <c r="R192" s="11" t="s">
        <v>30</v>
      </c>
      <c r="S192" s="11" t="s">
        <v>31</v>
      </c>
    </row>
    <row r="193" spans="1:19" x14ac:dyDescent="0.3">
      <c r="A193" s="11" t="s">
        <v>486</v>
      </c>
      <c r="B193" s="31">
        <v>46166</v>
      </c>
      <c r="C193" s="11" t="s">
        <v>70</v>
      </c>
      <c r="D193" s="11" t="s">
        <v>70</v>
      </c>
      <c r="E193" s="11" t="s">
        <v>119</v>
      </c>
      <c r="F193" s="11" t="s">
        <v>47</v>
      </c>
      <c r="G193" s="11" t="s">
        <v>487</v>
      </c>
      <c r="H193" s="11" t="s">
        <v>89</v>
      </c>
      <c r="I193" s="11" t="s">
        <v>24</v>
      </c>
      <c r="J193" s="11" t="s">
        <v>25</v>
      </c>
      <c r="K193" s="11" t="s">
        <v>97</v>
      </c>
      <c r="L193" s="11" t="s">
        <v>51</v>
      </c>
      <c r="M193" s="11" t="s">
        <v>28</v>
      </c>
      <c r="N193" s="11">
        <v>4</v>
      </c>
      <c r="O193" s="11">
        <v>124999</v>
      </c>
      <c r="P193" s="11">
        <f t="shared" si="2"/>
        <v>499996</v>
      </c>
      <c r="Q193" s="11" t="s">
        <v>40</v>
      </c>
      <c r="R193" s="11" t="s">
        <v>41</v>
      </c>
      <c r="S193" s="11" t="s">
        <v>31</v>
      </c>
    </row>
    <row r="194" spans="1:19" x14ac:dyDescent="0.3">
      <c r="A194" s="11" t="s">
        <v>488</v>
      </c>
      <c r="B194" s="31">
        <v>46166</v>
      </c>
      <c r="C194" s="11" t="s">
        <v>55</v>
      </c>
      <c r="D194" s="11" t="s">
        <v>56</v>
      </c>
      <c r="E194" s="11" t="s">
        <v>57</v>
      </c>
      <c r="F194" s="11" t="s">
        <v>138</v>
      </c>
      <c r="G194" s="11" t="s">
        <v>489</v>
      </c>
      <c r="H194" s="11" t="s">
        <v>49</v>
      </c>
      <c r="I194" s="11" t="s">
        <v>24</v>
      </c>
      <c r="J194" s="11" t="s">
        <v>25</v>
      </c>
      <c r="K194" s="11" t="s">
        <v>67</v>
      </c>
      <c r="L194" s="11" t="s">
        <v>39</v>
      </c>
      <c r="M194" s="11" t="s">
        <v>28</v>
      </c>
      <c r="N194" s="11">
        <v>2</v>
      </c>
      <c r="O194" s="11">
        <v>38999</v>
      </c>
      <c r="P194" s="11">
        <f t="shared" si="2"/>
        <v>77998</v>
      </c>
      <c r="Q194" s="11" t="s">
        <v>52</v>
      </c>
      <c r="R194" s="11" t="s">
        <v>82</v>
      </c>
      <c r="S194" s="11" t="s">
        <v>42</v>
      </c>
    </row>
    <row r="195" spans="1:19" x14ac:dyDescent="0.3">
      <c r="A195" s="11" t="s">
        <v>490</v>
      </c>
      <c r="B195" s="31">
        <v>46167</v>
      </c>
      <c r="C195" s="11" t="s">
        <v>55</v>
      </c>
      <c r="D195" s="11" t="s">
        <v>56</v>
      </c>
      <c r="E195" s="11" t="s">
        <v>172</v>
      </c>
      <c r="F195" s="11" t="s">
        <v>162</v>
      </c>
      <c r="G195" s="11" t="s">
        <v>491</v>
      </c>
      <c r="H195" s="11" t="s">
        <v>75</v>
      </c>
      <c r="I195" s="11" t="s">
        <v>24</v>
      </c>
      <c r="J195" s="11" t="s">
        <v>25</v>
      </c>
      <c r="K195" s="11" t="s">
        <v>67</v>
      </c>
      <c r="L195" s="11" t="s">
        <v>68</v>
      </c>
      <c r="M195" s="11" t="s">
        <v>28</v>
      </c>
      <c r="N195" s="11">
        <v>5</v>
      </c>
      <c r="O195" s="11">
        <v>38999</v>
      </c>
      <c r="P195" s="11">
        <f t="shared" si="2"/>
        <v>194995</v>
      </c>
      <c r="Q195" s="11" t="s">
        <v>93</v>
      </c>
      <c r="R195" s="11" t="s">
        <v>82</v>
      </c>
      <c r="S195" s="11" t="s">
        <v>42</v>
      </c>
    </row>
    <row r="196" spans="1:19" x14ac:dyDescent="0.3">
      <c r="A196" s="11" t="s">
        <v>492</v>
      </c>
      <c r="B196" s="31">
        <v>46167</v>
      </c>
      <c r="C196" s="11" t="s">
        <v>70</v>
      </c>
      <c r="D196" s="11" t="s">
        <v>71</v>
      </c>
      <c r="E196" s="11" t="s">
        <v>119</v>
      </c>
      <c r="F196" s="11" t="s">
        <v>122</v>
      </c>
      <c r="G196" s="11" t="s">
        <v>493</v>
      </c>
      <c r="H196" s="11" t="s">
        <v>37</v>
      </c>
      <c r="I196" s="11" t="s">
        <v>24</v>
      </c>
      <c r="J196" s="11" t="s">
        <v>25</v>
      </c>
      <c r="K196" s="11" t="s">
        <v>92</v>
      </c>
      <c r="L196" s="11" t="s">
        <v>62</v>
      </c>
      <c r="M196" s="11" t="s">
        <v>28</v>
      </c>
      <c r="N196" s="11">
        <v>3</v>
      </c>
      <c r="O196" s="11">
        <v>21999</v>
      </c>
      <c r="P196" s="11">
        <f t="shared" si="2"/>
        <v>65997</v>
      </c>
      <c r="Q196" s="11" t="s">
        <v>29</v>
      </c>
      <c r="R196" s="11" t="s">
        <v>82</v>
      </c>
      <c r="S196" s="11" t="s">
        <v>42</v>
      </c>
    </row>
    <row r="197" spans="1:19" x14ac:dyDescent="0.3">
      <c r="A197" s="11" t="s">
        <v>494</v>
      </c>
      <c r="B197" s="31">
        <v>46167</v>
      </c>
      <c r="C197" s="11" t="s">
        <v>33</v>
      </c>
      <c r="D197" s="11" t="s">
        <v>64</v>
      </c>
      <c r="E197" s="11" t="s">
        <v>65</v>
      </c>
      <c r="F197" s="11" t="s">
        <v>134</v>
      </c>
      <c r="G197" s="11" t="s">
        <v>495</v>
      </c>
      <c r="H197" s="11" t="s">
        <v>124</v>
      </c>
      <c r="I197" s="11" t="s">
        <v>24</v>
      </c>
      <c r="J197" s="11" t="s">
        <v>25</v>
      </c>
      <c r="K197" s="11" t="s">
        <v>125</v>
      </c>
      <c r="L197" s="11" t="s">
        <v>51</v>
      </c>
      <c r="M197" s="11" t="s">
        <v>28</v>
      </c>
      <c r="N197" s="11">
        <v>4</v>
      </c>
      <c r="O197" s="11">
        <v>84999</v>
      </c>
      <c r="P197" s="11">
        <f t="shared" si="2"/>
        <v>339996</v>
      </c>
      <c r="Q197" s="11" t="s">
        <v>29</v>
      </c>
      <c r="R197" s="11" t="s">
        <v>30</v>
      </c>
      <c r="S197" s="11" t="s">
        <v>53</v>
      </c>
    </row>
    <row r="198" spans="1:19" x14ac:dyDescent="0.3">
      <c r="A198" s="11" t="s">
        <v>496</v>
      </c>
      <c r="B198" s="31">
        <v>46167</v>
      </c>
      <c r="C198" s="11" t="s">
        <v>99</v>
      </c>
      <c r="D198" s="11" t="s">
        <v>175</v>
      </c>
      <c r="E198" s="11" t="s">
        <v>176</v>
      </c>
      <c r="F198" s="11" t="s">
        <v>35</v>
      </c>
      <c r="G198" s="11" t="s">
        <v>497</v>
      </c>
      <c r="H198" s="11" t="s">
        <v>49</v>
      </c>
      <c r="I198" s="11" t="s">
        <v>24</v>
      </c>
      <c r="J198" s="11" t="s">
        <v>25</v>
      </c>
      <c r="K198" s="11" t="s">
        <v>97</v>
      </c>
      <c r="L198" s="11" t="s">
        <v>51</v>
      </c>
      <c r="M198" s="11" t="s">
        <v>28</v>
      </c>
      <c r="N198" s="11">
        <v>3</v>
      </c>
      <c r="O198" s="11">
        <v>124999</v>
      </c>
      <c r="P198" s="11">
        <f t="shared" si="2"/>
        <v>374997</v>
      </c>
      <c r="Q198" s="11" t="s">
        <v>29</v>
      </c>
      <c r="R198" s="11" t="s">
        <v>82</v>
      </c>
      <c r="S198" s="11" t="s">
        <v>42</v>
      </c>
    </row>
    <row r="199" spans="1:19" x14ac:dyDescent="0.3">
      <c r="A199" s="11" t="s">
        <v>498</v>
      </c>
      <c r="B199" s="31">
        <v>46167</v>
      </c>
      <c r="C199" s="11" t="s">
        <v>70</v>
      </c>
      <c r="D199" s="11" t="s">
        <v>70</v>
      </c>
      <c r="E199" s="11" t="s">
        <v>119</v>
      </c>
      <c r="F199" s="11" t="s">
        <v>47</v>
      </c>
      <c r="G199" s="11" t="s">
        <v>499</v>
      </c>
      <c r="H199" s="11" t="s">
        <v>153</v>
      </c>
      <c r="I199" s="11" t="s">
        <v>24</v>
      </c>
      <c r="J199" s="11" t="s">
        <v>25</v>
      </c>
      <c r="K199" s="11" t="s">
        <v>125</v>
      </c>
      <c r="L199" s="11" t="s">
        <v>39</v>
      </c>
      <c r="M199" s="11" t="s">
        <v>28</v>
      </c>
      <c r="N199" s="11">
        <v>4</v>
      </c>
      <c r="O199" s="11">
        <v>84999</v>
      </c>
      <c r="P199" s="11">
        <f t="shared" si="2"/>
        <v>339996</v>
      </c>
      <c r="Q199" s="11" t="s">
        <v>52</v>
      </c>
      <c r="R199" s="11" t="s">
        <v>41</v>
      </c>
      <c r="S199" s="11" t="s">
        <v>53</v>
      </c>
    </row>
    <row r="200" spans="1:19" x14ac:dyDescent="0.3">
      <c r="A200" s="11" t="s">
        <v>500</v>
      </c>
      <c r="B200" s="31">
        <v>46167</v>
      </c>
      <c r="C200" s="11" t="s">
        <v>84</v>
      </c>
      <c r="D200" s="11" t="s">
        <v>84</v>
      </c>
      <c r="E200" s="11" t="s">
        <v>238</v>
      </c>
      <c r="F200" s="11" t="s">
        <v>73</v>
      </c>
      <c r="G200" s="11" t="s">
        <v>501</v>
      </c>
      <c r="H200" s="11" t="s">
        <v>49</v>
      </c>
      <c r="I200" s="11" t="s">
        <v>24</v>
      </c>
      <c r="J200" s="11" t="s">
        <v>25</v>
      </c>
      <c r="K200" s="11" t="s">
        <v>61</v>
      </c>
      <c r="L200" s="11" t="s">
        <v>39</v>
      </c>
      <c r="M200" s="11" t="s">
        <v>28</v>
      </c>
      <c r="N200" s="11">
        <v>3</v>
      </c>
      <c r="O200" s="11">
        <v>189999</v>
      </c>
      <c r="P200" s="11">
        <f t="shared" si="2"/>
        <v>569997</v>
      </c>
      <c r="Q200" s="11" t="s">
        <v>52</v>
      </c>
      <c r="R200" s="11" t="s">
        <v>30</v>
      </c>
      <c r="S200" s="11" t="s">
        <v>42</v>
      </c>
    </row>
    <row r="201" spans="1:19" x14ac:dyDescent="0.3">
      <c r="A201" s="11" t="s">
        <v>502</v>
      </c>
      <c r="B201" s="31">
        <v>46167</v>
      </c>
      <c r="C201" s="11" t="s">
        <v>33</v>
      </c>
      <c r="D201" s="11" t="s">
        <v>33</v>
      </c>
      <c r="E201" s="11" t="s">
        <v>34</v>
      </c>
      <c r="F201" s="11" t="s">
        <v>138</v>
      </c>
      <c r="G201" s="11" t="s">
        <v>503</v>
      </c>
      <c r="H201" s="11" t="s">
        <v>37</v>
      </c>
      <c r="I201" s="11" t="s">
        <v>24</v>
      </c>
      <c r="J201" s="11" t="s">
        <v>25</v>
      </c>
      <c r="K201" s="11" t="s">
        <v>67</v>
      </c>
      <c r="L201" s="11" t="s">
        <v>39</v>
      </c>
      <c r="M201" s="11" t="s">
        <v>28</v>
      </c>
      <c r="N201" s="11">
        <v>5</v>
      </c>
      <c r="O201" s="11">
        <v>38999</v>
      </c>
      <c r="P201" s="11">
        <f t="shared" si="2"/>
        <v>194995</v>
      </c>
      <c r="Q201" s="11" t="s">
        <v>93</v>
      </c>
      <c r="R201" s="11" t="s">
        <v>30</v>
      </c>
      <c r="S201" s="11" t="s">
        <v>31</v>
      </c>
    </row>
    <row r="202" spans="1:19" x14ac:dyDescent="0.3">
      <c r="A202" s="11" t="s">
        <v>504</v>
      </c>
      <c r="B202" s="31">
        <v>46167</v>
      </c>
      <c r="C202" s="11" t="s">
        <v>77</v>
      </c>
      <c r="D202" s="11" t="s">
        <v>150</v>
      </c>
      <c r="E202" s="11" t="s">
        <v>151</v>
      </c>
      <c r="F202" s="11" t="s">
        <v>47</v>
      </c>
      <c r="G202" s="11" t="s">
        <v>505</v>
      </c>
      <c r="H202" s="11" t="s">
        <v>110</v>
      </c>
      <c r="I202" s="11" t="s">
        <v>24</v>
      </c>
      <c r="J202" s="11" t="s">
        <v>25</v>
      </c>
      <c r="K202" s="11" t="s">
        <v>97</v>
      </c>
      <c r="L202" s="11" t="s">
        <v>105</v>
      </c>
      <c r="M202" s="11" t="s">
        <v>28</v>
      </c>
      <c r="N202" s="11">
        <v>3</v>
      </c>
      <c r="O202" s="11">
        <v>124999</v>
      </c>
      <c r="P202" s="11">
        <f t="shared" si="2"/>
        <v>374997</v>
      </c>
      <c r="Q202" s="11" t="s">
        <v>93</v>
      </c>
      <c r="R202" s="11" t="s">
        <v>30</v>
      </c>
      <c r="S202" s="11" t="s">
        <v>42</v>
      </c>
    </row>
    <row r="203" spans="1:19" x14ac:dyDescent="0.3">
      <c r="A203" s="11" t="s">
        <v>506</v>
      </c>
      <c r="B203" s="31">
        <v>46168</v>
      </c>
      <c r="C203" s="11" t="s">
        <v>99</v>
      </c>
      <c r="D203" s="11" t="s">
        <v>175</v>
      </c>
      <c r="E203" s="11" t="s">
        <v>244</v>
      </c>
      <c r="F203" s="11" t="s">
        <v>58</v>
      </c>
      <c r="G203" s="11" t="s">
        <v>507</v>
      </c>
      <c r="H203" s="11" t="s">
        <v>23</v>
      </c>
      <c r="I203" s="11" t="s">
        <v>24</v>
      </c>
      <c r="J203" s="11" t="s">
        <v>25</v>
      </c>
      <c r="K203" s="11" t="s">
        <v>67</v>
      </c>
      <c r="L203" s="11" t="s">
        <v>105</v>
      </c>
      <c r="M203" s="11" t="s">
        <v>28</v>
      </c>
      <c r="N203" s="11">
        <v>4</v>
      </c>
      <c r="O203" s="11">
        <v>38999</v>
      </c>
      <c r="P203" s="11">
        <f t="shared" ref="P203:P209" si="3">O203*N203</f>
        <v>155996</v>
      </c>
      <c r="Q203" s="11" t="s">
        <v>40</v>
      </c>
      <c r="R203" s="11" t="s">
        <v>41</v>
      </c>
      <c r="S203" s="11" t="s">
        <v>42</v>
      </c>
    </row>
    <row r="204" spans="1:19" x14ac:dyDescent="0.3">
      <c r="A204" s="11" t="s">
        <v>508</v>
      </c>
      <c r="B204" s="31">
        <v>46168</v>
      </c>
      <c r="C204" s="11" t="s">
        <v>19</v>
      </c>
      <c r="D204" s="11" t="s">
        <v>19</v>
      </c>
      <c r="E204" s="11" t="s">
        <v>20</v>
      </c>
      <c r="F204" s="11" t="s">
        <v>122</v>
      </c>
      <c r="G204" s="11" t="s">
        <v>509</v>
      </c>
      <c r="H204" s="11" t="s">
        <v>153</v>
      </c>
      <c r="I204" s="11" t="s">
        <v>24</v>
      </c>
      <c r="J204" s="11" t="s">
        <v>25</v>
      </c>
      <c r="K204" s="11" t="s">
        <v>38</v>
      </c>
      <c r="L204" s="11" t="s">
        <v>68</v>
      </c>
      <c r="M204" s="11" t="s">
        <v>28</v>
      </c>
      <c r="N204" s="11">
        <v>4</v>
      </c>
      <c r="O204" s="11">
        <v>54999</v>
      </c>
      <c r="P204" s="11">
        <f t="shared" si="3"/>
        <v>219996</v>
      </c>
      <c r="Q204" s="11" t="s">
        <v>93</v>
      </c>
      <c r="R204" s="11" t="s">
        <v>41</v>
      </c>
      <c r="S204" s="11" t="s">
        <v>31</v>
      </c>
    </row>
    <row r="205" spans="1:19" x14ac:dyDescent="0.3">
      <c r="A205" s="11" t="s">
        <v>510</v>
      </c>
      <c r="B205" s="31">
        <v>46168</v>
      </c>
      <c r="C205" s="11" t="s">
        <v>19</v>
      </c>
      <c r="D205" s="11" t="s">
        <v>107</v>
      </c>
      <c r="E205" s="11" t="s">
        <v>108</v>
      </c>
      <c r="F205" s="11" t="s">
        <v>35</v>
      </c>
      <c r="G205" s="11" t="s">
        <v>511</v>
      </c>
      <c r="H205" s="11" t="s">
        <v>153</v>
      </c>
      <c r="I205" s="11" t="s">
        <v>24</v>
      </c>
      <c r="J205" s="11" t="s">
        <v>25</v>
      </c>
      <c r="K205" s="11" t="s">
        <v>26</v>
      </c>
      <c r="L205" s="11" t="s">
        <v>39</v>
      </c>
      <c r="M205" s="11" t="s">
        <v>28</v>
      </c>
      <c r="N205" s="11">
        <v>5</v>
      </c>
      <c r="O205" s="11">
        <v>13999</v>
      </c>
      <c r="P205" s="11">
        <f t="shared" si="3"/>
        <v>69995</v>
      </c>
      <c r="Q205" s="11" t="s">
        <v>40</v>
      </c>
      <c r="R205" s="11" t="s">
        <v>41</v>
      </c>
      <c r="S205" s="11" t="s">
        <v>31</v>
      </c>
    </row>
    <row r="206" spans="1:19" x14ac:dyDescent="0.3">
      <c r="A206" s="11" t="s">
        <v>512</v>
      </c>
      <c r="B206" s="31">
        <v>46168</v>
      </c>
      <c r="C206" s="11" t="s">
        <v>44</v>
      </c>
      <c r="D206" s="11" t="s">
        <v>44</v>
      </c>
      <c r="E206" s="11" t="s">
        <v>144</v>
      </c>
      <c r="F206" s="11" t="s">
        <v>73</v>
      </c>
      <c r="G206" s="11" t="s">
        <v>513</v>
      </c>
      <c r="H206" s="11" t="s">
        <v>89</v>
      </c>
      <c r="I206" s="11" t="s">
        <v>24</v>
      </c>
      <c r="J206" s="11" t="s">
        <v>25</v>
      </c>
      <c r="K206" s="11" t="s">
        <v>125</v>
      </c>
      <c r="L206" s="11" t="s">
        <v>51</v>
      </c>
      <c r="M206" s="11" t="s">
        <v>28</v>
      </c>
      <c r="N206" s="11">
        <v>2</v>
      </c>
      <c r="O206" s="11">
        <v>84999</v>
      </c>
      <c r="P206" s="11">
        <f t="shared" si="3"/>
        <v>169998</v>
      </c>
      <c r="Q206" s="11" t="s">
        <v>40</v>
      </c>
      <c r="R206" s="11" t="s">
        <v>82</v>
      </c>
      <c r="S206" s="11" t="s">
        <v>42</v>
      </c>
    </row>
    <row r="207" spans="1:19" x14ac:dyDescent="0.3">
      <c r="A207" s="11" t="s">
        <v>514</v>
      </c>
      <c r="B207" s="31">
        <v>46168</v>
      </c>
      <c r="C207" s="11" t="s">
        <v>77</v>
      </c>
      <c r="D207" s="11" t="s">
        <v>150</v>
      </c>
      <c r="E207" s="11" t="s">
        <v>210</v>
      </c>
      <c r="F207" s="11" t="s">
        <v>122</v>
      </c>
      <c r="G207" s="11" t="s">
        <v>515</v>
      </c>
      <c r="H207" s="11" t="s">
        <v>89</v>
      </c>
      <c r="I207" s="11" t="s">
        <v>24</v>
      </c>
      <c r="J207" s="11" t="s">
        <v>25</v>
      </c>
      <c r="K207" s="11" t="s">
        <v>125</v>
      </c>
      <c r="L207" s="11" t="s">
        <v>39</v>
      </c>
      <c r="M207" s="11" t="s">
        <v>28</v>
      </c>
      <c r="N207" s="11">
        <v>4</v>
      </c>
      <c r="O207" s="11">
        <v>84999</v>
      </c>
      <c r="P207" s="11">
        <f t="shared" si="3"/>
        <v>339996</v>
      </c>
      <c r="Q207" s="11" t="s">
        <v>29</v>
      </c>
      <c r="R207" s="11" t="s">
        <v>30</v>
      </c>
      <c r="S207" s="11" t="s">
        <v>31</v>
      </c>
    </row>
    <row r="208" spans="1:19" x14ac:dyDescent="0.3">
      <c r="A208" s="11" t="s">
        <v>516</v>
      </c>
      <c r="B208" s="31">
        <v>46168</v>
      </c>
      <c r="C208" s="11" t="s">
        <v>77</v>
      </c>
      <c r="D208" s="11" t="s">
        <v>77</v>
      </c>
      <c r="E208" s="11" t="s">
        <v>78</v>
      </c>
      <c r="F208" s="11" t="s">
        <v>35</v>
      </c>
      <c r="G208" s="11" t="s">
        <v>517</v>
      </c>
      <c r="H208" s="11" t="s">
        <v>153</v>
      </c>
      <c r="I208" s="11" t="s">
        <v>24</v>
      </c>
      <c r="J208" s="11" t="s">
        <v>25</v>
      </c>
      <c r="K208" s="11" t="s">
        <v>97</v>
      </c>
      <c r="L208" s="11" t="s">
        <v>105</v>
      </c>
      <c r="M208" s="11" t="s">
        <v>28</v>
      </c>
      <c r="N208" s="11">
        <v>3</v>
      </c>
      <c r="O208" s="11">
        <v>124999</v>
      </c>
      <c r="P208" s="11">
        <f t="shared" si="3"/>
        <v>374997</v>
      </c>
      <c r="Q208" s="11" t="s">
        <v>52</v>
      </c>
      <c r="R208" s="11" t="s">
        <v>41</v>
      </c>
      <c r="S208" s="11" t="s">
        <v>42</v>
      </c>
    </row>
    <row r="209" spans="1:19" x14ac:dyDescent="0.3">
      <c r="A209" s="11" t="s">
        <v>518</v>
      </c>
      <c r="B209" s="31">
        <v>46168</v>
      </c>
      <c r="C209" s="11" t="s">
        <v>77</v>
      </c>
      <c r="D209" s="11" t="s">
        <v>150</v>
      </c>
      <c r="E209" s="11" t="s">
        <v>210</v>
      </c>
      <c r="F209" s="11" t="s">
        <v>73</v>
      </c>
      <c r="G209" s="11" t="s">
        <v>519</v>
      </c>
      <c r="H209" s="11" t="s">
        <v>89</v>
      </c>
      <c r="I209" s="11" t="s">
        <v>24</v>
      </c>
      <c r="J209" s="11" t="s">
        <v>25</v>
      </c>
      <c r="K209" s="11" t="s">
        <v>92</v>
      </c>
      <c r="L209" s="11" t="s">
        <v>39</v>
      </c>
      <c r="M209" s="11" t="s">
        <v>28</v>
      </c>
      <c r="N209" s="11">
        <v>1</v>
      </c>
      <c r="O209" s="11">
        <v>21999</v>
      </c>
      <c r="P209" s="11">
        <f t="shared" si="3"/>
        <v>21999</v>
      </c>
      <c r="Q209" s="11" t="s">
        <v>40</v>
      </c>
      <c r="R209" s="11" t="s">
        <v>30</v>
      </c>
      <c r="S209" s="11" t="s">
        <v>53</v>
      </c>
    </row>
  </sheetData>
  <autoFilter ref="A9:S209" xr:uid="{3933CCCE-DDD9-4F65-8AF8-492C66DB44F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Type_Paste Spacial_Key S</vt:lpstr>
      <vt:lpstr>Cell Ref</vt:lpstr>
      <vt:lpstr>Basic Formulas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Saiful Islam sagor</dc:creator>
  <cp:lastModifiedBy>Dipan Nandi</cp:lastModifiedBy>
  <dcterms:created xsi:type="dcterms:W3CDTF">2026-05-22T02:15:03Z</dcterms:created>
  <dcterms:modified xsi:type="dcterms:W3CDTF">2026-08-10T15:35:45Z</dcterms:modified>
</cp:coreProperties>
</file>