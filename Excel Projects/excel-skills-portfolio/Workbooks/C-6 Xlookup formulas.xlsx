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C6\"/>
    </mc:Choice>
  </mc:AlternateContent>
  <xr:revisionPtr revIDLastSave="0" documentId="13_ncr:1_{81F6732D-32CC-4882-8DF9-72CF646D905E}" xr6:coauthVersionLast="47" xr6:coauthVersionMax="47" xr10:uidLastSave="{00000000-0000-0000-0000-000000000000}"/>
  <bookViews>
    <workbookView xWindow="-108" yWindow="-108" windowWidth="23256" windowHeight="12456" tabRatio="920" firstSheet="3" activeTab="15" xr2:uid="{58A82F2F-A7E0-4B6B-9157-0BB330ACBDA9}"/>
  </bookViews>
  <sheets>
    <sheet name="Xlookup 1" sheetId="1" r:id="rId1"/>
    <sheet name="Xlookup 2" sheetId="3" r:id="rId2"/>
    <sheet name="Xlookup 3" sheetId="4" r:id="rId3"/>
    <sheet name="Xlookup 4" sheetId="5" r:id="rId4"/>
    <sheet name="Xlookup 5" sheetId="13" r:id="rId5"/>
    <sheet name="Xlookup 6" sheetId="7" r:id="rId6"/>
    <sheet name="Xlookup 7" sheetId="8" r:id="rId7"/>
    <sheet name="Xlookup 8" sheetId="9" r:id="rId8"/>
    <sheet name="Xlookup 9" sheetId="12" r:id="rId9"/>
    <sheet name="Real Problem" sheetId="14" r:id="rId10"/>
    <sheet name="Sheet1" sheetId="15" r:id="rId11"/>
    <sheet name="Wildcard" sheetId="16" r:id="rId12"/>
    <sheet name="Multiple" sheetId="17" r:id="rId13"/>
    <sheet name="Ref Sheet" sheetId="18" r:id="rId14"/>
    <sheet name="Destination" sheetId="19" r:id="rId15"/>
    <sheet name="Table format" sheetId="20" r:id="rId16"/>
  </sheets>
  <externalReferences>
    <externalReference r:id="rId17"/>
  </externalReferences>
  <definedNames>
    <definedName name="abc">[1]Sheet1!$A$1:$Y$479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0" l="1"/>
  <c r="I24" i="20"/>
  <c r="I23" i="20"/>
  <c r="L22" i="20"/>
  <c r="I22" i="20"/>
  <c r="L21" i="20"/>
  <c r="I21" i="20"/>
  <c r="L20" i="20"/>
  <c r="I20" i="20"/>
  <c r="I19" i="20"/>
  <c r="I18" i="20"/>
  <c r="I17" i="20"/>
  <c r="I16" i="20"/>
  <c r="L15" i="20"/>
  <c r="I15" i="20"/>
  <c r="L14" i="20"/>
  <c r="I14" i="20"/>
  <c r="L13" i="20"/>
  <c r="I13" i="20"/>
  <c r="I12" i="20"/>
  <c r="I11" i="20"/>
  <c r="B2" i="19"/>
  <c r="C2" i="19"/>
  <c r="D2" i="19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B4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G2" i="18"/>
  <c r="I2" i="18"/>
  <c r="J2" i="18"/>
  <c r="O2" i="18"/>
  <c r="Q2" i="18"/>
  <c r="R2" i="18"/>
  <c r="S2" i="18" s="1"/>
  <c r="V2" i="18"/>
  <c r="X2" i="18"/>
  <c r="G3" i="18"/>
  <c r="I3" i="18"/>
  <c r="J3" i="18"/>
  <c r="T3" i="18" s="1"/>
  <c r="O3" i="18"/>
  <c r="Q3" i="18"/>
  <c r="R3" i="18"/>
  <c r="S3" i="18"/>
  <c r="V3" i="18"/>
  <c r="X3" i="18" s="1"/>
  <c r="G4" i="18"/>
  <c r="I4" i="18"/>
  <c r="J4" i="18"/>
  <c r="O4" i="18"/>
  <c r="Q4" i="18"/>
  <c r="S4" i="18" s="1"/>
  <c r="T4" i="18" s="1"/>
  <c r="R4" i="18"/>
  <c r="V4" i="18"/>
  <c r="X4" i="18" s="1"/>
  <c r="G5" i="18"/>
  <c r="I5" i="18"/>
  <c r="J5" i="18"/>
  <c r="O5" i="18"/>
  <c r="Q5" i="18"/>
  <c r="S5" i="18" s="1"/>
  <c r="R5" i="18"/>
  <c r="V5" i="18"/>
  <c r="X5" i="18" s="1"/>
  <c r="G6" i="18"/>
  <c r="I6" i="18"/>
  <c r="T6" i="18" s="1"/>
  <c r="Y6" i="18" s="1"/>
  <c r="J6" i="18"/>
  <c r="O6" i="18"/>
  <c r="Q6" i="18"/>
  <c r="S6" i="18" s="1"/>
  <c r="R6" i="18"/>
  <c r="V6" i="18"/>
  <c r="X6" i="18"/>
  <c r="G7" i="18"/>
  <c r="I7" i="18"/>
  <c r="J7" i="18"/>
  <c r="O7" i="18"/>
  <c r="Q7" i="18"/>
  <c r="R7" i="18"/>
  <c r="S7" i="18"/>
  <c r="T7" i="18" s="1"/>
  <c r="Y7" i="18" s="1"/>
  <c r="V7" i="18"/>
  <c r="X7" i="18" s="1"/>
  <c r="G8" i="18"/>
  <c r="I8" i="18"/>
  <c r="J8" i="18"/>
  <c r="O8" i="18"/>
  <c r="Q8" i="18"/>
  <c r="S8" i="18" s="1"/>
  <c r="R8" i="18"/>
  <c r="V8" i="18"/>
  <c r="X8" i="18"/>
  <c r="G9" i="18"/>
  <c r="I9" i="18"/>
  <c r="T9" i="18" s="1"/>
  <c r="Y9" i="18" s="1"/>
  <c r="J9" i="18"/>
  <c r="O9" i="18"/>
  <c r="Q9" i="18"/>
  <c r="S9" i="18" s="1"/>
  <c r="R9" i="18"/>
  <c r="V9" i="18"/>
  <c r="X9" i="18" s="1"/>
  <c r="G10" i="18"/>
  <c r="I10" i="18"/>
  <c r="J10" i="18"/>
  <c r="O10" i="18"/>
  <c r="Q10" i="18"/>
  <c r="R10" i="18"/>
  <c r="S10" i="18" s="1"/>
  <c r="T10" i="18" s="1"/>
  <c r="Y10" i="18" s="1"/>
  <c r="V10" i="18"/>
  <c r="X10" i="18"/>
  <c r="G11" i="18"/>
  <c r="I11" i="18"/>
  <c r="T11" i="18" s="1"/>
  <c r="Y11" i="18" s="1"/>
  <c r="J11" i="18"/>
  <c r="O11" i="18"/>
  <c r="Q11" i="18"/>
  <c r="S11" i="18" s="1"/>
  <c r="R11" i="18"/>
  <c r="V11" i="18"/>
  <c r="X11" i="18" s="1"/>
  <c r="G12" i="18"/>
  <c r="I12" i="18"/>
  <c r="J12" i="18"/>
  <c r="O12" i="18"/>
  <c r="Q12" i="18"/>
  <c r="R12" i="18"/>
  <c r="S12" i="18" s="1"/>
  <c r="T12" i="18" s="1"/>
  <c r="V12" i="18"/>
  <c r="X12" i="18" s="1"/>
  <c r="G13" i="18"/>
  <c r="I13" i="18"/>
  <c r="J13" i="18"/>
  <c r="O13" i="18"/>
  <c r="Q13" i="18"/>
  <c r="S13" i="18" s="1"/>
  <c r="R13" i="18"/>
  <c r="V13" i="18"/>
  <c r="X13" i="18" s="1"/>
  <c r="G14" i="18"/>
  <c r="I14" i="18"/>
  <c r="J14" i="18"/>
  <c r="O14" i="18"/>
  <c r="Q14" i="18"/>
  <c r="S14" i="18" s="1"/>
  <c r="R14" i="18"/>
  <c r="V14" i="18"/>
  <c r="X14" i="18"/>
  <c r="G15" i="18"/>
  <c r="I15" i="18"/>
  <c r="J15" i="18"/>
  <c r="O15" i="18"/>
  <c r="Q15" i="18"/>
  <c r="R15" i="18"/>
  <c r="S15" i="18"/>
  <c r="T15" i="18" s="1"/>
  <c r="V15" i="18"/>
  <c r="X15" i="18" s="1"/>
  <c r="G16" i="18"/>
  <c r="I16" i="18"/>
  <c r="J16" i="18"/>
  <c r="O16" i="18"/>
  <c r="Q16" i="18"/>
  <c r="S16" i="18" s="1"/>
  <c r="R16" i="18"/>
  <c r="V16" i="18"/>
  <c r="X16" i="18"/>
  <c r="G17" i="18"/>
  <c r="I17" i="18"/>
  <c r="J17" i="18"/>
  <c r="O17" i="18"/>
  <c r="Q17" i="18"/>
  <c r="S17" i="18" s="1"/>
  <c r="R17" i="18"/>
  <c r="V17" i="18"/>
  <c r="X17" i="18" s="1"/>
  <c r="G18" i="18"/>
  <c r="I18" i="18"/>
  <c r="J18" i="18"/>
  <c r="O18" i="18"/>
  <c r="Q18" i="18"/>
  <c r="R18" i="18"/>
  <c r="S18" i="18" s="1"/>
  <c r="T18" i="18" s="1"/>
  <c r="Y18" i="18" s="1"/>
  <c r="V18" i="18"/>
  <c r="X18" i="18"/>
  <c r="G19" i="18"/>
  <c r="I19" i="18"/>
  <c r="J19" i="18"/>
  <c r="O19" i="18"/>
  <c r="Q19" i="18"/>
  <c r="S19" i="18" s="1"/>
  <c r="R19" i="18"/>
  <c r="V19" i="18"/>
  <c r="X19" i="18" s="1"/>
  <c r="G20" i="18"/>
  <c r="I20" i="18"/>
  <c r="J20" i="18"/>
  <c r="O20" i="18"/>
  <c r="Q20" i="18"/>
  <c r="S20" i="18" s="1"/>
  <c r="T20" i="18" s="1"/>
  <c r="R20" i="18"/>
  <c r="V20" i="18"/>
  <c r="X20" i="18" s="1"/>
  <c r="G21" i="18"/>
  <c r="I21" i="18"/>
  <c r="J21" i="18"/>
  <c r="O21" i="18"/>
  <c r="Q21" i="18"/>
  <c r="S21" i="18" s="1"/>
  <c r="R21" i="18"/>
  <c r="V21" i="18"/>
  <c r="X21" i="18" s="1"/>
  <c r="G22" i="18"/>
  <c r="I22" i="18"/>
  <c r="T22" i="18" s="1"/>
  <c r="Y22" i="18" s="1"/>
  <c r="J22" i="18"/>
  <c r="O22" i="18"/>
  <c r="Q22" i="18"/>
  <c r="S22" i="18" s="1"/>
  <c r="R22" i="18"/>
  <c r="V22" i="18"/>
  <c r="X22" i="18"/>
  <c r="G23" i="18"/>
  <c r="I23" i="18"/>
  <c r="J23" i="18"/>
  <c r="O23" i="18"/>
  <c r="Q23" i="18"/>
  <c r="R23" i="18"/>
  <c r="S23" i="18"/>
  <c r="T23" i="18" s="1"/>
  <c r="Y23" i="18" s="1"/>
  <c r="V23" i="18"/>
  <c r="X23" i="18" s="1"/>
  <c r="G24" i="18"/>
  <c r="I24" i="18"/>
  <c r="J24" i="18"/>
  <c r="O24" i="18"/>
  <c r="Q24" i="18"/>
  <c r="S24" i="18" s="1"/>
  <c r="R24" i="18"/>
  <c r="V24" i="18"/>
  <c r="X24" i="18"/>
  <c r="G25" i="18"/>
  <c r="I25" i="18"/>
  <c r="T25" i="18" s="1"/>
  <c r="Y25" i="18" s="1"/>
  <c r="J25" i="18"/>
  <c r="O25" i="18"/>
  <c r="Q25" i="18"/>
  <c r="S25" i="18" s="1"/>
  <c r="R25" i="18"/>
  <c r="V25" i="18"/>
  <c r="X25" i="18" s="1"/>
  <c r="G26" i="18"/>
  <c r="I26" i="18"/>
  <c r="J26" i="18"/>
  <c r="O26" i="18"/>
  <c r="Q26" i="18"/>
  <c r="R26" i="18"/>
  <c r="S26" i="18" s="1"/>
  <c r="T26" i="18" s="1"/>
  <c r="Y26" i="18" s="1"/>
  <c r="V26" i="18"/>
  <c r="X26" i="18"/>
  <c r="G27" i="18"/>
  <c r="I27" i="18"/>
  <c r="T27" i="18" s="1"/>
  <c r="Y27" i="18" s="1"/>
  <c r="J27" i="18"/>
  <c r="O27" i="18"/>
  <c r="Q27" i="18"/>
  <c r="S27" i="18" s="1"/>
  <c r="R27" i="18"/>
  <c r="V27" i="18"/>
  <c r="X27" i="18" s="1"/>
  <c r="G28" i="18"/>
  <c r="I28" i="18"/>
  <c r="J28" i="18"/>
  <c r="O28" i="18"/>
  <c r="Q28" i="18"/>
  <c r="S28" i="18" s="1"/>
  <c r="T28" i="18" s="1"/>
  <c r="Y28" i="18" s="1"/>
  <c r="R28" i="18"/>
  <c r="V28" i="18"/>
  <c r="X28" i="18"/>
  <c r="G29" i="18"/>
  <c r="I29" i="18"/>
  <c r="J29" i="18"/>
  <c r="T29" i="18" s="1"/>
  <c r="Y29" i="18" s="1"/>
  <c r="O29" i="18"/>
  <c r="Q29" i="18"/>
  <c r="S29" i="18" s="1"/>
  <c r="R29" i="18"/>
  <c r="V29" i="18"/>
  <c r="X29" i="18" s="1"/>
  <c r="G30" i="18"/>
  <c r="I30" i="18"/>
  <c r="J30" i="18"/>
  <c r="O30" i="18"/>
  <c r="Q30" i="18"/>
  <c r="S30" i="18" s="1"/>
  <c r="R30" i="18"/>
  <c r="V30" i="18"/>
  <c r="X30" i="18"/>
  <c r="G31" i="18"/>
  <c r="I31" i="18"/>
  <c r="J31" i="18"/>
  <c r="T31" i="18" s="1"/>
  <c r="Y31" i="18" s="1"/>
  <c r="O31" i="18"/>
  <c r="Q31" i="18"/>
  <c r="R31" i="18"/>
  <c r="S31" i="18"/>
  <c r="V31" i="18"/>
  <c r="X31" i="18" s="1"/>
  <c r="G32" i="18"/>
  <c r="I32" i="18"/>
  <c r="J32" i="18"/>
  <c r="O32" i="18"/>
  <c r="Q32" i="18"/>
  <c r="S32" i="18" s="1"/>
  <c r="R32" i="18"/>
  <c r="V32" i="18"/>
  <c r="X32" i="18"/>
  <c r="G33" i="18"/>
  <c r="I33" i="18"/>
  <c r="J33" i="18"/>
  <c r="O33" i="18"/>
  <c r="Q33" i="18"/>
  <c r="S33" i="18" s="1"/>
  <c r="R33" i="18"/>
  <c r="V33" i="18"/>
  <c r="X33" i="18" s="1"/>
  <c r="G34" i="18"/>
  <c r="I34" i="18"/>
  <c r="J34" i="18"/>
  <c r="O34" i="18"/>
  <c r="Q34" i="18"/>
  <c r="R34" i="18"/>
  <c r="S34" i="18" s="1"/>
  <c r="T34" i="18" s="1"/>
  <c r="Y34" i="18" s="1"/>
  <c r="V34" i="18"/>
  <c r="X34" i="18"/>
  <c r="G35" i="18"/>
  <c r="I35" i="18"/>
  <c r="J35" i="18"/>
  <c r="O35" i="18"/>
  <c r="Q35" i="18"/>
  <c r="S35" i="18" s="1"/>
  <c r="R35" i="18"/>
  <c r="V35" i="18"/>
  <c r="X35" i="18" s="1"/>
  <c r="G36" i="18"/>
  <c r="I36" i="18"/>
  <c r="J36" i="18"/>
  <c r="O36" i="18"/>
  <c r="Q36" i="18"/>
  <c r="S36" i="18" s="1"/>
  <c r="T36" i="18" s="1"/>
  <c r="Y36" i="18" s="1"/>
  <c r="R36" i="18"/>
  <c r="V36" i="18"/>
  <c r="X36" i="18"/>
  <c r="G37" i="18"/>
  <c r="I37" i="18"/>
  <c r="J37" i="18"/>
  <c r="O37" i="18"/>
  <c r="Q37" i="18"/>
  <c r="S37" i="18" s="1"/>
  <c r="R37" i="18"/>
  <c r="V37" i="18"/>
  <c r="X37" i="18" s="1"/>
  <c r="G38" i="18"/>
  <c r="I38" i="18"/>
  <c r="J38" i="18"/>
  <c r="O38" i="18"/>
  <c r="Q38" i="18"/>
  <c r="S38" i="18" s="1"/>
  <c r="R38" i="18"/>
  <c r="V38" i="18"/>
  <c r="X38" i="18"/>
  <c r="G39" i="18"/>
  <c r="I39" i="18"/>
  <c r="J39" i="18"/>
  <c r="T39" i="18" s="1"/>
  <c r="O39" i="18"/>
  <c r="Q39" i="18"/>
  <c r="R39" i="18"/>
  <c r="S39" i="18"/>
  <c r="V39" i="18"/>
  <c r="X39" i="18" s="1"/>
  <c r="G40" i="18"/>
  <c r="I40" i="18"/>
  <c r="J40" i="18"/>
  <c r="O40" i="18"/>
  <c r="Q40" i="18"/>
  <c r="S40" i="18" s="1"/>
  <c r="R40" i="18"/>
  <c r="V40" i="18"/>
  <c r="X40" i="18"/>
  <c r="G41" i="18"/>
  <c r="I41" i="18"/>
  <c r="J41" i="18"/>
  <c r="O41" i="18"/>
  <c r="Q41" i="18"/>
  <c r="S41" i="18" s="1"/>
  <c r="R41" i="18"/>
  <c r="V41" i="18"/>
  <c r="X41" i="18" s="1"/>
  <c r="G42" i="18"/>
  <c r="I42" i="18"/>
  <c r="J42" i="18"/>
  <c r="O42" i="18"/>
  <c r="Q42" i="18"/>
  <c r="R42" i="18"/>
  <c r="S42" i="18" s="1"/>
  <c r="T42" i="18" s="1"/>
  <c r="Y42" i="18" s="1"/>
  <c r="V42" i="18"/>
  <c r="X42" i="18"/>
  <c r="G43" i="18"/>
  <c r="I43" i="18"/>
  <c r="J43" i="18"/>
  <c r="O43" i="18"/>
  <c r="Q43" i="18"/>
  <c r="S43" i="18" s="1"/>
  <c r="R43" i="18"/>
  <c r="V43" i="18"/>
  <c r="X43" i="18" s="1"/>
  <c r="G44" i="18"/>
  <c r="I44" i="18"/>
  <c r="J44" i="18"/>
  <c r="O44" i="18"/>
  <c r="Q44" i="18"/>
  <c r="S44" i="18" s="1"/>
  <c r="T44" i="18" s="1"/>
  <c r="Y44" i="18" s="1"/>
  <c r="R44" i="18"/>
  <c r="V44" i="18"/>
  <c r="X44" i="18"/>
  <c r="G45" i="18"/>
  <c r="I45" i="18"/>
  <c r="J45" i="18"/>
  <c r="O45" i="18"/>
  <c r="Q45" i="18"/>
  <c r="S45" i="18" s="1"/>
  <c r="R45" i="18"/>
  <c r="V45" i="18"/>
  <c r="X45" i="18" s="1"/>
  <c r="G46" i="18"/>
  <c r="I46" i="18"/>
  <c r="T46" i="18" s="1"/>
  <c r="Y46" i="18" s="1"/>
  <c r="J46" i="18"/>
  <c r="O46" i="18"/>
  <c r="Q46" i="18"/>
  <c r="S46" i="18" s="1"/>
  <c r="R46" i="18"/>
  <c r="V46" i="18"/>
  <c r="X46" i="18"/>
  <c r="G47" i="18"/>
  <c r="I47" i="18"/>
  <c r="J47" i="18"/>
  <c r="O47" i="18"/>
  <c r="Q47" i="18"/>
  <c r="R47" i="18"/>
  <c r="S47" i="18"/>
  <c r="T47" i="18" s="1"/>
  <c r="V47" i="18"/>
  <c r="X47" i="18" s="1"/>
  <c r="G48" i="18"/>
  <c r="I48" i="18"/>
  <c r="J48" i="18"/>
  <c r="O48" i="18"/>
  <c r="Q48" i="18"/>
  <c r="S48" i="18" s="1"/>
  <c r="R48" i="18"/>
  <c r="V48" i="18"/>
  <c r="X48" i="18"/>
  <c r="G49" i="18"/>
  <c r="I49" i="18"/>
  <c r="T49" i="18" s="1"/>
  <c r="Y49" i="18" s="1"/>
  <c r="J49" i="18"/>
  <c r="O49" i="18"/>
  <c r="Q49" i="18"/>
  <c r="S49" i="18" s="1"/>
  <c r="R49" i="18"/>
  <c r="V49" i="18"/>
  <c r="X49" i="18" s="1"/>
  <c r="G50" i="18"/>
  <c r="I50" i="18"/>
  <c r="J50" i="18"/>
  <c r="O50" i="18"/>
  <c r="Q50" i="18"/>
  <c r="R50" i="18"/>
  <c r="S50" i="18" s="1"/>
  <c r="T50" i="18" s="1"/>
  <c r="Y50" i="18" s="1"/>
  <c r="V50" i="18"/>
  <c r="X50" i="18"/>
  <c r="G51" i="18"/>
  <c r="I51" i="18"/>
  <c r="J51" i="18"/>
  <c r="T51" i="18" s="1"/>
  <c r="Y51" i="18" s="1"/>
  <c r="O51" i="18"/>
  <c r="Q51" i="18"/>
  <c r="S51" i="18" s="1"/>
  <c r="R51" i="18"/>
  <c r="V51" i="18"/>
  <c r="X51" i="18" s="1"/>
  <c r="G52" i="18"/>
  <c r="I52" i="18"/>
  <c r="J52" i="18"/>
  <c r="O52" i="18"/>
  <c r="Q52" i="18"/>
  <c r="S52" i="18" s="1"/>
  <c r="T52" i="18" s="1"/>
  <c r="Y52" i="18" s="1"/>
  <c r="R52" i="18"/>
  <c r="V52" i="18"/>
  <c r="X52" i="18"/>
  <c r="G53" i="18"/>
  <c r="I53" i="18"/>
  <c r="J53" i="18"/>
  <c r="O53" i="18"/>
  <c r="Q53" i="18"/>
  <c r="S53" i="18" s="1"/>
  <c r="T53" i="18" s="1"/>
  <c r="Y53" i="18" s="1"/>
  <c r="R53" i="18"/>
  <c r="V53" i="18"/>
  <c r="X53" i="18" s="1"/>
  <c r="G54" i="18"/>
  <c r="I54" i="18"/>
  <c r="J54" i="18"/>
  <c r="O54" i="18"/>
  <c r="Q54" i="18"/>
  <c r="S54" i="18" s="1"/>
  <c r="R54" i="18"/>
  <c r="V54" i="18"/>
  <c r="X54" i="18"/>
  <c r="G55" i="18"/>
  <c r="I55" i="18"/>
  <c r="J55" i="18"/>
  <c r="O55" i="18"/>
  <c r="Q55" i="18"/>
  <c r="R55" i="18"/>
  <c r="S55" i="18"/>
  <c r="T55" i="18" s="1"/>
  <c r="V55" i="18"/>
  <c r="X55" i="18" s="1"/>
  <c r="G56" i="18"/>
  <c r="I56" i="18"/>
  <c r="J56" i="18"/>
  <c r="O56" i="18"/>
  <c r="Q56" i="18"/>
  <c r="S56" i="18" s="1"/>
  <c r="R56" i="18"/>
  <c r="V56" i="18"/>
  <c r="X56" i="18"/>
  <c r="G57" i="18"/>
  <c r="I57" i="18"/>
  <c r="J57" i="18"/>
  <c r="O57" i="18"/>
  <c r="Q57" i="18"/>
  <c r="S57" i="18" s="1"/>
  <c r="R57" i="18"/>
  <c r="V57" i="18"/>
  <c r="X57" i="18" s="1"/>
  <c r="G58" i="18"/>
  <c r="I58" i="18"/>
  <c r="J58" i="18"/>
  <c r="O58" i="18"/>
  <c r="Q58" i="18"/>
  <c r="R58" i="18"/>
  <c r="S58" i="18" s="1"/>
  <c r="T58" i="18" s="1"/>
  <c r="Y58" i="18" s="1"/>
  <c r="V58" i="18"/>
  <c r="X58" i="18"/>
  <c r="G59" i="18"/>
  <c r="I59" i="18"/>
  <c r="J59" i="18"/>
  <c r="O59" i="18"/>
  <c r="Q59" i="18"/>
  <c r="S59" i="18" s="1"/>
  <c r="R59" i="18"/>
  <c r="V59" i="18"/>
  <c r="X59" i="18" s="1"/>
  <c r="G60" i="18"/>
  <c r="I60" i="18"/>
  <c r="J60" i="18"/>
  <c r="O60" i="18"/>
  <c r="Q60" i="18"/>
  <c r="S60" i="18" s="1"/>
  <c r="T60" i="18" s="1"/>
  <c r="Y60" i="18" s="1"/>
  <c r="R60" i="18"/>
  <c r="V60" i="18"/>
  <c r="X60" i="18"/>
  <c r="G61" i="18"/>
  <c r="I61" i="18"/>
  <c r="J61" i="18"/>
  <c r="O61" i="18"/>
  <c r="Q61" i="18"/>
  <c r="S61" i="18" s="1"/>
  <c r="T61" i="18" s="1"/>
  <c r="R61" i="18"/>
  <c r="V61" i="18"/>
  <c r="X61" i="18" s="1"/>
  <c r="G62" i="18"/>
  <c r="I62" i="18"/>
  <c r="J62" i="18"/>
  <c r="O62" i="18"/>
  <c r="Q62" i="18"/>
  <c r="S62" i="18" s="1"/>
  <c r="R62" i="18"/>
  <c r="V62" i="18"/>
  <c r="X62" i="18"/>
  <c r="G63" i="18"/>
  <c r="I63" i="18"/>
  <c r="J63" i="18"/>
  <c r="O63" i="18"/>
  <c r="Q63" i="18"/>
  <c r="R63" i="18"/>
  <c r="S63" i="18"/>
  <c r="T63" i="18" s="1"/>
  <c r="V63" i="18"/>
  <c r="X63" i="18" s="1"/>
  <c r="G64" i="18"/>
  <c r="I64" i="18"/>
  <c r="J64" i="18"/>
  <c r="O64" i="18"/>
  <c r="Q64" i="18"/>
  <c r="S64" i="18" s="1"/>
  <c r="R64" i="18"/>
  <c r="V64" i="18"/>
  <c r="X64" i="18"/>
  <c r="G65" i="18"/>
  <c r="I65" i="18"/>
  <c r="J65" i="18"/>
  <c r="O65" i="18"/>
  <c r="Q65" i="18"/>
  <c r="S65" i="18" s="1"/>
  <c r="R65" i="18"/>
  <c r="V65" i="18"/>
  <c r="X65" i="18" s="1"/>
  <c r="G66" i="18"/>
  <c r="I66" i="18"/>
  <c r="J66" i="18"/>
  <c r="O66" i="18"/>
  <c r="Q66" i="18"/>
  <c r="R66" i="18"/>
  <c r="S66" i="18" s="1"/>
  <c r="T66" i="18" s="1"/>
  <c r="Y66" i="18" s="1"/>
  <c r="V66" i="18"/>
  <c r="X66" i="18"/>
  <c r="G67" i="18"/>
  <c r="I67" i="18"/>
  <c r="J67" i="18"/>
  <c r="O67" i="18"/>
  <c r="Q67" i="18"/>
  <c r="S67" i="18" s="1"/>
  <c r="R67" i="18"/>
  <c r="V67" i="18"/>
  <c r="X67" i="18" s="1"/>
  <c r="G68" i="18"/>
  <c r="I68" i="18"/>
  <c r="J68" i="18"/>
  <c r="O68" i="18"/>
  <c r="Q68" i="18"/>
  <c r="R68" i="18"/>
  <c r="S68" i="18" s="1"/>
  <c r="T68" i="18" s="1"/>
  <c r="Y68" i="18" s="1"/>
  <c r="V68" i="18"/>
  <c r="X68" i="18"/>
  <c r="G69" i="18"/>
  <c r="I69" i="18"/>
  <c r="J69" i="18"/>
  <c r="O69" i="18"/>
  <c r="Q69" i="18"/>
  <c r="S69" i="18" s="1"/>
  <c r="T69" i="18" s="1"/>
  <c r="R69" i="18"/>
  <c r="V69" i="18"/>
  <c r="X69" i="18" s="1"/>
  <c r="G70" i="18"/>
  <c r="I70" i="18"/>
  <c r="T70" i="18" s="1"/>
  <c r="Y70" i="18" s="1"/>
  <c r="J70" i="18"/>
  <c r="O70" i="18"/>
  <c r="Q70" i="18"/>
  <c r="S70" i="18" s="1"/>
  <c r="R70" i="18"/>
  <c r="V70" i="18"/>
  <c r="X70" i="18"/>
  <c r="G71" i="18"/>
  <c r="I71" i="18"/>
  <c r="J71" i="18"/>
  <c r="O71" i="18"/>
  <c r="Q71" i="18"/>
  <c r="R71" i="18"/>
  <c r="S71" i="18"/>
  <c r="T71" i="18" s="1"/>
  <c r="V71" i="18"/>
  <c r="X71" i="18" s="1"/>
  <c r="G72" i="18"/>
  <c r="I72" i="18"/>
  <c r="J72" i="18"/>
  <c r="O72" i="18"/>
  <c r="T72" i="18" s="1"/>
  <c r="Y72" i="18" s="1"/>
  <c r="Q72" i="18"/>
  <c r="S72" i="18" s="1"/>
  <c r="R72" i="18"/>
  <c r="V72" i="18"/>
  <c r="X72" i="18"/>
  <c r="G73" i="18"/>
  <c r="I73" i="18"/>
  <c r="T73" i="18" s="1"/>
  <c r="Y73" i="18" s="1"/>
  <c r="J73" i="18"/>
  <c r="O73" i="18"/>
  <c r="Q73" i="18"/>
  <c r="S73" i="18" s="1"/>
  <c r="R73" i="18"/>
  <c r="V73" i="18"/>
  <c r="X73" i="18" s="1"/>
  <c r="G74" i="18"/>
  <c r="I74" i="18"/>
  <c r="J74" i="18"/>
  <c r="O74" i="18"/>
  <c r="Q74" i="18"/>
  <c r="R74" i="18"/>
  <c r="S74" i="18" s="1"/>
  <c r="T74" i="18" s="1"/>
  <c r="Y74" i="18" s="1"/>
  <c r="V74" i="18"/>
  <c r="X74" i="18"/>
  <c r="G75" i="18"/>
  <c r="I75" i="18"/>
  <c r="J75" i="18"/>
  <c r="O75" i="18"/>
  <c r="Q75" i="18"/>
  <c r="S75" i="18" s="1"/>
  <c r="R75" i="18"/>
  <c r="V75" i="18"/>
  <c r="X75" i="18" s="1"/>
  <c r="G76" i="18"/>
  <c r="I76" i="18"/>
  <c r="J76" i="18"/>
  <c r="O76" i="18"/>
  <c r="Q76" i="18"/>
  <c r="S76" i="18" s="1"/>
  <c r="T76" i="18" s="1"/>
  <c r="Y76" i="18" s="1"/>
  <c r="R76" i="18"/>
  <c r="V76" i="18"/>
  <c r="X76" i="18"/>
  <c r="G77" i="18"/>
  <c r="I77" i="18"/>
  <c r="J77" i="18"/>
  <c r="O77" i="18"/>
  <c r="Q77" i="18"/>
  <c r="S77" i="18" s="1"/>
  <c r="R77" i="18"/>
  <c r="V77" i="18"/>
  <c r="X77" i="18" s="1"/>
  <c r="G78" i="18"/>
  <c r="I78" i="18"/>
  <c r="J78" i="18"/>
  <c r="O78" i="18"/>
  <c r="Q78" i="18"/>
  <c r="S78" i="18" s="1"/>
  <c r="R78" i="18"/>
  <c r="V78" i="18"/>
  <c r="X78" i="18"/>
  <c r="G79" i="18"/>
  <c r="I79" i="18"/>
  <c r="J79" i="18"/>
  <c r="O79" i="18"/>
  <c r="Q79" i="18"/>
  <c r="R79" i="18"/>
  <c r="S79" i="18"/>
  <c r="T79" i="18" s="1"/>
  <c r="Y79" i="18" s="1"/>
  <c r="V79" i="18"/>
  <c r="X79" i="18" s="1"/>
  <c r="G80" i="18"/>
  <c r="I80" i="18"/>
  <c r="J80" i="18"/>
  <c r="O80" i="18"/>
  <c r="Q80" i="18"/>
  <c r="S80" i="18" s="1"/>
  <c r="R80" i="18"/>
  <c r="V80" i="18"/>
  <c r="X80" i="18"/>
  <c r="G81" i="18"/>
  <c r="I81" i="18"/>
  <c r="J81" i="18"/>
  <c r="O81" i="18"/>
  <c r="Q81" i="18"/>
  <c r="S81" i="18" s="1"/>
  <c r="R81" i="18"/>
  <c r="V81" i="18"/>
  <c r="X81" i="18" s="1"/>
  <c r="G82" i="18"/>
  <c r="I82" i="18"/>
  <c r="J82" i="18"/>
  <c r="O82" i="18"/>
  <c r="Q82" i="18"/>
  <c r="R82" i="18"/>
  <c r="S82" i="18" s="1"/>
  <c r="T82" i="18" s="1"/>
  <c r="Y82" i="18" s="1"/>
  <c r="V82" i="18"/>
  <c r="X82" i="18"/>
  <c r="G83" i="18"/>
  <c r="I83" i="18"/>
  <c r="J83" i="18"/>
  <c r="O83" i="18"/>
  <c r="Q83" i="18"/>
  <c r="S83" i="18" s="1"/>
  <c r="R83" i="18"/>
  <c r="V83" i="18"/>
  <c r="X83" i="18" s="1"/>
  <c r="G84" i="18"/>
  <c r="I84" i="18"/>
  <c r="J84" i="18"/>
  <c r="O84" i="18"/>
  <c r="Q84" i="18"/>
  <c r="S84" i="18" s="1"/>
  <c r="T84" i="18" s="1"/>
  <c r="Y84" i="18" s="1"/>
  <c r="R84" i="18"/>
  <c r="V84" i="18"/>
  <c r="X84" i="18"/>
  <c r="G85" i="18"/>
  <c r="I85" i="18"/>
  <c r="J85" i="18"/>
  <c r="O85" i="18"/>
  <c r="Q85" i="18"/>
  <c r="S85" i="18" s="1"/>
  <c r="T85" i="18" s="1"/>
  <c r="R85" i="18"/>
  <c r="V85" i="18"/>
  <c r="X85" i="18" s="1"/>
  <c r="G86" i="18"/>
  <c r="I86" i="18"/>
  <c r="T86" i="18" s="1"/>
  <c r="Y86" i="18" s="1"/>
  <c r="J86" i="18"/>
  <c r="O86" i="18"/>
  <c r="Q86" i="18"/>
  <c r="S86" i="18" s="1"/>
  <c r="R86" i="18"/>
  <c r="V86" i="18"/>
  <c r="X86" i="18"/>
  <c r="G87" i="18"/>
  <c r="I87" i="18"/>
  <c r="J87" i="18"/>
  <c r="O87" i="18"/>
  <c r="Q87" i="18"/>
  <c r="R87" i="18"/>
  <c r="S87" i="18"/>
  <c r="T87" i="18" s="1"/>
  <c r="V87" i="18"/>
  <c r="X87" i="18" s="1"/>
  <c r="G88" i="18"/>
  <c r="I88" i="18"/>
  <c r="J88" i="18"/>
  <c r="O88" i="18"/>
  <c r="Q88" i="18"/>
  <c r="S88" i="18" s="1"/>
  <c r="R88" i="18"/>
  <c r="V88" i="18"/>
  <c r="X88" i="18"/>
  <c r="G89" i="18"/>
  <c r="I89" i="18"/>
  <c r="T89" i="18" s="1"/>
  <c r="Y89" i="18" s="1"/>
  <c r="J89" i="18"/>
  <c r="O89" i="18"/>
  <c r="Q89" i="18"/>
  <c r="S89" i="18" s="1"/>
  <c r="R89" i="18"/>
  <c r="V89" i="18"/>
  <c r="X89" i="18" s="1"/>
  <c r="G90" i="18"/>
  <c r="I90" i="18"/>
  <c r="J90" i="18"/>
  <c r="O90" i="18"/>
  <c r="Q90" i="18"/>
  <c r="R90" i="18"/>
  <c r="S90" i="18" s="1"/>
  <c r="T90" i="18" s="1"/>
  <c r="Y90" i="18" s="1"/>
  <c r="V90" i="18"/>
  <c r="X90" i="18"/>
  <c r="G91" i="18"/>
  <c r="I91" i="18"/>
  <c r="J91" i="18"/>
  <c r="T91" i="18" s="1"/>
  <c r="Y91" i="18" s="1"/>
  <c r="O91" i="18"/>
  <c r="Q91" i="18"/>
  <c r="S91" i="18" s="1"/>
  <c r="R91" i="18"/>
  <c r="V91" i="18"/>
  <c r="X91" i="18" s="1"/>
  <c r="G92" i="18"/>
  <c r="I92" i="18"/>
  <c r="J92" i="18"/>
  <c r="O92" i="18"/>
  <c r="Q92" i="18"/>
  <c r="S92" i="18" s="1"/>
  <c r="T92" i="18" s="1"/>
  <c r="Y92" i="18" s="1"/>
  <c r="R92" i="18"/>
  <c r="V92" i="18"/>
  <c r="X92" i="18"/>
  <c r="G93" i="18"/>
  <c r="I93" i="18"/>
  <c r="J93" i="18"/>
  <c r="O93" i="18"/>
  <c r="Q93" i="18"/>
  <c r="S93" i="18" s="1"/>
  <c r="T93" i="18" s="1"/>
  <c r="R93" i="18"/>
  <c r="V93" i="18"/>
  <c r="X93" i="18" s="1"/>
  <c r="G94" i="18"/>
  <c r="I94" i="18"/>
  <c r="J94" i="18"/>
  <c r="O94" i="18"/>
  <c r="Q94" i="18"/>
  <c r="S94" i="18" s="1"/>
  <c r="R94" i="18"/>
  <c r="V94" i="18"/>
  <c r="X94" i="18"/>
  <c r="G95" i="18"/>
  <c r="I95" i="18"/>
  <c r="J95" i="18"/>
  <c r="T95" i="18" s="1"/>
  <c r="Y95" i="18" s="1"/>
  <c r="O95" i="18"/>
  <c r="Q95" i="18"/>
  <c r="R95" i="18"/>
  <c r="S95" i="18"/>
  <c r="V95" i="18"/>
  <c r="X95" i="18" s="1"/>
  <c r="G96" i="18"/>
  <c r="I96" i="18"/>
  <c r="J96" i="18"/>
  <c r="O96" i="18"/>
  <c r="Q96" i="18"/>
  <c r="S96" i="18" s="1"/>
  <c r="R96" i="18"/>
  <c r="V96" i="18"/>
  <c r="X96" i="18"/>
  <c r="G97" i="18"/>
  <c r="I97" i="18"/>
  <c r="J97" i="18"/>
  <c r="O97" i="18"/>
  <c r="Q97" i="18"/>
  <c r="S97" i="18" s="1"/>
  <c r="R97" i="18"/>
  <c r="V97" i="18"/>
  <c r="X97" i="18" s="1"/>
  <c r="G98" i="18"/>
  <c r="I98" i="18"/>
  <c r="J98" i="18"/>
  <c r="O98" i="18"/>
  <c r="Q98" i="18"/>
  <c r="R98" i="18"/>
  <c r="S98" i="18" s="1"/>
  <c r="T98" i="18" s="1"/>
  <c r="Y98" i="18" s="1"/>
  <c r="V98" i="18"/>
  <c r="X98" i="18" s="1"/>
  <c r="G99" i="18"/>
  <c r="I99" i="18"/>
  <c r="J99" i="18"/>
  <c r="O99" i="18"/>
  <c r="Q99" i="18"/>
  <c r="S99" i="18" s="1"/>
  <c r="R99" i="18"/>
  <c r="V99" i="18"/>
  <c r="X99" i="18" s="1"/>
  <c r="G100" i="18"/>
  <c r="I100" i="18"/>
  <c r="J100" i="18"/>
  <c r="O100" i="18"/>
  <c r="Q100" i="18"/>
  <c r="S100" i="18" s="1"/>
  <c r="T100" i="18" s="1"/>
  <c r="Y100" i="18" s="1"/>
  <c r="R100" i="18"/>
  <c r="V100" i="18"/>
  <c r="X100" i="18"/>
  <c r="G101" i="18"/>
  <c r="I101" i="18"/>
  <c r="J101" i="18"/>
  <c r="O101" i="18"/>
  <c r="Q101" i="18"/>
  <c r="S101" i="18" s="1"/>
  <c r="T101" i="18" s="1"/>
  <c r="R101" i="18"/>
  <c r="V101" i="18"/>
  <c r="X101" i="18" s="1"/>
  <c r="G102" i="18"/>
  <c r="I102" i="18"/>
  <c r="J102" i="18"/>
  <c r="O102" i="18"/>
  <c r="Q102" i="18"/>
  <c r="S102" i="18" s="1"/>
  <c r="R102" i="18"/>
  <c r="V102" i="18"/>
  <c r="X102" i="18"/>
  <c r="G103" i="18"/>
  <c r="I103" i="18"/>
  <c r="J103" i="18"/>
  <c r="T103" i="18" s="1"/>
  <c r="O103" i="18"/>
  <c r="Q103" i="18"/>
  <c r="R103" i="18"/>
  <c r="S103" i="18"/>
  <c r="V103" i="18"/>
  <c r="X103" i="18" s="1"/>
  <c r="G104" i="18"/>
  <c r="I104" i="18"/>
  <c r="J104" i="18"/>
  <c r="O104" i="18"/>
  <c r="T104" i="18" s="1"/>
  <c r="Y104" i="18" s="1"/>
  <c r="Q104" i="18"/>
  <c r="S104" i="18" s="1"/>
  <c r="R104" i="18"/>
  <c r="V104" i="18"/>
  <c r="X104" i="18"/>
  <c r="G105" i="18"/>
  <c r="I105" i="18"/>
  <c r="J105" i="18"/>
  <c r="O105" i="18"/>
  <c r="Q105" i="18"/>
  <c r="S105" i="18" s="1"/>
  <c r="R105" i="18"/>
  <c r="V105" i="18"/>
  <c r="X105" i="18" s="1"/>
  <c r="G106" i="18"/>
  <c r="I106" i="18"/>
  <c r="J106" i="18"/>
  <c r="O106" i="18"/>
  <c r="Q106" i="18"/>
  <c r="R106" i="18"/>
  <c r="S106" i="18" s="1"/>
  <c r="T106" i="18" s="1"/>
  <c r="Y106" i="18" s="1"/>
  <c r="V106" i="18"/>
  <c r="X106" i="18"/>
  <c r="G107" i="18"/>
  <c r="I107" i="18"/>
  <c r="J107" i="18"/>
  <c r="O107" i="18"/>
  <c r="Q107" i="18"/>
  <c r="S107" i="18" s="1"/>
  <c r="R107" i="18"/>
  <c r="V107" i="18"/>
  <c r="X107" i="18" s="1"/>
  <c r="G108" i="18"/>
  <c r="I108" i="18"/>
  <c r="J108" i="18"/>
  <c r="O108" i="18"/>
  <c r="Q108" i="18"/>
  <c r="S108" i="18" s="1"/>
  <c r="T108" i="18" s="1"/>
  <c r="Y108" i="18" s="1"/>
  <c r="R108" i="18"/>
  <c r="V108" i="18"/>
  <c r="X108" i="18"/>
  <c r="G109" i="18"/>
  <c r="I109" i="18"/>
  <c r="J109" i="18"/>
  <c r="O109" i="18"/>
  <c r="Q109" i="18"/>
  <c r="S109" i="18" s="1"/>
  <c r="T109" i="18" s="1"/>
  <c r="R109" i="18"/>
  <c r="V109" i="18"/>
  <c r="X109" i="18" s="1"/>
  <c r="G110" i="18"/>
  <c r="I110" i="18"/>
  <c r="T110" i="18" s="1"/>
  <c r="Y110" i="18" s="1"/>
  <c r="J110" i="18"/>
  <c r="O110" i="18"/>
  <c r="Q110" i="18"/>
  <c r="S110" i="18" s="1"/>
  <c r="R110" i="18"/>
  <c r="V110" i="18"/>
  <c r="X110" i="18"/>
  <c r="G111" i="18"/>
  <c r="I111" i="18"/>
  <c r="J111" i="18"/>
  <c r="O111" i="18"/>
  <c r="Q111" i="18"/>
  <c r="R111" i="18"/>
  <c r="S111" i="18"/>
  <c r="T111" i="18" s="1"/>
  <c r="Y111" i="18" s="1"/>
  <c r="V111" i="18"/>
  <c r="X111" i="18" s="1"/>
  <c r="G112" i="18"/>
  <c r="I112" i="18"/>
  <c r="J112" i="18"/>
  <c r="O112" i="18"/>
  <c r="T112" i="18" s="1"/>
  <c r="Y112" i="18" s="1"/>
  <c r="Q112" i="18"/>
  <c r="S112" i="18" s="1"/>
  <c r="R112" i="18"/>
  <c r="V112" i="18"/>
  <c r="X112" i="18"/>
  <c r="G113" i="18"/>
  <c r="I113" i="18"/>
  <c r="T113" i="18" s="1"/>
  <c r="Y113" i="18" s="1"/>
  <c r="J113" i="18"/>
  <c r="O113" i="18"/>
  <c r="Q113" i="18"/>
  <c r="S113" i="18" s="1"/>
  <c r="R113" i="18"/>
  <c r="V113" i="18"/>
  <c r="X113" i="18" s="1"/>
  <c r="G114" i="18"/>
  <c r="I114" i="18"/>
  <c r="J114" i="18"/>
  <c r="O114" i="18"/>
  <c r="Q114" i="18"/>
  <c r="R114" i="18"/>
  <c r="S114" i="18" s="1"/>
  <c r="T114" i="18" s="1"/>
  <c r="Y114" i="18" s="1"/>
  <c r="V114" i="18"/>
  <c r="X114" i="18" s="1"/>
  <c r="G115" i="18"/>
  <c r="I115" i="18"/>
  <c r="J115" i="18"/>
  <c r="O115" i="18"/>
  <c r="Q115" i="18"/>
  <c r="S115" i="18" s="1"/>
  <c r="R115" i="18"/>
  <c r="V115" i="18"/>
  <c r="X115" i="18" s="1"/>
  <c r="G116" i="18"/>
  <c r="I116" i="18"/>
  <c r="J116" i="18"/>
  <c r="O116" i="18"/>
  <c r="Q116" i="18"/>
  <c r="R116" i="18"/>
  <c r="S116" i="18" s="1"/>
  <c r="T116" i="18" s="1"/>
  <c r="Y116" i="18" s="1"/>
  <c r="V116" i="18"/>
  <c r="X116" i="18"/>
  <c r="G117" i="18"/>
  <c r="I117" i="18"/>
  <c r="J117" i="18"/>
  <c r="O117" i="18"/>
  <c r="Q117" i="18"/>
  <c r="S117" i="18" s="1"/>
  <c r="T117" i="18" s="1"/>
  <c r="R117" i="18"/>
  <c r="V117" i="18"/>
  <c r="X117" i="18" s="1"/>
  <c r="G118" i="18"/>
  <c r="I118" i="18"/>
  <c r="J118" i="18"/>
  <c r="O118" i="18"/>
  <c r="Q118" i="18"/>
  <c r="S118" i="18" s="1"/>
  <c r="R118" i="18"/>
  <c r="V118" i="18"/>
  <c r="X118" i="18"/>
  <c r="G119" i="18"/>
  <c r="I119" i="18"/>
  <c r="J119" i="18"/>
  <c r="T119" i="18" s="1"/>
  <c r="O119" i="18"/>
  <c r="Q119" i="18"/>
  <c r="R119" i="18"/>
  <c r="S119" i="18"/>
  <c r="V119" i="18"/>
  <c r="X119" i="18" s="1"/>
  <c r="G120" i="18"/>
  <c r="I120" i="18"/>
  <c r="J120" i="18"/>
  <c r="O120" i="18"/>
  <c r="Q120" i="18"/>
  <c r="S120" i="18" s="1"/>
  <c r="R120" i="18"/>
  <c r="V120" i="18"/>
  <c r="X120" i="18"/>
  <c r="G121" i="18"/>
  <c r="I121" i="18"/>
  <c r="J121" i="18"/>
  <c r="O121" i="18"/>
  <c r="Q121" i="18"/>
  <c r="S121" i="18" s="1"/>
  <c r="R121" i="18"/>
  <c r="V121" i="18"/>
  <c r="X121" i="18" s="1"/>
  <c r="G122" i="18"/>
  <c r="I122" i="18"/>
  <c r="J122" i="18"/>
  <c r="O122" i="18"/>
  <c r="Q122" i="18"/>
  <c r="R122" i="18"/>
  <c r="S122" i="18" s="1"/>
  <c r="T122" i="18" s="1"/>
  <c r="Y122" i="18" s="1"/>
  <c r="V122" i="18"/>
  <c r="X122" i="18"/>
  <c r="G123" i="18"/>
  <c r="I123" i="18"/>
  <c r="J123" i="18"/>
  <c r="O123" i="18"/>
  <c r="Q123" i="18"/>
  <c r="S123" i="18" s="1"/>
  <c r="R123" i="18"/>
  <c r="V123" i="18"/>
  <c r="X123" i="18" s="1"/>
  <c r="G124" i="18"/>
  <c r="I124" i="18"/>
  <c r="J124" i="18"/>
  <c r="O124" i="18"/>
  <c r="Q124" i="18"/>
  <c r="S124" i="18" s="1"/>
  <c r="T124" i="18" s="1"/>
  <c r="Y124" i="18" s="1"/>
  <c r="R124" i="18"/>
  <c r="V124" i="18"/>
  <c r="X124" i="18"/>
  <c r="G125" i="18"/>
  <c r="I125" i="18"/>
  <c r="J125" i="18"/>
  <c r="O125" i="18"/>
  <c r="Q125" i="18"/>
  <c r="S125" i="18" s="1"/>
  <c r="T125" i="18" s="1"/>
  <c r="Y125" i="18" s="1"/>
  <c r="R125" i="18"/>
  <c r="V125" i="18"/>
  <c r="X125" i="18" s="1"/>
  <c r="G126" i="18"/>
  <c r="I126" i="18"/>
  <c r="T126" i="18" s="1"/>
  <c r="Y126" i="18" s="1"/>
  <c r="J126" i="18"/>
  <c r="O126" i="18"/>
  <c r="Q126" i="18"/>
  <c r="S126" i="18" s="1"/>
  <c r="R126" i="18"/>
  <c r="V126" i="18"/>
  <c r="X126" i="18"/>
  <c r="G127" i="18"/>
  <c r="I127" i="18"/>
  <c r="J127" i="18"/>
  <c r="T127" i="18" s="1"/>
  <c r="Y127" i="18" s="1"/>
  <c r="O127" i="18"/>
  <c r="Q127" i="18"/>
  <c r="R127" i="18"/>
  <c r="S127" i="18"/>
  <c r="V127" i="18"/>
  <c r="X127" i="18" s="1"/>
  <c r="G128" i="18"/>
  <c r="I128" i="18"/>
  <c r="J128" i="18"/>
  <c r="O128" i="18"/>
  <c r="T128" i="18" s="1"/>
  <c r="Y128" i="18" s="1"/>
  <c r="Q128" i="18"/>
  <c r="S128" i="18" s="1"/>
  <c r="R128" i="18"/>
  <c r="V128" i="18"/>
  <c r="X128" i="18"/>
  <c r="G129" i="18"/>
  <c r="I129" i="18"/>
  <c r="T129" i="18" s="1"/>
  <c r="Y129" i="18" s="1"/>
  <c r="J129" i="18"/>
  <c r="O129" i="18"/>
  <c r="Q129" i="18"/>
  <c r="S129" i="18" s="1"/>
  <c r="R129" i="18"/>
  <c r="V129" i="18"/>
  <c r="X129" i="18" s="1"/>
  <c r="G130" i="18"/>
  <c r="I130" i="18"/>
  <c r="J130" i="18"/>
  <c r="O130" i="18"/>
  <c r="Q130" i="18"/>
  <c r="R130" i="18"/>
  <c r="S130" i="18" s="1"/>
  <c r="T130" i="18"/>
  <c r="Y130" i="18" s="1"/>
  <c r="V130" i="18"/>
  <c r="X130" i="18"/>
  <c r="G131" i="18"/>
  <c r="I131" i="18"/>
  <c r="J131" i="18"/>
  <c r="T131" i="18" s="1"/>
  <c r="Y131" i="18" s="1"/>
  <c r="O131" i="18"/>
  <c r="Q131" i="18"/>
  <c r="R131" i="18"/>
  <c r="S131" i="18"/>
  <c r="V131" i="18"/>
  <c r="X131" i="18" s="1"/>
  <c r="G132" i="18"/>
  <c r="I132" i="18"/>
  <c r="T132" i="18" s="1"/>
  <c r="Y132" i="18" s="1"/>
  <c r="J132" i="18"/>
  <c r="O132" i="18"/>
  <c r="Q132" i="18"/>
  <c r="S132" i="18" s="1"/>
  <c r="R132" i="18"/>
  <c r="V132" i="18"/>
  <c r="X132" i="18"/>
  <c r="G133" i="18"/>
  <c r="I133" i="18"/>
  <c r="J133" i="18"/>
  <c r="O133" i="18"/>
  <c r="Q133" i="18"/>
  <c r="R133" i="18"/>
  <c r="S133" i="18"/>
  <c r="T133" i="18"/>
  <c r="V133" i="18"/>
  <c r="X133" i="18" s="1"/>
  <c r="G134" i="18"/>
  <c r="I134" i="18"/>
  <c r="J134" i="18"/>
  <c r="O134" i="18"/>
  <c r="Q134" i="18"/>
  <c r="R134" i="18"/>
  <c r="V134" i="18"/>
  <c r="X134" i="18"/>
  <c r="G135" i="18"/>
  <c r="I135" i="18"/>
  <c r="T135" i="18" s="1"/>
  <c r="Y135" i="18" s="1"/>
  <c r="J135" i="18"/>
  <c r="O135" i="18"/>
  <c r="Q135" i="18"/>
  <c r="S135" i="18" s="1"/>
  <c r="R135" i="18"/>
  <c r="V135" i="18"/>
  <c r="X135" i="18" s="1"/>
  <c r="G136" i="18"/>
  <c r="I136" i="18"/>
  <c r="T136" i="18" s="1"/>
  <c r="Y136" i="18" s="1"/>
  <c r="J136" i="18"/>
  <c r="O136" i="18"/>
  <c r="Q136" i="18"/>
  <c r="R136" i="18"/>
  <c r="S136" i="18" s="1"/>
  <c r="V136" i="18"/>
  <c r="X136" i="18"/>
  <c r="G137" i="18"/>
  <c r="I137" i="18"/>
  <c r="J137" i="18"/>
  <c r="O137" i="18"/>
  <c r="Q137" i="18"/>
  <c r="R137" i="18"/>
  <c r="S137" i="18"/>
  <c r="V137" i="18"/>
  <c r="X137" i="18"/>
  <c r="G138" i="18"/>
  <c r="I138" i="18"/>
  <c r="T138" i="18" s="1"/>
  <c r="Y138" i="18" s="1"/>
  <c r="J138" i="18"/>
  <c r="O138" i="18"/>
  <c r="Q138" i="18"/>
  <c r="R138" i="18"/>
  <c r="S138" i="18"/>
  <c r="V138" i="18"/>
  <c r="X138" i="18"/>
  <c r="G139" i="18"/>
  <c r="I139" i="18"/>
  <c r="J139" i="18"/>
  <c r="O139" i="18"/>
  <c r="Q139" i="18"/>
  <c r="S139" i="18" s="1"/>
  <c r="R139" i="18"/>
  <c r="V139" i="18"/>
  <c r="X139" i="18" s="1"/>
  <c r="G140" i="18"/>
  <c r="I140" i="18"/>
  <c r="J140" i="18"/>
  <c r="O140" i="18"/>
  <c r="Q140" i="18"/>
  <c r="R140" i="18"/>
  <c r="V140" i="18"/>
  <c r="X140" i="18"/>
  <c r="G141" i="18"/>
  <c r="I141" i="18"/>
  <c r="J141" i="18"/>
  <c r="O141" i="18"/>
  <c r="Q141" i="18"/>
  <c r="S141" i="18" s="1"/>
  <c r="T141" i="18" s="1"/>
  <c r="R141" i="18"/>
  <c r="V141" i="18"/>
  <c r="X141" i="18" s="1"/>
  <c r="Y141" i="18"/>
  <c r="G142" i="18"/>
  <c r="I142" i="18"/>
  <c r="J142" i="18"/>
  <c r="T142" i="18" s="1"/>
  <c r="Y142" i="18" s="1"/>
  <c r="O142" i="18"/>
  <c r="Q142" i="18"/>
  <c r="S142" i="18" s="1"/>
  <c r="R142" i="18"/>
  <c r="V142" i="18"/>
  <c r="X142" i="18"/>
  <c r="G143" i="18"/>
  <c r="I143" i="18"/>
  <c r="T143" i="18" s="1"/>
  <c r="Y143" i="18" s="1"/>
  <c r="J143" i="18"/>
  <c r="O143" i="18"/>
  <c r="Q143" i="18"/>
  <c r="S143" i="18" s="1"/>
  <c r="R143" i="18"/>
  <c r="V143" i="18"/>
  <c r="X143" i="18" s="1"/>
  <c r="G144" i="18"/>
  <c r="I144" i="18"/>
  <c r="T144" i="18" s="1"/>
  <c r="Y144" i="18" s="1"/>
  <c r="J144" i="18"/>
  <c r="O144" i="18"/>
  <c r="Q144" i="18"/>
  <c r="R144" i="18"/>
  <c r="S144" i="18" s="1"/>
  <c r="V144" i="18"/>
  <c r="X144" i="18"/>
  <c r="G145" i="18"/>
  <c r="I145" i="18"/>
  <c r="J145" i="18"/>
  <c r="O145" i="18"/>
  <c r="Q145" i="18"/>
  <c r="S145" i="18" s="1"/>
  <c r="R145" i="18"/>
  <c r="V145" i="18"/>
  <c r="X145" i="18"/>
  <c r="G146" i="18"/>
  <c r="I146" i="18"/>
  <c r="T146" i="18" s="1"/>
  <c r="Y146" i="18" s="1"/>
  <c r="J146" i="18"/>
  <c r="O146" i="18"/>
  <c r="Q146" i="18"/>
  <c r="R146" i="18"/>
  <c r="S146" i="18"/>
  <c r="V146" i="18"/>
  <c r="X146" i="18"/>
  <c r="G147" i="18"/>
  <c r="I147" i="18"/>
  <c r="J147" i="18"/>
  <c r="O147" i="18"/>
  <c r="Q147" i="18"/>
  <c r="S147" i="18" s="1"/>
  <c r="R147" i="18"/>
  <c r="V147" i="18"/>
  <c r="X147" i="18" s="1"/>
  <c r="G148" i="18"/>
  <c r="I148" i="18"/>
  <c r="J148" i="18"/>
  <c r="O148" i="18"/>
  <c r="Q148" i="18"/>
  <c r="R148" i="18"/>
  <c r="V148" i="18"/>
  <c r="X148" i="18" s="1"/>
  <c r="G149" i="18"/>
  <c r="I149" i="18"/>
  <c r="J149" i="18"/>
  <c r="O149" i="18"/>
  <c r="Q149" i="18"/>
  <c r="S149" i="18" s="1"/>
  <c r="T149" i="18" s="1"/>
  <c r="R149" i="18"/>
  <c r="V149" i="18"/>
  <c r="X149" i="18" s="1"/>
  <c r="Y149" i="18"/>
  <c r="G150" i="18"/>
  <c r="I150" i="18"/>
  <c r="J150" i="18"/>
  <c r="T150" i="18" s="1"/>
  <c r="Y150" i="18" s="1"/>
  <c r="O150" i="18"/>
  <c r="Q150" i="18"/>
  <c r="S150" i="18" s="1"/>
  <c r="R150" i="18"/>
  <c r="V150" i="18"/>
  <c r="X150" i="18"/>
  <c r="G151" i="18"/>
  <c r="I151" i="18"/>
  <c r="T151" i="18" s="1"/>
  <c r="Y151" i="18" s="1"/>
  <c r="J151" i="18"/>
  <c r="O151" i="18"/>
  <c r="Q151" i="18"/>
  <c r="S151" i="18" s="1"/>
  <c r="R151" i="18"/>
  <c r="V151" i="18"/>
  <c r="X151" i="18" s="1"/>
  <c r="G152" i="18"/>
  <c r="I152" i="18"/>
  <c r="T152" i="18" s="1"/>
  <c r="Y152" i="18" s="1"/>
  <c r="J152" i="18"/>
  <c r="O152" i="18"/>
  <c r="Q152" i="18"/>
  <c r="R152" i="18"/>
  <c r="S152" i="18" s="1"/>
  <c r="V152" i="18"/>
  <c r="X152" i="18"/>
  <c r="G153" i="18"/>
  <c r="I153" i="18"/>
  <c r="J153" i="18"/>
  <c r="O153" i="18"/>
  <c r="Q153" i="18"/>
  <c r="S153" i="18" s="1"/>
  <c r="R153" i="18"/>
  <c r="V153" i="18"/>
  <c r="X153" i="18"/>
  <c r="G154" i="18"/>
  <c r="I154" i="18"/>
  <c r="T154" i="18" s="1"/>
  <c r="Y154" i="18" s="1"/>
  <c r="J154" i="18"/>
  <c r="O154" i="18"/>
  <c r="Q154" i="18"/>
  <c r="R154" i="18"/>
  <c r="S154" i="18"/>
  <c r="V154" i="18"/>
  <c r="X154" i="18"/>
  <c r="G155" i="18"/>
  <c r="I155" i="18"/>
  <c r="J155" i="18"/>
  <c r="O155" i="18"/>
  <c r="Q155" i="18"/>
  <c r="S155" i="18" s="1"/>
  <c r="R155" i="18"/>
  <c r="V155" i="18"/>
  <c r="X155" i="18" s="1"/>
  <c r="G156" i="18"/>
  <c r="I156" i="18"/>
  <c r="J156" i="18"/>
  <c r="O156" i="18"/>
  <c r="T156" i="18" s="1"/>
  <c r="Y156" i="18" s="1"/>
  <c r="Q156" i="18"/>
  <c r="R156" i="18"/>
  <c r="S156" i="18" s="1"/>
  <c r="V156" i="18"/>
  <c r="X156" i="18" s="1"/>
  <c r="G157" i="18"/>
  <c r="I157" i="18"/>
  <c r="J157" i="18"/>
  <c r="O157" i="18"/>
  <c r="Q157" i="18"/>
  <c r="S157" i="18" s="1"/>
  <c r="T157" i="18" s="1"/>
  <c r="Y157" i="18" s="1"/>
  <c r="R157" i="18"/>
  <c r="V157" i="18"/>
  <c r="X157" i="18" s="1"/>
  <c r="G158" i="18"/>
  <c r="I158" i="18"/>
  <c r="J158" i="18"/>
  <c r="T158" i="18" s="1"/>
  <c r="Y158" i="18" s="1"/>
  <c r="O158" i="18"/>
  <c r="Q158" i="18"/>
  <c r="S158" i="18" s="1"/>
  <c r="R158" i="18"/>
  <c r="V158" i="18"/>
  <c r="X158" i="18"/>
  <c r="G159" i="18"/>
  <c r="I159" i="18"/>
  <c r="J159" i="18"/>
  <c r="O159" i="18"/>
  <c r="Q159" i="18"/>
  <c r="S159" i="18" s="1"/>
  <c r="R159" i="18"/>
  <c r="V159" i="18"/>
  <c r="X159" i="18" s="1"/>
  <c r="G160" i="18"/>
  <c r="I160" i="18"/>
  <c r="J160" i="18"/>
  <c r="O160" i="18"/>
  <c r="Q160" i="18"/>
  <c r="R160" i="18"/>
  <c r="S160" i="18" s="1"/>
  <c r="V160" i="18"/>
  <c r="X160" i="18"/>
  <c r="G161" i="18"/>
  <c r="I161" i="18"/>
  <c r="J161" i="18"/>
  <c r="O161" i="18"/>
  <c r="Q161" i="18"/>
  <c r="S161" i="18" s="1"/>
  <c r="R161" i="18"/>
  <c r="V161" i="18"/>
  <c r="X161" i="18"/>
  <c r="G162" i="18"/>
  <c r="I162" i="18"/>
  <c r="J162" i="18"/>
  <c r="O162" i="18"/>
  <c r="Q162" i="18"/>
  <c r="R162" i="18"/>
  <c r="S162" i="18"/>
  <c r="V162" i="18"/>
  <c r="X162" i="18"/>
  <c r="G163" i="18"/>
  <c r="I163" i="18"/>
  <c r="J163" i="18"/>
  <c r="O163" i="18"/>
  <c r="Q163" i="18"/>
  <c r="S163" i="18" s="1"/>
  <c r="R163" i="18"/>
  <c r="V163" i="18"/>
  <c r="X163" i="18" s="1"/>
  <c r="G164" i="18"/>
  <c r="I164" i="18"/>
  <c r="J164" i="18"/>
  <c r="O164" i="18"/>
  <c r="Q164" i="18"/>
  <c r="R164" i="18"/>
  <c r="S164" i="18" s="1"/>
  <c r="T164" i="18"/>
  <c r="Y164" i="18" s="1"/>
  <c r="V164" i="18"/>
  <c r="X164" i="18" s="1"/>
  <c r="G165" i="18"/>
  <c r="I165" i="18"/>
  <c r="J165" i="18"/>
  <c r="O165" i="18"/>
  <c r="Q165" i="18"/>
  <c r="S165" i="18" s="1"/>
  <c r="T165" i="18" s="1"/>
  <c r="Y165" i="18" s="1"/>
  <c r="R165" i="18"/>
  <c r="V165" i="18"/>
  <c r="X165" i="18" s="1"/>
  <c r="G166" i="18"/>
  <c r="I166" i="18"/>
  <c r="J166" i="18"/>
  <c r="T166" i="18" s="1"/>
  <c r="Y166" i="18" s="1"/>
  <c r="O166" i="18"/>
  <c r="Q166" i="18"/>
  <c r="S166" i="18" s="1"/>
  <c r="R166" i="18"/>
  <c r="V166" i="18"/>
  <c r="X166" i="18"/>
  <c r="G167" i="18"/>
  <c r="I167" i="18"/>
  <c r="J167" i="18"/>
  <c r="O167" i="18"/>
  <c r="Q167" i="18"/>
  <c r="S167" i="18" s="1"/>
  <c r="R167" i="18"/>
  <c r="V167" i="18"/>
  <c r="X167" i="18" s="1"/>
  <c r="G168" i="18"/>
  <c r="I168" i="18"/>
  <c r="J168" i="18"/>
  <c r="O168" i="18"/>
  <c r="Q168" i="18"/>
  <c r="R168" i="18"/>
  <c r="S168" i="18" s="1"/>
  <c r="V168" i="18"/>
  <c r="X168" i="18"/>
  <c r="G169" i="18"/>
  <c r="I169" i="18"/>
  <c r="J169" i="18"/>
  <c r="O169" i="18"/>
  <c r="Q169" i="18"/>
  <c r="S169" i="18" s="1"/>
  <c r="R169" i="18"/>
  <c r="V169" i="18"/>
  <c r="X169" i="18"/>
  <c r="G170" i="18"/>
  <c r="I170" i="18"/>
  <c r="J170" i="18"/>
  <c r="O170" i="18"/>
  <c r="Q170" i="18"/>
  <c r="R170" i="18"/>
  <c r="S170" i="18"/>
  <c r="V170" i="18"/>
  <c r="X170" i="18"/>
  <c r="G171" i="18"/>
  <c r="I171" i="18"/>
  <c r="J171" i="18"/>
  <c r="O171" i="18"/>
  <c r="Q171" i="18"/>
  <c r="S171" i="18" s="1"/>
  <c r="R171" i="18"/>
  <c r="T171" i="18"/>
  <c r="Y171" i="18" s="1"/>
  <c r="V171" i="18"/>
  <c r="X171" i="18" s="1"/>
  <c r="G172" i="18"/>
  <c r="I172" i="18"/>
  <c r="J172" i="18"/>
  <c r="O172" i="18"/>
  <c r="Q172" i="18"/>
  <c r="R172" i="18"/>
  <c r="S172" i="18" s="1"/>
  <c r="V172" i="18"/>
  <c r="X172" i="18"/>
  <c r="G173" i="18"/>
  <c r="I173" i="18"/>
  <c r="J173" i="18"/>
  <c r="T173" i="18" s="1"/>
  <c r="Y173" i="18" s="1"/>
  <c r="O173" i="18"/>
  <c r="Q173" i="18"/>
  <c r="R173" i="18"/>
  <c r="S173" i="18"/>
  <c r="V173" i="18"/>
  <c r="X173" i="18" s="1"/>
  <c r="G174" i="18"/>
  <c r="I174" i="18"/>
  <c r="J174" i="18"/>
  <c r="O174" i="18"/>
  <c r="Q174" i="18"/>
  <c r="S174" i="18" s="1"/>
  <c r="R174" i="18"/>
  <c r="T174" i="18"/>
  <c r="V174" i="18"/>
  <c r="X174" i="18" s="1"/>
  <c r="G175" i="18"/>
  <c r="I175" i="18"/>
  <c r="T175" i="18" s="1"/>
  <c r="Y175" i="18" s="1"/>
  <c r="J175" i="18"/>
  <c r="O175" i="18"/>
  <c r="Q175" i="18"/>
  <c r="S175" i="18" s="1"/>
  <c r="R175" i="18"/>
  <c r="V175" i="18"/>
  <c r="X175" i="18"/>
  <c r="G176" i="18"/>
  <c r="I176" i="18"/>
  <c r="T176" i="18" s="1"/>
  <c r="Y176" i="18" s="1"/>
  <c r="J176" i="18"/>
  <c r="O176" i="18"/>
  <c r="Q176" i="18"/>
  <c r="R176" i="18"/>
  <c r="S176" i="18"/>
  <c r="V176" i="18"/>
  <c r="X176" i="18"/>
  <c r="G177" i="18"/>
  <c r="I177" i="18"/>
  <c r="J177" i="18"/>
  <c r="T177" i="18" s="1"/>
  <c r="Y177" i="18" s="1"/>
  <c r="O177" i="18"/>
  <c r="Q177" i="18"/>
  <c r="R177" i="18"/>
  <c r="S177" i="18"/>
  <c r="V177" i="18"/>
  <c r="X177" i="18" s="1"/>
  <c r="G178" i="18"/>
  <c r="I178" i="18"/>
  <c r="J178" i="18"/>
  <c r="O178" i="18"/>
  <c r="T178" i="18" s="1"/>
  <c r="Q178" i="18"/>
  <c r="S178" i="18" s="1"/>
  <c r="R178" i="18"/>
  <c r="V178" i="18"/>
  <c r="X178" i="18" s="1"/>
  <c r="G179" i="18"/>
  <c r="I179" i="18"/>
  <c r="T179" i="18" s="1"/>
  <c r="Y179" i="18" s="1"/>
  <c r="J179" i="18"/>
  <c r="O179" i="18"/>
  <c r="Q179" i="18"/>
  <c r="S179" i="18" s="1"/>
  <c r="R179" i="18"/>
  <c r="V179" i="18"/>
  <c r="X179" i="18" s="1"/>
  <c r="G180" i="18"/>
  <c r="I180" i="18"/>
  <c r="J180" i="18"/>
  <c r="O180" i="18"/>
  <c r="Q180" i="18"/>
  <c r="R180" i="18"/>
  <c r="S180" i="18" s="1"/>
  <c r="V180" i="18"/>
  <c r="X180" i="18"/>
  <c r="G181" i="18"/>
  <c r="I181" i="18"/>
  <c r="J181" i="18"/>
  <c r="O181" i="18"/>
  <c r="Q181" i="18"/>
  <c r="R181" i="18"/>
  <c r="S181" i="18"/>
  <c r="T181" i="18"/>
  <c r="V181" i="18"/>
  <c r="X181" i="18" s="1"/>
  <c r="Y181" i="18"/>
  <c r="G182" i="18"/>
  <c r="I182" i="18"/>
  <c r="J182" i="18"/>
  <c r="O182" i="18"/>
  <c r="Q182" i="18"/>
  <c r="S182" i="18" s="1"/>
  <c r="R182" i="18"/>
  <c r="T182" i="18"/>
  <c r="V182" i="18"/>
  <c r="X182" i="18" s="1"/>
  <c r="G183" i="18"/>
  <c r="I183" i="18"/>
  <c r="T183" i="18" s="1"/>
  <c r="J183" i="18"/>
  <c r="O183" i="18"/>
  <c r="Q183" i="18"/>
  <c r="S183" i="18" s="1"/>
  <c r="R183" i="18"/>
  <c r="V183" i="18"/>
  <c r="X183" i="18"/>
  <c r="G184" i="18"/>
  <c r="I184" i="18"/>
  <c r="T184" i="18" s="1"/>
  <c r="Y184" i="18" s="1"/>
  <c r="J184" i="18"/>
  <c r="O184" i="18"/>
  <c r="Q184" i="18"/>
  <c r="R184" i="18"/>
  <c r="S184" i="18"/>
  <c r="V184" i="18"/>
  <c r="X184" i="18"/>
  <c r="G185" i="18"/>
  <c r="I185" i="18"/>
  <c r="J185" i="18"/>
  <c r="O185" i="18"/>
  <c r="Q185" i="18"/>
  <c r="R185" i="18"/>
  <c r="S185" i="18"/>
  <c r="V185" i="18"/>
  <c r="X185" i="18" s="1"/>
  <c r="G186" i="18"/>
  <c r="I186" i="18"/>
  <c r="J186" i="18"/>
  <c r="O186" i="18"/>
  <c r="Q186" i="18"/>
  <c r="S186" i="18" s="1"/>
  <c r="R186" i="18"/>
  <c r="V186" i="18"/>
  <c r="X186" i="18" s="1"/>
  <c r="G187" i="18"/>
  <c r="I187" i="18"/>
  <c r="J187" i="18"/>
  <c r="O187" i="18"/>
  <c r="Q187" i="18"/>
  <c r="R187" i="18"/>
  <c r="V187" i="18"/>
  <c r="X187" i="18" s="1"/>
  <c r="G188" i="18"/>
  <c r="I188" i="18"/>
  <c r="J188" i="18"/>
  <c r="O188" i="18"/>
  <c r="Q188" i="18"/>
  <c r="R188" i="18"/>
  <c r="S188" i="18" s="1"/>
  <c r="V188" i="18"/>
  <c r="X188" i="18"/>
  <c r="G189" i="18"/>
  <c r="I189" i="18"/>
  <c r="J189" i="18"/>
  <c r="O189" i="18"/>
  <c r="Q189" i="18"/>
  <c r="R189" i="18"/>
  <c r="S189" i="18"/>
  <c r="T189" i="18"/>
  <c r="Y189" i="18" s="1"/>
  <c r="V189" i="18"/>
  <c r="X189" i="18"/>
  <c r="G190" i="18"/>
  <c r="I190" i="18"/>
  <c r="J190" i="18"/>
  <c r="O190" i="18"/>
  <c r="Q190" i="18"/>
  <c r="S190" i="18" s="1"/>
  <c r="R190" i="18"/>
  <c r="T190" i="18"/>
  <c r="Y190" i="18" s="1"/>
  <c r="V190" i="18"/>
  <c r="X190" i="18" s="1"/>
  <c r="G191" i="18"/>
  <c r="I191" i="18"/>
  <c r="J191" i="18"/>
  <c r="O191" i="18"/>
  <c r="Q191" i="18"/>
  <c r="S191" i="18" s="1"/>
  <c r="R191" i="18"/>
  <c r="V191" i="18"/>
  <c r="X191" i="18"/>
  <c r="G192" i="18"/>
  <c r="I192" i="18"/>
  <c r="J192" i="18"/>
  <c r="O192" i="18"/>
  <c r="Q192" i="18"/>
  <c r="R192" i="18"/>
  <c r="S192" i="18"/>
  <c r="V192" i="18"/>
  <c r="X192" i="18"/>
  <c r="G193" i="18"/>
  <c r="I193" i="18"/>
  <c r="J193" i="18"/>
  <c r="O193" i="18"/>
  <c r="Q193" i="18"/>
  <c r="R193" i="18"/>
  <c r="S193" i="18"/>
  <c r="V193" i="18"/>
  <c r="X193" i="18" s="1"/>
  <c r="G194" i="18"/>
  <c r="I194" i="18"/>
  <c r="J194" i="18"/>
  <c r="O194" i="18"/>
  <c r="T194" i="18" s="1"/>
  <c r="Y194" i="18" s="1"/>
  <c r="Q194" i="18"/>
  <c r="S194" i="18" s="1"/>
  <c r="R194" i="18"/>
  <c r="V194" i="18"/>
  <c r="X194" i="18" s="1"/>
  <c r="G195" i="18"/>
  <c r="I195" i="18"/>
  <c r="J195" i="18"/>
  <c r="O195" i="18"/>
  <c r="Q195" i="18"/>
  <c r="S195" i="18" s="1"/>
  <c r="R195" i="18"/>
  <c r="V195" i="18"/>
  <c r="X195" i="18" s="1"/>
  <c r="G196" i="18"/>
  <c r="I196" i="18"/>
  <c r="J196" i="18"/>
  <c r="O196" i="18"/>
  <c r="Q196" i="18"/>
  <c r="R196" i="18"/>
  <c r="S196" i="18" s="1"/>
  <c r="V196" i="18"/>
  <c r="X196" i="18"/>
  <c r="G197" i="18"/>
  <c r="I197" i="18"/>
  <c r="J197" i="18"/>
  <c r="T197" i="18" s="1"/>
  <c r="Y197" i="18" s="1"/>
  <c r="O197" i="18"/>
  <c r="Q197" i="18"/>
  <c r="R197" i="18"/>
  <c r="S197" i="18"/>
  <c r="V197" i="18"/>
  <c r="X197" i="18"/>
  <c r="G198" i="18"/>
  <c r="I198" i="18"/>
  <c r="J198" i="18"/>
  <c r="O198" i="18"/>
  <c r="Q198" i="18"/>
  <c r="S198" i="18" s="1"/>
  <c r="R198" i="18"/>
  <c r="T198" i="18"/>
  <c r="V198" i="18"/>
  <c r="X198" i="18" s="1"/>
  <c r="G199" i="18"/>
  <c r="I199" i="18"/>
  <c r="T199" i="18" s="1"/>
  <c r="Y199" i="18" s="1"/>
  <c r="J199" i="18"/>
  <c r="O199" i="18"/>
  <c r="Q199" i="18"/>
  <c r="S199" i="18" s="1"/>
  <c r="R199" i="18"/>
  <c r="V199" i="18"/>
  <c r="X199" i="18"/>
  <c r="G200" i="18"/>
  <c r="I200" i="18"/>
  <c r="T200" i="18" s="1"/>
  <c r="Y200" i="18" s="1"/>
  <c r="J200" i="18"/>
  <c r="O200" i="18"/>
  <c r="Q200" i="18"/>
  <c r="R200" i="18"/>
  <c r="S200" i="18"/>
  <c r="V200" i="18"/>
  <c r="X200" i="18"/>
  <c r="G201" i="18"/>
  <c r="I201" i="18"/>
  <c r="J201" i="18"/>
  <c r="T201" i="18" s="1"/>
  <c r="Y201" i="18" s="1"/>
  <c r="O201" i="18"/>
  <c r="Q201" i="18"/>
  <c r="R201" i="18"/>
  <c r="S201" i="18"/>
  <c r="V201" i="18"/>
  <c r="X201" i="18" s="1"/>
  <c r="G202" i="18"/>
  <c r="I202" i="18"/>
  <c r="J202" i="18"/>
  <c r="O202" i="18"/>
  <c r="T202" i="18" s="1"/>
  <c r="Q202" i="18"/>
  <c r="S202" i="18" s="1"/>
  <c r="R202" i="18"/>
  <c r="V202" i="18"/>
  <c r="X202" i="18" s="1"/>
  <c r="G203" i="18"/>
  <c r="I203" i="18"/>
  <c r="T203" i="18" s="1"/>
  <c r="Y203" i="18" s="1"/>
  <c r="J203" i="18"/>
  <c r="O203" i="18"/>
  <c r="Q203" i="18"/>
  <c r="S203" i="18" s="1"/>
  <c r="R203" i="18"/>
  <c r="V203" i="18"/>
  <c r="X203" i="18" s="1"/>
  <c r="G204" i="18"/>
  <c r="I204" i="18"/>
  <c r="J204" i="18"/>
  <c r="O204" i="18"/>
  <c r="Q204" i="18"/>
  <c r="R204" i="18"/>
  <c r="S204" i="18" s="1"/>
  <c r="V204" i="18"/>
  <c r="X204" i="18"/>
  <c r="G205" i="18"/>
  <c r="I205" i="18"/>
  <c r="J205" i="18"/>
  <c r="O205" i="18"/>
  <c r="Q205" i="18"/>
  <c r="R205" i="18"/>
  <c r="S205" i="18"/>
  <c r="T205" i="18"/>
  <c r="Y205" i="18" s="1"/>
  <c r="V205" i="18"/>
  <c r="X205" i="18"/>
  <c r="G206" i="18"/>
  <c r="I206" i="18"/>
  <c r="J206" i="18"/>
  <c r="O206" i="18"/>
  <c r="Q206" i="18"/>
  <c r="S206" i="18" s="1"/>
  <c r="R206" i="18"/>
  <c r="T206" i="18"/>
  <c r="Y206" i="18" s="1"/>
  <c r="V206" i="18"/>
  <c r="X206" i="18" s="1"/>
  <c r="G207" i="18"/>
  <c r="I207" i="18"/>
  <c r="J207" i="18"/>
  <c r="O207" i="18"/>
  <c r="Q207" i="18"/>
  <c r="S207" i="18" s="1"/>
  <c r="R207" i="18"/>
  <c r="V207" i="18"/>
  <c r="X207" i="18"/>
  <c r="G208" i="18"/>
  <c r="I208" i="18"/>
  <c r="J208" i="18"/>
  <c r="O208" i="18"/>
  <c r="Q208" i="18"/>
  <c r="R208" i="18"/>
  <c r="S208" i="18"/>
  <c r="V208" i="18"/>
  <c r="X208" i="18"/>
  <c r="G209" i="18"/>
  <c r="I209" i="18"/>
  <c r="J209" i="18"/>
  <c r="O209" i="18"/>
  <c r="Q209" i="18"/>
  <c r="R209" i="18"/>
  <c r="S209" i="18"/>
  <c r="V209" i="18"/>
  <c r="X209" i="18" s="1"/>
  <c r="G210" i="18"/>
  <c r="I210" i="18"/>
  <c r="J210" i="18"/>
  <c r="O210" i="18"/>
  <c r="T210" i="18" s="1"/>
  <c r="Y210" i="18" s="1"/>
  <c r="Q210" i="18"/>
  <c r="S210" i="18" s="1"/>
  <c r="R210" i="18"/>
  <c r="V210" i="18"/>
  <c r="X210" i="18" s="1"/>
  <c r="G211" i="18"/>
  <c r="I211" i="18"/>
  <c r="J211" i="18"/>
  <c r="O211" i="18"/>
  <c r="Q211" i="18"/>
  <c r="S211" i="18" s="1"/>
  <c r="R211" i="18"/>
  <c r="V211" i="18"/>
  <c r="X211" i="18" s="1"/>
  <c r="G212" i="18"/>
  <c r="I212" i="18"/>
  <c r="T212" i="18" s="1"/>
  <c r="Y212" i="18" s="1"/>
  <c r="J212" i="18"/>
  <c r="O212" i="18"/>
  <c r="Q212" i="18"/>
  <c r="R212" i="18"/>
  <c r="S212" i="18" s="1"/>
  <c r="V212" i="18"/>
  <c r="X212" i="18"/>
  <c r="G213" i="18"/>
  <c r="I213" i="18"/>
  <c r="J213" i="18"/>
  <c r="O213" i="18"/>
  <c r="Q213" i="18"/>
  <c r="R213" i="18"/>
  <c r="S213" i="18"/>
  <c r="T213" i="18"/>
  <c r="Y213" i="18" s="1"/>
  <c r="V213" i="18"/>
  <c r="X213" i="18" s="1"/>
  <c r="G214" i="18"/>
  <c r="I214" i="18"/>
  <c r="J214" i="18"/>
  <c r="O214" i="18"/>
  <c r="Q214" i="18"/>
  <c r="S214" i="18" s="1"/>
  <c r="T214" i="18" s="1"/>
  <c r="Y214" i="18" s="1"/>
  <c r="R214" i="18"/>
  <c r="V214" i="18"/>
  <c r="X214" i="18" s="1"/>
  <c r="G215" i="18"/>
  <c r="I215" i="18"/>
  <c r="J215" i="18"/>
  <c r="O215" i="18"/>
  <c r="Q215" i="18"/>
  <c r="S215" i="18" s="1"/>
  <c r="R215" i="18"/>
  <c r="V215" i="18"/>
  <c r="X215" i="18"/>
  <c r="G216" i="18"/>
  <c r="I216" i="18"/>
  <c r="J216" i="18"/>
  <c r="O216" i="18"/>
  <c r="Q216" i="18"/>
  <c r="R216" i="18"/>
  <c r="S216" i="18"/>
  <c r="V216" i="18"/>
  <c r="X216" i="18"/>
  <c r="G217" i="18"/>
  <c r="I217" i="18"/>
  <c r="J217" i="18"/>
  <c r="O217" i="18"/>
  <c r="Q217" i="18"/>
  <c r="R217" i="18"/>
  <c r="S217" i="18"/>
  <c r="V217" i="18"/>
  <c r="X217" i="18" s="1"/>
  <c r="G218" i="18"/>
  <c r="I218" i="18"/>
  <c r="J218" i="18"/>
  <c r="O218" i="18"/>
  <c r="T218" i="18" s="1"/>
  <c r="Y218" i="18" s="1"/>
  <c r="Q218" i="18"/>
  <c r="S218" i="18" s="1"/>
  <c r="R218" i="18"/>
  <c r="V218" i="18"/>
  <c r="X218" i="18" s="1"/>
  <c r="G219" i="18"/>
  <c r="I219" i="18"/>
  <c r="J219" i="18"/>
  <c r="O219" i="18"/>
  <c r="Q219" i="18"/>
  <c r="S219" i="18" s="1"/>
  <c r="R219" i="18"/>
  <c r="V219" i="18"/>
  <c r="X219" i="18" s="1"/>
  <c r="G220" i="18"/>
  <c r="I220" i="18"/>
  <c r="J220" i="18"/>
  <c r="O220" i="18"/>
  <c r="Q220" i="18"/>
  <c r="R220" i="18"/>
  <c r="S220" i="18" s="1"/>
  <c r="V220" i="18"/>
  <c r="X220" i="18"/>
  <c r="G221" i="18"/>
  <c r="I221" i="18"/>
  <c r="J221" i="18"/>
  <c r="T221" i="18" s="1"/>
  <c r="Y221" i="18" s="1"/>
  <c r="O221" i="18"/>
  <c r="Q221" i="18"/>
  <c r="R221" i="18"/>
  <c r="S221" i="18"/>
  <c r="V221" i="18"/>
  <c r="X221" i="18" s="1"/>
  <c r="G222" i="18"/>
  <c r="I222" i="18"/>
  <c r="J222" i="18"/>
  <c r="O222" i="18"/>
  <c r="T222" i="18" s="1"/>
  <c r="Y222" i="18" s="1"/>
  <c r="Q222" i="18"/>
  <c r="S222" i="18" s="1"/>
  <c r="R222" i="18"/>
  <c r="V222" i="18"/>
  <c r="X222" i="18" s="1"/>
  <c r="G223" i="18"/>
  <c r="I223" i="18"/>
  <c r="J223" i="18"/>
  <c r="O223" i="18"/>
  <c r="Q223" i="18"/>
  <c r="S223" i="18" s="1"/>
  <c r="R223" i="18"/>
  <c r="V223" i="18"/>
  <c r="X223" i="18"/>
  <c r="G224" i="18"/>
  <c r="I224" i="18"/>
  <c r="J224" i="18"/>
  <c r="O224" i="18"/>
  <c r="Q224" i="18"/>
  <c r="R224" i="18"/>
  <c r="S224" i="18" s="1"/>
  <c r="V224" i="18"/>
  <c r="X224" i="18"/>
  <c r="G225" i="18"/>
  <c r="I225" i="18"/>
  <c r="J225" i="18"/>
  <c r="O225" i="18"/>
  <c r="Q225" i="18"/>
  <c r="R225" i="18"/>
  <c r="S225" i="18"/>
  <c r="V225" i="18"/>
  <c r="X225" i="18" s="1"/>
  <c r="G226" i="18"/>
  <c r="I226" i="18"/>
  <c r="J226" i="18"/>
  <c r="O226" i="18"/>
  <c r="Q226" i="18"/>
  <c r="S226" i="18" s="1"/>
  <c r="R226" i="18"/>
  <c r="T226" i="18"/>
  <c r="Y226" i="18" s="1"/>
  <c r="V226" i="18"/>
  <c r="X226" i="18" s="1"/>
  <c r="G227" i="18"/>
  <c r="I227" i="18"/>
  <c r="J227" i="18"/>
  <c r="O227" i="18"/>
  <c r="Q227" i="18"/>
  <c r="R227" i="18"/>
  <c r="V227" i="18"/>
  <c r="X227" i="18" s="1"/>
  <c r="G228" i="18"/>
  <c r="I228" i="18"/>
  <c r="T228" i="18" s="1"/>
  <c r="Y228" i="18" s="1"/>
  <c r="J228" i="18"/>
  <c r="O228" i="18"/>
  <c r="Q228" i="18"/>
  <c r="S228" i="18" s="1"/>
  <c r="R228" i="18"/>
  <c r="V228" i="18"/>
  <c r="X228" i="18"/>
  <c r="G229" i="18"/>
  <c r="I229" i="18"/>
  <c r="J229" i="18"/>
  <c r="T229" i="18" s="1"/>
  <c r="Y229" i="18" s="1"/>
  <c r="O229" i="18"/>
  <c r="Q229" i="18"/>
  <c r="R229" i="18"/>
  <c r="S229" i="18"/>
  <c r="V229" i="18"/>
  <c r="X229" i="18"/>
  <c r="G230" i="18"/>
  <c r="I230" i="18"/>
  <c r="J230" i="18"/>
  <c r="O230" i="18"/>
  <c r="T230" i="18" s="1"/>
  <c r="Y230" i="18" s="1"/>
  <c r="Q230" i="18"/>
  <c r="S230" i="18" s="1"/>
  <c r="R230" i="18"/>
  <c r="V230" i="18"/>
  <c r="X230" i="18" s="1"/>
  <c r="G231" i="18"/>
  <c r="I231" i="18"/>
  <c r="J231" i="18"/>
  <c r="O231" i="18"/>
  <c r="Q231" i="18"/>
  <c r="S231" i="18" s="1"/>
  <c r="R231" i="18"/>
  <c r="V231" i="18"/>
  <c r="X231" i="18"/>
  <c r="G232" i="18"/>
  <c r="I232" i="18"/>
  <c r="J232" i="18"/>
  <c r="O232" i="18"/>
  <c r="Q232" i="18"/>
  <c r="R232" i="18"/>
  <c r="S232" i="18" s="1"/>
  <c r="V232" i="18"/>
  <c r="X232" i="18"/>
  <c r="G233" i="18"/>
  <c r="I233" i="18"/>
  <c r="J233" i="18"/>
  <c r="O233" i="18"/>
  <c r="Q233" i="18"/>
  <c r="R233" i="18"/>
  <c r="S233" i="18"/>
  <c r="V233" i="18"/>
  <c r="X233" i="18" s="1"/>
  <c r="G234" i="18"/>
  <c r="I234" i="18"/>
  <c r="J234" i="18"/>
  <c r="O234" i="18"/>
  <c r="T234" i="18" s="1"/>
  <c r="Y234" i="18" s="1"/>
  <c r="Q234" i="18"/>
  <c r="S234" i="18" s="1"/>
  <c r="R234" i="18"/>
  <c r="V234" i="18"/>
  <c r="X234" i="18" s="1"/>
  <c r="G235" i="18"/>
  <c r="I235" i="18"/>
  <c r="J235" i="18"/>
  <c r="O235" i="18"/>
  <c r="Q235" i="18"/>
  <c r="R235" i="18"/>
  <c r="V235" i="18"/>
  <c r="X235" i="18" s="1"/>
  <c r="G236" i="18"/>
  <c r="I236" i="18"/>
  <c r="J236" i="18"/>
  <c r="O236" i="18"/>
  <c r="Q236" i="18"/>
  <c r="S236" i="18" s="1"/>
  <c r="R236" i="18"/>
  <c r="V236" i="18"/>
  <c r="X236" i="18"/>
  <c r="G237" i="18"/>
  <c r="I237" i="18"/>
  <c r="J237" i="18"/>
  <c r="T237" i="18" s="1"/>
  <c r="Y237" i="18" s="1"/>
  <c r="O237" i="18"/>
  <c r="Q237" i="18"/>
  <c r="R237" i="18"/>
  <c r="S237" i="18"/>
  <c r="V237" i="18"/>
  <c r="X237" i="18"/>
  <c r="G238" i="18"/>
  <c r="I238" i="18"/>
  <c r="J238" i="18"/>
  <c r="O238" i="18"/>
  <c r="Q238" i="18"/>
  <c r="S238" i="18" s="1"/>
  <c r="R238" i="18"/>
  <c r="T238" i="18"/>
  <c r="Y238" i="18" s="1"/>
  <c r="V238" i="18"/>
  <c r="X238" i="18" s="1"/>
  <c r="G239" i="18"/>
  <c r="I239" i="18"/>
  <c r="T239" i="18" s="1"/>
  <c r="J239" i="18"/>
  <c r="O239" i="18"/>
  <c r="Q239" i="18"/>
  <c r="S239" i="18" s="1"/>
  <c r="R239" i="18"/>
  <c r="V239" i="18"/>
  <c r="X239" i="18" s="1"/>
  <c r="G240" i="18"/>
  <c r="I240" i="18"/>
  <c r="J240" i="18"/>
  <c r="O240" i="18"/>
  <c r="Q240" i="18"/>
  <c r="R240" i="18"/>
  <c r="S240" i="18"/>
  <c r="V240" i="18"/>
  <c r="X240" i="18"/>
  <c r="G241" i="18"/>
  <c r="I241" i="18"/>
  <c r="J241" i="18"/>
  <c r="O241" i="18"/>
  <c r="Q241" i="18"/>
  <c r="R241" i="18"/>
  <c r="S241" i="18"/>
  <c r="V241" i="18"/>
  <c r="X241" i="18" s="1"/>
  <c r="G242" i="18"/>
  <c r="I242" i="18"/>
  <c r="J242" i="18"/>
  <c r="O242" i="18"/>
  <c r="Q242" i="18"/>
  <c r="S242" i="18" s="1"/>
  <c r="R242" i="18"/>
  <c r="T242" i="18"/>
  <c r="Y242" i="18" s="1"/>
  <c r="V242" i="18"/>
  <c r="X242" i="18" s="1"/>
  <c r="G243" i="18"/>
  <c r="I243" i="18"/>
  <c r="J243" i="18"/>
  <c r="O243" i="18"/>
  <c r="Q243" i="18"/>
  <c r="S243" i="18" s="1"/>
  <c r="T243" i="18" s="1"/>
  <c r="R243" i="18"/>
  <c r="V243" i="18"/>
  <c r="X243" i="18" s="1"/>
  <c r="G244" i="18"/>
  <c r="I244" i="18"/>
  <c r="J244" i="18"/>
  <c r="O244" i="18"/>
  <c r="Q244" i="18"/>
  <c r="R244" i="18"/>
  <c r="V244" i="18"/>
  <c r="X244" i="18"/>
  <c r="G245" i="18"/>
  <c r="I245" i="18"/>
  <c r="J245" i="18"/>
  <c r="O245" i="18"/>
  <c r="Q245" i="18"/>
  <c r="R245" i="18"/>
  <c r="S245" i="18"/>
  <c r="T245" i="18" s="1"/>
  <c r="Y245" i="18" s="1"/>
  <c r="V245" i="18"/>
  <c r="X245" i="18"/>
  <c r="G246" i="18"/>
  <c r="I246" i="18"/>
  <c r="J246" i="18"/>
  <c r="O246" i="18"/>
  <c r="T246" i="18" s="1"/>
  <c r="Y246" i="18" s="1"/>
  <c r="Q246" i="18"/>
  <c r="S246" i="18" s="1"/>
  <c r="R246" i="18"/>
  <c r="V246" i="18"/>
  <c r="X246" i="18" s="1"/>
  <c r="G247" i="18"/>
  <c r="I247" i="18"/>
  <c r="T247" i="18" s="1"/>
  <c r="J247" i="18"/>
  <c r="O247" i="18"/>
  <c r="Q247" i="18"/>
  <c r="S247" i="18" s="1"/>
  <c r="R247" i="18"/>
  <c r="V247" i="18"/>
  <c r="X247" i="18" s="1"/>
  <c r="G248" i="18"/>
  <c r="I248" i="18"/>
  <c r="J248" i="18"/>
  <c r="O248" i="18"/>
  <c r="Q248" i="18"/>
  <c r="R248" i="18"/>
  <c r="S248" i="18" s="1"/>
  <c r="V248" i="18"/>
  <c r="X248" i="18"/>
  <c r="G249" i="18"/>
  <c r="I249" i="18"/>
  <c r="J249" i="18"/>
  <c r="T249" i="18" s="1"/>
  <c r="Y249" i="18" s="1"/>
  <c r="O249" i="18"/>
  <c r="Q249" i="18"/>
  <c r="R249" i="18"/>
  <c r="S249" i="18"/>
  <c r="V249" i="18"/>
  <c r="X249" i="18" s="1"/>
  <c r="G250" i="18"/>
  <c r="I250" i="18"/>
  <c r="J250" i="18"/>
  <c r="O250" i="18"/>
  <c r="T250" i="18" s="1"/>
  <c r="Y250" i="18" s="1"/>
  <c r="Q250" i="18"/>
  <c r="S250" i="18" s="1"/>
  <c r="R250" i="18"/>
  <c r="V250" i="18"/>
  <c r="X250" i="18" s="1"/>
  <c r="G251" i="18"/>
  <c r="I251" i="18"/>
  <c r="J251" i="18"/>
  <c r="O251" i="18"/>
  <c r="Q251" i="18"/>
  <c r="S251" i="18" s="1"/>
  <c r="T251" i="18" s="1"/>
  <c r="R251" i="18"/>
  <c r="V251" i="18"/>
  <c r="X251" i="18" s="1"/>
  <c r="G252" i="18"/>
  <c r="I252" i="18"/>
  <c r="J252" i="18"/>
  <c r="O252" i="18"/>
  <c r="Q252" i="18"/>
  <c r="S252" i="18" s="1"/>
  <c r="R252" i="18"/>
  <c r="V252" i="18"/>
  <c r="X252" i="18"/>
  <c r="G253" i="18"/>
  <c r="I253" i="18"/>
  <c r="J253" i="18"/>
  <c r="O253" i="18"/>
  <c r="Q253" i="18"/>
  <c r="R253" i="18"/>
  <c r="S253" i="18"/>
  <c r="T253" i="18"/>
  <c r="Y253" i="18" s="1"/>
  <c r="V253" i="18"/>
  <c r="X253" i="18"/>
  <c r="G254" i="18"/>
  <c r="I254" i="18"/>
  <c r="J254" i="18"/>
  <c r="O254" i="18"/>
  <c r="Q254" i="18"/>
  <c r="S254" i="18" s="1"/>
  <c r="R254" i="18"/>
  <c r="T254" i="18"/>
  <c r="Y254" i="18" s="1"/>
  <c r="V254" i="18"/>
  <c r="X254" i="18" s="1"/>
  <c r="G255" i="18"/>
  <c r="I255" i="18"/>
  <c r="J255" i="18"/>
  <c r="O255" i="18"/>
  <c r="Q255" i="18"/>
  <c r="S255" i="18" s="1"/>
  <c r="R255" i="18"/>
  <c r="V255" i="18"/>
  <c r="X255" i="18" s="1"/>
  <c r="G256" i="18"/>
  <c r="I256" i="18"/>
  <c r="J256" i="18"/>
  <c r="O256" i="18"/>
  <c r="Q256" i="18"/>
  <c r="R256" i="18"/>
  <c r="S256" i="18"/>
  <c r="V256" i="18"/>
  <c r="X256" i="18"/>
  <c r="G257" i="18"/>
  <c r="I257" i="18"/>
  <c r="J257" i="18"/>
  <c r="O257" i="18"/>
  <c r="Q257" i="18"/>
  <c r="R257" i="18"/>
  <c r="S257" i="18"/>
  <c r="V257" i="18"/>
  <c r="X257" i="18" s="1"/>
  <c r="G258" i="18"/>
  <c r="I258" i="18"/>
  <c r="J258" i="18"/>
  <c r="O258" i="18"/>
  <c r="Q258" i="18"/>
  <c r="S258" i="18" s="1"/>
  <c r="T258" i="18" s="1"/>
  <c r="Y258" i="18" s="1"/>
  <c r="R258" i="18"/>
  <c r="V258" i="18"/>
  <c r="X258" i="18" s="1"/>
  <c r="G259" i="18"/>
  <c r="I259" i="18"/>
  <c r="J259" i="18"/>
  <c r="O259" i="18"/>
  <c r="Q259" i="18"/>
  <c r="S259" i="18" s="1"/>
  <c r="T259" i="18" s="1"/>
  <c r="Y259" i="18" s="1"/>
  <c r="R259" i="18"/>
  <c r="V259" i="18"/>
  <c r="X259" i="18" s="1"/>
  <c r="G260" i="18"/>
  <c r="I260" i="18"/>
  <c r="J260" i="18"/>
  <c r="O260" i="18"/>
  <c r="Q260" i="18"/>
  <c r="R260" i="18"/>
  <c r="V260" i="18"/>
  <c r="X260" i="18"/>
  <c r="G261" i="18"/>
  <c r="I261" i="18"/>
  <c r="J261" i="18"/>
  <c r="T261" i="18" s="1"/>
  <c r="Y261" i="18" s="1"/>
  <c r="O261" i="18"/>
  <c r="Q261" i="18"/>
  <c r="R261" i="18"/>
  <c r="S261" i="18"/>
  <c r="V261" i="18"/>
  <c r="X261" i="18"/>
  <c r="G262" i="18"/>
  <c r="I262" i="18"/>
  <c r="J262" i="18"/>
  <c r="O262" i="18"/>
  <c r="T262" i="18" s="1"/>
  <c r="Y262" i="18" s="1"/>
  <c r="Q262" i="18"/>
  <c r="S262" i="18" s="1"/>
  <c r="R262" i="18"/>
  <c r="V262" i="18"/>
  <c r="X262" i="18" s="1"/>
  <c r="G263" i="18"/>
  <c r="I263" i="18"/>
  <c r="T263" i="18" s="1"/>
  <c r="Y263" i="18" s="1"/>
  <c r="J263" i="18"/>
  <c r="O263" i="18"/>
  <c r="Q263" i="18"/>
  <c r="S263" i="18" s="1"/>
  <c r="R263" i="18"/>
  <c r="V263" i="18"/>
  <c r="X263" i="18"/>
  <c r="G264" i="18"/>
  <c r="I264" i="18"/>
  <c r="T264" i="18" s="1"/>
  <c r="Y264" i="18" s="1"/>
  <c r="J264" i="18"/>
  <c r="O264" i="18"/>
  <c r="Q264" i="18"/>
  <c r="R264" i="18"/>
  <c r="S264" i="18"/>
  <c r="V264" i="18"/>
  <c r="X264" i="18"/>
  <c r="G265" i="18"/>
  <c r="I265" i="18"/>
  <c r="J265" i="18"/>
  <c r="T265" i="18" s="1"/>
  <c r="O265" i="18"/>
  <c r="Q265" i="18"/>
  <c r="R265" i="18"/>
  <c r="S265" i="18"/>
  <c r="V265" i="18"/>
  <c r="X265" i="18" s="1"/>
  <c r="Y265" i="18"/>
  <c r="G266" i="18"/>
  <c r="I266" i="18"/>
  <c r="J266" i="18"/>
  <c r="O266" i="18"/>
  <c r="Q266" i="18"/>
  <c r="S266" i="18" s="1"/>
  <c r="T266" i="18" s="1"/>
  <c r="Y266" i="18" s="1"/>
  <c r="R266" i="18"/>
  <c r="V266" i="18"/>
  <c r="X266" i="18" s="1"/>
  <c r="G267" i="18"/>
  <c r="I267" i="18"/>
  <c r="J267" i="18"/>
  <c r="O267" i="18"/>
  <c r="Q267" i="18"/>
  <c r="R267" i="18"/>
  <c r="V267" i="18"/>
  <c r="X267" i="18" s="1"/>
  <c r="G268" i="18"/>
  <c r="I268" i="18"/>
  <c r="J268" i="18"/>
  <c r="O268" i="18"/>
  <c r="Q268" i="18"/>
  <c r="R268" i="18"/>
  <c r="V268" i="18"/>
  <c r="X268" i="18"/>
  <c r="G269" i="18"/>
  <c r="I269" i="18"/>
  <c r="J269" i="18"/>
  <c r="O269" i="18"/>
  <c r="Q269" i="18"/>
  <c r="R269" i="18"/>
  <c r="S269" i="18"/>
  <c r="T269" i="18"/>
  <c r="Y269" i="18" s="1"/>
  <c r="V269" i="18"/>
  <c r="X269" i="18"/>
  <c r="G270" i="18"/>
  <c r="I270" i="18"/>
  <c r="J270" i="18"/>
  <c r="O270" i="18"/>
  <c r="T270" i="18" s="1"/>
  <c r="Y270" i="18" s="1"/>
  <c r="Q270" i="18"/>
  <c r="S270" i="18" s="1"/>
  <c r="R270" i="18"/>
  <c r="V270" i="18"/>
  <c r="X270" i="18" s="1"/>
  <c r="G271" i="18"/>
  <c r="I271" i="18"/>
  <c r="J271" i="18"/>
  <c r="O271" i="18"/>
  <c r="Q271" i="18"/>
  <c r="S271" i="18" s="1"/>
  <c r="R271" i="18"/>
  <c r="V271" i="18"/>
  <c r="X271" i="18" s="1"/>
  <c r="G272" i="18"/>
  <c r="I272" i="18"/>
  <c r="J272" i="18"/>
  <c r="O272" i="18"/>
  <c r="Q272" i="18"/>
  <c r="R272" i="18"/>
  <c r="S272" i="18" s="1"/>
  <c r="V272" i="18"/>
  <c r="X272" i="18"/>
  <c r="G273" i="18"/>
  <c r="I273" i="18"/>
  <c r="J273" i="18"/>
  <c r="O273" i="18"/>
  <c r="Q273" i="18"/>
  <c r="R273" i="18"/>
  <c r="S273" i="18" s="1"/>
  <c r="V273" i="18"/>
  <c r="X273" i="18" s="1"/>
  <c r="G274" i="18"/>
  <c r="I274" i="18"/>
  <c r="J274" i="18"/>
  <c r="O274" i="18"/>
  <c r="T274" i="18" s="1"/>
  <c r="Y274" i="18" s="1"/>
  <c r="Q274" i="18"/>
  <c r="R274" i="18"/>
  <c r="S274" i="18" s="1"/>
  <c r="V274" i="18"/>
  <c r="X274" i="18" s="1"/>
  <c r="G275" i="18"/>
  <c r="I275" i="18"/>
  <c r="J275" i="18"/>
  <c r="O275" i="18"/>
  <c r="Q275" i="18"/>
  <c r="R275" i="18"/>
  <c r="V275" i="18"/>
  <c r="X275" i="18" s="1"/>
  <c r="G276" i="18"/>
  <c r="I276" i="18"/>
  <c r="J276" i="18"/>
  <c r="O276" i="18"/>
  <c r="Q276" i="18"/>
  <c r="R276" i="18"/>
  <c r="V276" i="18"/>
  <c r="X276" i="18" s="1"/>
  <c r="G277" i="18"/>
  <c r="I277" i="18"/>
  <c r="J277" i="18"/>
  <c r="O277" i="18"/>
  <c r="Q277" i="18"/>
  <c r="R277" i="18"/>
  <c r="S277" i="18" s="1"/>
  <c r="T277" i="18" s="1"/>
  <c r="Y277" i="18" s="1"/>
  <c r="V277" i="18"/>
  <c r="X277" i="18"/>
  <c r="G278" i="18"/>
  <c r="I278" i="18"/>
  <c r="J278" i="18"/>
  <c r="O278" i="18"/>
  <c r="Q278" i="18"/>
  <c r="S278" i="18" s="1"/>
  <c r="R278" i="18"/>
  <c r="V278" i="18"/>
  <c r="X278" i="18"/>
  <c r="G279" i="18"/>
  <c r="I279" i="18"/>
  <c r="T279" i="18" s="1"/>
  <c r="J279" i="18"/>
  <c r="O279" i="18"/>
  <c r="Q279" i="18"/>
  <c r="R279" i="18"/>
  <c r="S279" i="18"/>
  <c r="V279" i="18"/>
  <c r="X279" i="18"/>
  <c r="G280" i="18"/>
  <c r="I280" i="18"/>
  <c r="J280" i="18"/>
  <c r="O280" i="18"/>
  <c r="Q280" i="18"/>
  <c r="R280" i="18"/>
  <c r="S280" i="18"/>
  <c r="V280" i="18"/>
  <c r="X280" i="18" s="1"/>
  <c r="G281" i="18"/>
  <c r="I281" i="18"/>
  <c r="J281" i="18"/>
  <c r="O281" i="18"/>
  <c r="Q281" i="18"/>
  <c r="S281" i="18" s="1"/>
  <c r="R281" i="18"/>
  <c r="V281" i="18"/>
  <c r="X281" i="18"/>
  <c r="G282" i="18"/>
  <c r="I282" i="18"/>
  <c r="J282" i="18"/>
  <c r="T282" i="18" s="1"/>
  <c r="Y282" i="18" s="1"/>
  <c r="O282" i="18"/>
  <c r="Q282" i="18"/>
  <c r="R282" i="18"/>
  <c r="S282" i="18"/>
  <c r="V282" i="18"/>
  <c r="X282" i="18" s="1"/>
  <c r="G283" i="18"/>
  <c r="I283" i="18"/>
  <c r="J283" i="18"/>
  <c r="O283" i="18"/>
  <c r="Q283" i="18"/>
  <c r="R283" i="18"/>
  <c r="V283" i="18"/>
  <c r="X283" i="18" s="1"/>
  <c r="G284" i="18"/>
  <c r="I284" i="18"/>
  <c r="J284" i="18"/>
  <c r="T284" i="18" s="1"/>
  <c r="O284" i="18"/>
  <c r="Q284" i="18"/>
  <c r="S284" i="18" s="1"/>
  <c r="R284" i="18"/>
  <c r="V284" i="18"/>
  <c r="X284" i="18" s="1"/>
  <c r="Y284" i="18"/>
  <c r="G285" i="18"/>
  <c r="I285" i="18"/>
  <c r="J285" i="18"/>
  <c r="O285" i="18"/>
  <c r="Q285" i="18"/>
  <c r="S285" i="18" s="1"/>
  <c r="R285" i="18"/>
  <c r="T285" i="18"/>
  <c r="Y285" i="18" s="1"/>
  <c r="V285" i="18"/>
  <c r="X285" i="18"/>
  <c r="G286" i="18"/>
  <c r="I286" i="18"/>
  <c r="T286" i="18" s="1"/>
  <c r="Y286" i="18" s="1"/>
  <c r="J286" i="18"/>
  <c r="O286" i="18"/>
  <c r="Q286" i="18"/>
  <c r="S286" i="18" s="1"/>
  <c r="R286" i="18"/>
  <c r="V286" i="18"/>
  <c r="X286" i="18"/>
  <c r="G287" i="18"/>
  <c r="I287" i="18"/>
  <c r="T287" i="18" s="1"/>
  <c r="Y287" i="18" s="1"/>
  <c r="J287" i="18"/>
  <c r="O287" i="18"/>
  <c r="Q287" i="18"/>
  <c r="R287" i="18"/>
  <c r="S287" i="18"/>
  <c r="V287" i="18"/>
  <c r="X287" i="18"/>
  <c r="G288" i="18"/>
  <c r="I288" i="18"/>
  <c r="J288" i="18"/>
  <c r="O288" i="18"/>
  <c r="T288" i="18" s="1"/>
  <c r="Y288" i="18" s="1"/>
  <c r="Q288" i="18"/>
  <c r="R288" i="18"/>
  <c r="S288" i="18"/>
  <c r="V288" i="18"/>
  <c r="X288" i="18" s="1"/>
  <c r="G289" i="18"/>
  <c r="I289" i="18"/>
  <c r="J289" i="18"/>
  <c r="O289" i="18"/>
  <c r="Q289" i="18"/>
  <c r="S289" i="18" s="1"/>
  <c r="R289" i="18"/>
  <c r="V289" i="18"/>
  <c r="X289" i="18"/>
  <c r="G290" i="18"/>
  <c r="I290" i="18"/>
  <c r="J290" i="18"/>
  <c r="T290" i="18" s="1"/>
  <c r="O290" i="18"/>
  <c r="Q290" i="18"/>
  <c r="R290" i="18"/>
  <c r="S290" i="18"/>
  <c r="V290" i="18"/>
  <c r="X290" i="18" s="1"/>
  <c r="Y290" i="18"/>
  <c r="G291" i="18"/>
  <c r="I291" i="18"/>
  <c r="J291" i="18"/>
  <c r="O291" i="18"/>
  <c r="Q291" i="18"/>
  <c r="S291" i="18" s="1"/>
  <c r="T291" i="18" s="1"/>
  <c r="Y291" i="18" s="1"/>
  <c r="R291" i="18"/>
  <c r="V291" i="18"/>
  <c r="X291" i="18" s="1"/>
  <c r="G292" i="18"/>
  <c r="I292" i="18"/>
  <c r="J292" i="18"/>
  <c r="O292" i="18"/>
  <c r="Q292" i="18"/>
  <c r="S292" i="18" s="1"/>
  <c r="R292" i="18"/>
  <c r="V292" i="18"/>
  <c r="X292" i="18" s="1"/>
  <c r="G293" i="18"/>
  <c r="I293" i="18"/>
  <c r="T293" i="18" s="1"/>
  <c r="Y293" i="18" s="1"/>
  <c r="J293" i="18"/>
  <c r="O293" i="18"/>
  <c r="Q293" i="18"/>
  <c r="S293" i="18" s="1"/>
  <c r="R293" i="18"/>
  <c r="V293" i="18"/>
  <c r="X293" i="18"/>
  <c r="G294" i="18"/>
  <c r="I294" i="18"/>
  <c r="J294" i="18"/>
  <c r="O294" i="18"/>
  <c r="Q294" i="18"/>
  <c r="R294" i="18"/>
  <c r="S294" i="18"/>
  <c r="V294" i="18"/>
  <c r="X294" i="18"/>
  <c r="G295" i="18"/>
  <c r="I295" i="18"/>
  <c r="T295" i="18" s="1"/>
  <c r="Y295" i="18" s="1"/>
  <c r="J295" i="18"/>
  <c r="O295" i="18"/>
  <c r="Q295" i="18"/>
  <c r="R295" i="18"/>
  <c r="S295" i="18"/>
  <c r="V295" i="18"/>
  <c r="X295" i="18"/>
  <c r="G296" i="18"/>
  <c r="I296" i="18"/>
  <c r="J296" i="18"/>
  <c r="O296" i="18"/>
  <c r="Q296" i="18"/>
  <c r="R296" i="18"/>
  <c r="S296" i="18"/>
  <c r="V296" i="18"/>
  <c r="X296" i="18" s="1"/>
  <c r="G297" i="18"/>
  <c r="I297" i="18"/>
  <c r="T297" i="18" s="1"/>
  <c r="Y297" i="18" s="1"/>
  <c r="J297" i="18"/>
  <c r="O297" i="18"/>
  <c r="Q297" i="18"/>
  <c r="S297" i="18" s="1"/>
  <c r="R297" i="18"/>
  <c r="V297" i="18"/>
  <c r="X297" i="18"/>
  <c r="G298" i="18"/>
  <c r="I298" i="18"/>
  <c r="T298" i="18" s="1"/>
  <c r="Y298" i="18" s="1"/>
  <c r="J298" i="18"/>
  <c r="O298" i="18"/>
  <c r="Q298" i="18"/>
  <c r="R298" i="18"/>
  <c r="S298" i="18"/>
  <c r="V298" i="18"/>
  <c r="X298" i="18" s="1"/>
  <c r="G299" i="18"/>
  <c r="I299" i="18"/>
  <c r="J299" i="18"/>
  <c r="O299" i="18"/>
  <c r="Q299" i="18"/>
  <c r="R299" i="18"/>
  <c r="S299" i="18" s="1"/>
  <c r="T299" i="18"/>
  <c r="V299" i="18"/>
  <c r="X299" i="18" s="1"/>
  <c r="G300" i="18"/>
  <c r="I300" i="18"/>
  <c r="J300" i="18"/>
  <c r="O300" i="18"/>
  <c r="Q300" i="18"/>
  <c r="S300" i="18" s="1"/>
  <c r="R300" i="18"/>
  <c r="V300" i="18"/>
  <c r="X300" i="18" s="1"/>
  <c r="G301" i="18"/>
  <c r="I301" i="18"/>
  <c r="J301" i="18"/>
  <c r="O301" i="18"/>
  <c r="Q301" i="18"/>
  <c r="S301" i="18" s="1"/>
  <c r="R301" i="18"/>
  <c r="T301" i="18"/>
  <c r="V301" i="18"/>
  <c r="X301" i="18"/>
  <c r="G302" i="18"/>
  <c r="I302" i="18"/>
  <c r="J302" i="18"/>
  <c r="O302" i="18"/>
  <c r="Q302" i="18"/>
  <c r="R302" i="18"/>
  <c r="S302" i="18"/>
  <c r="V302" i="18"/>
  <c r="X302" i="18"/>
  <c r="G303" i="18"/>
  <c r="I303" i="18"/>
  <c r="T303" i="18" s="1"/>
  <c r="Y303" i="18" s="1"/>
  <c r="J303" i="18"/>
  <c r="O303" i="18"/>
  <c r="Q303" i="18"/>
  <c r="R303" i="18"/>
  <c r="S303" i="18"/>
  <c r="V303" i="18"/>
  <c r="X303" i="18"/>
  <c r="G304" i="18"/>
  <c r="I304" i="18"/>
  <c r="J304" i="18"/>
  <c r="O304" i="18"/>
  <c r="T304" i="18" s="1"/>
  <c r="Y304" i="18" s="1"/>
  <c r="Q304" i="18"/>
  <c r="R304" i="18"/>
  <c r="S304" i="18"/>
  <c r="V304" i="18"/>
  <c r="X304" i="18" s="1"/>
  <c r="G305" i="18"/>
  <c r="I305" i="18"/>
  <c r="J305" i="18"/>
  <c r="O305" i="18"/>
  <c r="Q305" i="18"/>
  <c r="R305" i="18"/>
  <c r="V305" i="18"/>
  <c r="X305" i="18"/>
  <c r="G306" i="18"/>
  <c r="I306" i="18"/>
  <c r="J306" i="18"/>
  <c r="O306" i="18"/>
  <c r="Q306" i="18"/>
  <c r="R306" i="18"/>
  <c r="S306" i="18"/>
  <c r="V306" i="18"/>
  <c r="X306" i="18" s="1"/>
  <c r="G307" i="18"/>
  <c r="I307" i="18"/>
  <c r="J307" i="18"/>
  <c r="O307" i="18"/>
  <c r="Q307" i="18"/>
  <c r="R307" i="18"/>
  <c r="S307" i="18" s="1"/>
  <c r="T307" i="18"/>
  <c r="V307" i="18"/>
  <c r="X307" i="18" s="1"/>
  <c r="G308" i="18"/>
  <c r="I308" i="18"/>
  <c r="J308" i="18"/>
  <c r="O308" i="18"/>
  <c r="Q308" i="18"/>
  <c r="S308" i="18" s="1"/>
  <c r="R308" i="18"/>
  <c r="V308" i="18"/>
  <c r="X308" i="18" s="1"/>
  <c r="G309" i="18"/>
  <c r="I309" i="18"/>
  <c r="T309" i="18" s="1"/>
  <c r="Y309" i="18" s="1"/>
  <c r="J309" i="18"/>
  <c r="O309" i="18"/>
  <c r="Q309" i="18"/>
  <c r="S309" i="18" s="1"/>
  <c r="R309" i="18"/>
  <c r="V309" i="18"/>
  <c r="X309" i="18"/>
  <c r="G310" i="18"/>
  <c r="I310" i="18"/>
  <c r="J310" i="18"/>
  <c r="O310" i="18"/>
  <c r="Q310" i="18"/>
  <c r="R310" i="18"/>
  <c r="S310" i="18"/>
  <c r="V310" i="18"/>
  <c r="X310" i="18"/>
  <c r="G311" i="18"/>
  <c r="I311" i="18"/>
  <c r="T311" i="18" s="1"/>
  <c r="Y311" i="18" s="1"/>
  <c r="J311" i="18"/>
  <c r="O311" i="18"/>
  <c r="Q311" i="18"/>
  <c r="R311" i="18"/>
  <c r="S311" i="18"/>
  <c r="V311" i="18"/>
  <c r="X311" i="18"/>
  <c r="G312" i="18"/>
  <c r="I312" i="18"/>
  <c r="J312" i="18"/>
  <c r="O312" i="18"/>
  <c r="Q312" i="18"/>
  <c r="R312" i="18"/>
  <c r="S312" i="18"/>
  <c r="V312" i="18"/>
  <c r="X312" i="18" s="1"/>
  <c r="G313" i="18"/>
  <c r="I313" i="18"/>
  <c r="T313" i="18" s="1"/>
  <c r="Y313" i="18" s="1"/>
  <c r="J313" i="18"/>
  <c r="O313" i="18"/>
  <c r="Q313" i="18"/>
  <c r="S313" i="18" s="1"/>
  <c r="R313" i="18"/>
  <c r="V313" i="18"/>
  <c r="X313" i="18"/>
  <c r="G314" i="18"/>
  <c r="I314" i="18"/>
  <c r="J314" i="18"/>
  <c r="T314" i="18" s="1"/>
  <c r="O314" i="18"/>
  <c r="Q314" i="18"/>
  <c r="R314" i="18"/>
  <c r="S314" i="18"/>
  <c r="V314" i="18"/>
  <c r="X314" i="18" s="1"/>
  <c r="Y314" i="18"/>
  <c r="G315" i="18"/>
  <c r="I315" i="18"/>
  <c r="J315" i="18"/>
  <c r="O315" i="18"/>
  <c r="Q315" i="18"/>
  <c r="R315" i="18"/>
  <c r="S315" i="18" s="1"/>
  <c r="T315" i="18"/>
  <c r="V315" i="18"/>
  <c r="X315" i="18" s="1"/>
  <c r="G316" i="18"/>
  <c r="I316" i="18"/>
  <c r="J316" i="18"/>
  <c r="O316" i="18"/>
  <c r="Q316" i="18"/>
  <c r="S316" i="18" s="1"/>
  <c r="R316" i="18"/>
  <c r="V316" i="18"/>
  <c r="X316" i="18" s="1"/>
  <c r="G317" i="18"/>
  <c r="I317" i="18"/>
  <c r="J317" i="18"/>
  <c r="O317" i="18"/>
  <c r="Q317" i="18"/>
  <c r="S317" i="18" s="1"/>
  <c r="R317" i="18"/>
  <c r="T317" i="18"/>
  <c r="V317" i="18"/>
  <c r="X317" i="18"/>
  <c r="G318" i="18"/>
  <c r="I318" i="18"/>
  <c r="J318" i="18"/>
  <c r="O318" i="18"/>
  <c r="Q318" i="18"/>
  <c r="R318" i="18"/>
  <c r="S318" i="18"/>
  <c r="V318" i="18"/>
  <c r="X318" i="18"/>
  <c r="G319" i="18"/>
  <c r="I319" i="18"/>
  <c r="T319" i="18" s="1"/>
  <c r="Y319" i="18" s="1"/>
  <c r="J319" i="18"/>
  <c r="O319" i="18"/>
  <c r="Q319" i="18"/>
  <c r="R319" i="18"/>
  <c r="S319" i="18"/>
  <c r="V319" i="18"/>
  <c r="X319" i="18"/>
  <c r="G320" i="18"/>
  <c r="I320" i="18"/>
  <c r="J320" i="18"/>
  <c r="O320" i="18"/>
  <c r="T320" i="18" s="1"/>
  <c r="Y320" i="18" s="1"/>
  <c r="Q320" i="18"/>
  <c r="R320" i="18"/>
  <c r="S320" i="18"/>
  <c r="V320" i="18"/>
  <c r="X320" i="18" s="1"/>
  <c r="G321" i="18"/>
  <c r="I321" i="18"/>
  <c r="J321" i="18"/>
  <c r="O321" i="18"/>
  <c r="Q321" i="18"/>
  <c r="R321" i="18"/>
  <c r="V321" i="18"/>
  <c r="X321" i="18"/>
  <c r="G322" i="18"/>
  <c r="I322" i="18"/>
  <c r="J322" i="18"/>
  <c r="T322" i="18" s="1"/>
  <c r="O322" i="18"/>
  <c r="Q322" i="18"/>
  <c r="R322" i="18"/>
  <c r="S322" i="18"/>
  <c r="V322" i="18"/>
  <c r="X322" i="18" s="1"/>
  <c r="Y322" i="18"/>
  <c r="G323" i="18"/>
  <c r="I323" i="18"/>
  <c r="J323" i="18"/>
  <c r="O323" i="18"/>
  <c r="Q323" i="18"/>
  <c r="R323" i="18"/>
  <c r="S323" i="18" s="1"/>
  <c r="T323" i="18"/>
  <c r="V323" i="18"/>
  <c r="X323" i="18" s="1"/>
  <c r="G324" i="18"/>
  <c r="I324" i="18"/>
  <c r="J324" i="18"/>
  <c r="O324" i="18"/>
  <c r="Q324" i="18"/>
  <c r="S324" i="18" s="1"/>
  <c r="R324" i="18"/>
  <c r="V324" i="18"/>
  <c r="X324" i="18" s="1"/>
  <c r="G325" i="18"/>
  <c r="I325" i="18"/>
  <c r="T325" i="18" s="1"/>
  <c r="Y325" i="18" s="1"/>
  <c r="J325" i="18"/>
  <c r="O325" i="18"/>
  <c r="Q325" i="18"/>
  <c r="S325" i="18" s="1"/>
  <c r="R325" i="18"/>
  <c r="V325" i="18"/>
  <c r="X325" i="18"/>
  <c r="G326" i="18"/>
  <c r="I326" i="18"/>
  <c r="J326" i="18"/>
  <c r="O326" i="18"/>
  <c r="Q326" i="18"/>
  <c r="R326" i="18"/>
  <c r="S326" i="18"/>
  <c r="V326" i="18"/>
  <c r="X326" i="18"/>
  <c r="G327" i="18"/>
  <c r="I327" i="18"/>
  <c r="T327" i="18" s="1"/>
  <c r="J327" i="18"/>
  <c r="O327" i="18"/>
  <c r="Q327" i="18"/>
  <c r="R327" i="18"/>
  <c r="S327" i="18"/>
  <c r="V327" i="18"/>
  <c r="X327" i="18"/>
  <c r="G328" i="18"/>
  <c r="I328" i="18"/>
  <c r="J328" i="18"/>
  <c r="O328" i="18"/>
  <c r="Q328" i="18"/>
  <c r="R328" i="18"/>
  <c r="S328" i="18"/>
  <c r="V328" i="18"/>
  <c r="X328" i="18" s="1"/>
  <c r="G329" i="18"/>
  <c r="I329" i="18"/>
  <c r="T329" i="18" s="1"/>
  <c r="Y329" i="18" s="1"/>
  <c r="J329" i="18"/>
  <c r="O329" i="18"/>
  <c r="Q329" i="18"/>
  <c r="S329" i="18" s="1"/>
  <c r="R329" i="18"/>
  <c r="V329" i="18"/>
  <c r="X329" i="18"/>
  <c r="G330" i="18"/>
  <c r="I330" i="18"/>
  <c r="J330" i="18"/>
  <c r="T330" i="18" s="1"/>
  <c r="O330" i="18"/>
  <c r="Q330" i="18"/>
  <c r="R330" i="18"/>
  <c r="S330" i="18"/>
  <c r="V330" i="18"/>
  <c r="X330" i="18" s="1"/>
  <c r="Y330" i="18"/>
  <c r="G331" i="18"/>
  <c r="I331" i="18"/>
  <c r="J331" i="18"/>
  <c r="O331" i="18"/>
  <c r="Q331" i="18"/>
  <c r="R331" i="18"/>
  <c r="V331" i="18"/>
  <c r="X331" i="18" s="1"/>
  <c r="G332" i="18"/>
  <c r="I332" i="18"/>
  <c r="J332" i="18"/>
  <c r="O332" i="18"/>
  <c r="Q332" i="18"/>
  <c r="S332" i="18" s="1"/>
  <c r="R332" i="18"/>
  <c r="V332" i="18"/>
  <c r="X332" i="18" s="1"/>
  <c r="G333" i="18"/>
  <c r="I333" i="18"/>
  <c r="J333" i="18"/>
  <c r="O333" i="18"/>
  <c r="Q333" i="18"/>
  <c r="S333" i="18" s="1"/>
  <c r="R333" i="18"/>
  <c r="T333" i="18"/>
  <c r="V333" i="18"/>
  <c r="X333" i="18"/>
  <c r="G334" i="18"/>
  <c r="I334" i="18"/>
  <c r="J334" i="18"/>
  <c r="O334" i="18"/>
  <c r="Q334" i="18"/>
  <c r="R334" i="18"/>
  <c r="S334" i="18"/>
  <c r="V334" i="18"/>
  <c r="X334" i="18"/>
  <c r="G335" i="18"/>
  <c r="I335" i="18"/>
  <c r="T335" i="18" s="1"/>
  <c r="Y335" i="18" s="1"/>
  <c r="J335" i="18"/>
  <c r="O335" i="18"/>
  <c r="Q335" i="18"/>
  <c r="R335" i="18"/>
  <c r="S335" i="18"/>
  <c r="V335" i="18"/>
  <c r="X335" i="18"/>
  <c r="G336" i="18"/>
  <c r="I336" i="18"/>
  <c r="J336" i="18"/>
  <c r="O336" i="18"/>
  <c r="T336" i="18" s="1"/>
  <c r="Y336" i="18" s="1"/>
  <c r="Q336" i="18"/>
  <c r="R336" i="18"/>
  <c r="S336" i="18"/>
  <c r="V336" i="18"/>
  <c r="X336" i="18" s="1"/>
  <c r="G337" i="18"/>
  <c r="I337" i="18"/>
  <c r="J337" i="18"/>
  <c r="O337" i="18"/>
  <c r="Q337" i="18"/>
  <c r="R337" i="18"/>
  <c r="V337" i="18"/>
  <c r="X337" i="18"/>
  <c r="G338" i="18"/>
  <c r="I338" i="18"/>
  <c r="J338" i="18"/>
  <c r="T338" i="18" s="1"/>
  <c r="O338" i="18"/>
  <c r="Q338" i="18"/>
  <c r="R338" i="18"/>
  <c r="S338" i="18"/>
  <c r="V338" i="18"/>
  <c r="X338" i="18" s="1"/>
  <c r="Y338" i="18"/>
  <c r="G339" i="18"/>
  <c r="I339" i="18"/>
  <c r="J339" i="18"/>
  <c r="O339" i="18"/>
  <c r="Q339" i="18"/>
  <c r="S339" i="18" s="1"/>
  <c r="T339" i="18" s="1"/>
  <c r="Y339" i="18" s="1"/>
  <c r="R339" i="18"/>
  <c r="V339" i="18"/>
  <c r="X339" i="18" s="1"/>
  <c r="G340" i="18"/>
  <c r="I340" i="18"/>
  <c r="J340" i="18"/>
  <c r="O340" i="18"/>
  <c r="Q340" i="18"/>
  <c r="S340" i="18" s="1"/>
  <c r="R340" i="18"/>
  <c r="V340" i="18"/>
  <c r="X340" i="18" s="1"/>
  <c r="G341" i="18"/>
  <c r="I341" i="18"/>
  <c r="T341" i="18" s="1"/>
  <c r="Y341" i="18" s="1"/>
  <c r="J341" i="18"/>
  <c r="O341" i="18"/>
  <c r="Q341" i="18"/>
  <c r="S341" i="18" s="1"/>
  <c r="R341" i="18"/>
  <c r="V341" i="18"/>
  <c r="X341" i="18"/>
  <c r="G342" i="18"/>
  <c r="I342" i="18"/>
  <c r="J342" i="18"/>
  <c r="O342" i="18"/>
  <c r="Q342" i="18"/>
  <c r="R342" i="18"/>
  <c r="S342" i="18"/>
  <c r="V342" i="18"/>
  <c r="X342" i="18"/>
  <c r="G343" i="18"/>
  <c r="I343" i="18"/>
  <c r="T343" i="18" s="1"/>
  <c r="J343" i="18"/>
  <c r="O343" i="18"/>
  <c r="Q343" i="18"/>
  <c r="R343" i="18"/>
  <c r="S343" i="18"/>
  <c r="V343" i="18"/>
  <c r="X343" i="18"/>
  <c r="G344" i="18"/>
  <c r="I344" i="18"/>
  <c r="J344" i="18"/>
  <c r="O344" i="18"/>
  <c r="Q344" i="18"/>
  <c r="R344" i="18"/>
  <c r="S344" i="18"/>
  <c r="V344" i="18"/>
  <c r="X344" i="18" s="1"/>
  <c r="G345" i="18"/>
  <c r="I345" i="18"/>
  <c r="T345" i="18" s="1"/>
  <c r="Y345" i="18" s="1"/>
  <c r="J345" i="18"/>
  <c r="O345" i="18"/>
  <c r="Q345" i="18"/>
  <c r="S345" i="18" s="1"/>
  <c r="R345" i="18"/>
  <c r="V345" i="18"/>
  <c r="X345" i="18"/>
  <c r="G346" i="18"/>
  <c r="I346" i="18"/>
  <c r="J346" i="18"/>
  <c r="T346" i="18" s="1"/>
  <c r="O346" i="18"/>
  <c r="Q346" i="18"/>
  <c r="R346" i="18"/>
  <c r="S346" i="18"/>
  <c r="V346" i="18"/>
  <c r="X346" i="18" s="1"/>
  <c r="Y346" i="18" s="1"/>
  <c r="G347" i="18"/>
  <c r="I347" i="18"/>
  <c r="J347" i="18"/>
  <c r="O347" i="18"/>
  <c r="Q347" i="18"/>
  <c r="R347" i="18"/>
  <c r="S347" i="18" s="1"/>
  <c r="T347" i="18"/>
  <c r="Y347" i="18" s="1"/>
  <c r="V347" i="18"/>
  <c r="X347" i="18" s="1"/>
  <c r="G348" i="18"/>
  <c r="I348" i="18"/>
  <c r="J348" i="18"/>
  <c r="T348" i="18" s="1"/>
  <c r="O348" i="18"/>
  <c r="Q348" i="18"/>
  <c r="S348" i="18" s="1"/>
  <c r="R348" i="18"/>
  <c r="V348" i="18"/>
  <c r="X348" i="18" s="1"/>
  <c r="Y348" i="18" s="1"/>
  <c r="G349" i="18"/>
  <c r="I349" i="18"/>
  <c r="J349" i="18"/>
  <c r="O349" i="18"/>
  <c r="Q349" i="18"/>
  <c r="S349" i="18" s="1"/>
  <c r="R349" i="18"/>
  <c r="T349" i="18"/>
  <c r="V349" i="18"/>
  <c r="X349" i="18"/>
  <c r="G350" i="18"/>
  <c r="I350" i="18"/>
  <c r="J350" i="18"/>
  <c r="O350" i="18"/>
  <c r="Q350" i="18"/>
  <c r="R350" i="18"/>
  <c r="S350" i="18"/>
  <c r="V350" i="18"/>
  <c r="X350" i="18"/>
  <c r="G351" i="18"/>
  <c r="I351" i="18"/>
  <c r="T351" i="18" s="1"/>
  <c r="Y351" i="18" s="1"/>
  <c r="J351" i="18"/>
  <c r="O351" i="18"/>
  <c r="Q351" i="18"/>
  <c r="R351" i="18"/>
  <c r="S351" i="18"/>
  <c r="V351" i="18"/>
  <c r="X351" i="18"/>
  <c r="G352" i="18"/>
  <c r="I352" i="18"/>
  <c r="J352" i="18"/>
  <c r="O352" i="18"/>
  <c r="T352" i="18" s="1"/>
  <c r="Y352" i="18" s="1"/>
  <c r="Q352" i="18"/>
  <c r="R352" i="18"/>
  <c r="S352" i="18"/>
  <c r="V352" i="18"/>
  <c r="X352" i="18" s="1"/>
  <c r="G353" i="18"/>
  <c r="I353" i="18"/>
  <c r="J353" i="18"/>
  <c r="O353" i="18"/>
  <c r="Q353" i="18"/>
  <c r="R353" i="18"/>
  <c r="V353" i="18"/>
  <c r="X353" i="18"/>
  <c r="G354" i="18"/>
  <c r="I354" i="18"/>
  <c r="J354" i="18"/>
  <c r="O354" i="18"/>
  <c r="Q354" i="18"/>
  <c r="R354" i="18"/>
  <c r="S354" i="18"/>
  <c r="V354" i="18"/>
  <c r="X354" i="18" s="1"/>
  <c r="G355" i="18"/>
  <c r="I355" i="18"/>
  <c r="J355" i="18"/>
  <c r="O355" i="18"/>
  <c r="Q355" i="18"/>
  <c r="R355" i="18"/>
  <c r="S355" i="18" s="1"/>
  <c r="T355" i="18"/>
  <c r="V355" i="18"/>
  <c r="X355" i="18" s="1"/>
  <c r="G356" i="18"/>
  <c r="I356" i="18"/>
  <c r="J356" i="18"/>
  <c r="O356" i="18"/>
  <c r="Q356" i="18"/>
  <c r="S356" i="18" s="1"/>
  <c r="R356" i="18"/>
  <c r="V356" i="18"/>
  <c r="X356" i="18" s="1"/>
  <c r="G357" i="18"/>
  <c r="I357" i="18"/>
  <c r="J357" i="18"/>
  <c r="O357" i="18"/>
  <c r="Q357" i="18"/>
  <c r="S357" i="18" s="1"/>
  <c r="T357" i="18" s="1"/>
  <c r="Y357" i="18" s="1"/>
  <c r="R357" i="18"/>
  <c r="V357" i="18"/>
  <c r="X357" i="18"/>
  <c r="G358" i="18"/>
  <c r="I358" i="18"/>
  <c r="T358" i="18" s="1"/>
  <c r="Y358" i="18" s="1"/>
  <c r="J358" i="18"/>
  <c r="O358" i="18"/>
  <c r="Q358" i="18"/>
  <c r="R358" i="18"/>
  <c r="S358" i="18"/>
  <c r="V358" i="18"/>
  <c r="X358" i="18"/>
  <c r="G359" i="18"/>
  <c r="I359" i="18"/>
  <c r="T359" i="18" s="1"/>
  <c r="J359" i="18"/>
  <c r="O359" i="18"/>
  <c r="Q359" i="18"/>
  <c r="R359" i="18"/>
  <c r="S359" i="18"/>
  <c r="V359" i="18"/>
  <c r="X359" i="18"/>
  <c r="G360" i="18"/>
  <c r="I360" i="18"/>
  <c r="J360" i="18"/>
  <c r="O360" i="18"/>
  <c r="T360" i="18" s="1"/>
  <c r="Q360" i="18"/>
  <c r="R360" i="18"/>
  <c r="S360" i="18"/>
  <c r="V360" i="18"/>
  <c r="X360" i="18" s="1"/>
  <c r="G361" i="18"/>
  <c r="I361" i="18"/>
  <c r="T361" i="18" s="1"/>
  <c r="Y361" i="18" s="1"/>
  <c r="J361" i="18"/>
  <c r="O361" i="18"/>
  <c r="Q361" i="18"/>
  <c r="S361" i="18" s="1"/>
  <c r="R361" i="18"/>
  <c r="V361" i="18"/>
  <c r="X361" i="18"/>
  <c r="G362" i="18"/>
  <c r="I362" i="18"/>
  <c r="T362" i="18" s="1"/>
  <c r="Y362" i="18" s="1"/>
  <c r="J362" i="18"/>
  <c r="O362" i="18"/>
  <c r="Q362" i="18"/>
  <c r="R362" i="18"/>
  <c r="S362" i="18"/>
  <c r="V362" i="18"/>
  <c r="X362" i="18" s="1"/>
  <c r="G363" i="18"/>
  <c r="I363" i="18"/>
  <c r="J363" i="18"/>
  <c r="O363" i="18"/>
  <c r="Q363" i="18"/>
  <c r="R363" i="18"/>
  <c r="S363" i="18" s="1"/>
  <c r="T363" i="18"/>
  <c r="Y363" i="18" s="1"/>
  <c r="V363" i="18"/>
  <c r="X363" i="18" s="1"/>
  <c r="G364" i="18"/>
  <c r="I364" i="18"/>
  <c r="J364" i="18"/>
  <c r="T364" i="18" s="1"/>
  <c r="O364" i="18"/>
  <c r="Q364" i="18"/>
  <c r="S364" i="18" s="1"/>
  <c r="R364" i="18"/>
  <c r="V364" i="18"/>
  <c r="X364" i="18" s="1"/>
  <c r="Y364" i="18" s="1"/>
  <c r="G365" i="18"/>
  <c r="I365" i="18"/>
  <c r="J365" i="18"/>
  <c r="O365" i="18"/>
  <c r="Q365" i="18"/>
  <c r="S365" i="18" s="1"/>
  <c r="R365" i="18"/>
  <c r="T365" i="18"/>
  <c r="V365" i="18"/>
  <c r="X365" i="18"/>
  <c r="G366" i="18"/>
  <c r="I366" i="18"/>
  <c r="J366" i="18"/>
  <c r="O366" i="18"/>
  <c r="Q366" i="18"/>
  <c r="R366" i="18"/>
  <c r="S366" i="18"/>
  <c r="V366" i="18"/>
  <c r="X366" i="18"/>
  <c r="G367" i="18"/>
  <c r="I367" i="18"/>
  <c r="T367" i="18" s="1"/>
  <c r="Y367" i="18" s="1"/>
  <c r="J367" i="18"/>
  <c r="O367" i="18"/>
  <c r="Q367" i="18"/>
  <c r="R367" i="18"/>
  <c r="S367" i="18"/>
  <c r="V367" i="18"/>
  <c r="X367" i="18"/>
  <c r="G368" i="18"/>
  <c r="I368" i="18"/>
  <c r="J368" i="18"/>
  <c r="O368" i="18"/>
  <c r="T368" i="18" s="1"/>
  <c r="Y368" i="18" s="1"/>
  <c r="Q368" i="18"/>
  <c r="R368" i="18"/>
  <c r="S368" i="18"/>
  <c r="V368" i="18"/>
  <c r="X368" i="18" s="1"/>
  <c r="G369" i="18"/>
  <c r="I369" i="18"/>
  <c r="J369" i="18"/>
  <c r="O369" i="18"/>
  <c r="Q369" i="18"/>
  <c r="R369" i="18"/>
  <c r="V369" i="18"/>
  <c r="X369" i="18"/>
  <c r="G370" i="18"/>
  <c r="I370" i="18"/>
  <c r="J370" i="18"/>
  <c r="O370" i="18"/>
  <c r="Q370" i="18"/>
  <c r="R370" i="18"/>
  <c r="S370" i="18"/>
  <c r="V370" i="18"/>
  <c r="X370" i="18" s="1"/>
  <c r="G371" i="18"/>
  <c r="I371" i="18"/>
  <c r="J371" i="18"/>
  <c r="O371" i="18"/>
  <c r="T371" i="18" s="1"/>
  <c r="Y371" i="18" s="1"/>
  <c r="Q371" i="18"/>
  <c r="R371" i="18"/>
  <c r="S371" i="18" s="1"/>
  <c r="V371" i="18"/>
  <c r="X371" i="18" s="1"/>
  <c r="G372" i="18"/>
  <c r="I372" i="18"/>
  <c r="J372" i="18"/>
  <c r="O372" i="18"/>
  <c r="Q372" i="18"/>
  <c r="S372" i="18" s="1"/>
  <c r="R372" i="18"/>
  <c r="V372" i="18"/>
  <c r="X372" i="18" s="1"/>
  <c r="G373" i="18"/>
  <c r="I373" i="18"/>
  <c r="J373" i="18"/>
  <c r="O373" i="18"/>
  <c r="Q373" i="18"/>
  <c r="S373" i="18" s="1"/>
  <c r="T373" i="18" s="1"/>
  <c r="Y373" i="18" s="1"/>
  <c r="R373" i="18"/>
  <c r="V373" i="18"/>
  <c r="X373" i="18"/>
  <c r="G374" i="18"/>
  <c r="I374" i="18"/>
  <c r="T374" i="18" s="1"/>
  <c r="J374" i="18"/>
  <c r="O374" i="18"/>
  <c r="Q374" i="18"/>
  <c r="R374" i="18"/>
  <c r="S374" i="18"/>
  <c r="V374" i="18"/>
  <c r="X374" i="18"/>
  <c r="Y374" i="18"/>
  <c r="G375" i="18"/>
  <c r="I375" i="18"/>
  <c r="T375" i="18" s="1"/>
  <c r="Y375" i="18" s="1"/>
  <c r="J375" i="18"/>
  <c r="O375" i="18"/>
  <c r="Q375" i="18"/>
  <c r="R375" i="18"/>
  <c r="S375" i="18"/>
  <c r="V375" i="18"/>
  <c r="X375" i="18"/>
  <c r="G376" i="18"/>
  <c r="I376" i="18"/>
  <c r="J376" i="18"/>
  <c r="O376" i="18"/>
  <c r="Q376" i="18"/>
  <c r="R376" i="18"/>
  <c r="S376" i="18"/>
  <c r="V376" i="18"/>
  <c r="X376" i="18" s="1"/>
  <c r="G377" i="18"/>
  <c r="I377" i="18"/>
  <c r="J377" i="18"/>
  <c r="O377" i="18"/>
  <c r="Q377" i="18"/>
  <c r="R377" i="18"/>
  <c r="V377" i="18"/>
  <c r="X377" i="18"/>
  <c r="G378" i="18"/>
  <c r="I378" i="18"/>
  <c r="J378" i="18"/>
  <c r="O378" i="18"/>
  <c r="Q378" i="18"/>
  <c r="R378" i="18"/>
  <c r="S378" i="18"/>
  <c r="V378" i="18"/>
  <c r="X378" i="18" s="1"/>
  <c r="G379" i="18"/>
  <c r="I379" i="18"/>
  <c r="J379" i="18"/>
  <c r="O379" i="18"/>
  <c r="Q379" i="18"/>
  <c r="R379" i="18"/>
  <c r="S379" i="18" s="1"/>
  <c r="T379" i="18"/>
  <c r="Y379" i="18" s="1"/>
  <c r="V379" i="18"/>
  <c r="X379" i="18" s="1"/>
  <c r="G380" i="18"/>
  <c r="I380" i="18"/>
  <c r="J380" i="18"/>
  <c r="O380" i="18"/>
  <c r="Q380" i="18"/>
  <c r="S380" i="18" s="1"/>
  <c r="R380" i="18"/>
  <c r="V380" i="18"/>
  <c r="X380" i="18" s="1"/>
  <c r="G381" i="18"/>
  <c r="I381" i="18"/>
  <c r="J381" i="18"/>
  <c r="O381" i="18"/>
  <c r="Q381" i="18"/>
  <c r="S381" i="18" s="1"/>
  <c r="R381" i="18"/>
  <c r="T381" i="18"/>
  <c r="Y381" i="18" s="1"/>
  <c r="V381" i="18"/>
  <c r="X381" i="18"/>
  <c r="G382" i="18"/>
  <c r="I382" i="18"/>
  <c r="J382" i="18"/>
  <c r="O382" i="18"/>
  <c r="Q382" i="18"/>
  <c r="S382" i="18" s="1"/>
  <c r="R382" i="18"/>
  <c r="V382" i="18"/>
  <c r="X382" i="18"/>
  <c r="G383" i="18"/>
  <c r="I383" i="18"/>
  <c r="T383" i="18" s="1"/>
  <c r="Y383" i="18" s="1"/>
  <c r="J383" i="18"/>
  <c r="O383" i="18"/>
  <c r="Q383" i="18"/>
  <c r="R383" i="18"/>
  <c r="S383" i="18"/>
  <c r="V383" i="18"/>
  <c r="X383" i="18"/>
  <c r="G384" i="18"/>
  <c r="I384" i="18"/>
  <c r="J384" i="18"/>
  <c r="O384" i="18"/>
  <c r="Q384" i="18"/>
  <c r="S384" i="18" s="1"/>
  <c r="R384" i="18"/>
  <c r="V384" i="18"/>
  <c r="X384" i="18" s="1"/>
  <c r="G385" i="18"/>
  <c r="I385" i="18"/>
  <c r="T385" i="18" s="1"/>
  <c r="Y385" i="18" s="1"/>
  <c r="J385" i="18"/>
  <c r="O385" i="18"/>
  <c r="Q385" i="18"/>
  <c r="S385" i="18" s="1"/>
  <c r="R385" i="18"/>
  <c r="V385" i="18"/>
  <c r="X385" i="18"/>
  <c r="G386" i="18"/>
  <c r="I386" i="18"/>
  <c r="J386" i="18"/>
  <c r="O386" i="18"/>
  <c r="Q386" i="18"/>
  <c r="R386" i="18"/>
  <c r="S386" i="18" s="1"/>
  <c r="V386" i="18"/>
  <c r="X386" i="18" s="1"/>
  <c r="G387" i="18"/>
  <c r="I387" i="18"/>
  <c r="J387" i="18"/>
  <c r="O387" i="18"/>
  <c r="Q387" i="18"/>
  <c r="R387" i="18"/>
  <c r="S387" i="18" s="1"/>
  <c r="T387" i="18"/>
  <c r="V387" i="18"/>
  <c r="X387" i="18" s="1"/>
  <c r="Y387" i="18"/>
  <c r="G388" i="18"/>
  <c r="I388" i="18"/>
  <c r="J388" i="18"/>
  <c r="T388" i="18" s="1"/>
  <c r="Y388" i="18" s="1"/>
  <c r="O388" i="18"/>
  <c r="Q388" i="18"/>
  <c r="S388" i="18" s="1"/>
  <c r="R388" i="18"/>
  <c r="V388" i="18"/>
  <c r="X388" i="18" s="1"/>
  <c r="G389" i="18"/>
  <c r="I389" i="18"/>
  <c r="J389" i="18"/>
  <c r="O389" i="18"/>
  <c r="Q389" i="18"/>
  <c r="S389" i="18" s="1"/>
  <c r="R389" i="18"/>
  <c r="T389" i="18"/>
  <c r="Y389" i="18" s="1"/>
  <c r="V389" i="18"/>
  <c r="X389" i="18"/>
  <c r="G390" i="18"/>
  <c r="I390" i="18"/>
  <c r="J390" i="18"/>
  <c r="O390" i="18"/>
  <c r="Q390" i="18"/>
  <c r="S390" i="18" s="1"/>
  <c r="R390" i="18"/>
  <c r="V390" i="18"/>
  <c r="X390" i="18"/>
  <c r="G391" i="18"/>
  <c r="I391" i="18"/>
  <c r="T391" i="18" s="1"/>
  <c r="Y391" i="18" s="1"/>
  <c r="J391" i="18"/>
  <c r="O391" i="18"/>
  <c r="Q391" i="18"/>
  <c r="R391" i="18"/>
  <c r="S391" i="18"/>
  <c r="V391" i="18"/>
  <c r="X391" i="18"/>
  <c r="G392" i="18"/>
  <c r="I392" i="18"/>
  <c r="J392" i="18"/>
  <c r="O392" i="18"/>
  <c r="Q392" i="18"/>
  <c r="S392" i="18" s="1"/>
  <c r="T392" i="18" s="1"/>
  <c r="Y392" i="18" s="1"/>
  <c r="R392" i="18"/>
  <c r="V392" i="18"/>
  <c r="X392" i="18" s="1"/>
  <c r="G393" i="18"/>
  <c r="I393" i="18"/>
  <c r="J393" i="18"/>
  <c r="O393" i="18"/>
  <c r="Q393" i="18"/>
  <c r="S393" i="18" s="1"/>
  <c r="R393" i="18"/>
  <c r="V393" i="18"/>
  <c r="X393" i="18" s="1"/>
  <c r="G394" i="18"/>
  <c r="I394" i="18"/>
  <c r="J394" i="18"/>
  <c r="O394" i="18"/>
  <c r="Q394" i="18"/>
  <c r="R394" i="18"/>
  <c r="S394" i="18" s="1"/>
  <c r="T394" i="18" s="1"/>
  <c r="Y394" i="18" s="1"/>
  <c r="V394" i="18"/>
  <c r="X394" i="18"/>
  <c r="G395" i="18"/>
  <c r="I395" i="18"/>
  <c r="J395" i="18"/>
  <c r="T395" i="18" s="1"/>
  <c r="Y395" i="18" s="1"/>
  <c r="O395" i="18"/>
  <c r="Q395" i="18"/>
  <c r="S395" i="18" s="1"/>
  <c r="R395" i="18"/>
  <c r="V395" i="18"/>
  <c r="X395" i="18" s="1"/>
  <c r="G396" i="18"/>
  <c r="I396" i="18"/>
  <c r="T396" i="18" s="1"/>
  <c r="Y396" i="18" s="1"/>
  <c r="J396" i="18"/>
  <c r="O396" i="18"/>
  <c r="Q396" i="18"/>
  <c r="S396" i="18" s="1"/>
  <c r="R396" i="18"/>
  <c r="V396" i="18"/>
  <c r="X396" i="18"/>
  <c r="G397" i="18"/>
  <c r="I397" i="18"/>
  <c r="J397" i="18"/>
  <c r="O397" i="18"/>
  <c r="T397" i="18" s="1"/>
  <c r="Y397" i="18" s="1"/>
  <c r="Q397" i="18"/>
  <c r="R397" i="18"/>
  <c r="S397" i="18"/>
  <c r="V397" i="18"/>
  <c r="X397" i="18" s="1"/>
  <c r="G398" i="18"/>
  <c r="I398" i="18"/>
  <c r="J398" i="18"/>
  <c r="O398" i="18"/>
  <c r="Q398" i="18"/>
  <c r="S398" i="18" s="1"/>
  <c r="R398" i="18"/>
  <c r="V398" i="18"/>
  <c r="X398" i="18" s="1"/>
  <c r="G399" i="18"/>
  <c r="I399" i="18"/>
  <c r="T399" i="18" s="1"/>
  <c r="Y399" i="18" s="1"/>
  <c r="J399" i="18"/>
  <c r="O399" i="18"/>
  <c r="Q399" i="18"/>
  <c r="S399" i="18" s="1"/>
  <c r="R399" i="18"/>
  <c r="V399" i="18"/>
  <c r="X399" i="18" s="1"/>
  <c r="G400" i="18"/>
  <c r="I400" i="18"/>
  <c r="J400" i="18"/>
  <c r="O400" i="18"/>
  <c r="Q400" i="18"/>
  <c r="R400" i="18"/>
  <c r="S400" i="18" s="1"/>
  <c r="T400" i="18" s="1"/>
  <c r="Y400" i="18" s="1"/>
  <c r="V400" i="18"/>
  <c r="X400" i="18"/>
  <c r="G401" i="18"/>
  <c r="I401" i="18"/>
  <c r="J401" i="18"/>
  <c r="T401" i="18" s="1"/>
  <c r="Y401" i="18" s="1"/>
  <c r="O401" i="18"/>
  <c r="Q401" i="18"/>
  <c r="S401" i="18" s="1"/>
  <c r="R401" i="18"/>
  <c r="V401" i="18"/>
  <c r="X401" i="18" s="1"/>
  <c r="G402" i="18"/>
  <c r="I402" i="18"/>
  <c r="T402" i="18" s="1"/>
  <c r="Y402" i="18" s="1"/>
  <c r="J402" i="18"/>
  <c r="O402" i="18"/>
  <c r="Q402" i="18"/>
  <c r="S402" i="18" s="1"/>
  <c r="R402" i="18"/>
  <c r="V402" i="18"/>
  <c r="X402" i="18"/>
  <c r="G403" i="18"/>
  <c r="I403" i="18"/>
  <c r="T403" i="18" s="1"/>
  <c r="Y403" i="18" s="1"/>
  <c r="J403" i="18"/>
  <c r="O403" i="18"/>
  <c r="Q403" i="18"/>
  <c r="R403" i="18"/>
  <c r="S403" i="18"/>
  <c r="V403" i="18"/>
  <c r="X403" i="18"/>
  <c r="G404" i="18"/>
  <c r="I404" i="18"/>
  <c r="T404" i="18" s="1"/>
  <c r="Y404" i="18" s="1"/>
  <c r="J404" i="18"/>
  <c r="O404" i="18"/>
  <c r="Q404" i="18"/>
  <c r="R404" i="18"/>
  <c r="S404" i="18"/>
  <c r="V404" i="18"/>
  <c r="X404" i="18"/>
  <c r="G405" i="18"/>
  <c r="I405" i="18"/>
  <c r="J405" i="18"/>
  <c r="O405" i="18"/>
  <c r="T405" i="18" s="1"/>
  <c r="Q405" i="18"/>
  <c r="R405" i="18"/>
  <c r="S405" i="18"/>
  <c r="V405" i="18"/>
  <c r="X405" i="18" s="1"/>
  <c r="G406" i="18"/>
  <c r="I406" i="18"/>
  <c r="J406" i="18"/>
  <c r="O406" i="18"/>
  <c r="Q406" i="18"/>
  <c r="S406" i="18" s="1"/>
  <c r="R406" i="18"/>
  <c r="V406" i="18"/>
  <c r="X406" i="18" s="1"/>
  <c r="G407" i="18"/>
  <c r="I407" i="18"/>
  <c r="J407" i="18"/>
  <c r="O407" i="18"/>
  <c r="Q407" i="18"/>
  <c r="S407" i="18" s="1"/>
  <c r="R407" i="18"/>
  <c r="V407" i="18"/>
  <c r="X407" i="18" s="1"/>
  <c r="G408" i="18"/>
  <c r="I408" i="18"/>
  <c r="J408" i="18"/>
  <c r="O408" i="18"/>
  <c r="Q408" i="18"/>
  <c r="R408" i="18"/>
  <c r="S408" i="18" s="1"/>
  <c r="T408" i="18" s="1"/>
  <c r="Y408" i="18" s="1"/>
  <c r="V408" i="18"/>
  <c r="X408" i="18"/>
  <c r="G409" i="18"/>
  <c r="I409" i="18"/>
  <c r="J409" i="18"/>
  <c r="T409" i="18" s="1"/>
  <c r="O409" i="18"/>
  <c r="Q409" i="18"/>
  <c r="S409" i="18" s="1"/>
  <c r="R409" i="18"/>
  <c r="V409" i="18"/>
  <c r="X409" i="18" s="1"/>
  <c r="G410" i="18"/>
  <c r="I410" i="18"/>
  <c r="J410" i="18"/>
  <c r="O410" i="18"/>
  <c r="Q410" i="18"/>
  <c r="S410" i="18" s="1"/>
  <c r="R410" i="18"/>
  <c r="V410" i="18"/>
  <c r="X410" i="18"/>
  <c r="G411" i="18"/>
  <c r="I411" i="18"/>
  <c r="T411" i="18" s="1"/>
  <c r="Y411" i="18" s="1"/>
  <c r="J411" i="18"/>
  <c r="O411" i="18"/>
  <c r="Q411" i="18"/>
  <c r="R411" i="18"/>
  <c r="S411" i="18"/>
  <c r="V411" i="18"/>
  <c r="X411" i="18"/>
  <c r="G412" i="18"/>
  <c r="I412" i="18"/>
  <c r="T412" i="18" s="1"/>
  <c r="Y412" i="18" s="1"/>
  <c r="J412" i="18"/>
  <c r="O412" i="18"/>
  <c r="Q412" i="18"/>
  <c r="R412" i="18"/>
  <c r="S412" i="18"/>
  <c r="V412" i="18"/>
  <c r="X412" i="18"/>
  <c r="G413" i="18"/>
  <c r="I413" i="18"/>
  <c r="J413" i="18"/>
  <c r="O413" i="18"/>
  <c r="Q413" i="18"/>
  <c r="R413" i="18"/>
  <c r="S413" i="18"/>
  <c r="T413" i="18" s="1"/>
  <c r="Y413" i="18" s="1"/>
  <c r="V413" i="18"/>
  <c r="X413" i="18" s="1"/>
  <c r="G414" i="18"/>
  <c r="I414" i="18"/>
  <c r="J414" i="18"/>
  <c r="O414" i="18"/>
  <c r="Q414" i="18"/>
  <c r="S414" i="18" s="1"/>
  <c r="R414" i="18"/>
  <c r="V414" i="18"/>
  <c r="X414" i="18" s="1"/>
  <c r="G415" i="18"/>
  <c r="I415" i="18"/>
  <c r="T415" i="18" s="1"/>
  <c r="J415" i="18"/>
  <c r="O415" i="18"/>
  <c r="Q415" i="18"/>
  <c r="S415" i="18" s="1"/>
  <c r="R415" i="18"/>
  <c r="V415" i="18"/>
  <c r="X415" i="18" s="1"/>
  <c r="G416" i="18"/>
  <c r="I416" i="18"/>
  <c r="J416" i="18"/>
  <c r="O416" i="18"/>
  <c r="Q416" i="18"/>
  <c r="R416" i="18"/>
  <c r="S416" i="18" s="1"/>
  <c r="T416" i="18" s="1"/>
  <c r="Y416" i="18" s="1"/>
  <c r="V416" i="18"/>
  <c r="X416" i="18"/>
  <c r="G417" i="18"/>
  <c r="I417" i="18"/>
  <c r="J417" i="18"/>
  <c r="O417" i="18"/>
  <c r="Q417" i="18"/>
  <c r="S417" i="18" s="1"/>
  <c r="R417" i="18"/>
  <c r="V417" i="18"/>
  <c r="X417" i="18" s="1"/>
  <c r="G418" i="18"/>
  <c r="I418" i="18"/>
  <c r="T418" i="18" s="1"/>
  <c r="Y418" i="18" s="1"/>
  <c r="J418" i="18"/>
  <c r="O418" i="18"/>
  <c r="Q418" i="18"/>
  <c r="S418" i="18" s="1"/>
  <c r="R418" i="18"/>
  <c r="V418" i="18"/>
  <c r="X418" i="18"/>
  <c r="G419" i="18"/>
  <c r="I419" i="18"/>
  <c r="T419" i="18" s="1"/>
  <c r="Y419" i="18" s="1"/>
  <c r="J419" i="18"/>
  <c r="O419" i="18"/>
  <c r="Q419" i="18"/>
  <c r="R419" i="18"/>
  <c r="S419" i="18"/>
  <c r="V419" i="18"/>
  <c r="X419" i="18"/>
  <c r="G420" i="18"/>
  <c r="I420" i="18"/>
  <c r="T420" i="18" s="1"/>
  <c r="Y420" i="18" s="1"/>
  <c r="J420" i="18"/>
  <c r="O420" i="18"/>
  <c r="Q420" i="18"/>
  <c r="R420" i="18"/>
  <c r="S420" i="18"/>
  <c r="V420" i="18"/>
  <c r="X420" i="18"/>
  <c r="G421" i="18"/>
  <c r="I421" i="18"/>
  <c r="J421" i="18"/>
  <c r="O421" i="18"/>
  <c r="T421" i="18" s="1"/>
  <c r="Y421" i="18" s="1"/>
  <c r="Q421" i="18"/>
  <c r="R421" i="18"/>
  <c r="S421" i="18"/>
  <c r="V421" i="18"/>
  <c r="X421" i="18" s="1"/>
  <c r="G422" i="18"/>
  <c r="I422" i="18"/>
  <c r="J422" i="18"/>
  <c r="O422" i="18"/>
  <c r="T422" i="18" s="1"/>
  <c r="Y422" i="18" s="1"/>
  <c r="Q422" i="18"/>
  <c r="S422" i="18" s="1"/>
  <c r="R422" i="18"/>
  <c r="V422" i="18"/>
  <c r="X422" i="18" s="1"/>
  <c r="G423" i="18"/>
  <c r="I423" i="18"/>
  <c r="J423" i="18"/>
  <c r="O423" i="18"/>
  <c r="Q423" i="18"/>
  <c r="S423" i="18" s="1"/>
  <c r="R423" i="18"/>
  <c r="V423" i="18"/>
  <c r="X423" i="18" s="1"/>
  <c r="G424" i="18"/>
  <c r="I424" i="18"/>
  <c r="J424" i="18"/>
  <c r="O424" i="18"/>
  <c r="Q424" i="18"/>
  <c r="R424" i="18"/>
  <c r="S424" i="18" s="1"/>
  <c r="T424" i="18" s="1"/>
  <c r="Y424" i="18" s="1"/>
  <c r="V424" i="18"/>
  <c r="X424" i="18"/>
  <c r="G425" i="18"/>
  <c r="I425" i="18"/>
  <c r="J425" i="18"/>
  <c r="T425" i="18" s="1"/>
  <c r="Y425" i="18" s="1"/>
  <c r="O425" i="18"/>
  <c r="Q425" i="18"/>
  <c r="S425" i="18" s="1"/>
  <c r="R425" i="18"/>
  <c r="V425" i="18"/>
  <c r="X425" i="18" s="1"/>
  <c r="G426" i="18"/>
  <c r="I426" i="18"/>
  <c r="T426" i="18" s="1"/>
  <c r="Y426" i="18" s="1"/>
  <c r="J426" i="18"/>
  <c r="O426" i="18"/>
  <c r="Q426" i="18"/>
  <c r="S426" i="18" s="1"/>
  <c r="R426" i="18"/>
  <c r="V426" i="18"/>
  <c r="X426" i="18"/>
  <c r="G427" i="18"/>
  <c r="I427" i="18"/>
  <c r="T427" i="18" s="1"/>
  <c r="Y427" i="18" s="1"/>
  <c r="J427" i="18"/>
  <c r="O427" i="18"/>
  <c r="Q427" i="18"/>
  <c r="R427" i="18"/>
  <c r="S427" i="18"/>
  <c r="V427" i="18"/>
  <c r="X427" i="18"/>
  <c r="G428" i="18"/>
  <c r="I428" i="18"/>
  <c r="T428" i="18" s="1"/>
  <c r="Y428" i="18" s="1"/>
  <c r="J428" i="18"/>
  <c r="O428" i="18"/>
  <c r="Q428" i="18"/>
  <c r="R428" i="18"/>
  <c r="S428" i="18"/>
  <c r="V428" i="18"/>
  <c r="X428" i="18"/>
  <c r="G429" i="18"/>
  <c r="I429" i="18"/>
  <c r="J429" i="18"/>
  <c r="O429" i="18"/>
  <c r="T429" i="18" s="1"/>
  <c r="Q429" i="18"/>
  <c r="R429" i="18"/>
  <c r="S429" i="18"/>
  <c r="V429" i="18"/>
  <c r="X429" i="18" s="1"/>
  <c r="G430" i="18"/>
  <c r="I430" i="18"/>
  <c r="J430" i="18"/>
  <c r="O430" i="18"/>
  <c r="Q430" i="18"/>
  <c r="S430" i="18" s="1"/>
  <c r="R430" i="18"/>
  <c r="V430" i="18"/>
  <c r="X430" i="18" s="1"/>
  <c r="G431" i="18"/>
  <c r="I431" i="18"/>
  <c r="T431" i="18" s="1"/>
  <c r="Y431" i="18" s="1"/>
  <c r="J431" i="18"/>
  <c r="O431" i="18"/>
  <c r="Q431" i="18"/>
  <c r="S431" i="18" s="1"/>
  <c r="R431" i="18"/>
  <c r="V431" i="18"/>
  <c r="X431" i="18" s="1"/>
  <c r="G432" i="18"/>
  <c r="I432" i="18"/>
  <c r="J432" i="18"/>
  <c r="O432" i="18"/>
  <c r="Q432" i="18"/>
  <c r="R432" i="18"/>
  <c r="S432" i="18" s="1"/>
  <c r="T432" i="18" s="1"/>
  <c r="V432" i="18"/>
  <c r="X432" i="18" s="1"/>
  <c r="G433" i="18"/>
  <c r="I433" i="18"/>
  <c r="J433" i="18"/>
  <c r="T433" i="18" s="1"/>
  <c r="Y433" i="18" s="1"/>
  <c r="O433" i="18"/>
  <c r="Q433" i="18"/>
  <c r="S433" i="18" s="1"/>
  <c r="R433" i="18"/>
  <c r="V433" i="18"/>
  <c r="X433" i="18" s="1"/>
  <c r="G434" i="18"/>
  <c r="I434" i="18"/>
  <c r="J434" i="18"/>
  <c r="O434" i="18"/>
  <c r="Q434" i="18"/>
  <c r="S434" i="18" s="1"/>
  <c r="R434" i="18"/>
  <c r="V434" i="18"/>
  <c r="X434" i="18"/>
  <c r="G435" i="18"/>
  <c r="I435" i="18"/>
  <c r="T435" i="18" s="1"/>
  <c r="Y435" i="18" s="1"/>
  <c r="J435" i="18"/>
  <c r="O435" i="18"/>
  <c r="Q435" i="18"/>
  <c r="R435" i="18"/>
  <c r="S435" i="18"/>
  <c r="V435" i="18"/>
  <c r="X435" i="18"/>
  <c r="G436" i="18"/>
  <c r="I436" i="18"/>
  <c r="T436" i="18" s="1"/>
  <c r="Y436" i="18" s="1"/>
  <c r="J436" i="18"/>
  <c r="O436" i="18"/>
  <c r="Q436" i="18"/>
  <c r="R436" i="18"/>
  <c r="S436" i="18"/>
  <c r="V436" i="18"/>
  <c r="X436" i="18"/>
  <c r="G437" i="18"/>
  <c r="I437" i="18"/>
  <c r="J437" i="18"/>
  <c r="O437" i="18"/>
  <c r="T437" i="18" s="1"/>
  <c r="Y437" i="18" s="1"/>
  <c r="Q437" i="18"/>
  <c r="R437" i="18"/>
  <c r="S437" i="18"/>
  <c r="V437" i="18"/>
  <c r="X437" i="18" s="1"/>
  <c r="G438" i="18"/>
  <c r="I438" i="18"/>
  <c r="J438" i="18"/>
  <c r="O438" i="18"/>
  <c r="T438" i="18" s="1"/>
  <c r="Q438" i="18"/>
  <c r="S438" i="18" s="1"/>
  <c r="R438" i="18"/>
  <c r="V438" i="18"/>
  <c r="X438" i="18" s="1"/>
  <c r="G439" i="18"/>
  <c r="I439" i="18"/>
  <c r="J439" i="18"/>
  <c r="O439" i="18"/>
  <c r="Q439" i="18"/>
  <c r="S439" i="18" s="1"/>
  <c r="R439" i="18"/>
  <c r="V439" i="18"/>
  <c r="X439" i="18" s="1"/>
  <c r="G440" i="18"/>
  <c r="I440" i="18"/>
  <c r="J440" i="18"/>
  <c r="O440" i="18"/>
  <c r="Q440" i="18"/>
  <c r="R440" i="18"/>
  <c r="S440" i="18" s="1"/>
  <c r="T440" i="18" s="1"/>
  <c r="Y440" i="18" s="1"/>
  <c r="V440" i="18"/>
  <c r="X440" i="18"/>
  <c r="G441" i="18"/>
  <c r="I441" i="18"/>
  <c r="J441" i="18"/>
  <c r="O441" i="18"/>
  <c r="Q441" i="18"/>
  <c r="S441" i="18" s="1"/>
  <c r="R441" i="18"/>
  <c r="V441" i="18"/>
  <c r="X441" i="18" s="1"/>
  <c r="G442" i="18"/>
  <c r="I442" i="18"/>
  <c r="T442" i="18" s="1"/>
  <c r="Y442" i="18" s="1"/>
  <c r="J442" i="18"/>
  <c r="O442" i="18"/>
  <c r="Q442" i="18"/>
  <c r="S442" i="18" s="1"/>
  <c r="R442" i="18"/>
  <c r="V442" i="18"/>
  <c r="X442" i="18"/>
  <c r="G443" i="18"/>
  <c r="I443" i="18"/>
  <c r="T443" i="18" s="1"/>
  <c r="Y443" i="18" s="1"/>
  <c r="J443" i="18"/>
  <c r="O443" i="18"/>
  <c r="Q443" i="18"/>
  <c r="R443" i="18"/>
  <c r="S443" i="18"/>
  <c r="V443" i="18"/>
  <c r="X443" i="18"/>
  <c r="G444" i="18"/>
  <c r="I444" i="18"/>
  <c r="T444" i="18" s="1"/>
  <c r="Y444" i="18" s="1"/>
  <c r="J444" i="18"/>
  <c r="O444" i="18"/>
  <c r="Q444" i="18"/>
  <c r="R444" i="18"/>
  <c r="S444" i="18"/>
  <c r="V444" i="18"/>
  <c r="X444" i="18"/>
  <c r="G445" i="18"/>
  <c r="I445" i="18"/>
  <c r="J445" i="18"/>
  <c r="O445" i="18"/>
  <c r="T445" i="18" s="1"/>
  <c r="Q445" i="18"/>
  <c r="R445" i="18"/>
  <c r="S445" i="18"/>
  <c r="V445" i="18"/>
  <c r="X445" i="18" s="1"/>
  <c r="G446" i="18"/>
  <c r="I446" i="18"/>
  <c r="J446" i="18"/>
  <c r="O446" i="18"/>
  <c r="Q446" i="18"/>
  <c r="S446" i="18" s="1"/>
  <c r="R446" i="18"/>
  <c r="V446" i="18"/>
  <c r="X446" i="18" s="1"/>
  <c r="G447" i="18"/>
  <c r="I447" i="18"/>
  <c r="J447" i="18"/>
  <c r="O447" i="18"/>
  <c r="Q447" i="18"/>
  <c r="R447" i="18"/>
  <c r="S447" i="18" s="1"/>
  <c r="V447" i="18"/>
  <c r="X447" i="18" s="1"/>
  <c r="G448" i="18"/>
  <c r="I448" i="18"/>
  <c r="J448" i="18"/>
  <c r="O448" i="18"/>
  <c r="Q448" i="18"/>
  <c r="R448" i="18"/>
  <c r="S448" i="18" s="1"/>
  <c r="T448" i="18" s="1"/>
  <c r="Y448" i="18" s="1"/>
  <c r="V448" i="18"/>
  <c r="X448" i="18" s="1"/>
  <c r="G449" i="18"/>
  <c r="I449" i="18"/>
  <c r="J449" i="18"/>
  <c r="T449" i="18" s="1"/>
  <c r="Y449" i="18" s="1"/>
  <c r="O449" i="18"/>
  <c r="Q449" i="18"/>
  <c r="S449" i="18" s="1"/>
  <c r="R449" i="18"/>
  <c r="V449" i="18"/>
  <c r="X449" i="18" s="1"/>
  <c r="G450" i="18"/>
  <c r="I450" i="18"/>
  <c r="J450" i="18"/>
  <c r="O450" i="18"/>
  <c r="Q450" i="18"/>
  <c r="S450" i="18" s="1"/>
  <c r="R450" i="18"/>
  <c r="V450" i="18"/>
  <c r="X450" i="18"/>
  <c r="G451" i="18"/>
  <c r="I451" i="18"/>
  <c r="T451" i="18" s="1"/>
  <c r="Y451" i="18" s="1"/>
  <c r="J451" i="18"/>
  <c r="O451" i="18"/>
  <c r="Q451" i="18"/>
  <c r="R451" i="18"/>
  <c r="S451" i="18"/>
  <c r="V451" i="18"/>
  <c r="X451" i="18"/>
  <c r="G452" i="18"/>
  <c r="I452" i="18"/>
  <c r="T452" i="18" s="1"/>
  <c r="Y452" i="18" s="1"/>
  <c r="J452" i="18"/>
  <c r="O452" i="18"/>
  <c r="Q452" i="18"/>
  <c r="R452" i="18"/>
  <c r="S452" i="18"/>
  <c r="V452" i="18"/>
  <c r="X452" i="18"/>
  <c r="G453" i="18"/>
  <c r="I453" i="18"/>
  <c r="J453" i="18"/>
  <c r="O453" i="18"/>
  <c r="T453" i="18" s="1"/>
  <c r="Q453" i="18"/>
  <c r="R453" i="18"/>
  <c r="S453" i="18"/>
  <c r="V453" i="18"/>
  <c r="X453" i="18" s="1"/>
  <c r="G454" i="18"/>
  <c r="I454" i="18"/>
  <c r="J454" i="18"/>
  <c r="O454" i="18"/>
  <c r="Q454" i="18"/>
  <c r="S454" i="18" s="1"/>
  <c r="R454" i="18"/>
  <c r="V454" i="18"/>
  <c r="X454" i="18" s="1"/>
  <c r="G455" i="18"/>
  <c r="I455" i="18"/>
  <c r="J455" i="18"/>
  <c r="T455" i="18" s="1"/>
  <c r="Y455" i="18" s="1"/>
  <c r="O455" i="18"/>
  <c r="Q455" i="18"/>
  <c r="R455" i="18"/>
  <c r="S455" i="18" s="1"/>
  <c r="V455" i="18"/>
  <c r="X455" i="18" s="1"/>
  <c r="G456" i="18"/>
  <c r="I456" i="18"/>
  <c r="J456" i="18"/>
  <c r="O456" i="18"/>
  <c r="Q456" i="18"/>
  <c r="S456" i="18" s="1"/>
  <c r="T456" i="18" s="1"/>
  <c r="R456" i="18"/>
  <c r="V456" i="18"/>
  <c r="X456" i="18" s="1"/>
  <c r="G457" i="18"/>
  <c r="I457" i="18"/>
  <c r="J457" i="18"/>
  <c r="O457" i="18"/>
  <c r="Q457" i="18"/>
  <c r="S457" i="18" s="1"/>
  <c r="R457" i="18"/>
  <c r="V457" i="18"/>
  <c r="X457" i="18" s="1"/>
  <c r="G458" i="18"/>
  <c r="I458" i="18"/>
  <c r="T458" i="18" s="1"/>
  <c r="Y458" i="18" s="1"/>
  <c r="J458" i="18"/>
  <c r="O458" i="18"/>
  <c r="Q458" i="18"/>
  <c r="S458" i="18" s="1"/>
  <c r="R458" i="18"/>
  <c r="V458" i="18"/>
  <c r="X458" i="18"/>
  <c r="G459" i="18"/>
  <c r="I459" i="18"/>
  <c r="T459" i="18" s="1"/>
  <c r="Y459" i="18" s="1"/>
  <c r="J459" i="18"/>
  <c r="O459" i="18"/>
  <c r="Q459" i="18"/>
  <c r="R459" i="18"/>
  <c r="S459" i="18"/>
  <c r="V459" i="18"/>
  <c r="X459" i="18"/>
  <c r="G460" i="18"/>
  <c r="I460" i="18"/>
  <c r="T460" i="18" s="1"/>
  <c r="Y460" i="18" s="1"/>
  <c r="J460" i="18"/>
  <c r="O460" i="18"/>
  <c r="Q460" i="18"/>
  <c r="R460" i="18"/>
  <c r="S460" i="18"/>
  <c r="V460" i="18"/>
  <c r="X460" i="18"/>
  <c r="G461" i="18"/>
  <c r="I461" i="18"/>
  <c r="T461" i="18" s="1"/>
  <c r="J461" i="18"/>
  <c r="O461" i="18"/>
  <c r="Q461" i="18"/>
  <c r="R461" i="18"/>
  <c r="S461" i="18"/>
  <c r="V461" i="18"/>
  <c r="X461" i="18" s="1"/>
  <c r="G462" i="18"/>
  <c r="I462" i="18"/>
  <c r="T462" i="18" s="1"/>
  <c r="Y462" i="18" s="1"/>
  <c r="J462" i="18"/>
  <c r="O462" i="18"/>
  <c r="Q462" i="18"/>
  <c r="R462" i="18"/>
  <c r="S462" i="18" s="1"/>
  <c r="V462" i="18"/>
  <c r="X462" i="18" s="1"/>
  <c r="G463" i="18"/>
  <c r="I463" i="18"/>
  <c r="J463" i="18"/>
  <c r="T463" i="18" s="1"/>
  <c r="Y463" i="18" s="1"/>
  <c r="O463" i="18"/>
  <c r="Q463" i="18"/>
  <c r="R463" i="18"/>
  <c r="S463" i="18" s="1"/>
  <c r="V463" i="18"/>
  <c r="X463" i="18" s="1"/>
  <c r="G464" i="18"/>
  <c r="I464" i="18"/>
  <c r="J464" i="18"/>
  <c r="O464" i="18"/>
  <c r="Q464" i="18"/>
  <c r="S464" i="18" s="1"/>
  <c r="T464" i="18" s="1"/>
  <c r="R464" i="18"/>
  <c r="V464" i="18"/>
  <c r="X464" i="18" s="1"/>
  <c r="G465" i="18"/>
  <c r="I465" i="18"/>
  <c r="J465" i="18"/>
  <c r="T465" i="18" s="1"/>
  <c r="O465" i="18"/>
  <c r="Q465" i="18"/>
  <c r="S465" i="18" s="1"/>
  <c r="R465" i="18"/>
  <c r="V465" i="18"/>
  <c r="X465" i="18" s="1"/>
  <c r="G466" i="18"/>
  <c r="I466" i="18"/>
  <c r="J466" i="18"/>
  <c r="O466" i="18"/>
  <c r="Q466" i="18"/>
  <c r="S466" i="18" s="1"/>
  <c r="R466" i="18"/>
  <c r="V466" i="18"/>
  <c r="X466" i="18"/>
  <c r="G467" i="18"/>
  <c r="I467" i="18"/>
  <c r="T467" i="18" s="1"/>
  <c r="Y467" i="18" s="1"/>
  <c r="J467" i="18"/>
  <c r="O467" i="18"/>
  <c r="Q467" i="18"/>
  <c r="R467" i="18"/>
  <c r="S467" i="18"/>
  <c r="V467" i="18"/>
  <c r="X467" i="18"/>
  <c r="G468" i="18"/>
  <c r="I468" i="18"/>
  <c r="T468" i="18" s="1"/>
  <c r="Y468" i="18" s="1"/>
  <c r="J468" i="18"/>
  <c r="O468" i="18"/>
  <c r="Q468" i="18"/>
  <c r="R468" i="18"/>
  <c r="S468" i="18"/>
  <c r="V468" i="18"/>
  <c r="X468" i="18"/>
  <c r="G469" i="18"/>
  <c r="I469" i="18"/>
  <c r="J469" i="18"/>
  <c r="T469" i="18" s="1"/>
  <c r="Y469" i="18" s="1"/>
  <c r="O469" i="18"/>
  <c r="Q469" i="18"/>
  <c r="R469" i="18"/>
  <c r="S469" i="18"/>
  <c r="V469" i="18"/>
  <c r="X469" i="18" s="1"/>
  <c r="G470" i="18"/>
  <c r="I470" i="18"/>
  <c r="J470" i="18"/>
  <c r="O470" i="18"/>
  <c r="Q470" i="18"/>
  <c r="R470" i="18"/>
  <c r="S470" i="18" s="1"/>
  <c r="V470" i="18"/>
  <c r="X470" i="18" s="1"/>
  <c r="G471" i="18"/>
  <c r="I471" i="18"/>
  <c r="J471" i="18"/>
  <c r="T471" i="18" s="1"/>
  <c r="O471" i="18"/>
  <c r="Q471" i="18"/>
  <c r="S471" i="18" s="1"/>
  <c r="R471" i="18"/>
  <c r="V471" i="18"/>
  <c r="X471" i="18" s="1"/>
  <c r="G472" i="18"/>
  <c r="I472" i="18"/>
  <c r="J472" i="18"/>
  <c r="O472" i="18"/>
  <c r="Q472" i="18"/>
  <c r="S472" i="18" s="1"/>
  <c r="T472" i="18" s="1"/>
  <c r="Y472" i="18" s="1"/>
  <c r="R472" i="18"/>
  <c r="V472" i="18"/>
  <c r="X472" i="18" s="1"/>
  <c r="G473" i="18"/>
  <c r="I473" i="18"/>
  <c r="J473" i="18"/>
  <c r="O473" i="18"/>
  <c r="Q473" i="18"/>
  <c r="S473" i="18" s="1"/>
  <c r="R473" i="18"/>
  <c r="V473" i="18"/>
  <c r="X473" i="18"/>
  <c r="G474" i="18"/>
  <c r="I474" i="18"/>
  <c r="T474" i="18" s="1"/>
  <c r="Y474" i="18" s="1"/>
  <c r="J474" i="18"/>
  <c r="O474" i="18"/>
  <c r="Q474" i="18"/>
  <c r="R474" i="18"/>
  <c r="S474" i="18"/>
  <c r="V474" i="18"/>
  <c r="X474" i="18"/>
  <c r="G475" i="18"/>
  <c r="I475" i="18"/>
  <c r="J475" i="18"/>
  <c r="O475" i="18"/>
  <c r="T475" i="18" s="1"/>
  <c r="Q475" i="18"/>
  <c r="R475" i="18"/>
  <c r="S475" i="18"/>
  <c r="V475" i="18"/>
  <c r="X475" i="18" s="1"/>
  <c r="G476" i="18"/>
  <c r="I476" i="18"/>
  <c r="T476" i="18" s="1"/>
  <c r="Y476" i="18" s="1"/>
  <c r="J476" i="18"/>
  <c r="O476" i="18"/>
  <c r="Q476" i="18"/>
  <c r="R476" i="18"/>
  <c r="S476" i="18"/>
  <c r="V476" i="18"/>
  <c r="X476" i="18"/>
  <c r="G477" i="18"/>
  <c r="I477" i="18"/>
  <c r="T477" i="18" s="1"/>
  <c r="J477" i="18"/>
  <c r="O477" i="18"/>
  <c r="Q477" i="18"/>
  <c r="R477" i="18"/>
  <c r="S477" i="18"/>
  <c r="V477" i="18"/>
  <c r="X477" i="18" s="1"/>
  <c r="G478" i="18"/>
  <c r="I478" i="18"/>
  <c r="J478" i="18"/>
  <c r="T478" i="18" s="1"/>
  <c r="O478" i="18"/>
  <c r="Q478" i="18"/>
  <c r="R478" i="18"/>
  <c r="S478" i="18" s="1"/>
  <c r="V478" i="18"/>
  <c r="X478" i="18" s="1"/>
  <c r="G479" i="18"/>
  <c r="I479" i="18"/>
  <c r="J479" i="18"/>
  <c r="O479" i="18"/>
  <c r="Q479" i="18"/>
  <c r="S479" i="18" s="1"/>
  <c r="R479" i="18"/>
  <c r="V479" i="18"/>
  <c r="X479" i="18" s="1"/>
  <c r="I4" i="17" a="1"/>
  <c r="I4" i="17" s="1"/>
  <c r="F3" i="16"/>
  <c r="F7" i="16" a="1"/>
  <c r="F7" i="16" s="1"/>
  <c r="C15" i="8" a="1"/>
  <c r="C15" i="8" s="1"/>
  <c r="D16" i="7" a="1"/>
  <c r="D16" i="7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26" i="14" a="1"/>
  <c r="C26" i="14" s="1"/>
  <c r="C25" i="9" a="1"/>
  <c r="C25" i="9" s="1"/>
  <c r="C19" i="5" a="1"/>
  <c r="C19" i="5" s="1"/>
  <c r="C17" i="3" a="1"/>
  <c r="C17" i="3" s="1"/>
  <c r="C16" i="3" a="1"/>
  <c r="C16" i="3" s="1"/>
  <c r="L16" i="3" a="1"/>
  <c r="L16" i="3" s="1"/>
  <c r="I16" i="1"/>
  <c r="I17" i="1"/>
  <c r="I18" i="1"/>
  <c r="I19" i="1"/>
  <c r="I20" i="1"/>
  <c r="I15" i="1"/>
  <c r="F16" i="1"/>
  <c r="F17" i="1"/>
  <c r="F18" i="1"/>
  <c r="F19" i="1"/>
  <c r="F20" i="1"/>
  <c r="F15" i="1"/>
  <c r="C16" i="1"/>
  <c r="C17" i="1"/>
  <c r="C18" i="1"/>
  <c r="C19" i="1"/>
  <c r="C20" i="1"/>
  <c r="C15" i="1"/>
  <c r="H4" i="12"/>
  <c r="H5" i="12"/>
  <c r="H6" i="12"/>
  <c r="H7" i="12"/>
  <c r="H8" i="12"/>
  <c r="H9" i="12"/>
  <c r="H10" i="12"/>
  <c r="C18" i="12" s="1" a="1"/>
  <c r="H11" i="12"/>
  <c r="H12" i="12"/>
  <c r="H12" i="8"/>
  <c r="H11" i="8"/>
  <c r="H10" i="8"/>
  <c r="H9" i="8"/>
  <c r="H8" i="8"/>
  <c r="H7" i="8"/>
  <c r="H6" i="8"/>
  <c r="H5" i="8"/>
  <c r="H4" i="8"/>
  <c r="H5" i="1"/>
  <c r="H6" i="1"/>
  <c r="H7" i="1"/>
  <c r="H8" i="1"/>
  <c r="H9" i="1"/>
  <c r="H10" i="1"/>
  <c r="H11" i="1"/>
  <c r="H12" i="1"/>
  <c r="H4" i="1"/>
  <c r="C21" i="9" a="1"/>
  <c r="C19" i="13" a="1"/>
  <c r="C16" i="5" a="1"/>
  <c r="K4" i="4" a="1"/>
  <c r="C18" i="12"/>
  <c r="C21" i="9"/>
  <c r="C19" i="13"/>
  <c r="C16" i="5"/>
  <c r="K4" i="4"/>
  <c r="Y464" i="18" l="1"/>
  <c r="Y432" i="18"/>
  <c r="Y429" i="18"/>
  <c r="Y409" i="18"/>
  <c r="T407" i="18"/>
  <c r="Y407" i="18" s="1"/>
  <c r="Y461" i="18"/>
  <c r="T457" i="18"/>
  <c r="Y457" i="18" s="1"/>
  <c r="T450" i="18"/>
  <c r="Y450" i="18" s="1"/>
  <c r="T430" i="18"/>
  <c r="Y430" i="18" s="1"/>
  <c r="T417" i="18"/>
  <c r="Y417" i="18" s="1"/>
  <c r="Y415" i="18"/>
  <c r="T470" i="18"/>
  <c r="Y470" i="18" s="1"/>
  <c r="Y438" i="18"/>
  <c r="T423" i="18"/>
  <c r="Y423" i="18" s="1"/>
  <c r="T410" i="18"/>
  <c r="Y410" i="18" s="1"/>
  <c r="Y478" i="18"/>
  <c r="Y465" i="18"/>
  <c r="Y445" i="18"/>
  <c r="Y475" i="18"/>
  <c r="T479" i="18"/>
  <c r="Y479" i="18" s="1"/>
  <c r="Y477" i="18"/>
  <c r="T446" i="18"/>
  <c r="Y446" i="18" s="1"/>
  <c r="T398" i="18"/>
  <c r="Y398" i="18" s="1"/>
  <c r="T466" i="18"/>
  <c r="Y466" i="18" s="1"/>
  <c r="Y453" i="18"/>
  <c r="T441" i="18"/>
  <c r="Y441" i="18" s="1"/>
  <c r="T439" i="18"/>
  <c r="Y439" i="18" s="1"/>
  <c r="T406" i="18"/>
  <c r="Y406" i="18" s="1"/>
  <c r="Y405" i="18"/>
  <c r="Y471" i="18"/>
  <c r="T473" i="18"/>
  <c r="Y473" i="18" s="1"/>
  <c r="Y456" i="18"/>
  <c r="T454" i="18"/>
  <c r="Y454" i="18" s="1"/>
  <c r="T447" i="18"/>
  <c r="Y447" i="18" s="1"/>
  <c r="T434" i="18"/>
  <c r="Y434" i="18" s="1"/>
  <c r="T414" i="18"/>
  <c r="Y414" i="18" s="1"/>
  <c r="S369" i="18"/>
  <c r="Y359" i="18"/>
  <c r="S353" i="18"/>
  <c r="T353" i="18" s="1"/>
  <c r="Y353" i="18" s="1"/>
  <c r="Y343" i="18"/>
  <c r="S337" i="18"/>
  <c r="Y327" i="18"/>
  <c r="S321" i="18"/>
  <c r="S305" i="18"/>
  <c r="T372" i="18"/>
  <c r="Y372" i="18" s="1"/>
  <c r="Y365" i="18"/>
  <c r="T356" i="18"/>
  <c r="Y356" i="18" s="1"/>
  <c r="Y349" i="18"/>
  <c r="T342" i="18"/>
  <c r="Y342" i="18" s="1"/>
  <c r="T340" i="18"/>
  <c r="Y340" i="18" s="1"/>
  <c r="Y333" i="18"/>
  <c r="T326" i="18"/>
  <c r="Y326" i="18" s="1"/>
  <c r="T324" i="18"/>
  <c r="Y324" i="18" s="1"/>
  <c r="Y317" i="18"/>
  <c r="Y315" i="18"/>
  <c r="T310" i="18"/>
  <c r="Y310" i="18" s="1"/>
  <c r="T308" i="18"/>
  <c r="Y308" i="18" s="1"/>
  <c r="Y301" i="18"/>
  <c r="Y299" i="18"/>
  <c r="T294" i="18"/>
  <c r="Y294" i="18" s="1"/>
  <c r="T292" i="18"/>
  <c r="Y292" i="18" s="1"/>
  <c r="S283" i="18"/>
  <c r="T283" i="18" s="1"/>
  <c r="Y283" i="18" s="1"/>
  <c r="T386" i="18"/>
  <c r="Y386" i="18" s="1"/>
  <c r="S377" i="18"/>
  <c r="T377" i="18" s="1"/>
  <c r="Y377" i="18" s="1"/>
  <c r="T280" i="18"/>
  <c r="Y280" i="18" s="1"/>
  <c r="T273" i="18"/>
  <c r="Y273" i="18" s="1"/>
  <c r="T390" i="18"/>
  <c r="Y390" i="18" s="1"/>
  <c r="T382" i="18"/>
  <c r="Y382" i="18" s="1"/>
  <c r="T380" i="18"/>
  <c r="Y380" i="18" s="1"/>
  <c r="T376" i="18"/>
  <c r="Y376" i="18" s="1"/>
  <c r="T370" i="18"/>
  <c r="Y370" i="18" s="1"/>
  <c r="T369" i="18"/>
  <c r="Y369" i="18" s="1"/>
  <c r="T354" i="18"/>
  <c r="Y354" i="18" s="1"/>
  <c r="T337" i="18"/>
  <c r="Y337" i="18" s="1"/>
  <c r="S331" i="18"/>
  <c r="T331" i="18" s="1"/>
  <c r="Y331" i="18" s="1"/>
  <c r="T321" i="18"/>
  <c r="Y321" i="18" s="1"/>
  <c r="T306" i="18"/>
  <c r="Y306" i="18" s="1"/>
  <c r="T305" i="18"/>
  <c r="Y305" i="18" s="1"/>
  <c r="T289" i="18"/>
  <c r="Y289" i="18" s="1"/>
  <c r="T281" i="18"/>
  <c r="Y281" i="18" s="1"/>
  <c r="T384" i="18"/>
  <c r="Y384" i="18" s="1"/>
  <c r="T378" i="18"/>
  <c r="Y378" i="18" s="1"/>
  <c r="T366" i="18"/>
  <c r="Y366" i="18" s="1"/>
  <c r="Y360" i="18"/>
  <c r="Y355" i="18"/>
  <c r="T350" i="18"/>
  <c r="Y350" i="18" s="1"/>
  <c r="T344" i="18"/>
  <c r="Y344" i="18" s="1"/>
  <c r="T334" i="18"/>
  <c r="Y334" i="18" s="1"/>
  <c r="T332" i="18"/>
  <c r="Y332" i="18" s="1"/>
  <c r="T328" i="18"/>
  <c r="Y328" i="18" s="1"/>
  <c r="Y323" i="18"/>
  <c r="T318" i="18"/>
  <c r="Y318" i="18" s="1"/>
  <c r="T316" i="18"/>
  <c r="Y316" i="18" s="1"/>
  <c r="T312" i="18"/>
  <c r="Y312" i="18" s="1"/>
  <c r="Y307" i="18"/>
  <c r="T302" i="18"/>
  <c r="Y302" i="18" s="1"/>
  <c r="T300" i="18"/>
  <c r="Y300" i="18" s="1"/>
  <c r="T296" i="18"/>
  <c r="Y296" i="18" s="1"/>
  <c r="Y279" i="18"/>
  <c r="T278" i="18"/>
  <c r="Y278" i="18" s="1"/>
  <c r="T393" i="18"/>
  <c r="Y393" i="18" s="1"/>
  <c r="T244" i="18"/>
  <c r="Y244" i="18" s="1"/>
  <c r="Y183" i="18"/>
  <c r="T240" i="18"/>
  <c r="Y240" i="18" s="1"/>
  <c r="Y239" i="18"/>
  <c r="S235" i="18"/>
  <c r="T235" i="18" s="1"/>
  <c r="Y235" i="18" s="1"/>
  <c r="T225" i="18"/>
  <c r="Y225" i="18" s="1"/>
  <c r="T188" i="18"/>
  <c r="Y188" i="18" s="1"/>
  <c r="S260" i="18"/>
  <c r="T252" i="18"/>
  <c r="Y252" i="18" s="1"/>
  <c r="T224" i="18"/>
  <c r="Y224" i="18" s="1"/>
  <c r="T223" i="18"/>
  <c r="Y223" i="18" s="1"/>
  <c r="T217" i="18"/>
  <c r="Y217" i="18" s="1"/>
  <c r="T204" i="18"/>
  <c r="Y204" i="18" s="1"/>
  <c r="T193" i="18"/>
  <c r="Y193" i="18" s="1"/>
  <c r="Y182" i="18"/>
  <c r="T180" i="18"/>
  <c r="Y180" i="18" s="1"/>
  <c r="T272" i="18"/>
  <c r="Y272" i="18" s="1"/>
  <c r="T271" i="18"/>
  <c r="Y271" i="18" s="1"/>
  <c r="T248" i="18"/>
  <c r="Y248" i="18" s="1"/>
  <c r="Y247" i="18"/>
  <c r="Y243" i="18"/>
  <c r="T233" i="18"/>
  <c r="Y233" i="18" s="1"/>
  <c r="T159" i="18"/>
  <c r="Y159" i="18" s="1"/>
  <c r="S267" i="18"/>
  <c r="T267" i="18" s="1"/>
  <c r="Y267" i="18" s="1"/>
  <c r="T257" i="18"/>
  <c r="Y257" i="18" s="1"/>
  <c r="S244" i="18"/>
  <c r="T236" i="18"/>
  <c r="Y236" i="18" s="1"/>
  <c r="T219" i="18"/>
  <c r="Y219" i="18" s="1"/>
  <c r="T216" i="18"/>
  <c r="Y216" i="18" s="1"/>
  <c r="T215" i="18"/>
  <c r="Y215" i="18" s="1"/>
  <c r="T209" i="18"/>
  <c r="Y209" i="18" s="1"/>
  <c r="Y198" i="18"/>
  <c r="T195" i="18"/>
  <c r="Y195" i="18" s="1"/>
  <c r="T192" i="18"/>
  <c r="Y192" i="18" s="1"/>
  <c r="T191" i="18"/>
  <c r="Y191" i="18" s="1"/>
  <c r="S187" i="18"/>
  <c r="T187" i="18" s="1"/>
  <c r="Y187" i="18" s="1"/>
  <c r="T186" i="18"/>
  <c r="Y186" i="18" s="1"/>
  <c r="Y174" i="18"/>
  <c r="T172" i="18"/>
  <c r="Y172" i="18" s="1"/>
  <c r="T167" i="18"/>
  <c r="Y167" i="18" s="1"/>
  <c r="T162" i="18"/>
  <c r="Y162" i="18" s="1"/>
  <c r="T160" i="18"/>
  <c r="Y160" i="18" s="1"/>
  <c r="S276" i="18"/>
  <c r="T276" i="18" s="1"/>
  <c r="Y276" i="18" s="1"/>
  <c r="S275" i="18"/>
  <c r="T275" i="18" s="1"/>
  <c r="Y275" i="18" s="1"/>
  <c r="S268" i="18"/>
  <c r="T268" i="18" s="1"/>
  <c r="Y268" i="18" s="1"/>
  <c r="T260" i="18"/>
  <c r="Y260" i="18" s="1"/>
  <c r="T232" i="18"/>
  <c r="Y232" i="18" s="1"/>
  <c r="T231" i="18"/>
  <c r="Y231" i="18" s="1"/>
  <c r="S227" i="18"/>
  <c r="T227" i="18" s="1"/>
  <c r="Y227" i="18" s="1"/>
  <c r="T220" i="18"/>
  <c r="Y220" i="18" s="1"/>
  <c r="T196" i="18"/>
  <c r="Y196" i="18" s="1"/>
  <c r="T185" i="18"/>
  <c r="Y185" i="18" s="1"/>
  <c r="T170" i="18"/>
  <c r="Y170" i="18" s="1"/>
  <c r="T168" i="18"/>
  <c r="Y168" i="18" s="1"/>
  <c r="T256" i="18"/>
  <c r="Y256" i="18" s="1"/>
  <c r="T255" i="18"/>
  <c r="Y255" i="18" s="1"/>
  <c r="Y251" i="18"/>
  <c r="T241" i="18"/>
  <c r="Y241" i="18" s="1"/>
  <c r="T211" i="18"/>
  <c r="Y211" i="18" s="1"/>
  <c r="T208" i="18"/>
  <c r="Y208" i="18" s="1"/>
  <c r="T207" i="18"/>
  <c r="Y207" i="18" s="1"/>
  <c r="Y202" i="18"/>
  <c r="Y178" i="18"/>
  <c r="Y133" i="18"/>
  <c r="T96" i="18"/>
  <c r="Y96" i="18" s="1"/>
  <c r="T32" i="18"/>
  <c r="Y32" i="18" s="1"/>
  <c r="T163" i="18"/>
  <c r="Y163" i="18" s="1"/>
  <c r="T155" i="18"/>
  <c r="Y155" i="18" s="1"/>
  <c r="T147" i="18"/>
  <c r="Y147" i="18" s="1"/>
  <c r="T139" i="18"/>
  <c r="Y139" i="18" s="1"/>
  <c r="Y117" i="18"/>
  <c r="T75" i="18"/>
  <c r="Y75" i="18" s="1"/>
  <c r="Y63" i="18"/>
  <c r="T56" i="18"/>
  <c r="Y56" i="18" s="1"/>
  <c r="T16" i="18"/>
  <c r="Y16" i="18" s="1"/>
  <c r="T13" i="18"/>
  <c r="Y13" i="18" s="1"/>
  <c r="S134" i="18"/>
  <c r="T134" i="18" s="1"/>
  <c r="Y134" i="18" s="1"/>
  <c r="T115" i="18"/>
  <c r="Y115" i="18" s="1"/>
  <c r="Y101" i="18"/>
  <c r="T97" i="18"/>
  <c r="Y97" i="18" s="1"/>
  <c r="T94" i="18"/>
  <c r="Y94" i="18" s="1"/>
  <c r="Y87" i="18"/>
  <c r="T80" i="18"/>
  <c r="Y80" i="18" s="1"/>
  <c r="T77" i="18"/>
  <c r="Y77" i="18" s="1"/>
  <c r="Y61" i="18"/>
  <c r="T35" i="18"/>
  <c r="Y35" i="18" s="1"/>
  <c r="T33" i="18"/>
  <c r="Y33" i="18" s="1"/>
  <c r="T30" i="18"/>
  <c r="Y30" i="18" s="1"/>
  <c r="Y20" i="18"/>
  <c r="Y4" i="18"/>
  <c r="T120" i="18"/>
  <c r="Y120" i="18" s="1"/>
  <c r="T99" i="18"/>
  <c r="Y99" i="18" s="1"/>
  <c r="Y85" i="18"/>
  <c r="T59" i="18"/>
  <c r="Y59" i="18" s="1"/>
  <c r="T57" i="18"/>
  <c r="Y57" i="18" s="1"/>
  <c r="T54" i="18"/>
  <c r="Y54" i="18" s="1"/>
  <c r="Y47" i="18"/>
  <c r="T40" i="18"/>
  <c r="Y40" i="18" s="1"/>
  <c r="T37" i="18"/>
  <c r="Y37" i="18" s="1"/>
  <c r="T19" i="18"/>
  <c r="Y19" i="18" s="1"/>
  <c r="T17" i="18"/>
  <c r="Y17" i="18" s="1"/>
  <c r="T14" i="18"/>
  <c r="Y14" i="18" s="1"/>
  <c r="Y119" i="18"/>
  <c r="T83" i="18"/>
  <c r="Y83" i="18" s="1"/>
  <c r="T81" i="18"/>
  <c r="Y81" i="18" s="1"/>
  <c r="T78" i="18"/>
  <c r="Y78" i="18" s="1"/>
  <c r="Y71" i="18"/>
  <c r="T64" i="18"/>
  <c r="Y64" i="18" s="1"/>
  <c r="Y39" i="18"/>
  <c r="Y3" i="18"/>
  <c r="T123" i="18"/>
  <c r="Y123" i="18" s="1"/>
  <c r="T121" i="18"/>
  <c r="Y121" i="18" s="1"/>
  <c r="T118" i="18"/>
  <c r="Y118" i="18" s="1"/>
  <c r="Y109" i="18"/>
  <c r="Y103" i="18"/>
  <c r="T88" i="18"/>
  <c r="Y88" i="18" s="1"/>
  <c r="Y69" i="18"/>
  <c r="T43" i="18"/>
  <c r="Y43" i="18" s="1"/>
  <c r="T41" i="18"/>
  <c r="Y41" i="18" s="1"/>
  <c r="T38" i="18"/>
  <c r="Y38" i="18" s="1"/>
  <c r="T24" i="18"/>
  <c r="Y24" i="18" s="1"/>
  <c r="T21" i="18"/>
  <c r="Y21" i="18" s="1"/>
  <c r="Y12" i="18"/>
  <c r="T8" i="18"/>
  <c r="Y8" i="18" s="1"/>
  <c r="T5" i="18"/>
  <c r="Y5" i="18" s="1"/>
  <c r="T2" i="18"/>
  <c r="Y2" i="18" s="1"/>
  <c r="T169" i="18"/>
  <c r="Y169" i="18" s="1"/>
  <c r="T161" i="18"/>
  <c r="Y161" i="18" s="1"/>
  <c r="T153" i="18"/>
  <c r="Y153" i="18" s="1"/>
  <c r="S148" i="18"/>
  <c r="T148" i="18" s="1"/>
  <c r="Y148" i="18" s="1"/>
  <c r="T145" i="18"/>
  <c r="Y145" i="18" s="1"/>
  <c r="S140" i="18"/>
  <c r="T140" i="18" s="1"/>
  <c r="Y140" i="18" s="1"/>
  <c r="T137" i="18"/>
  <c r="Y137" i="18" s="1"/>
  <c r="T107" i="18"/>
  <c r="Y107" i="18" s="1"/>
  <c r="T105" i="18"/>
  <c r="Y105" i="18" s="1"/>
  <c r="T102" i="18"/>
  <c r="Y102" i="18" s="1"/>
  <c r="Y93" i="18"/>
  <c r="T67" i="18"/>
  <c r="Y67" i="18" s="1"/>
  <c r="T65" i="18"/>
  <c r="Y65" i="18" s="1"/>
  <c r="T62" i="18"/>
  <c r="Y62" i="18" s="1"/>
  <c r="Y55" i="18"/>
  <c r="T48" i="18"/>
  <c r="Y48" i="18" s="1"/>
  <c r="T45" i="18"/>
  <c r="Y45" i="18" s="1"/>
  <c r="Y15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<sst xmlns="http://schemas.openxmlformats.org/spreadsheetml/2006/main" count="2791" uniqueCount="1193">
  <si>
    <t>Order ID</t>
  </si>
  <si>
    <t>Cust ID</t>
  </si>
  <si>
    <t>Customer Name</t>
  </si>
  <si>
    <t>Product Name</t>
  </si>
  <si>
    <t>Qty</t>
  </si>
  <si>
    <t>Unit Price</t>
  </si>
  <si>
    <t>Total Sale</t>
  </si>
  <si>
    <t>ORD001</t>
  </si>
  <si>
    <t>CU01</t>
  </si>
  <si>
    <t>Headphones</t>
  </si>
  <si>
    <t>ORD002</t>
  </si>
  <si>
    <t>CU02</t>
  </si>
  <si>
    <t>Chair</t>
  </si>
  <si>
    <t>ORD003</t>
  </si>
  <si>
    <t>CU03</t>
  </si>
  <si>
    <t>Table</t>
  </si>
  <si>
    <t>CU04</t>
  </si>
  <si>
    <t>USB Cable</t>
  </si>
  <si>
    <t>ORD005</t>
  </si>
  <si>
    <t>CU05</t>
  </si>
  <si>
    <t>Charger</t>
  </si>
  <si>
    <t>ORD006</t>
  </si>
  <si>
    <t>CU06</t>
  </si>
  <si>
    <t>ORD007</t>
  </si>
  <si>
    <t>CU07</t>
  </si>
  <si>
    <t>Tablet</t>
  </si>
  <si>
    <t>ORD008</t>
  </si>
  <si>
    <t>CU08</t>
  </si>
  <si>
    <t>Power Bank</t>
  </si>
  <si>
    <t>ORD009</t>
  </si>
  <si>
    <t>CU09</t>
  </si>
  <si>
    <t>ORD010</t>
  </si>
  <si>
    <t>CU10</t>
  </si>
  <si>
    <t>ORD011</t>
  </si>
  <si>
    <t>CU11</t>
  </si>
  <si>
    <t>ORD012</t>
  </si>
  <si>
    <t>CU12</t>
  </si>
  <si>
    <t>ORD013</t>
  </si>
  <si>
    <t>CU13</t>
  </si>
  <si>
    <t>ORD014</t>
  </si>
  <si>
    <t>CU14</t>
  </si>
  <si>
    <t>CU15</t>
  </si>
  <si>
    <t>CU16</t>
  </si>
  <si>
    <t>ORD015</t>
  </si>
  <si>
    <t>ORD016</t>
  </si>
  <si>
    <t>Seller ID</t>
  </si>
  <si>
    <t>AB001</t>
  </si>
  <si>
    <t>AB002</t>
  </si>
  <si>
    <t>AB003</t>
  </si>
  <si>
    <t>AB004</t>
  </si>
  <si>
    <t>AB005</t>
  </si>
  <si>
    <t>AB007</t>
  </si>
  <si>
    <t>ORD004</t>
  </si>
  <si>
    <t>ORD0010</t>
  </si>
  <si>
    <t>ORD0011</t>
  </si>
  <si>
    <t>4 : XLOOKUP + Transpose</t>
  </si>
  <si>
    <t>1 : X-LOOKUP BASIC</t>
  </si>
  <si>
    <t>2 : XLOOKUP ALL DATA</t>
  </si>
  <si>
    <t>5 : XLOOKUP Multiple Columns ( with choose)</t>
  </si>
  <si>
    <t>6 : XLOOKUP Multiple Columns ( with choosecols)</t>
  </si>
  <si>
    <t>7 : XLOOKUP Multiple Lookup Values</t>
  </si>
  <si>
    <t>8 : Two Way XLOOKUP</t>
  </si>
  <si>
    <t>9 : XLOOKUP in Multiple Tables (Nested Xlookup)</t>
  </si>
  <si>
    <t>11 : Auto Updated XLOOKUP</t>
  </si>
  <si>
    <t>Rahim Uddin</t>
  </si>
  <si>
    <t>Karim Hossain</t>
  </si>
  <si>
    <t>Salma Akter</t>
  </si>
  <si>
    <t>Anika Begum</t>
  </si>
  <si>
    <t>Tariq Khan</t>
  </si>
  <si>
    <t>Farhan Ahmed</t>
  </si>
  <si>
    <t>Nabila Rahman</t>
  </si>
  <si>
    <t>Rafiq Islam</t>
  </si>
  <si>
    <t>Sabina Yasmin</t>
  </si>
  <si>
    <t>Jamal Uddin</t>
  </si>
  <si>
    <t>Anwar Hossain</t>
  </si>
  <si>
    <t>Nusrat Jahan</t>
  </si>
  <si>
    <t>Tanvir Ahmed</t>
  </si>
  <si>
    <t>Shabnam Akter</t>
  </si>
  <si>
    <t>Imran Karim</t>
  </si>
  <si>
    <t>Ayesha Siddique</t>
  </si>
  <si>
    <t>Product ID</t>
  </si>
  <si>
    <t>Customer_ID</t>
  </si>
  <si>
    <t>Full_Name</t>
  </si>
  <si>
    <t>Gender</t>
  </si>
  <si>
    <t>DOB</t>
  </si>
  <si>
    <t>Family_Member_Qty</t>
  </si>
  <si>
    <t>City</t>
  </si>
  <si>
    <t>Division</t>
  </si>
  <si>
    <t>Registration_Date</t>
  </si>
  <si>
    <t>Phone_Number</t>
  </si>
  <si>
    <t>C1000</t>
  </si>
  <si>
    <t>Female</t>
  </si>
  <si>
    <t>Rangpur Sadar</t>
  </si>
  <si>
    <t>Rangpur</t>
  </si>
  <si>
    <t>+880122285197</t>
  </si>
  <si>
    <t>C1001</t>
  </si>
  <si>
    <t>Subidbazar</t>
  </si>
  <si>
    <t>Sylhet</t>
  </si>
  <si>
    <t>+880159679341</t>
  </si>
  <si>
    <t>C1002</t>
  </si>
  <si>
    <t>Male</t>
  </si>
  <si>
    <t>Shah Makhdum</t>
  </si>
  <si>
    <t>Rajshahi</t>
  </si>
  <si>
    <t>+880125575449</t>
  </si>
  <si>
    <t>C1003</t>
  </si>
  <si>
    <t>Kawran Bazar</t>
  </si>
  <si>
    <t>Barishal</t>
  </si>
  <si>
    <t>+880114884456</t>
  </si>
  <si>
    <t>C1004</t>
  </si>
  <si>
    <t>Gollamari</t>
  </si>
  <si>
    <t>Khulna</t>
  </si>
  <si>
    <t>+880191269394</t>
  </si>
  <si>
    <t>C1005</t>
  </si>
  <si>
    <t>Boalia</t>
  </si>
  <si>
    <t>+880112904003</t>
  </si>
  <si>
    <t>C1006</t>
  </si>
  <si>
    <t>+880136117555</t>
  </si>
  <si>
    <t>C1007</t>
  </si>
  <si>
    <t>Dhanmondi</t>
  </si>
  <si>
    <t>Dhaka</t>
  </si>
  <si>
    <t>+880134826513</t>
  </si>
  <si>
    <t>C1008</t>
  </si>
  <si>
    <t>+880126628927</t>
  </si>
  <si>
    <t>C1009</t>
  </si>
  <si>
    <t>Muktagachha</t>
  </si>
  <si>
    <t>Mymensingh</t>
  </si>
  <si>
    <t>+880174321652</t>
  </si>
  <si>
    <t>C1010</t>
  </si>
  <si>
    <t>Panchlaish</t>
  </si>
  <si>
    <t>Chattogram</t>
  </si>
  <si>
    <t>+880138263100</t>
  </si>
  <si>
    <t>C1011</t>
  </si>
  <si>
    <t>+880118198675</t>
  </si>
  <si>
    <t>C1012</t>
  </si>
  <si>
    <t>Sonadanga</t>
  </si>
  <si>
    <t>+880113057825</t>
  </si>
  <si>
    <t>C1013</t>
  </si>
  <si>
    <t>+880183046040</t>
  </si>
  <si>
    <t>C1014</t>
  </si>
  <si>
    <t>+880167125592</t>
  </si>
  <si>
    <t>C1015</t>
  </si>
  <si>
    <t>+880193295518</t>
  </si>
  <si>
    <t>C1016</t>
  </si>
  <si>
    <t>Hasan Mahmud</t>
  </si>
  <si>
    <t>Kaunia</t>
  </si>
  <si>
    <t>+880123623128</t>
  </si>
  <si>
    <t>C1017</t>
  </si>
  <si>
    <t>Lutfun Nahar</t>
  </si>
  <si>
    <t>Bakerganj</t>
  </si>
  <si>
    <t>+880144885857</t>
  </si>
  <si>
    <t>C1018</t>
  </si>
  <si>
    <t>Rashed Chowdhury</t>
  </si>
  <si>
    <t>Godagari</t>
  </si>
  <si>
    <t>+880119395818</t>
  </si>
  <si>
    <t>C1019</t>
  </si>
  <si>
    <t>Farida Parveen</t>
  </si>
  <si>
    <t>+880139639203</t>
  </si>
  <si>
    <t>Phone_Number_ Case 2</t>
  </si>
  <si>
    <t>122285197</t>
  </si>
  <si>
    <t>159679341</t>
  </si>
  <si>
    <t>125575449</t>
  </si>
  <si>
    <t>114884456</t>
  </si>
  <si>
    <t>191269394</t>
  </si>
  <si>
    <t>112904003</t>
  </si>
  <si>
    <t>136117555</t>
  </si>
  <si>
    <t>134826513</t>
  </si>
  <si>
    <t>126628927</t>
  </si>
  <si>
    <t>0174321652</t>
  </si>
  <si>
    <t>0138263100</t>
  </si>
  <si>
    <t>0118198675</t>
  </si>
  <si>
    <t>0113057825</t>
  </si>
  <si>
    <t>0183046040</t>
  </si>
  <si>
    <t>0167125592</t>
  </si>
  <si>
    <t>0193295518</t>
  </si>
  <si>
    <t>0123623128</t>
  </si>
  <si>
    <t>0144885857</t>
  </si>
  <si>
    <t>0119395818</t>
  </si>
  <si>
    <t>0139639203</t>
  </si>
  <si>
    <t>Shanto</t>
  </si>
  <si>
    <t>Sakib</t>
  </si>
  <si>
    <t>Miraj</t>
  </si>
  <si>
    <t>Saiful Islam</t>
  </si>
  <si>
    <t>Anas</t>
  </si>
  <si>
    <t>Raiyan</t>
  </si>
  <si>
    <t>Nayeem</t>
  </si>
  <si>
    <t>Saiful Islam Sagor</t>
  </si>
  <si>
    <t>Shorif</t>
  </si>
  <si>
    <t>Rony</t>
  </si>
  <si>
    <t>Abdullah</t>
  </si>
  <si>
    <t>Rasel</t>
  </si>
  <si>
    <t>Sobuj</t>
  </si>
  <si>
    <t>Shahin</t>
  </si>
  <si>
    <t>Revenue:</t>
  </si>
  <si>
    <t>Hanif</t>
  </si>
  <si>
    <t>wilcard</t>
  </si>
  <si>
    <t>Wil</t>
  </si>
  <si>
    <t>Saiful</t>
  </si>
  <si>
    <t>Employee:</t>
  </si>
  <si>
    <t>Revenue</t>
  </si>
  <si>
    <t>Employee</t>
  </si>
  <si>
    <t>Rakib</t>
  </si>
  <si>
    <t>February</t>
  </si>
  <si>
    <t>Month:</t>
  </si>
  <si>
    <t>April</t>
  </si>
  <si>
    <t>March</t>
  </si>
  <si>
    <t>January</t>
  </si>
  <si>
    <t>Day</t>
  </si>
  <si>
    <t>Clerk</t>
  </si>
  <si>
    <t>Name 478</t>
  </si>
  <si>
    <t>EMP478</t>
  </si>
  <si>
    <t>Manager</t>
  </si>
  <si>
    <t>Name 477</t>
  </si>
  <si>
    <t>EMP477</t>
  </si>
  <si>
    <t>Night</t>
  </si>
  <si>
    <t>Accountant</t>
  </si>
  <si>
    <t>Name 476</t>
  </si>
  <si>
    <t>EMP476</t>
  </si>
  <si>
    <t>Name 475</t>
  </si>
  <si>
    <t>EMP475</t>
  </si>
  <si>
    <t>Name 474</t>
  </si>
  <si>
    <t>EMP474</t>
  </si>
  <si>
    <t>Name 473</t>
  </si>
  <si>
    <t>EMP473</t>
  </si>
  <si>
    <t>Name 472</t>
  </si>
  <si>
    <t>EMP472</t>
  </si>
  <si>
    <t>Name 471</t>
  </si>
  <si>
    <t>EMP471</t>
  </si>
  <si>
    <t>Name 470</t>
  </si>
  <si>
    <t>EMP470</t>
  </si>
  <si>
    <t>Name 469</t>
  </si>
  <si>
    <t>EMP469</t>
  </si>
  <si>
    <t>Name 468</t>
  </si>
  <si>
    <t>EMP468</t>
  </si>
  <si>
    <t>Name 467</t>
  </si>
  <si>
    <t>EMP467</t>
  </si>
  <si>
    <t>Name 466</t>
  </si>
  <si>
    <t>EMP466</t>
  </si>
  <si>
    <t>Name 465</t>
  </si>
  <si>
    <t>EMP465</t>
  </si>
  <si>
    <t>Name 464</t>
  </si>
  <si>
    <t>EMP464</t>
  </si>
  <si>
    <t>Name 463</t>
  </si>
  <si>
    <t>EMP463</t>
  </si>
  <si>
    <t>Name 462</t>
  </si>
  <si>
    <t>EMP462</t>
  </si>
  <si>
    <t>Name 461</t>
  </si>
  <si>
    <t>EMP461</t>
  </si>
  <si>
    <t>Name 460</t>
  </si>
  <si>
    <t>EMP460</t>
  </si>
  <si>
    <t>Name 459</t>
  </si>
  <si>
    <t>EMP459</t>
  </si>
  <si>
    <t>Name 458</t>
  </si>
  <si>
    <t>EMP458</t>
  </si>
  <si>
    <t>Name 457</t>
  </si>
  <si>
    <t>EMP457</t>
  </si>
  <si>
    <t>Name 456</t>
  </si>
  <si>
    <t>EMP456</t>
  </si>
  <si>
    <t>Name 455</t>
  </si>
  <si>
    <t>EMP455</t>
  </si>
  <si>
    <t>Name 454</t>
  </si>
  <si>
    <t>EMP454</t>
  </si>
  <si>
    <t>Name 453</t>
  </si>
  <si>
    <t>EMP453</t>
  </si>
  <si>
    <t>Name 452</t>
  </si>
  <si>
    <t>EMP452</t>
  </si>
  <si>
    <t>Name 451</t>
  </si>
  <si>
    <t>EMP451</t>
  </si>
  <si>
    <t>Name 450</t>
  </si>
  <si>
    <t>EMP450</t>
  </si>
  <si>
    <t>Name 449</t>
  </si>
  <si>
    <t>EMP449</t>
  </si>
  <si>
    <t>Name 448</t>
  </si>
  <si>
    <t>EMP448</t>
  </si>
  <si>
    <t>Name 447</t>
  </si>
  <si>
    <t>EMP447</t>
  </si>
  <si>
    <t>Name 446</t>
  </si>
  <si>
    <t>EMP446</t>
  </si>
  <si>
    <t>Name 445</t>
  </si>
  <si>
    <t>EMP445</t>
  </si>
  <si>
    <t>Name 444</t>
  </si>
  <si>
    <t>EMP444</t>
  </si>
  <si>
    <t>Name 443</t>
  </si>
  <si>
    <t>EMP443</t>
  </si>
  <si>
    <t>Name 442</t>
  </si>
  <si>
    <t>EMP442</t>
  </si>
  <si>
    <t>Name 441</t>
  </si>
  <si>
    <t>EMP441</t>
  </si>
  <si>
    <t>Name 440</t>
  </si>
  <si>
    <t>EMP440</t>
  </si>
  <si>
    <t>Name 439</t>
  </si>
  <si>
    <t>EMP439</t>
  </si>
  <si>
    <t>Name 438</t>
  </si>
  <si>
    <t>EMP438</t>
  </si>
  <si>
    <t>Name 437</t>
  </si>
  <si>
    <t>EMP437</t>
  </si>
  <si>
    <t>Name 436</t>
  </si>
  <si>
    <t>EMP436</t>
  </si>
  <si>
    <t>Name 435</t>
  </si>
  <si>
    <t>EMP435</t>
  </si>
  <si>
    <t>Name 434</t>
  </si>
  <si>
    <t>EMP434</t>
  </si>
  <si>
    <t>Name 433</t>
  </si>
  <si>
    <t>EMP433</t>
  </si>
  <si>
    <t>Name 432</t>
  </si>
  <si>
    <t>EMP432</t>
  </si>
  <si>
    <t>Name 431</t>
  </si>
  <si>
    <t>EMP431</t>
  </si>
  <si>
    <t>Name 430</t>
  </si>
  <si>
    <t>EMP430</t>
  </si>
  <si>
    <t>Name 429</t>
  </si>
  <si>
    <t>EMP429</t>
  </si>
  <si>
    <t>Name 428</t>
  </si>
  <si>
    <t>EMP428</t>
  </si>
  <si>
    <t>Name 427</t>
  </si>
  <si>
    <t>EMP427</t>
  </si>
  <si>
    <t>Name 426</t>
  </si>
  <si>
    <t>EMP426</t>
  </si>
  <si>
    <t>Name 425</t>
  </si>
  <si>
    <t>EMP425</t>
  </si>
  <si>
    <t>Name 424</t>
  </si>
  <si>
    <t>EMP424</t>
  </si>
  <si>
    <t>Name 423</t>
  </si>
  <si>
    <t>EMP423</t>
  </si>
  <si>
    <t>Name 422</t>
  </si>
  <si>
    <t>EMP422</t>
  </si>
  <si>
    <t>Name 421</t>
  </si>
  <si>
    <t>EMP421</t>
  </si>
  <si>
    <t>Name 420</t>
  </si>
  <si>
    <t>EMP420</t>
  </si>
  <si>
    <t>Name 419</t>
  </si>
  <si>
    <t>EMP419</t>
  </si>
  <si>
    <t>Name 418</t>
  </si>
  <si>
    <t>EMP418</t>
  </si>
  <si>
    <t>Name 417</t>
  </si>
  <si>
    <t>EMP417</t>
  </si>
  <si>
    <t>Name 416</t>
  </si>
  <si>
    <t>EMP416</t>
  </si>
  <si>
    <t>Name 415</t>
  </si>
  <si>
    <t>EMP415</t>
  </si>
  <si>
    <t>Name 414</t>
  </si>
  <si>
    <t>EMP414</t>
  </si>
  <si>
    <t>Name 413</t>
  </si>
  <si>
    <t>EMP413</t>
  </si>
  <si>
    <t>Name 412</t>
  </si>
  <si>
    <t>EMP412</t>
  </si>
  <si>
    <t>Name 411</t>
  </si>
  <si>
    <t>EMP411</t>
  </si>
  <si>
    <t>Name 410</t>
  </si>
  <si>
    <t>EMP410</t>
  </si>
  <si>
    <t>Name 409</t>
  </si>
  <si>
    <t>EMP409</t>
  </si>
  <si>
    <t>Name 408</t>
  </si>
  <si>
    <t>EMP408</t>
  </si>
  <si>
    <t>Name 407</t>
  </si>
  <si>
    <t>EMP407</t>
  </si>
  <si>
    <t>Name 406</t>
  </si>
  <si>
    <t>EMP406</t>
  </si>
  <si>
    <t>Name 405</t>
  </si>
  <si>
    <t>EMP405</t>
  </si>
  <si>
    <t>Name 404</t>
  </si>
  <si>
    <t>EMP404</t>
  </si>
  <si>
    <t>Name 403</t>
  </si>
  <si>
    <t>EMP403</t>
  </si>
  <si>
    <t>Name 402</t>
  </si>
  <si>
    <t>EMP402</t>
  </si>
  <si>
    <t>Name 401</t>
  </si>
  <si>
    <t>EMP401</t>
  </si>
  <si>
    <t>Name 400</t>
  </si>
  <si>
    <t>EMP400</t>
  </si>
  <si>
    <t>Name 399</t>
  </si>
  <si>
    <t>EMP399</t>
  </si>
  <si>
    <t>Name 398</t>
  </si>
  <si>
    <t>EMP398</t>
  </si>
  <si>
    <t>Name 397</t>
  </si>
  <si>
    <t>EMP397</t>
  </si>
  <si>
    <t>Name 396</t>
  </si>
  <si>
    <t>EMP396</t>
  </si>
  <si>
    <t>Name 395</t>
  </si>
  <si>
    <t>EMP395</t>
  </si>
  <si>
    <t>Name 394</t>
  </si>
  <si>
    <t>EMP394</t>
  </si>
  <si>
    <t>Name 393</t>
  </si>
  <si>
    <t>EMP393</t>
  </si>
  <si>
    <t>Name 392</t>
  </si>
  <si>
    <t>EMP392</t>
  </si>
  <si>
    <t>Name 391</t>
  </si>
  <si>
    <t>EMP391</t>
  </si>
  <si>
    <t>Name 390</t>
  </si>
  <si>
    <t>EMP390</t>
  </si>
  <si>
    <t>Name 389</t>
  </si>
  <si>
    <t>EMP389</t>
  </si>
  <si>
    <t>Name 388</t>
  </si>
  <si>
    <t>EMP388</t>
  </si>
  <si>
    <t>Name 387</t>
  </si>
  <si>
    <t>EMP387</t>
  </si>
  <si>
    <t>Name 386</t>
  </si>
  <si>
    <t>EMP386</t>
  </si>
  <si>
    <t>Name 385</t>
  </si>
  <si>
    <t>EMP385</t>
  </si>
  <si>
    <t>Name 384</t>
  </si>
  <si>
    <t>EMP384</t>
  </si>
  <si>
    <t>Name 383</t>
  </si>
  <si>
    <t>EMP383</t>
  </si>
  <si>
    <t>Name 382</t>
  </si>
  <si>
    <t>EMP382</t>
  </si>
  <si>
    <t>Name 381</t>
  </si>
  <si>
    <t>EMP381</t>
  </si>
  <si>
    <t>Name 380</t>
  </si>
  <si>
    <t>EMP380</t>
  </si>
  <si>
    <t>Name 379</t>
  </si>
  <si>
    <t>EMP379</t>
  </si>
  <si>
    <t>Name 378</t>
  </si>
  <si>
    <t>EMP378</t>
  </si>
  <si>
    <t>Name 377</t>
  </si>
  <si>
    <t>EMP377</t>
  </si>
  <si>
    <t>Name 376</t>
  </si>
  <si>
    <t>EMP376</t>
  </si>
  <si>
    <t>Name 375</t>
  </si>
  <si>
    <t>EMP375</t>
  </si>
  <si>
    <t>Name 374</t>
  </si>
  <si>
    <t>EMP374</t>
  </si>
  <si>
    <t>Name 373</t>
  </si>
  <si>
    <t>EMP373</t>
  </si>
  <si>
    <t>Name 372</t>
  </si>
  <si>
    <t>EMP372</t>
  </si>
  <si>
    <t>Name 371</t>
  </si>
  <si>
    <t>EMP371</t>
  </si>
  <si>
    <t>Name 370</t>
  </si>
  <si>
    <t>EMP370</t>
  </si>
  <si>
    <t>Name 369</t>
  </si>
  <si>
    <t>EMP369</t>
  </si>
  <si>
    <t>Name 368</t>
  </si>
  <si>
    <t>EMP368</t>
  </si>
  <si>
    <t>Name 367</t>
  </si>
  <si>
    <t>EMP367</t>
  </si>
  <si>
    <t>Name 366</t>
  </si>
  <si>
    <t>EMP366</t>
  </si>
  <si>
    <t>Name 365</t>
  </si>
  <si>
    <t>EMP365</t>
  </si>
  <si>
    <t>Name 364</t>
  </si>
  <si>
    <t>EMP364</t>
  </si>
  <si>
    <t>Name 363</t>
  </si>
  <si>
    <t>EMP363</t>
  </si>
  <si>
    <t>Name 362</t>
  </si>
  <si>
    <t>EMP362</t>
  </si>
  <si>
    <t>Name 361</t>
  </si>
  <si>
    <t>EMP361</t>
  </si>
  <si>
    <t>Name 360</t>
  </si>
  <si>
    <t>EMP360</t>
  </si>
  <si>
    <t>Name 359</t>
  </si>
  <si>
    <t>EMP359</t>
  </si>
  <si>
    <t>Name 358</t>
  </si>
  <si>
    <t>EMP358</t>
  </si>
  <si>
    <t>Name 357</t>
  </si>
  <si>
    <t>EMP357</t>
  </si>
  <si>
    <t>Name 356</t>
  </si>
  <si>
    <t>EMP356</t>
  </si>
  <si>
    <t>Name 355</t>
  </si>
  <si>
    <t>EMP355</t>
  </si>
  <si>
    <t>Name 354</t>
  </si>
  <si>
    <t>EMP354</t>
  </si>
  <si>
    <t>Name 353</t>
  </si>
  <si>
    <t>EMP353</t>
  </si>
  <si>
    <t>Name 352</t>
  </si>
  <si>
    <t>EMP352</t>
  </si>
  <si>
    <t>Name 351</t>
  </si>
  <si>
    <t>EMP351</t>
  </si>
  <si>
    <t>Name 350</t>
  </si>
  <si>
    <t>EMP350</t>
  </si>
  <si>
    <t>Name 349</t>
  </si>
  <si>
    <t>EMP349</t>
  </si>
  <si>
    <t>Name 348</t>
  </si>
  <si>
    <t>EMP348</t>
  </si>
  <si>
    <t>Name 347</t>
  </si>
  <si>
    <t>EMP347</t>
  </si>
  <si>
    <t>Name 346</t>
  </si>
  <si>
    <t>EMP346</t>
  </si>
  <si>
    <t>Name 345</t>
  </si>
  <si>
    <t>EMP345</t>
  </si>
  <si>
    <t>Name 344</t>
  </si>
  <si>
    <t>EMP344</t>
  </si>
  <si>
    <t>Name 343</t>
  </si>
  <si>
    <t>EMP343</t>
  </si>
  <si>
    <t>Name 342</t>
  </si>
  <si>
    <t>EMP342</t>
  </si>
  <si>
    <t>Name 341</t>
  </si>
  <si>
    <t>EMP341</t>
  </si>
  <si>
    <t>Name 340</t>
  </si>
  <si>
    <t>EMP340</t>
  </si>
  <si>
    <t>Name 339</t>
  </si>
  <si>
    <t>EMP339</t>
  </si>
  <si>
    <t>Name 338</t>
  </si>
  <si>
    <t>EMP338</t>
  </si>
  <si>
    <t>Name 337</t>
  </si>
  <si>
    <t>EMP337</t>
  </si>
  <si>
    <t>Name 336</t>
  </si>
  <si>
    <t>EMP336</t>
  </si>
  <si>
    <t>Name 335</t>
  </si>
  <si>
    <t>EMP335</t>
  </si>
  <si>
    <t>Name 334</t>
  </si>
  <si>
    <t>EMP334</t>
  </si>
  <si>
    <t>Name 333</t>
  </si>
  <si>
    <t>EMP333</t>
  </si>
  <si>
    <t>Name 332</t>
  </si>
  <si>
    <t>EMP332</t>
  </si>
  <si>
    <t>Name 331</t>
  </si>
  <si>
    <t>EMP331</t>
  </si>
  <si>
    <t>Name 330</t>
  </si>
  <si>
    <t>EMP330</t>
  </si>
  <si>
    <t>Name 329</t>
  </si>
  <si>
    <t>EMP329</t>
  </si>
  <si>
    <t>Name 328</t>
  </si>
  <si>
    <t>EMP328</t>
  </si>
  <si>
    <t>Name 327</t>
  </si>
  <si>
    <t>EMP327</t>
  </si>
  <si>
    <t>Name 326</t>
  </si>
  <si>
    <t>EMP326</t>
  </si>
  <si>
    <t>Name 325</t>
  </si>
  <si>
    <t>EMP325</t>
  </si>
  <si>
    <t>Name 324</t>
  </si>
  <si>
    <t>EMP324</t>
  </si>
  <si>
    <t>Name 323</t>
  </si>
  <si>
    <t>EMP323</t>
  </si>
  <si>
    <t>Name 322</t>
  </si>
  <si>
    <t>EMP322</t>
  </si>
  <si>
    <t>Name 321</t>
  </si>
  <si>
    <t>EMP321</t>
  </si>
  <si>
    <t>Name 320</t>
  </si>
  <si>
    <t>EMP320</t>
  </si>
  <si>
    <t>Name 319</t>
  </si>
  <si>
    <t>EMP319</t>
  </si>
  <si>
    <t>Name 318</t>
  </si>
  <si>
    <t>EMP318</t>
  </si>
  <si>
    <t>Name 317</t>
  </si>
  <si>
    <t>EMP317</t>
  </si>
  <si>
    <t>Name 316</t>
  </si>
  <si>
    <t>EMP316</t>
  </si>
  <si>
    <t>Name 315</t>
  </si>
  <si>
    <t>EMP315</t>
  </si>
  <si>
    <t>Name 314</t>
  </si>
  <si>
    <t>EMP314</t>
  </si>
  <si>
    <t>Name 313</t>
  </si>
  <si>
    <t>EMP313</t>
  </si>
  <si>
    <t>Name 312</t>
  </si>
  <si>
    <t>EMP312</t>
  </si>
  <si>
    <t>Name 311</t>
  </si>
  <si>
    <t>EMP311</t>
  </si>
  <si>
    <t>Name 310</t>
  </si>
  <si>
    <t>EMP310</t>
  </si>
  <si>
    <t>Name 309</t>
  </si>
  <si>
    <t>EMP309</t>
  </si>
  <si>
    <t>Name 308</t>
  </si>
  <si>
    <t>EMP308</t>
  </si>
  <si>
    <t>Name 307</t>
  </si>
  <si>
    <t>EMP307</t>
  </si>
  <si>
    <t>Name 306</t>
  </si>
  <si>
    <t>EMP306</t>
  </si>
  <si>
    <t>Name 305</t>
  </si>
  <si>
    <t>EMP305</t>
  </si>
  <si>
    <t>Name 304</t>
  </si>
  <si>
    <t>EMP304</t>
  </si>
  <si>
    <t>Name 303</t>
  </si>
  <si>
    <t>EMP303</t>
  </si>
  <si>
    <t>Name 302</t>
  </si>
  <si>
    <t>EMP302</t>
  </si>
  <si>
    <t>Name 301</t>
  </si>
  <si>
    <t>EMP301</t>
  </si>
  <si>
    <t>Name 300</t>
  </si>
  <si>
    <t>EMP300</t>
  </si>
  <si>
    <t>Name 299</t>
  </si>
  <si>
    <t>EMP299</t>
  </si>
  <si>
    <t>Name 298</t>
  </si>
  <si>
    <t>EMP298</t>
  </si>
  <si>
    <t>Name 297</t>
  </si>
  <si>
    <t>EMP297</t>
  </si>
  <si>
    <t>Name 296</t>
  </si>
  <si>
    <t>EMP296</t>
  </si>
  <si>
    <t>Name 295</t>
  </si>
  <si>
    <t>EMP295</t>
  </si>
  <si>
    <t>Name 294</t>
  </si>
  <si>
    <t>EMP294</t>
  </si>
  <si>
    <t>Name 293</t>
  </si>
  <si>
    <t>EMP293</t>
  </si>
  <si>
    <t>Name 292</t>
  </si>
  <si>
    <t>EMP292</t>
  </si>
  <si>
    <t>Name 291</t>
  </si>
  <si>
    <t>EMP291</t>
  </si>
  <si>
    <t>Name 290</t>
  </si>
  <si>
    <t>EMP290</t>
  </si>
  <si>
    <t>Name 289</t>
  </si>
  <si>
    <t>EMP289</t>
  </si>
  <si>
    <t>Name 288</t>
  </si>
  <si>
    <t>EMP288</t>
  </si>
  <si>
    <t>Name 287</t>
  </si>
  <si>
    <t>EMP287</t>
  </si>
  <si>
    <t>Name 286</t>
  </si>
  <si>
    <t>EMP286</t>
  </si>
  <si>
    <t>Name 285</t>
  </si>
  <si>
    <t>EMP285</t>
  </si>
  <si>
    <t>Name 284</t>
  </si>
  <si>
    <t>EMP284</t>
  </si>
  <si>
    <t>Name 283</t>
  </si>
  <si>
    <t>EMP283</t>
  </si>
  <si>
    <t>Name 282</t>
  </si>
  <si>
    <t>EMP282</t>
  </si>
  <si>
    <t>Name 281</t>
  </si>
  <si>
    <t>EMP281</t>
  </si>
  <si>
    <t>Name 280</t>
  </si>
  <si>
    <t>EMP280</t>
  </si>
  <si>
    <t>Name 279</t>
  </si>
  <si>
    <t>EMP279</t>
  </si>
  <si>
    <t>Name 278</t>
  </si>
  <si>
    <t>EMP278</t>
  </si>
  <si>
    <t>Name 277</t>
  </si>
  <si>
    <t>EMP277</t>
  </si>
  <si>
    <t>Name 276</t>
  </si>
  <si>
    <t>EMP276</t>
  </si>
  <si>
    <t>Name 275</t>
  </si>
  <si>
    <t>EMP275</t>
  </si>
  <si>
    <t>Name 274</t>
  </si>
  <si>
    <t>EMP274</t>
  </si>
  <si>
    <t>Name 273</t>
  </si>
  <si>
    <t>EMP273</t>
  </si>
  <si>
    <t>Name 272</t>
  </si>
  <si>
    <t>EMP272</t>
  </si>
  <si>
    <t>Name 271</t>
  </si>
  <si>
    <t>EMP271</t>
  </si>
  <si>
    <t>Name 270</t>
  </si>
  <si>
    <t>EMP270</t>
  </si>
  <si>
    <t>Name 269</t>
  </si>
  <si>
    <t>EMP269</t>
  </si>
  <si>
    <t>Name 268</t>
  </si>
  <si>
    <t>EMP268</t>
  </si>
  <si>
    <t>Name 267</t>
  </si>
  <si>
    <t>EMP267</t>
  </si>
  <si>
    <t>Name 266</t>
  </si>
  <si>
    <t>EMP266</t>
  </si>
  <si>
    <t>Name 265</t>
  </si>
  <si>
    <t>EMP265</t>
  </si>
  <si>
    <t>Name 264</t>
  </si>
  <si>
    <t>EMP264</t>
  </si>
  <si>
    <t>Name 263</t>
  </si>
  <si>
    <t>EMP263</t>
  </si>
  <si>
    <t>Name 262</t>
  </si>
  <si>
    <t>EMP262</t>
  </si>
  <si>
    <t>Name 261</t>
  </si>
  <si>
    <t>EMP261</t>
  </si>
  <si>
    <t>Name 260</t>
  </si>
  <si>
    <t>EMP260</t>
  </si>
  <si>
    <t>Name 259</t>
  </si>
  <si>
    <t>EMP259</t>
  </si>
  <si>
    <t>Name 258</t>
  </si>
  <si>
    <t>EMP258</t>
  </si>
  <si>
    <t>Name 257</t>
  </si>
  <si>
    <t>EMP257</t>
  </si>
  <si>
    <t>Name 256</t>
  </si>
  <si>
    <t>EMP256</t>
  </si>
  <si>
    <t>Name 255</t>
  </si>
  <si>
    <t>EMP255</t>
  </si>
  <si>
    <t>Name 254</t>
  </si>
  <si>
    <t>EMP254</t>
  </si>
  <si>
    <t>Name 253</t>
  </si>
  <si>
    <t>EMP253</t>
  </si>
  <si>
    <t>Name 252</t>
  </si>
  <si>
    <t>EMP252</t>
  </si>
  <si>
    <t>Name 251</t>
  </si>
  <si>
    <t>EMP251</t>
  </si>
  <si>
    <t>Name 250</t>
  </si>
  <si>
    <t>EMP250</t>
  </si>
  <si>
    <t>Name 249</t>
  </si>
  <si>
    <t>EMP249</t>
  </si>
  <si>
    <t>Name 248</t>
  </si>
  <si>
    <t>EMP248</t>
  </si>
  <si>
    <t>Name 247</t>
  </si>
  <si>
    <t>EMP247</t>
  </si>
  <si>
    <t>Name 246</t>
  </si>
  <si>
    <t>EMP246</t>
  </si>
  <si>
    <t>Name 245</t>
  </si>
  <si>
    <t>EMP245</t>
  </si>
  <si>
    <t>Name 244</t>
  </si>
  <si>
    <t>EMP244</t>
  </si>
  <si>
    <t>Name 243</t>
  </si>
  <si>
    <t>EMP243</t>
  </si>
  <si>
    <t>Name 242</t>
  </si>
  <si>
    <t>EMP242</t>
  </si>
  <si>
    <t>Name 241</t>
  </si>
  <si>
    <t>EMP241</t>
  </si>
  <si>
    <t>Name 240</t>
  </si>
  <si>
    <t>EMP240</t>
  </si>
  <si>
    <t>Name 239</t>
  </si>
  <si>
    <t>EMP239</t>
  </si>
  <si>
    <t>Name 238</t>
  </si>
  <si>
    <t>EMP238</t>
  </si>
  <si>
    <t>Name 237</t>
  </si>
  <si>
    <t>EMP237</t>
  </si>
  <si>
    <t>Name 236</t>
  </si>
  <si>
    <t>EMP236</t>
  </si>
  <si>
    <t>Name 235</t>
  </si>
  <si>
    <t>EMP235</t>
  </si>
  <si>
    <t>Name 234</t>
  </si>
  <si>
    <t>EMP234</t>
  </si>
  <si>
    <t>Name 233</t>
  </si>
  <si>
    <t>EMP233</t>
  </si>
  <si>
    <t>Name 232</t>
  </si>
  <si>
    <t>EMP232</t>
  </si>
  <si>
    <t>Name 231</t>
  </si>
  <si>
    <t>EMP231</t>
  </si>
  <si>
    <t>Name 230</t>
  </si>
  <si>
    <t>EMP230</t>
  </si>
  <si>
    <t>Name 229</t>
  </si>
  <si>
    <t>EMP229</t>
  </si>
  <si>
    <t>Name 228</t>
  </si>
  <si>
    <t>EMP228</t>
  </si>
  <si>
    <t>Name 227</t>
  </si>
  <si>
    <t>EMP227</t>
  </si>
  <si>
    <t>Name 226</t>
  </si>
  <si>
    <t>EMP226</t>
  </si>
  <si>
    <t>Name 225</t>
  </si>
  <si>
    <t>EMP225</t>
  </si>
  <si>
    <t>Name 224</t>
  </si>
  <si>
    <t>EMP224</t>
  </si>
  <si>
    <t>Name 223</t>
  </si>
  <si>
    <t>EMP223</t>
  </si>
  <si>
    <t>Name 222</t>
  </si>
  <si>
    <t>EMP222</t>
  </si>
  <si>
    <t>Name 221</t>
  </si>
  <si>
    <t>EMP221</t>
  </si>
  <si>
    <t>Name 220</t>
  </si>
  <si>
    <t>EMP220</t>
  </si>
  <si>
    <t>Name 219</t>
  </si>
  <si>
    <t>EMP219</t>
  </si>
  <si>
    <t>Name 218</t>
  </si>
  <si>
    <t>EMP218</t>
  </si>
  <si>
    <t>Name 217</t>
  </si>
  <si>
    <t>EMP217</t>
  </si>
  <si>
    <t>Name 216</t>
  </si>
  <si>
    <t>EMP216</t>
  </si>
  <si>
    <t>Name 215</t>
  </si>
  <si>
    <t>EMP215</t>
  </si>
  <si>
    <t>Name 214</t>
  </si>
  <si>
    <t>EMP214</t>
  </si>
  <si>
    <t>Name 213</t>
  </si>
  <si>
    <t>EMP213</t>
  </si>
  <si>
    <t>Name 212</t>
  </si>
  <si>
    <t>EMP212</t>
  </si>
  <si>
    <t>Name 211</t>
  </si>
  <si>
    <t>EMP211</t>
  </si>
  <si>
    <t>Name 210</t>
  </si>
  <si>
    <t>EMP210</t>
  </si>
  <si>
    <t>Name 209</t>
  </si>
  <si>
    <t>EMP209</t>
  </si>
  <si>
    <t>Name 208</t>
  </si>
  <si>
    <t>EMP208</t>
  </si>
  <si>
    <t>Name 207</t>
  </si>
  <si>
    <t>EMP207</t>
  </si>
  <si>
    <t>Name 206</t>
  </si>
  <si>
    <t>EMP206</t>
  </si>
  <si>
    <t>Name 205</t>
  </si>
  <si>
    <t>EMP205</t>
  </si>
  <si>
    <t>Name 204</t>
  </si>
  <si>
    <t>EMP204</t>
  </si>
  <si>
    <t>Name 203</t>
  </si>
  <si>
    <t>EMP203</t>
  </si>
  <si>
    <t>Name 202</t>
  </si>
  <si>
    <t>EMP202</t>
  </si>
  <si>
    <t>Name 201</t>
  </si>
  <si>
    <t>EMP201</t>
  </si>
  <si>
    <t>Name 200</t>
  </si>
  <si>
    <t>EMP200</t>
  </si>
  <si>
    <t>Name 199</t>
  </si>
  <si>
    <t>EMP199</t>
  </si>
  <si>
    <t>Name 198</t>
  </si>
  <si>
    <t>EMP198</t>
  </si>
  <si>
    <t>Name 197</t>
  </si>
  <si>
    <t>EMP197</t>
  </si>
  <si>
    <t>Name 196</t>
  </si>
  <si>
    <t>EMP196</t>
  </si>
  <si>
    <t>Name 195</t>
  </si>
  <si>
    <t>EMP195</t>
  </si>
  <si>
    <t>Name 194</t>
  </si>
  <si>
    <t>EMP194</t>
  </si>
  <si>
    <t>Name 193</t>
  </si>
  <si>
    <t>EMP193</t>
  </si>
  <si>
    <t>Name 192</t>
  </si>
  <si>
    <t>EMP192</t>
  </si>
  <si>
    <t>Name 191</t>
  </si>
  <si>
    <t>EMP191</t>
  </si>
  <si>
    <t>Name 190</t>
  </si>
  <si>
    <t>EMP190</t>
  </si>
  <si>
    <t>Name 189</t>
  </si>
  <si>
    <t>EMP189</t>
  </si>
  <si>
    <t>Name 188</t>
  </si>
  <si>
    <t>EMP188</t>
  </si>
  <si>
    <t>Name 187</t>
  </si>
  <si>
    <t>EMP187</t>
  </si>
  <si>
    <t>Name 186</t>
  </si>
  <si>
    <t>EMP186</t>
  </si>
  <si>
    <t>Name 185</t>
  </si>
  <si>
    <t>EMP185</t>
  </si>
  <si>
    <t>Name 184</t>
  </si>
  <si>
    <t>EMP184</t>
  </si>
  <si>
    <t>Name 183</t>
  </si>
  <si>
    <t>EMP183</t>
  </si>
  <si>
    <t>Name 182</t>
  </si>
  <si>
    <t>EMP182</t>
  </si>
  <si>
    <t>Name 181</t>
  </si>
  <si>
    <t>EMP181</t>
  </si>
  <si>
    <t>Name 180</t>
  </si>
  <si>
    <t>EMP180</t>
  </si>
  <si>
    <t>Name 179</t>
  </si>
  <si>
    <t>EMP179</t>
  </si>
  <si>
    <t>Name 178</t>
  </si>
  <si>
    <t>EMP178</t>
  </si>
  <si>
    <t>Name 177</t>
  </si>
  <si>
    <t>EMP177</t>
  </si>
  <si>
    <t>Name 176</t>
  </si>
  <si>
    <t>EMP176</t>
  </si>
  <si>
    <t>Name 175</t>
  </si>
  <si>
    <t>EMP175</t>
  </si>
  <si>
    <t>Name 174</t>
  </si>
  <si>
    <t>EMP174</t>
  </si>
  <si>
    <t>Name 173</t>
  </si>
  <si>
    <t>EMP173</t>
  </si>
  <si>
    <t>Name 172</t>
  </si>
  <si>
    <t>EMP172</t>
  </si>
  <si>
    <t>Name 171</t>
  </si>
  <si>
    <t>EMP171</t>
  </si>
  <si>
    <t>Name 170</t>
  </si>
  <si>
    <t>EMP170</t>
  </si>
  <si>
    <t>Name 169</t>
  </si>
  <si>
    <t>EMP169</t>
  </si>
  <si>
    <t>Name 168</t>
  </si>
  <si>
    <t>EMP168</t>
  </si>
  <si>
    <t>Name 167</t>
  </si>
  <si>
    <t>EMP167</t>
  </si>
  <si>
    <t>Name 166</t>
  </si>
  <si>
    <t>EMP166</t>
  </si>
  <si>
    <t>Name 165</t>
  </si>
  <si>
    <t>EMP165</t>
  </si>
  <si>
    <t>Name 164</t>
  </si>
  <si>
    <t>EMP164</t>
  </si>
  <si>
    <t>Name 163</t>
  </si>
  <si>
    <t>EMP163</t>
  </si>
  <si>
    <t>Name 162</t>
  </si>
  <si>
    <t>EMP162</t>
  </si>
  <si>
    <t>Name 161</t>
  </si>
  <si>
    <t>EMP161</t>
  </si>
  <si>
    <t>Name 160</t>
  </si>
  <si>
    <t>EMP160</t>
  </si>
  <si>
    <t>Name 159</t>
  </si>
  <si>
    <t>EMP159</t>
  </si>
  <si>
    <t>Name 158</t>
  </si>
  <si>
    <t>EMP158</t>
  </si>
  <si>
    <t>Name 157</t>
  </si>
  <si>
    <t>EMP157</t>
  </si>
  <si>
    <t>Name 156</t>
  </si>
  <si>
    <t>EMP156</t>
  </si>
  <si>
    <t>Name 155</t>
  </si>
  <si>
    <t>EMP155</t>
  </si>
  <si>
    <t>Name 154</t>
  </si>
  <si>
    <t>EMP154</t>
  </si>
  <si>
    <t>Name 153</t>
  </si>
  <si>
    <t>EMP153</t>
  </si>
  <si>
    <t>Name 152</t>
  </si>
  <si>
    <t>EMP152</t>
  </si>
  <si>
    <t>Name 151</t>
  </si>
  <si>
    <t>EMP151</t>
  </si>
  <si>
    <t>Name 150</t>
  </si>
  <si>
    <t>EMP150</t>
  </si>
  <si>
    <t>Name 149</t>
  </si>
  <si>
    <t>EMP149</t>
  </si>
  <si>
    <t>Name 148</t>
  </si>
  <si>
    <t>EMP148</t>
  </si>
  <si>
    <t>Name 147</t>
  </si>
  <si>
    <t>EMP147</t>
  </si>
  <si>
    <t>Name 146</t>
  </si>
  <si>
    <t>EMP146</t>
  </si>
  <si>
    <t>Name 145</t>
  </si>
  <si>
    <t>EMP145</t>
  </si>
  <si>
    <t>Name 144</t>
  </si>
  <si>
    <t>EMP144</t>
  </si>
  <si>
    <t>Name 143</t>
  </si>
  <si>
    <t>EMP143</t>
  </si>
  <si>
    <t>Name 142</t>
  </si>
  <si>
    <t>EMP142</t>
  </si>
  <si>
    <t>Name 141</t>
  </si>
  <si>
    <t>EMP141</t>
  </si>
  <si>
    <t>Name 140</t>
  </si>
  <si>
    <t>EMP140</t>
  </si>
  <si>
    <t>Name 139</t>
  </si>
  <si>
    <t>EMP139</t>
  </si>
  <si>
    <t>Name 138</t>
  </si>
  <si>
    <t>EMP138</t>
  </si>
  <si>
    <t>Name 137</t>
  </si>
  <si>
    <t>EMP137</t>
  </si>
  <si>
    <t>Name 136</t>
  </si>
  <si>
    <t>EMP136</t>
  </si>
  <si>
    <t>Name 135</t>
  </si>
  <si>
    <t>EMP135</t>
  </si>
  <si>
    <t>Name 134</t>
  </si>
  <si>
    <t>EMP134</t>
  </si>
  <si>
    <t>Name 133</t>
  </si>
  <si>
    <t>EMP133</t>
  </si>
  <si>
    <t>Name 132</t>
  </si>
  <si>
    <t>EMP132</t>
  </si>
  <si>
    <t>Name 131</t>
  </si>
  <si>
    <t>EMP131</t>
  </si>
  <si>
    <t>Name 130</t>
  </si>
  <si>
    <t>EMP130</t>
  </si>
  <si>
    <t>Name 129</t>
  </si>
  <si>
    <t>EMP129</t>
  </si>
  <si>
    <t>Name 128</t>
  </si>
  <si>
    <t>EMP128</t>
  </si>
  <si>
    <t>Name 127</t>
  </si>
  <si>
    <t>EMP127</t>
  </si>
  <si>
    <t>Name 126</t>
  </si>
  <si>
    <t>EMP126</t>
  </si>
  <si>
    <t>Name 125</t>
  </si>
  <si>
    <t>EMP125</t>
  </si>
  <si>
    <t>Name 124</t>
  </si>
  <si>
    <t>EMP124</t>
  </si>
  <si>
    <t>Name 123</t>
  </si>
  <si>
    <t>EMP123</t>
  </si>
  <si>
    <t>Name 122</t>
  </si>
  <si>
    <t>EMP122</t>
  </si>
  <si>
    <t>Name 121</t>
  </si>
  <si>
    <t>EMP121</t>
  </si>
  <si>
    <t>Name 120</t>
  </si>
  <si>
    <t>EMP120</t>
  </si>
  <si>
    <t>Name 119</t>
  </si>
  <si>
    <t>EMP119</t>
  </si>
  <si>
    <t>Name 118</t>
  </si>
  <si>
    <t>EMP118</t>
  </si>
  <si>
    <t>Name 117</t>
  </si>
  <si>
    <t>EMP117</t>
  </si>
  <si>
    <t>Name 116</t>
  </si>
  <si>
    <t>EMP116</t>
  </si>
  <si>
    <t>Name 115</t>
  </si>
  <si>
    <t>EMP115</t>
  </si>
  <si>
    <t>Name 114</t>
  </si>
  <si>
    <t>EMP114</t>
  </si>
  <si>
    <t>Name 113</t>
  </si>
  <si>
    <t>EMP113</t>
  </si>
  <si>
    <t>Name 112</t>
  </si>
  <si>
    <t>EMP112</t>
  </si>
  <si>
    <t>Name 111</t>
  </si>
  <si>
    <t>EMP111</t>
  </si>
  <si>
    <t>Name 110</t>
  </si>
  <si>
    <t>EMP110</t>
  </si>
  <si>
    <t>Name 109</t>
  </si>
  <si>
    <t>EMP109</t>
  </si>
  <si>
    <t>Name 108</t>
  </si>
  <si>
    <t>EMP108</t>
  </si>
  <si>
    <t>Name 107</t>
  </si>
  <si>
    <t>EMP107</t>
  </si>
  <si>
    <t>Name 106</t>
  </si>
  <si>
    <t>EMP106</t>
  </si>
  <si>
    <t>Name 105</t>
  </si>
  <si>
    <t>EMP105</t>
  </si>
  <si>
    <t>Name 104</t>
  </si>
  <si>
    <t>EMP104</t>
  </si>
  <si>
    <t>Name 103</t>
  </si>
  <si>
    <t>EMP103</t>
  </si>
  <si>
    <t>Name 102</t>
  </si>
  <si>
    <t>EMP102</t>
  </si>
  <si>
    <t>Name 101</t>
  </si>
  <si>
    <t>EMP101</t>
  </si>
  <si>
    <t>Name 100</t>
  </si>
  <si>
    <t>EMP100</t>
  </si>
  <si>
    <t>Name 99</t>
  </si>
  <si>
    <t>EMP099</t>
  </si>
  <si>
    <t>Name 98</t>
  </si>
  <si>
    <t>EMP098</t>
  </si>
  <si>
    <t>Name 97</t>
  </si>
  <si>
    <t>EMP097</t>
  </si>
  <si>
    <t>Name 96</t>
  </si>
  <si>
    <t>EMP096</t>
  </si>
  <si>
    <t>Name 95</t>
  </si>
  <si>
    <t>EMP095</t>
  </si>
  <si>
    <t>Name 94</t>
  </si>
  <si>
    <t>EMP094</t>
  </si>
  <si>
    <t>Name 93</t>
  </si>
  <si>
    <t>EMP093</t>
  </si>
  <si>
    <t>Name 92</t>
  </si>
  <si>
    <t>EMP092</t>
  </si>
  <si>
    <t>Name 91</t>
  </si>
  <si>
    <t>EMP091</t>
  </si>
  <si>
    <t>Name 90</t>
  </si>
  <si>
    <t>EMP090</t>
  </si>
  <si>
    <t>Name 89</t>
  </si>
  <si>
    <t>EMP089</t>
  </si>
  <si>
    <t>Name 88</t>
  </si>
  <si>
    <t>EMP088</t>
  </si>
  <si>
    <t>Name 87</t>
  </si>
  <si>
    <t>EMP087</t>
  </si>
  <si>
    <t>Name 86</t>
  </si>
  <si>
    <t>EMP086</t>
  </si>
  <si>
    <t>Name 85</t>
  </si>
  <si>
    <t>EMP085</t>
  </si>
  <si>
    <t>Name 84</t>
  </si>
  <si>
    <t>EMP084</t>
  </si>
  <si>
    <t>Name 83</t>
  </si>
  <si>
    <t>EMP083</t>
  </si>
  <si>
    <t>Name 82</t>
  </si>
  <si>
    <t>EMP082</t>
  </si>
  <si>
    <t>Name 81</t>
  </si>
  <si>
    <t>EMP081</t>
  </si>
  <si>
    <t>Name 80</t>
  </si>
  <si>
    <t>EMP080</t>
  </si>
  <si>
    <t>Name 79</t>
  </si>
  <si>
    <t>EMP079</t>
  </si>
  <si>
    <t>Name 78</t>
  </si>
  <si>
    <t>EMP078</t>
  </si>
  <si>
    <t>Name 77</t>
  </si>
  <si>
    <t>EMP077</t>
  </si>
  <si>
    <t>Name 76</t>
  </si>
  <si>
    <t>EMP076</t>
  </si>
  <si>
    <t>Name 75</t>
  </si>
  <si>
    <t>EMP075</t>
  </si>
  <si>
    <t>Name 74</t>
  </si>
  <si>
    <t>EMP074</t>
  </si>
  <si>
    <t>Name 73</t>
  </si>
  <si>
    <t>EMP073</t>
  </si>
  <si>
    <t>Name 72</t>
  </si>
  <si>
    <t>EMP072</t>
  </si>
  <si>
    <t>Name 71</t>
  </si>
  <si>
    <t>EMP071</t>
  </si>
  <si>
    <t>Name 70</t>
  </si>
  <si>
    <t>EMP070</t>
  </si>
  <si>
    <t>Name 69</t>
  </si>
  <si>
    <t>EMP069</t>
  </si>
  <si>
    <t>Name 68</t>
  </si>
  <si>
    <t>EMP068</t>
  </si>
  <si>
    <t>Name 67</t>
  </si>
  <si>
    <t>EMP067</t>
  </si>
  <si>
    <t>Name 66</t>
  </si>
  <si>
    <t>EMP066</t>
  </si>
  <si>
    <t>Name 65</t>
  </si>
  <si>
    <t>EMP065</t>
  </si>
  <si>
    <t>Name 64</t>
  </si>
  <si>
    <t>EMP064</t>
  </si>
  <si>
    <t>Name 63</t>
  </si>
  <si>
    <t>EMP063</t>
  </si>
  <si>
    <t>Name 62</t>
  </si>
  <si>
    <t>EMP062</t>
  </si>
  <si>
    <t>Name 61</t>
  </si>
  <si>
    <t>EMP061</t>
  </si>
  <si>
    <t>Name 60</t>
  </si>
  <si>
    <t>EMP060</t>
  </si>
  <si>
    <t>Name 59</t>
  </si>
  <si>
    <t>EMP059</t>
  </si>
  <si>
    <t>Name 58</t>
  </si>
  <si>
    <t>EMP058</t>
  </si>
  <si>
    <t>Name 57</t>
  </si>
  <si>
    <t>EMP057</t>
  </si>
  <si>
    <t>Name 56</t>
  </si>
  <si>
    <t>EMP056</t>
  </si>
  <si>
    <t>Name 55</t>
  </si>
  <si>
    <t>EMP055</t>
  </si>
  <si>
    <t>Name 54</t>
  </si>
  <si>
    <t>EMP054</t>
  </si>
  <si>
    <t>Name 53</t>
  </si>
  <si>
    <t>EMP053</t>
  </si>
  <si>
    <t>Name 52</t>
  </si>
  <si>
    <t>EMP052</t>
  </si>
  <si>
    <t>Name 51</t>
  </si>
  <si>
    <t>EMP051</t>
  </si>
  <si>
    <t>Name 50</t>
  </si>
  <si>
    <t>EMP050</t>
  </si>
  <si>
    <t>Name 49</t>
  </si>
  <si>
    <t>EMP049</t>
  </si>
  <si>
    <t>Name 48</t>
  </si>
  <si>
    <t>EMP048</t>
  </si>
  <si>
    <t>Name 47</t>
  </si>
  <si>
    <t>EMP047</t>
  </si>
  <si>
    <t>Name 46</t>
  </si>
  <si>
    <t>EMP046</t>
  </si>
  <si>
    <t>Name 45</t>
  </si>
  <si>
    <t>EMP045</t>
  </si>
  <si>
    <t>Name 44</t>
  </si>
  <si>
    <t>EMP044</t>
  </si>
  <si>
    <t>Name 43</t>
  </si>
  <si>
    <t>EMP043</t>
  </si>
  <si>
    <t>Name 42</t>
  </si>
  <si>
    <t>EMP042</t>
  </si>
  <si>
    <t>Name 41</t>
  </si>
  <si>
    <t>EMP041</t>
  </si>
  <si>
    <t>Name 40</t>
  </si>
  <si>
    <t>EMP040</t>
  </si>
  <si>
    <t>Name 39</t>
  </si>
  <si>
    <t>EMP039</t>
  </si>
  <si>
    <t>Name 38</t>
  </si>
  <si>
    <t>EMP038</t>
  </si>
  <si>
    <t>Name 37</t>
  </si>
  <si>
    <t>EMP037</t>
  </si>
  <si>
    <t>Name 36</t>
  </si>
  <si>
    <t>EMP036</t>
  </si>
  <si>
    <t>Name 35</t>
  </si>
  <si>
    <t>EMP035</t>
  </si>
  <si>
    <t>Name 34</t>
  </si>
  <si>
    <t>EMP034</t>
  </si>
  <si>
    <t>Name 33</t>
  </si>
  <si>
    <t>EMP033</t>
  </si>
  <si>
    <t>Name 32</t>
  </si>
  <si>
    <t>EMP032</t>
  </si>
  <si>
    <t>Name 31</t>
  </si>
  <si>
    <t>EMP031</t>
  </si>
  <si>
    <t>Name 30</t>
  </si>
  <si>
    <t>EMP030</t>
  </si>
  <si>
    <t>Name 29</t>
  </si>
  <si>
    <t>EMP029</t>
  </si>
  <si>
    <t>Name 28</t>
  </si>
  <si>
    <t>EMP028</t>
  </si>
  <si>
    <t>Name 27</t>
  </si>
  <si>
    <t>EMP027</t>
  </si>
  <si>
    <t>Name 26</t>
  </si>
  <si>
    <t>EMP026</t>
  </si>
  <si>
    <t>Name 25</t>
  </si>
  <si>
    <t>EMP025</t>
  </si>
  <si>
    <t>Name 24</t>
  </si>
  <si>
    <t>EMP024</t>
  </si>
  <si>
    <t>Name 23</t>
  </si>
  <si>
    <t>EMP023</t>
  </si>
  <si>
    <t>Name 22</t>
  </si>
  <si>
    <t>EMP022</t>
  </si>
  <si>
    <t>Name 21</t>
  </si>
  <si>
    <t>EMP021</t>
  </si>
  <si>
    <t>Name 20</t>
  </si>
  <si>
    <t>EMP020</t>
  </si>
  <si>
    <t>Name 19</t>
  </si>
  <si>
    <t>EMP019</t>
  </si>
  <si>
    <t>Name 18</t>
  </si>
  <si>
    <t>EMP018</t>
  </si>
  <si>
    <t>Name 17</t>
  </si>
  <si>
    <t>EMP017</t>
  </si>
  <si>
    <t>Name 16</t>
  </si>
  <si>
    <t>EMP016</t>
  </si>
  <si>
    <t>Name 15</t>
  </si>
  <si>
    <t>EMP015</t>
  </si>
  <si>
    <t>Name 14</t>
  </si>
  <si>
    <t>EMP014</t>
  </si>
  <si>
    <t>Name 13</t>
  </si>
  <si>
    <t>EMP013</t>
  </si>
  <si>
    <t>Name 12</t>
  </si>
  <si>
    <t>EMP012</t>
  </si>
  <si>
    <t>Name 11</t>
  </si>
  <si>
    <t>EMP011</t>
  </si>
  <si>
    <t>Name 10</t>
  </si>
  <si>
    <t>EMP010</t>
  </si>
  <si>
    <t>Name 9</t>
  </si>
  <si>
    <t>EMP009</t>
  </si>
  <si>
    <t>Name 8</t>
  </si>
  <si>
    <t>EMP008</t>
  </si>
  <si>
    <t>Name 7</t>
  </si>
  <si>
    <t>EMP007</t>
  </si>
  <si>
    <t>Name 6</t>
  </si>
  <si>
    <t>EMP006</t>
  </si>
  <si>
    <t>Name 5</t>
  </si>
  <si>
    <t>EMP005</t>
  </si>
  <si>
    <t>Name 4</t>
  </si>
  <si>
    <t>EMP004</t>
  </si>
  <si>
    <t>Name 3</t>
  </si>
  <si>
    <t>EMP003</t>
  </si>
  <si>
    <t>Name 2</t>
  </si>
  <si>
    <t>EMP002</t>
  </si>
  <si>
    <t>Name 1</t>
  </si>
  <si>
    <t>EMP001</t>
  </si>
  <si>
    <t>Net Salary</t>
  </si>
  <si>
    <t>Tota Deduction</t>
  </si>
  <si>
    <t>Advance</t>
  </si>
  <si>
    <t>PF</t>
  </si>
  <si>
    <t>PT</t>
  </si>
  <si>
    <t>Gross Salary</t>
  </si>
  <si>
    <t>OT Salary</t>
  </si>
  <si>
    <t>OT Pay</t>
  </si>
  <si>
    <t>Total OT Hrs</t>
  </si>
  <si>
    <t>Daily OT Hrs.</t>
  </si>
  <si>
    <t>Salary</t>
  </si>
  <si>
    <t>AT</t>
  </si>
  <si>
    <t>MA</t>
  </si>
  <si>
    <t>TA</t>
  </si>
  <si>
    <t>CA</t>
  </si>
  <si>
    <t>HRA</t>
  </si>
  <si>
    <t>DA</t>
  </si>
  <si>
    <t>Basic Pay</t>
  </si>
  <si>
    <t>Email</t>
  </si>
  <si>
    <t>Shift</t>
  </si>
  <si>
    <t>Joining Date</t>
  </si>
  <si>
    <t>Age</t>
  </si>
  <si>
    <t>Designation</t>
  </si>
  <si>
    <t>Name</t>
  </si>
  <si>
    <t>Emp ID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</si>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</sst>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"/>
    <numFmt numFmtId="165" formatCode="_-* #,##0_-;\-* #,##0_-;_-* &quot;-&quot;??_-;_-@_-"/>
    <numFmt numFmtId="166" formatCode="&quot;$&quot;#,##0"/>
  </numFmts>
  <fonts count="1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i/>
      <sz val="36"/>
      <color theme="0"/>
      <name val="Aptos Narrow"/>
      <family val="2"/>
      <scheme val="minor"/>
    </font>
    <font>
      <i/>
      <sz val="36"/>
      <color theme="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20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0" borderId="1" xfId="0" applyFont="1" applyBorder="1"/>
    <xf numFmtId="164" fontId="5" fillId="0" borderId="2" xfId="0" applyNumberFormat="1" applyFont="1" applyBorder="1"/>
    <xf numFmtId="0" fontId="5" fillId="0" borderId="2" xfId="0" applyFont="1" applyBorder="1"/>
    <xf numFmtId="1" fontId="5" fillId="0" borderId="2" xfId="0" applyNumberFormat="1" applyFont="1" applyBorder="1"/>
    <xf numFmtId="0" fontId="5" fillId="0" borderId="4" xfId="0" applyFont="1" applyBorder="1"/>
    <xf numFmtId="164" fontId="5" fillId="0" borderId="3" xfId="0" applyNumberFormat="1" applyFont="1" applyBorder="1"/>
    <xf numFmtId="0" fontId="5" fillId="0" borderId="3" xfId="0" applyFont="1" applyBorder="1"/>
    <xf numFmtId="1" fontId="5" fillId="0" borderId="3" xfId="0" applyNumberFormat="1" applyFont="1" applyBorder="1"/>
    <xf numFmtId="0" fontId="1" fillId="3" borderId="1" xfId="0" applyFont="1" applyFill="1" applyBorder="1"/>
    <xf numFmtId="1" fontId="0" fillId="0" borderId="4" xfId="0" applyNumberFormat="1" applyBorder="1"/>
    <xf numFmtId="0" fontId="6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5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7" fillId="0" borderId="1" xfId="0" applyFont="1" applyBorder="1" applyAlignment="1">
      <alignment horizontal="center" vertical="top"/>
    </xf>
    <xf numFmtId="14" fontId="7" fillId="0" borderId="1" xfId="0" applyNumberFormat="1" applyFont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top"/>
    </xf>
    <xf numFmtId="0" fontId="1" fillId="9" borderId="1" xfId="0" applyFont="1" applyFill="1" applyBorder="1"/>
    <xf numFmtId="0" fontId="10" fillId="0" borderId="0" xfId="2"/>
    <xf numFmtId="1" fontId="11" fillId="0" borderId="0" xfId="2" applyNumberFormat="1" applyFont="1"/>
    <xf numFmtId="0" fontId="12" fillId="0" borderId="0" xfId="2" applyFont="1"/>
    <xf numFmtId="0" fontId="11" fillId="0" borderId="0" xfId="2" applyFont="1"/>
    <xf numFmtId="0" fontId="13" fillId="0" borderId="0" xfId="2" applyFont="1"/>
    <xf numFmtId="14" fontId="12" fillId="10" borderId="0" xfId="2" applyNumberFormat="1" applyFont="1" applyFill="1" applyAlignment="1">
      <alignment horizontal="center"/>
    </xf>
    <xf numFmtId="14" fontId="12" fillId="10" borderId="0" xfId="2" applyNumberFormat="1" applyFont="1" applyFill="1" applyAlignment="1">
      <alignment horizontal="left"/>
    </xf>
    <xf numFmtId="166" fontId="11" fillId="5" borderId="1" xfId="2" applyNumberFormat="1" applyFont="1" applyFill="1" applyBorder="1" applyAlignment="1">
      <alignment horizontal="center"/>
    </xf>
    <xf numFmtId="165" fontId="12" fillId="10" borderId="0" xfId="3" applyNumberFormat="1" applyFont="1" applyFill="1" applyAlignment="1">
      <alignment horizontal="center"/>
    </xf>
    <xf numFmtId="0" fontId="10" fillId="0" borderId="1" xfId="2" applyBorder="1"/>
    <xf numFmtId="0" fontId="10" fillId="11" borderId="1" xfId="2" applyFill="1" applyBorder="1" applyAlignment="1">
      <alignment horizontal="left"/>
    </xf>
    <xf numFmtId="0" fontId="7" fillId="9" borderId="1" xfId="2" applyFont="1" applyFill="1" applyBorder="1"/>
    <xf numFmtId="0" fontId="7" fillId="9" borderId="1" xfId="2" applyFont="1" applyFill="1" applyBorder="1" applyAlignment="1">
      <alignment horizontal="left"/>
    </xf>
    <xf numFmtId="0" fontId="10" fillId="0" borderId="0" xfId="2" applyFont="1"/>
    <xf numFmtId="165" fontId="10" fillId="0" borderId="0" xfId="3" applyNumberFormat="1" applyFont="1"/>
    <xf numFmtId="0" fontId="10" fillId="0" borderId="0" xfId="2" applyFont="1" applyAlignment="1">
      <alignment horizontal="right"/>
    </xf>
    <xf numFmtId="0" fontId="10" fillId="0" borderId="0" xfId="2" applyFont="1" applyAlignment="1">
      <alignment horizontal="center"/>
    </xf>
    <xf numFmtId="3" fontId="10" fillId="0" borderId="0" xfId="3" applyNumberFormat="1" applyFont="1" applyAlignment="1">
      <alignment horizontal="center" vertical="center"/>
    </xf>
    <xf numFmtId="0" fontId="11" fillId="9" borderId="1" xfId="2" applyFont="1" applyFill="1" applyBorder="1" applyAlignment="1">
      <alignment horizontal="left"/>
    </xf>
    <xf numFmtId="0" fontId="11" fillId="9" borderId="1" xfId="2" applyFont="1" applyFill="1" applyBorder="1"/>
    <xf numFmtId="0" fontId="10" fillId="11" borderId="1" xfId="2" applyFont="1" applyFill="1" applyBorder="1" applyAlignment="1">
      <alignment horizontal="left"/>
    </xf>
    <xf numFmtId="0" fontId="10" fillId="0" borderId="1" xfId="2" applyFont="1" applyBorder="1"/>
    <xf numFmtId="0" fontId="10" fillId="0" borderId="1" xfId="2" applyFont="1" applyBorder="1" applyAlignment="1">
      <alignment horizontal="left"/>
    </xf>
    <xf numFmtId="14" fontId="10" fillId="0" borderId="1" xfId="2" applyNumberFormat="1" applyFont="1" applyBorder="1" applyAlignment="1">
      <alignment horizontal="left"/>
    </xf>
    <xf numFmtId="14" fontId="10" fillId="0" borderId="1" xfId="2" applyNumberFormat="1" applyFont="1" applyBorder="1"/>
    <xf numFmtId="3" fontId="10" fillId="7" borderId="1" xfId="2" applyNumberFormat="1" applyFont="1" applyFill="1" applyBorder="1" applyAlignment="1">
      <alignment horizontal="left" indent="1"/>
    </xf>
    <xf numFmtId="3" fontId="10" fillId="7" borderId="1" xfId="2" applyNumberFormat="1" applyFont="1" applyFill="1" applyBorder="1" applyAlignment="1">
      <alignment horizontal="left"/>
    </xf>
    <xf numFmtId="1" fontId="10" fillId="7" borderId="1" xfId="2" applyNumberFormat="1" applyFont="1" applyFill="1" applyBorder="1" applyAlignment="1">
      <alignment horizontal="left"/>
    </xf>
    <xf numFmtId="3" fontId="10" fillId="0" borderId="1" xfId="2" applyNumberFormat="1" applyFont="1" applyBorder="1"/>
    <xf numFmtId="14" fontId="12" fillId="10" borderId="0" xfId="0" applyNumberFormat="1" applyFont="1" applyFill="1" applyAlignment="1">
      <alignment horizontal="left"/>
    </xf>
    <xf numFmtId="14" fontId="12" fillId="10" borderId="0" xfId="0" applyNumberFormat="1" applyFont="1" applyFill="1" applyAlignment="1">
      <alignment horizontal="center"/>
    </xf>
    <xf numFmtId="0" fontId="12" fillId="0" borderId="0" xfId="0" applyFont="1"/>
    <xf numFmtId="0" fontId="12" fillId="12" borderId="0" xfId="0" applyFont="1" applyFill="1" applyAlignment="1">
      <alignment horizontal="center"/>
    </xf>
    <xf numFmtId="0" fontId="14" fillId="0" borderId="0" xfId="0" applyFont="1"/>
    <xf numFmtId="3" fontId="0" fillId="0" borderId="0" xfId="3" applyNumberFormat="1" applyFont="1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5" fillId="0" borderId="7" xfId="0" applyFont="1" applyBorder="1"/>
  </cellXfs>
  <cellStyles count="4">
    <cellStyle name="Comma 2" xfId="3" xr:uid="{260FCBB8-9A95-4E14-BE4C-92E93260B37D}"/>
    <cellStyle name="Normal" xfId="0" builtinId="0"/>
    <cellStyle name="Normal 2" xfId="2" xr:uid="{ABBC05BC-3FDE-4394-ADD3-02C48977CE0F}"/>
    <cellStyle name="Per cent" xfId="1" builtinId="5"/>
  </cellStyles>
  <dxfs count="18"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64" formatCode="yyyy\-mm\-dd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pan\Desktop\Data%20Analytics\Excel\All%20Practiced%20Files\C6\C-6%20Xlookup%20Start%20%20(3).xlsx" TargetMode="External"/><Relationship Id="rId1" Type="http://schemas.openxmlformats.org/officeDocument/2006/relationships/externalLinkPath" Target="C-6%20Xlookup%20Start%20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</sheetNames>
    <sheetDataSet>
      <sheetData sheetId="0">
        <row r="1">
          <cell r="A1" t="str">
            <v>Emp ID</v>
          </cell>
          <cell r="B1" t="str">
            <v>Name</v>
          </cell>
          <cell r="C1" t="str">
            <v>Designation</v>
          </cell>
          <cell r="D1" t="str">
            <v>Age</v>
          </cell>
          <cell r="E1" t="str">
            <v>Joining Date</v>
          </cell>
          <cell r="F1" t="str">
            <v>Shift</v>
          </cell>
          <cell r="G1" t="str">
            <v>Email</v>
          </cell>
          <cell r="H1" t="str">
            <v>Basic Pay</v>
          </cell>
          <cell r="I1" t="str">
            <v>DA</v>
          </cell>
          <cell r="J1" t="str">
            <v>HRA</v>
          </cell>
          <cell r="K1" t="str">
            <v>CA</v>
          </cell>
          <cell r="L1" t="str">
            <v>TA</v>
          </cell>
          <cell r="M1" t="str">
            <v>MA</v>
          </cell>
          <cell r="N1" t="str">
            <v>AT</v>
          </cell>
          <cell r="O1" t="str">
            <v>Salary</v>
          </cell>
          <cell r="P1" t="str">
            <v>Daily OT Hrs.</v>
          </cell>
          <cell r="Q1" t="str">
            <v>Total OT Hrs</v>
          </cell>
          <cell r="R1" t="str">
            <v>OT Pay</v>
          </cell>
          <cell r="S1" t="str">
            <v>OT Salary</v>
          </cell>
          <cell r="T1" t="str">
            <v>Gross Salary</v>
          </cell>
          <cell r="U1" t="str">
            <v>PT</v>
          </cell>
          <cell r="V1" t="str">
            <v>PF</v>
          </cell>
          <cell r="W1" t="str">
            <v>Advance</v>
          </cell>
          <cell r="X1" t="str">
            <v>Tota Deduction</v>
          </cell>
          <cell r="Y1" t="str">
            <v>Net Salary</v>
          </cell>
        </row>
        <row r="2">
          <cell r="A2" t="str">
            <v>EMP001</v>
          </cell>
          <cell r="B2" t="str">
            <v>Name 1</v>
          </cell>
          <cell r="C2" t="str">
            <v>Clerk</v>
          </cell>
          <cell r="D2">
            <v>34</v>
          </cell>
          <cell r="E2">
            <v>43831</v>
          </cell>
          <cell r="F2" t="str">
            <v>Day</v>
          </cell>
          <cell r="G2" t="str">
            <v>Name 1@gmail.com</v>
          </cell>
          <cell r="H2">
            <v>25000</v>
          </cell>
          <cell r="I2">
            <v>4500</v>
          </cell>
          <cell r="J2">
            <v>1250</v>
          </cell>
          <cell r="K2">
            <v>1000</v>
          </cell>
          <cell r="L2">
            <v>0</v>
          </cell>
          <cell r="M2">
            <v>1600</v>
          </cell>
          <cell r="N2">
            <v>25</v>
          </cell>
          <cell r="O2">
            <v>20833.333333333336</v>
          </cell>
          <cell r="P2">
            <v>2</v>
          </cell>
          <cell r="Q2">
            <v>50</v>
          </cell>
          <cell r="R2">
            <v>104.16666666666667</v>
          </cell>
          <cell r="S2">
            <v>5208.3333333333339</v>
          </cell>
          <cell r="T2">
            <v>34391.666666666672</v>
          </cell>
          <cell r="U2">
            <v>200</v>
          </cell>
          <cell r="V2">
            <v>3000</v>
          </cell>
          <cell r="W2">
            <v>5000</v>
          </cell>
          <cell r="X2">
            <v>8200</v>
          </cell>
          <cell r="Y2">
            <v>26191.666666666672</v>
          </cell>
        </row>
        <row r="3">
          <cell r="A3" t="str">
            <v>EMP002</v>
          </cell>
          <cell r="B3" t="str">
            <v>Name 2</v>
          </cell>
          <cell r="C3" t="str">
            <v>Accountant</v>
          </cell>
          <cell r="D3">
            <v>23</v>
          </cell>
          <cell r="E3">
            <v>43832</v>
          </cell>
          <cell r="F3" t="str">
            <v>Night</v>
          </cell>
          <cell r="G3" t="str">
            <v>Name 2@gmail.com</v>
          </cell>
          <cell r="H3">
            <v>28000</v>
          </cell>
          <cell r="I3">
            <v>5040</v>
          </cell>
          <cell r="J3">
            <v>1400</v>
          </cell>
          <cell r="K3">
            <v>1000</v>
          </cell>
          <cell r="L3">
            <v>0</v>
          </cell>
          <cell r="M3">
            <v>1600</v>
          </cell>
          <cell r="N3">
            <v>26</v>
          </cell>
          <cell r="O3">
            <v>24266.666666666668</v>
          </cell>
          <cell r="P3">
            <v>1</v>
          </cell>
          <cell r="Q3">
            <v>26</v>
          </cell>
          <cell r="R3">
            <v>116.66666666666667</v>
          </cell>
          <cell r="S3">
            <v>3033.3333333333335</v>
          </cell>
          <cell r="T3">
            <v>36340.000000000007</v>
          </cell>
          <cell r="U3">
            <v>200</v>
          </cell>
          <cell r="V3">
            <v>3360</v>
          </cell>
          <cell r="X3">
            <v>3560</v>
          </cell>
          <cell r="Y3">
            <v>32780.000000000007</v>
          </cell>
        </row>
        <row r="4">
          <cell r="A4" t="str">
            <v>EMP003</v>
          </cell>
          <cell r="B4" t="str">
            <v>Name 3</v>
          </cell>
          <cell r="C4" t="str">
            <v>Manager</v>
          </cell>
          <cell r="D4">
            <v>34</v>
          </cell>
          <cell r="E4">
            <v>43833</v>
          </cell>
          <cell r="F4" t="str">
            <v>Day</v>
          </cell>
          <cell r="G4" t="str">
            <v>Name 3@gmail.com</v>
          </cell>
          <cell r="H4">
            <v>40000</v>
          </cell>
          <cell r="I4">
            <v>7200</v>
          </cell>
          <cell r="J4">
            <v>2000</v>
          </cell>
          <cell r="K4">
            <v>1000</v>
          </cell>
          <cell r="L4">
            <v>2100</v>
          </cell>
          <cell r="M4">
            <v>1600</v>
          </cell>
          <cell r="N4">
            <v>30</v>
          </cell>
          <cell r="O4">
            <v>40000</v>
          </cell>
          <cell r="P4">
            <v>1</v>
          </cell>
          <cell r="Q4">
            <v>30</v>
          </cell>
          <cell r="R4">
            <v>166.66666666666666</v>
          </cell>
          <cell r="S4">
            <v>5000</v>
          </cell>
          <cell r="T4">
            <v>58900</v>
          </cell>
          <cell r="U4">
            <v>200</v>
          </cell>
          <cell r="V4">
            <v>4800</v>
          </cell>
          <cell r="W4">
            <v>0</v>
          </cell>
          <cell r="X4">
            <v>5000</v>
          </cell>
          <cell r="Y4">
            <v>53900</v>
          </cell>
        </row>
        <row r="5">
          <cell r="A5" t="str">
            <v>EMP004</v>
          </cell>
          <cell r="B5" t="str">
            <v>Name 4</v>
          </cell>
          <cell r="C5" t="str">
            <v>Clerk</v>
          </cell>
          <cell r="D5">
            <v>45</v>
          </cell>
          <cell r="E5">
            <v>43834</v>
          </cell>
          <cell r="F5" t="str">
            <v>Day</v>
          </cell>
          <cell r="G5" t="str">
            <v>Name 4@gmail.com</v>
          </cell>
          <cell r="H5">
            <v>23000</v>
          </cell>
          <cell r="I5">
            <v>4140</v>
          </cell>
          <cell r="J5">
            <v>1150</v>
          </cell>
          <cell r="K5">
            <v>1000</v>
          </cell>
          <cell r="L5">
            <v>2100</v>
          </cell>
          <cell r="M5">
            <v>1600</v>
          </cell>
          <cell r="N5">
            <v>30</v>
          </cell>
          <cell r="O5">
            <v>23000</v>
          </cell>
          <cell r="P5">
            <v>1</v>
          </cell>
          <cell r="Q5">
            <v>30</v>
          </cell>
          <cell r="R5">
            <v>95.833333333333329</v>
          </cell>
          <cell r="S5">
            <v>2875</v>
          </cell>
          <cell r="T5">
            <v>35865</v>
          </cell>
          <cell r="U5">
            <v>200</v>
          </cell>
          <cell r="V5">
            <v>2760</v>
          </cell>
          <cell r="W5">
            <v>0</v>
          </cell>
          <cell r="X5">
            <v>2960</v>
          </cell>
          <cell r="Y5">
            <v>32905</v>
          </cell>
        </row>
        <row r="6">
          <cell r="A6" t="str">
            <v>EMP005</v>
          </cell>
          <cell r="B6" t="str">
            <v>Name 5</v>
          </cell>
          <cell r="C6" t="str">
            <v>Accountant</v>
          </cell>
          <cell r="D6">
            <v>54</v>
          </cell>
          <cell r="E6">
            <v>43835</v>
          </cell>
          <cell r="F6" t="str">
            <v>Night</v>
          </cell>
          <cell r="G6" t="str">
            <v>Name 5@gmail.com</v>
          </cell>
          <cell r="H6">
            <v>28000</v>
          </cell>
          <cell r="I6">
            <v>5040</v>
          </cell>
          <cell r="J6">
            <v>1400</v>
          </cell>
          <cell r="K6">
            <v>1000</v>
          </cell>
          <cell r="L6">
            <v>2100</v>
          </cell>
          <cell r="M6">
            <v>1600</v>
          </cell>
          <cell r="N6">
            <v>30</v>
          </cell>
          <cell r="O6">
            <v>28000</v>
          </cell>
          <cell r="P6">
            <v>1</v>
          </cell>
          <cell r="Q6">
            <v>30</v>
          </cell>
          <cell r="R6">
            <v>116.66666666666667</v>
          </cell>
          <cell r="S6">
            <v>3500</v>
          </cell>
          <cell r="T6">
            <v>42640</v>
          </cell>
          <cell r="U6">
            <v>200</v>
          </cell>
          <cell r="V6">
            <v>3360</v>
          </cell>
          <cell r="W6">
            <v>0</v>
          </cell>
          <cell r="X6">
            <v>3560</v>
          </cell>
          <cell r="Y6">
            <v>39080</v>
          </cell>
        </row>
        <row r="7">
          <cell r="A7" t="str">
            <v>EMP006</v>
          </cell>
          <cell r="B7" t="str">
            <v>Name 6</v>
          </cell>
          <cell r="C7" t="str">
            <v>Manager</v>
          </cell>
          <cell r="D7">
            <v>56</v>
          </cell>
          <cell r="E7">
            <v>43836</v>
          </cell>
          <cell r="F7" t="str">
            <v>Night</v>
          </cell>
          <cell r="G7" t="str">
            <v>Name 6@gmail.com</v>
          </cell>
          <cell r="H7">
            <v>44000</v>
          </cell>
          <cell r="I7">
            <v>7920</v>
          </cell>
          <cell r="J7">
            <v>2200</v>
          </cell>
          <cell r="K7">
            <v>1000</v>
          </cell>
          <cell r="L7">
            <v>2100</v>
          </cell>
          <cell r="M7">
            <v>1600</v>
          </cell>
          <cell r="N7">
            <v>30</v>
          </cell>
          <cell r="O7">
            <v>44000</v>
          </cell>
          <cell r="P7">
            <v>1</v>
          </cell>
          <cell r="Q7">
            <v>30</v>
          </cell>
          <cell r="R7">
            <v>183.33333333333334</v>
          </cell>
          <cell r="S7">
            <v>5500</v>
          </cell>
          <cell r="T7">
            <v>64320</v>
          </cell>
          <cell r="U7">
            <v>200</v>
          </cell>
          <cell r="V7">
            <v>5280</v>
          </cell>
          <cell r="W7">
            <v>0</v>
          </cell>
          <cell r="X7">
            <v>5480</v>
          </cell>
          <cell r="Y7">
            <v>58840</v>
          </cell>
        </row>
        <row r="8">
          <cell r="A8" t="str">
            <v>EMP007</v>
          </cell>
          <cell r="B8" t="str">
            <v>Name 7</v>
          </cell>
          <cell r="C8" t="str">
            <v>Clerk</v>
          </cell>
          <cell r="D8">
            <v>54</v>
          </cell>
          <cell r="E8">
            <v>43837</v>
          </cell>
          <cell r="F8" t="str">
            <v>Night</v>
          </cell>
          <cell r="G8" t="str">
            <v>Name 7@gmail.com</v>
          </cell>
          <cell r="H8">
            <v>25000</v>
          </cell>
          <cell r="I8">
            <v>4500</v>
          </cell>
          <cell r="J8">
            <v>1250</v>
          </cell>
          <cell r="K8">
            <v>1000</v>
          </cell>
          <cell r="L8">
            <v>2100</v>
          </cell>
          <cell r="M8">
            <v>1600</v>
          </cell>
          <cell r="N8">
            <v>29</v>
          </cell>
          <cell r="O8">
            <v>24166.666666666668</v>
          </cell>
          <cell r="P8">
            <v>1</v>
          </cell>
          <cell r="Q8">
            <v>29</v>
          </cell>
          <cell r="R8">
            <v>104.16666666666667</v>
          </cell>
          <cell r="S8">
            <v>3020.8333333333335</v>
          </cell>
          <cell r="T8">
            <v>37637.500000000007</v>
          </cell>
          <cell r="U8">
            <v>200</v>
          </cell>
          <cell r="V8">
            <v>3000</v>
          </cell>
          <cell r="W8">
            <v>10000</v>
          </cell>
          <cell r="X8">
            <v>13200</v>
          </cell>
          <cell r="Y8">
            <v>24437.500000000007</v>
          </cell>
        </row>
        <row r="9">
          <cell r="A9" t="str">
            <v>EMP008</v>
          </cell>
          <cell r="B9" t="str">
            <v>Name 8</v>
          </cell>
          <cell r="C9" t="str">
            <v>Accountant</v>
          </cell>
          <cell r="D9">
            <v>34</v>
          </cell>
          <cell r="E9">
            <v>43838</v>
          </cell>
          <cell r="F9" t="str">
            <v>Night</v>
          </cell>
          <cell r="G9" t="str">
            <v>Name 8@gmail.com</v>
          </cell>
          <cell r="H9">
            <v>29000</v>
          </cell>
          <cell r="I9">
            <v>5220</v>
          </cell>
          <cell r="J9">
            <v>1450</v>
          </cell>
          <cell r="K9">
            <v>1000</v>
          </cell>
          <cell r="L9">
            <v>2100</v>
          </cell>
          <cell r="M9">
            <v>1600</v>
          </cell>
          <cell r="N9">
            <v>28</v>
          </cell>
          <cell r="O9">
            <v>27066.666666666664</v>
          </cell>
          <cell r="P9">
            <v>1</v>
          </cell>
          <cell r="Q9">
            <v>28</v>
          </cell>
          <cell r="R9">
            <v>120.83333333333333</v>
          </cell>
          <cell r="S9">
            <v>3383.333333333333</v>
          </cell>
          <cell r="T9">
            <v>41820</v>
          </cell>
          <cell r="U9">
            <v>200</v>
          </cell>
          <cell r="V9">
            <v>3480</v>
          </cell>
          <cell r="W9">
            <v>0</v>
          </cell>
          <cell r="X9">
            <v>3680</v>
          </cell>
          <cell r="Y9">
            <v>38140</v>
          </cell>
        </row>
        <row r="10">
          <cell r="A10" t="str">
            <v>EMP009</v>
          </cell>
          <cell r="B10" t="str">
            <v>Name 9</v>
          </cell>
          <cell r="C10" t="str">
            <v>Manager</v>
          </cell>
          <cell r="D10">
            <v>23</v>
          </cell>
          <cell r="E10">
            <v>43839</v>
          </cell>
          <cell r="F10" t="str">
            <v>Day</v>
          </cell>
          <cell r="G10" t="str">
            <v>Name 9@gmail.com</v>
          </cell>
          <cell r="H10">
            <v>43000</v>
          </cell>
          <cell r="I10">
            <v>7740</v>
          </cell>
          <cell r="J10">
            <v>2150</v>
          </cell>
          <cell r="K10">
            <v>1000</v>
          </cell>
          <cell r="L10">
            <v>2100</v>
          </cell>
          <cell r="M10">
            <v>1600</v>
          </cell>
          <cell r="N10">
            <v>27</v>
          </cell>
          <cell r="O10">
            <v>38700</v>
          </cell>
          <cell r="P10">
            <v>1</v>
          </cell>
          <cell r="Q10">
            <v>27</v>
          </cell>
          <cell r="R10">
            <v>179.16666666666666</v>
          </cell>
          <cell r="S10">
            <v>4837.5</v>
          </cell>
          <cell r="T10">
            <v>58127.5</v>
          </cell>
          <cell r="U10">
            <v>200</v>
          </cell>
          <cell r="V10">
            <v>5160</v>
          </cell>
          <cell r="W10">
            <v>0</v>
          </cell>
          <cell r="X10">
            <v>5360</v>
          </cell>
          <cell r="Y10">
            <v>52767.5</v>
          </cell>
        </row>
        <row r="11">
          <cell r="A11" t="str">
            <v>EMP010</v>
          </cell>
          <cell r="B11" t="str">
            <v>Name 10</v>
          </cell>
          <cell r="C11" t="str">
            <v>Clerk</v>
          </cell>
          <cell r="D11">
            <v>34</v>
          </cell>
          <cell r="E11">
            <v>43840</v>
          </cell>
          <cell r="F11" t="str">
            <v>Day</v>
          </cell>
          <cell r="G11" t="str">
            <v>Name 10@gmail.com</v>
          </cell>
          <cell r="H11">
            <v>25000</v>
          </cell>
          <cell r="I11">
            <v>4500</v>
          </cell>
          <cell r="J11">
            <v>1250</v>
          </cell>
          <cell r="K11">
            <v>1000</v>
          </cell>
          <cell r="L11">
            <v>2100</v>
          </cell>
          <cell r="M11">
            <v>1600</v>
          </cell>
          <cell r="N11">
            <v>30</v>
          </cell>
          <cell r="O11">
            <v>25000</v>
          </cell>
          <cell r="P11">
            <v>0</v>
          </cell>
          <cell r="Q11">
            <v>0</v>
          </cell>
          <cell r="R11">
            <v>104.16666666666667</v>
          </cell>
          <cell r="S11">
            <v>0</v>
          </cell>
          <cell r="T11">
            <v>35450</v>
          </cell>
          <cell r="U11">
            <v>200</v>
          </cell>
          <cell r="V11">
            <v>3000</v>
          </cell>
          <cell r="W11">
            <v>0</v>
          </cell>
          <cell r="X11">
            <v>3200</v>
          </cell>
          <cell r="Y11">
            <v>32250</v>
          </cell>
        </row>
        <row r="12">
          <cell r="A12" t="str">
            <v>EMP011</v>
          </cell>
          <cell r="B12" t="str">
            <v>Name 11</v>
          </cell>
          <cell r="C12" t="str">
            <v>Accountant</v>
          </cell>
          <cell r="D12">
            <v>43</v>
          </cell>
          <cell r="E12">
            <v>43841</v>
          </cell>
          <cell r="F12" t="str">
            <v>Day</v>
          </cell>
          <cell r="G12" t="str">
            <v>Name 11@gmail.com</v>
          </cell>
          <cell r="H12">
            <v>28000</v>
          </cell>
          <cell r="I12">
            <v>5040</v>
          </cell>
          <cell r="J12">
            <v>1400</v>
          </cell>
          <cell r="K12">
            <v>1000</v>
          </cell>
          <cell r="L12">
            <v>2100</v>
          </cell>
          <cell r="M12">
            <v>1600</v>
          </cell>
          <cell r="N12">
            <v>20</v>
          </cell>
          <cell r="O12">
            <v>18666.666666666668</v>
          </cell>
          <cell r="P12">
            <v>0</v>
          </cell>
          <cell r="Q12">
            <v>0</v>
          </cell>
          <cell r="R12">
            <v>116.66666666666667</v>
          </cell>
          <cell r="S12">
            <v>0</v>
          </cell>
          <cell r="T12">
            <v>29806.666666666668</v>
          </cell>
          <cell r="U12">
            <v>200</v>
          </cell>
          <cell r="V12">
            <v>3360</v>
          </cell>
          <cell r="W12">
            <v>0</v>
          </cell>
          <cell r="X12">
            <v>3560</v>
          </cell>
          <cell r="Y12">
            <v>26246.666666666668</v>
          </cell>
        </row>
        <row r="13">
          <cell r="A13" t="str">
            <v>EMP012</v>
          </cell>
          <cell r="B13" t="str">
            <v>Name 12</v>
          </cell>
          <cell r="C13" t="str">
            <v>Manager</v>
          </cell>
          <cell r="D13">
            <v>34</v>
          </cell>
          <cell r="E13">
            <v>43842</v>
          </cell>
          <cell r="F13" t="str">
            <v>Day</v>
          </cell>
          <cell r="G13" t="str">
            <v>Name 12@gmail.com</v>
          </cell>
          <cell r="H13">
            <v>40000</v>
          </cell>
          <cell r="I13">
            <v>7200</v>
          </cell>
          <cell r="J13">
            <v>2000</v>
          </cell>
          <cell r="K13">
            <v>1000</v>
          </cell>
          <cell r="L13">
            <v>2100</v>
          </cell>
          <cell r="M13">
            <v>1600</v>
          </cell>
          <cell r="N13">
            <v>28</v>
          </cell>
          <cell r="O13">
            <v>37333.333333333328</v>
          </cell>
          <cell r="P13">
            <v>2</v>
          </cell>
          <cell r="Q13">
            <v>56</v>
          </cell>
          <cell r="R13">
            <v>166.66666666666666</v>
          </cell>
          <cell r="S13">
            <v>9333.3333333333321</v>
          </cell>
          <cell r="T13">
            <v>60566.666666666657</v>
          </cell>
          <cell r="U13">
            <v>200</v>
          </cell>
          <cell r="V13">
            <v>4800</v>
          </cell>
          <cell r="W13">
            <v>0</v>
          </cell>
          <cell r="X13">
            <v>5000</v>
          </cell>
          <cell r="Y13">
            <v>55566.666666666657</v>
          </cell>
        </row>
        <row r="14">
          <cell r="A14" t="str">
            <v>EMP013</v>
          </cell>
          <cell r="B14" t="str">
            <v>Name 13</v>
          </cell>
          <cell r="C14" t="str">
            <v>Manager</v>
          </cell>
          <cell r="D14">
            <v>43</v>
          </cell>
          <cell r="E14">
            <v>43843</v>
          </cell>
          <cell r="F14" t="str">
            <v>Day</v>
          </cell>
          <cell r="G14" t="str">
            <v>Name 13@gmail.com</v>
          </cell>
          <cell r="H14">
            <v>32000</v>
          </cell>
          <cell r="I14">
            <v>5760</v>
          </cell>
          <cell r="J14">
            <v>1600</v>
          </cell>
          <cell r="K14">
            <v>1000</v>
          </cell>
          <cell r="L14">
            <v>0</v>
          </cell>
          <cell r="M14">
            <v>1600</v>
          </cell>
          <cell r="N14">
            <v>30</v>
          </cell>
          <cell r="O14">
            <v>32000.000000000004</v>
          </cell>
          <cell r="P14">
            <v>1</v>
          </cell>
          <cell r="Q14">
            <v>30</v>
          </cell>
          <cell r="R14">
            <v>133.33333333333334</v>
          </cell>
          <cell r="S14">
            <v>4000.0000000000005</v>
          </cell>
          <cell r="T14">
            <v>45960</v>
          </cell>
          <cell r="U14">
            <v>200</v>
          </cell>
          <cell r="V14">
            <v>3840</v>
          </cell>
          <cell r="W14">
            <v>5000</v>
          </cell>
          <cell r="X14">
            <v>9040</v>
          </cell>
          <cell r="Y14">
            <v>36920</v>
          </cell>
        </row>
        <row r="15">
          <cell r="A15" t="str">
            <v>EMP014</v>
          </cell>
          <cell r="B15" t="str">
            <v>Name 14</v>
          </cell>
          <cell r="C15" t="str">
            <v>Clerk</v>
          </cell>
          <cell r="D15">
            <v>23</v>
          </cell>
          <cell r="E15">
            <v>43844</v>
          </cell>
          <cell r="F15" t="str">
            <v>Day</v>
          </cell>
          <cell r="G15" t="str">
            <v>Name 14@gmail.com</v>
          </cell>
          <cell r="H15">
            <v>28000</v>
          </cell>
          <cell r="I15">
            <v>5040</v>
          </cell>
          <cell r="J15">
            <v>1400</v>
          </cell>
          <cell r="K15">
            <v>1000</v>
          </cell>
          <cell r="L15">
            <v>0</v>
          </cell>
          <cell r="M15">
            <v>1600</v>
          </cell>
          <cell r="N15">
            <v>29</v>
          </cell>
          <cell r="O15">
            <v>27066.666666666668</v>
          </cell>
          <cell r="P15">
            <v>1</v>
          </cell>
          <cell r="Q15">
            <v>29</v>
          </cell>
          <cell r="R15">
            <v>116.66666666666667</v>
          </cell>
          <cell r="S15">
            <v>3383.3333333333335</v>
          </cell>
          <cell r="T15">
            <v>39490.000000000007</v>
          </cell>
          <cell r="U15">
            <v>200</v>
          </cell>
          <cell r="V15">
            <v>3360</v>
          </cell>
          <cell r="W15">
            <v>0</v>
          </cell>
          <cell r="X15">
            <v>3560</v>
          </cell>
          <cell r="Y15">
            <v>35930.000000000007</v>
          </cell>
        </row>
        <row r="16">
          <cell r="A16" t="str">
            <v>EMP015</v>
          </cell>
          <cell r="B16" t="str">
            <v>Name 15</v>
          </cell>
          <cell r="C16" t="str">
            <v>Accountant</v>
          </cell>
          <cell r="D16">
            <v>34</v>
          </cell>
          <cell r="E16">
            <v>43845</v>
          </cell>
          <cell r="F16" t="str">
            <v>Night</v>
          </cell>
          <cell r="G16" t="str">
            <v>Name 15@gmail.com</v>
          </cell>
          <cell r="H16">
            <v>44000</v>
          </cell>
          <cell r="I16">
            <v>7920</v>
          </cell>
          <cell r="J16">
            <v>2200</v>
          </cell>
          <cell r="K16">
            <v>1000</v>
          </cell>
          <cell r="L16">
            <v>0</v>
          </cell>
          <cell r="M16">
            <v>1600</v>
          </cell>
          <cell r="N16">
            <v>28</v>
          </cell>
          <cell r="O16">
            <v>41066.666666666672</v>
          </cell>
          <cell r="P16">
            <v>1</v>
          </cell>
          <cell r="Q16">
            <v>28</v>
          </cell>
          <cell r="R16">
            <v>183.33333333333334</v>
          </cell>
          <cell r="S16">
            <v>5133.3333333333339</v>
          </cell>
          <cell r="T16">
            <v>58920.000000000007</v>
          </cell>
          <cell r="U16">
            <v>200</v>
          </cell>
          <cell r="V16">
            <v>5280</v>
          </cell>
          <cell r="W16">
            <v>0</v>
          </cell>
          <cell r="X16">
            <v>5480</v>
          </cell>
          <cell r="Y16">
            <v>53440.000000000007</v>
          </cell>
        </row>
        <row r="17">
          <cell r="A17" t="str">
            <v>EMP016</v>
          </cell>
          <cell r="B17" t="str">
            <v>Name 16</v>
          </cell>
          <cell r="C17" t="str">
            <v>Manager</v>
          </cell>
          <cell r="D17">
            <v>23</v>
          </cell>
          <cell r="E17">
            <v>43846</v>
          </cell>
          <cell r="F17" t="str">
            <v>Day</v>
          </cell>
          <cell r="G17" t="str">
            <v>Name 16@gmail.com</v>
          </cell>
          <cell r="H17">
            <v>25000</v>
          </cell>
          <cell r="I17">
            <v>4500</v>
          </cell>
          <cell r="J17">
            <v>1250</v>
          </cell>
          <cell r="K17">
            <v>1000</v>
          </cell>
          <cell r="L17">
            <v>0</v>
          </cell>
          <cell r="M17">
            <v>1600</v>
          </cell>
          <cell r="N17">
            <v>27</v>
          </cell>
          <cell r="O17">
            <v>22500</v>
          </cell>
          <cell r="P17">
            <v>1</v>
          </cell>
          <cell r="Q17">
            <v>27</v>
          </cell>
          <cell r="R17">
            <v>104.16666666666667</v>
          </cell>
          <cell r="S17">
            <v>2812.5</v>
          </cell>
          <cell r="T17">
            <v>33662.5</v>
          </cell>
          <cell r="U17">
            <v>200</v>
          </cell>
          <cell r="V17">
            <v>3000</v>
          </cell>
          <cell r="W17">
            <v>0</v>
          </cell>
          <cell r="X17">
            <v>3200</v>
          </cell>
          <cell r="Y17">
            <v>30462.5</v>
          </cell>
        </row>
        <row r="18">
          <cell r="A18" t="str">
            <v>EMP017</v>
          </cell>
          <cell r="B18" t="str">
            <v>Name 17</v>
          </cell>
          <cell r="C18" t="str">
            <v>Accountant</v>
          </cell>
          <cell r="D18">
            <v>34</v>
          </cell>
          <cell r="E18">
            <v>43847</v>
          </cell>
          <cell r="F18" t="str">
            <v>Day</v>
          </cell>
          <cell r="G18" t="str">
            <v>Name 17@gmail.com</v>
          </cell>
          <cell r="H18">
            <v>50000</v>
          </cell>
          <cell r="I18">
            <v>9000</v>
          </cell>
          <cell r="J18">
            <v>2500</v>
          </cell>
          <cell r="K18">
            <v>1000</v>
          </cell>
          <cell r="L18">
            <v>0</v>
          </cell>
          <cell r="M18">
            <v>1600</v>
          </cell>
          <cell r="N18">
            <v>27</v>
          </cell>
          <cell r="O18">
            <v>45000</v>
          </cell>
          <cell r="P18">
            <v>3</v>
          </cell>
          <cell r="Q18">
            <v>81</v>
          </cell>
          <cell r="R18">
            <v>208.33333333333334</v>
          </cell>
          <cell r="S18">
            <v>16875</v>
          </cell>
          <cell r="T18">
            <v>75975</v>
          </cell>
          <cell r="U18">
            <v>201</v>
          </cell>
          <cell r="V18">
            <v>6000</v>
          </cell>
          <cell r="W18">
            <v>0</v>
          </cell>
          <cell r="X18">
            <v>6201</v>
          </cell>
          <cell r="Y18">
            <v>69774</v>
          </cell>
        </row>
        <row r="19">
          <cell r="A19" t="str">
            <v>EMP018</v>
          </cell>
          <cell r="B19" t="str">
            <v>Name 18</v>
          </cell>
          <cell r="C19" t="str">
            <v>Accountant</v>
          </cell>
          <cell r="D19">
            <v>23</v>
          </cell>
          <cell r="E19">
            <v>43848</v>
          </cell>
          <cell r="F19" t="str">
            <v>Night</v>
          </cell>
          <cell r="G19" t="str">
            <v>Name 18@gmail.com</v>
          </cell>
          <cell r="H19">
            <v>70000</v>
          </cell>
          <cell r="I19">
            <v>12600</v>
          </cell>
          <cell r="J19">
            <v>3500</v>
          </cell>
          <cell r="K19">
            <v>1000</v>
          </cell>
          <cell r="L19">
            <v>0</v>
          </cell>
          <cell r="M19">
            <v>1600</v>
          </cell>
          <cell r="N19">
            <v>27</v>
          </cell>
          <cell r="O19">
            <v>63000.000000000007</v>
          </cell>
          <cell r="P19">
            <v>1</v>
          </cell>
          <cell r="Q19">
            <v>27</v>
          </cell>
          <cell r="R19">
            <v>291.66666666666669</v>
          </cell>
          <cell r="S19">
            <v>7875.0000000000009</v>
          </cell>
          <cell r="T19">
            <v>89575</v>
          </cell>
          <cell r="U19">
            <v>202</v>
          </cell>
          <cell r="V19">
            <v>8400</v>
          </cell>
          <cell r="W19">
            <v>0</v>
          </cell>
          <cell r="X19">
            <v>8602</v>
          </cell>
          <cell r="Y19">
            <v>80973</v>
          </cell>
        </row>
        <row r="20">
          <cell r="A20" t="str">
            <v>EMP019</v>
          </cell>
          <cell r="B20" t="str">
            <v>Name 19</v>
          </cell>
          <cell r="C20" t="str">
            <v>Accountant</v>
          </cell>
          <cell r="D20">
            <v>34</v>
          </cell>
          <cell r="E20">
            <v>43849</v>
          </cell>
          <cell r="F20" t="str">
            <v>Night</v>
          </cell>
          <cell r="G20" t="str">
            <v>Name 19@gmail.com</v>
          </cell>
          <cell r="H20">
            <v>34000</v>
          </cell>
          <cell r="I20">
            <v>6120</v>
          </cell>
          <cell r="J20">
            <v>1700</v>
          </cell>
          <cell r="K20">
            <v>1000</v>
          </cell>
          <cell r="L20">
            <v>2000</v>
          </cell>
          <cell r="M20">
            <v>1600</v>
          </cell>
          <cell r="N20">
            <v>30</v>
          </cell>
          <cell r="O20">
            <v>34000</v>
          </cell>
          <cell r="P20">
            <v>2</v>
          </cell>
          <cell r="Q20">
            <v>60</v>
          </cell>
          <cell r="R20">
            <v>141.66666666666666</v>
          </cell>
          <cell r="S20">
            <v>8500</v>
          </cell>
          <cell r="T20">
            <v>54920</v>
          </cell>
          <cell r="U20">
            <v>203</v>
          </cell>
          <cell r="V20">
            <v>4080</v>
          </cell>
          <cell r="W20">
            <v>0</v>
          </cell>
          <cell r="X20">
            <v>4283</v>
          </cell>
          <cell r="Y20">
            <v>50637</v>
          </cell>
        </row>
        <row r="21">
          <cell r="A21" t="str">
            <v>EMP020</v>
          </cell>
          <cell r="B21" t="str">
            <v>Name 20</v>
          </cell>
          <cell r="C21" t="str">
            <v>Accountant</v>
          </cell>
          <cell r="D21">
            <v>45</v>
          </cell>
          <cell r="E21">
            <v>43850</v>
          </cell>
          <cell r="F21" t="str">
            <v>Night</v>
          </cell>
          <cell r="G21" t="str">
            <v>Name 20@gmail.com</v>
          </cell>
          <cell r="H21">
            <v>45000</v>
          </cell>
          <cell r="I21">
            <v>8100</v>
          </cell>
          <cell r="J21">
            <v>2250</v>
          </cell>
          <cell r="K21">
            <v>1000</v>
          </cell>
          <cell r="L21">
            <v>5000</v>
          </cell>
          <cell r="M21">
            <v>1600</v>
          </cell>
          <cell r="N21">
            <v>30</v>
          </cell>
          <cell r="O21">
            <v>45000</v>
          </cell>
          <cell r="P21">
            <v>0</v>
          </cell>
          <cell r="Q21">
            <v>0</v>
          </cell>
          <cell r="R21">
            <v>187.5</v>
          </cell>
          <cell r="S21">
            <v>0</v>
          </cell>
          <cell r="T21">
            <v>62950</v>
          </cell>
          <cell r="U21">
            <v>204</v>
          </cell>
          <cell r="V21">
            <v>5400</v>
          </cell>
          <cell r="W21">
            <v>4000</v>
          </cell>
          <cell r="X21">
            <v>9604</v>
          </cell>
          <cell r="Y21">
            <v>53346</v>
          </cell>
        </row>
        <row r="22">
          <cell r="A22" t="str">
            <v>EMP021</v>
          </cell>
          <cell r="B22" t="str">
            <v>Name 21</v>
          </cell>
          <cell r="C22" t="str">
            <v>Accountant</v>
          </cell>
          <cell r="D22">
            <v>54</v>
          </cell>
          <cell r="E22">
            <v>43851</v>
          </cell>
          <cell r="F22" t="str">
            <v>Night</v>
          </cell>
          <cell r="G22" t="str">
            <v>Name 21@gmail.com</v>
          </cell>
          <cell r="H22">
            <v>55000</v>
          </cell>
          <cell r="I22">
            <v>9900</v>
          </cell>
          <cell r="J22">
            <v>2750</v>
          </cell>
          <cell r="K22">
            <v>1000</v>
          </cell>
          <cell r="L22">
            <v>5000</v>
          </cell>
          <cell r="M22">
            <v>1600</v>
          </cell>
          <cell r="N22">
            <v>30</v>
          </cell>
          <cell r="O22">
            <v>55000</v>
          </cell>
          <cell r="P22">
            <v>1</v>
          </cell>
          <cell r="Q22">
            <v>30</v>
          </cell>
          <cell r="R22">
            <v>229.16666666666666</v>
          </cell>
          <cell r="S22">
            <v>6875</v>
          </cell>
          <cell r="T22">
            <v>82125</v>
          </cell>
          <cell r="U22">
            <v>205</v>
          </cell>
          <cell r="V22">
            <v>6600</v>
          </cell>
          <cell r="W22">
            <v>0</v>
          </cell>
          <cell r="X22">
            <v>6805</v>
          </cell>
          <cell r="Y22">
            <v>75320</v>
          </cell>
        </row>
        <row r="23">
          <cell r="A23" t="str">
            <v>EMP022</v>
          </cell>
          <cell r="B23" t="str">
            <v>Name 22</v>
          </cell>
          <cell r="C23" t="str">
            <v>Manager</v>
          </cell>
          <cell r="D23">
            <v>56</v>
          </cell>
          <cell r="E23">
            <v>43852</v>
          </cell>
          <cell r="F23" t="str">
            <v>Day</v>
          </cell>
          <cell r="G23" t="str">
            <v>Name 22@gmail.com</v>
          </cell>
          <cell r="H23">
            <v>43000</v>
          </cell>
          <cell r="I23">
            <v>7740</v>
          </cell>
          <cell r="J23">
            <v>2150</v>
          </cell>
          <cell r="K23">
            <v>1000</v>
          </cell>
          <cell r="L23">
            <v>5000</v>
          </cell>
          <cell r="M23">
            <v>1600</v>
          </cell>
          <cell r="N23">
            <v>27</v>
          </cell>
          <cell r="O23">
            <v>38700</v>
          </cell>
          <cell r="P23">
            <v>1</v>
          </cell>
          <cell r="Q23">
            <v>27</v>
          </cell>
          <cell r="R23">
            <v>179.16666666666666</v>
          </cell>
          <cell r="S23">
            <v>4837.5</v>
          </cell>
          <cell r="T23">
            <v>61027.5</v>
          </cell>
          <cell r="U23">
            <v>200</v>
          </cell>
          <cell r="V23">
            <v>5160</v>
          </cell>
          <cell r="W23">
            <v>0</v>
          </cell>
          <cell r="X23">
            <v>5360</v>
          </cell>
          <cell r="Y23">
            <v>55667.5</v>
          </cell>
        </row>
        <row r="24">
          <cell r="A24" t="str">
            <v>EMP023</v>
          </cell>
          <cell r="B24" t="str">
            <v>Name 23</v>
          </cell>
          <cell r="C24" t="str">
            <v>Clerk</v>
          </cell>
          <cell r="D24">
            <v>54</v>
          </cell>
          <cell r="E24">
            <v>43853</v>
          </cell>
          <cell r="F24" t="str">
            <v>Day</v>
          </cell>
          <cell r="G24" t="str">
            <v>Name 23@gmail.com</v>
          </cell>
          <cell r="H24">
            <v>25000</v>
          </cell>
          <cell r="I24">
            <v>4500</v>
          </cell>
          <cell r="J24">
            <v>1250</v>
          </cell>
          <cell r="K24">
            <v>1000</v>
          </cell>
          <cell r="L24">
            <v>5000</v>
          </cell>
          <cell r="M24">
            <v>1600</v>
          </cell>
          <cell r="N24">
            <v>30</v>
          </cell>
          <cell r="O24">
            <v>25000</v>
          </cell>
          <cell r="P24">
            <v>0</v>
          </cell>
          <cell r="Q24">
            <v>0</v>
          </cell>
          <cell r="R24">
            <v>104.16666666666667</v>
          </cell>
          <cell r="S24">
            <v>0</v>
          </cell>
          <cell r="T24">
            <v>38350</v>
          </cell>
          <cell r="U24">
            <v>200</v>
          </cell>
          <cell r="V24">
            <v>3000</v>
          </cell>
          <cell r="W24">
            <v>0</v>
          </cell>
          <cell r="X24">
            <v>3200</v>
          </cell>
          <cell r="Y24">
            <v>35150</v>
          </cell>
        </row>
        <row r="25">
          <cell r="A25" t="str">
            <v>EMP024</v>
          </cell>
          <cell r="B25" t="str">
            <v>Name 24</v>
          </cell>
          <cell r="C25" t="str">
            <v>Accountant</v>
          </cell>
          <cell r="D25">
            <v>34</v>
          </cell>
          <cell r="E25">
            <v>43854</v>
          </cell>
          <cell r="F25" t="str">
            <v>Day</v>
          </cell>
          <cell r="G25" t="str">
            <v>Name 24@gmail.com</v>
          </cell>
          <cell r="H25">
            <v>28000</v>
          </cell>
          <cell r="I25">
            <v>5040</v>
          </cell>
          <cell r="J25">
            <v>1400</v>
          </cell>
          <cell r="K25">
            <v>1000</v>
          </cell>
          <cell r="L25">
            <v>5000</v>
          </cell>
          <cell r="M25">
            <v>1600</v>
          </cell>
          <cell r="N25">
            <v>20</v>
          </cell>
          <cell r="O25">
            <v>18666.666666666668</v>
          </cell>
          <cell r="P25">
            <v>0</v>
          </cell>
          <cell r="Q25">
            <v>0</v>
          </cell>
          <cell r="R25">
            <v>116.66666666666667</v>
          </cell>
          <cell r="S25">
            <v>0</v>
          </cell>
          <cell r="T25">
            <v>32706.666666666668</v>
          </cell>
          <cell r="U25">
            <v>200</v>
          </cell>
          <cell r="V25">
            <v>3360</v>
          </cell>
          <cell r="W25">
            <v>0</v>
          </cell>
          <cell r="X25">
            <v>3560</v>
          </cell>
          <cell r="Y25">
            <v>29146.666666666668</v>
          </cell>
        </row>
        <row r="26">
          <cell r="A26" t="str">
            <v>EMP025</v>
          </cell>
          <cell r="B26" t="str">
            <v>Name 25</v>
          </cell>
          <cell r="C26" t="str">
            <v>Manager</v>
          </cell>
          <cell r="D26">
            <v>23</v>
          </cell>
          <cell r="E26">
            <v>43831</v>
          </cell>
          <cell r="F26" t="str">
            <v>Day</v>
          </cell>
          <cell r="G26" t="str">
            <v>Name 25@gmail.com</v>
          </cell>
          <cell r="H26">
            <v>40000</v>
          </cell>
          <cell r="I26">
            <v>7200</v>
          </cell>
          <cell r="J26">
            <v>2000</v>
          </cell>
          <cell r="K26">
            <v>1000</v>
          </cell>
          <cell r="L26">
            <v>5000</v>
          </cell>
          <cell r="M26">
            <v>1600</v>
          </cell>
          <cell r="N26">
            <v>28</v>
          </cell>
          <cell r="O26">
            <v>37333.333333333328</v>
          </cell>
          <cell r="P26">
            <v>2</v>
          </cell>
          <cell r="Q26">
            <v>56</v>
          </cell>
          <cell r="R26">
            <v>166.66666666666666</v>
          </cell>
          <cell r="S26">
            <v>9333.3333333333321</v>
          </cell>
          <cell r="T26">
            <v>63466.666666666657</v>
          </cell>
          <cell r="U26">
            <v>200</v>
          </cell>
          <cell r="V26">
            <v>4800</v>
          </cell>
          <cell r="W26">
            <v>0</v>
          </cell>
          <cell r="X26">
            <v>5000</v>
          </cell>
          <cell r="Y26">
            <v>58466.666666666657</v>
          </cell>
        </row>
        <row r="27">
          <cell r="A27" t="str">
            <v>EMP026</v>
          </cell>
          <cell r="B27" t="str">
            <v>Name 26</v>
          </cell>
          <cell r="C27" t="str">
            <v>Manager</v>
          </cell>
          <cell r="D27">
            <v>34</v>
          </cell>
          <cell r="E27">
            <v>43832</v>
          </cell>
          <cell r="F27" t="str">
            <v>Day</v>
          </cell>
          <cell r="G27" t="str">
            <v>Name 26@gmail.com</v>
          </cell>
          <cell r="H27">
            <v>32000</v>
          </cell>
          <cell r="I27">
            <v>5760</v>
          </cell>
          <cell r="J27">
            <v>1600</v>
          </cell>
          <cell r="K27">
            <v>1000</v>
          </cell>
          <cell r="L27">
            <v>5000</v>
          </cell>
          <cell r="M27">
            <v>1600</v>
          </cell>
          <cell r="N27">
            <v>30</v>
          </cell>
          <cell r="O27">
            <v>32000.000000000004</v>
          </cell>
          <cell r="P27">
            <v>1</v>
          </cell>
          <cell r="Q27">
            <v>30</v>
          </cell>
          <cell r="R27">
            <v>133.33333333333334</v>
          </cell>
          <cell r="S27">
            <v>4000.0000000000005</v>
          </cell>
          <cell r="T27">
            <v>50960</v>
          </cell>
          <cell r="U27">
            <v>200</v>
          </cell>
          <cell r="V27">
            <v>3840</v>
          </cell>
          <cell r="W27">
            <v>5000</v>
          </cell>
          <cell r="X27">
            <v>9040</v>
          </cell>
          <cell r="Y27">
            <v>41920</v>
          </cell>
        </row>
        <row r="28">
          <cell r="A28" t="str">
            <v>EMP027</v>
          </cell>
          <cell r="B28" t="str">
            <v>Name 27</v>
          </cell>
          <cell r="C28" t="str">
            <v>Clerk</v>
          </cell>
          <cell r="D28">
            <v>43</v>
          </cell>
          <cell r="E28">
            <v>43833</v>
          </cell>
          <cell r="F28" t="str">
            <v>Day</v>
          </cell>
          <cell r="G28" t="str">
            <v>Name 27@gmail.com</v>
          </cell>
          <cell r="H28">
            <v>28000</v>
          </cell>
          <cell r="I28">
            <v>5040</v>
          </cell>
          <cell r="J28">
            <v>1400</v>
          </cell>
          <cell r="K28">
            <v>1000</v>
          </cell>
          <cell r="L28">
            <v>5000</v>
          </cell>
          <cell r="M28">
            <v>1600</v>
          </cell>
          <cell r="N28">
            <v>29</v>
          </cell>
          <cell r="O28">
            <v>27066.666666666668</v>
          </cell>
          <cell r="P28">
            <v>1</v>
          </cell>
          <cell r="Q28">
            <v>29</v>
          </cell>
          <cell r="R28">
            <v>116.66666666666667</v>
          </cell>
          <cell r="S28">
            <v>3383.3333333333335</v>
          </cell>
          <cell r="T28">
            <v>44490.000000000007</v>
          </cell>
          <cell r="U28">
            <v>200</v>
          </cell>
          <cell r="V28">
            <v>3360</v>
          </cell>
          <cell r="W28">
            <v>0</v>
          </cell>
          <cell r="X28">
            <v>3560</v>
          </cell>
          <cell r="Y28">
            <v>40930.000000000007</v>
          </cell>
        </row>
        <row r="29">
          <cell r="A29" t="str">
            <v>EMP028</v>
          </cell>
          <cell r="B29" t="str">
            <v>Name 28</v>
          </cell>
          <cell r="C29" t="str">
            <v>Accountant</v>
          </cell>
          <cell r="D29">
            <v>34</v>
          </cell>
          <cell r="E29">
            <v>43834</v>
          </cell>
          <cell r="F29" t="str">
            <v>Night</v>
          </cell>
          <cell r="G29" t="str">
            <v>Name 28@gmail.com</v>
          </cell>
          <cell r="H29">
            <v>44000</v>
          </cell>
          <cell r="I29">
            <v>7920</v>
          </cell>
          <cell r="J29">
            <v>2200</v>
          </cell>
          <cell r="K29">
            <v>1000</v>
          </cell>
          <cell r="L29">
            <v>0</v>
          </cell>
          <cell r="M29">
            <v>1600</v>
          </cell>
          <cell r="N29">
            <v>28</v>
          </cell>
          <cell r="O29">
            <v>41066.666666666672</v>
          </cell>
          <cell r="P29">
            <v>1</v>
          </cell>
          <cell r="Q29">
            <v>28</v>
          </cell>
          <cell r="R29">
            <v>183.33333333333334</v>
          </cell>
          <cell r="S29">
            <v>5133.3333333333339</v>
          </cell>
          <cell r="T29">
            <v>58920.000000000007</v>
          </cell>
          <cell r="U29">
            <v>200</v>
          </cell>
          <cell r="V29">
            <v>5280</v>
          </cell>
          <cell r="W29">
            <v>0</v>
          </cell>
          <cell r="X29">
            <v>5480</v>
          </cell>
          <cell r="Y29">
            <v>53440.000000000007</v>
          </cell>
        </row>
        <row r="30">
          <cell r="A30" t="str">
            <v>EMP029</v>
          </cell>
          <cell r="B30" t="str">
            <v>Name 29</v>
          </cell>
          <cell r="C30" t="str">
            <v>Manager</v>
          </cell>
          <cell r="D30">
            <v>43</v>
          </cell>
          <cell r="E30">
            <v>43835</v>
          </cell>
          <cell r="F30" t="str">
            <v>Day</v>
          </cell>
          <cell r="G30" t="str">
            <v>Name 29@gmail.com</v>
          </cell>
          <cell r="H30">
            <v>25000</v>
          </cell>
          <cell r="I30">
            <v>4500</v>
          </cell>
          <cell r="J30">
            <v>1250</v>
          </cell>
          <cell r="K30">
            <v>1000</v>
          </cell>
          <cell r="L30">
            <v>0</v>
          </cell>
          <cell r="M30">
            <v>1600</v>
          </cell>
          <cell r="N30">
            <v>27</v>
          </cell>
          <cell r="O30">
            <v>22500</v>
          </cell>
          <cell r="P30">
            <v>1</v>
          </cell>
          <cell r="Q30">
            <v>27</v>
          </cell>
          <cell r="R30">
            <v>104.16666666666667</v>
          </cell>
          <cell r="S30">
            <v>2812.5</v>
          </cell>
          <cell r="T30">
            <v>33662.5</v>
          </cell>
          <cell r="U30">
            <v>200</v>
          </cell>
          <cell r="V30">
            <v>3000</v>
          </cell>
          <cell r="W30">
            <v>0</v>
          </cell>
          <cell r="X30">
            <v>3200</v>
          </cell>
          <cell r="Y30">
            <v>30462.5</v>
          </cell>
        </row>
        <row r="31">
          <cell r="A31" t="str">
            <v>EMP030</v>
          </cell>
          <cell r="B31" t="str">
            <v>Name 30</v>
          </cell>
          <cell r="C31" t="str">
            <v>Accountant</v>
          </cell>
          <cell r="D31">
            <v>23</v>
          </cell>
          <cell r="E31">
            <v>43836</v>
          </cell>
          <cell r="F31" t="str">
            <v>Day</v>
          </cell>
          <cell r="G31" t="str">
            <v>Name 30@gmail.com</v>
          </cell>
          <cell r="H31">
            <v>50000</v>
          </cell>
          <cell r="I31">
            <v>9000</v>
          </cell>
          <cell r="J31">
            <v>2500</v>
          </cell>
          <cell r="K31">
            <v>1000</v>
          </cell>
          <cell r="L31">
            <v>0</v>
          </cell>
          <cell r="M31">
            <v>1600</v>
          </cell>
          <cell r="N31">
            <v>27</v>
          </cell>
          <cell r="O31">
            <v>45000</v>
          </cell>
          <cell r="P31">
            <v>3</v>
          </cell>
          <cell r="Q31">
            <v>81</v>
          </cell>
          <cell r="R31">
            <v>208.33333333333334</v>
          </cell>
          <cell r="S31">
            <v>16875</v>
          </cell>
          <cell r="T31">
            <v>75975</v>
          </cell>
          <cell r="U31">
            <v>201</v>
          </cell>
          <cell r="V31">
            <v>6000</v>
          </cell>
          <cell r="W31">
            <v>0</v>
          </cell>
          <cell r="X31">
            <v>6201</v>
          </cell>
          <cell r="Y31">
            <v>69774</v>
          </cell>
        </row>
        <row r="32">
          <cell r="A32" t="str">
            <v>EMP031</v>
          </cell>
          <cell r="B32" t="str">
            <v>Name 31</v>
          </cell>
          <cell r="C32" t="str">
            <v>Accountant</v>
          </cell>
          <cell r="D32">
            <v>34</v>
          </cell>
          <cell r="E32">
            <v>43837</v>
          </cell>
          <cell r="F32" t="str">
            <v>Night</v>
          </cell>
          <cell r="G32" t="str">
            <v>Name 31@gmail.com</v>
          </cell>
          <cell r="H32">
            <v>70000</v>
          </cell>
          <cell r="I32">
            <v>12600</v>
          </cell>
          <cell r="J32">
            <v>3500</v>
          </cell>
          <cell r="K32">
            <v>1000</v>
          </cell>
          <cell r="L32">
            <v>0</v>
          </cell>
          <cell r="M32">
            <v>1600</v>
          </cell>
          <cell r="N32">
            <v>27</v>
          </cell>
          <cell r="O32">
            <v>63000.000000000007</v>
          </cell>
          <cell r="P32">
            <v>1</v>
          </cell>
          <cell r="Q32">
            <v>27</v>
          </cell>
          <cell r="R32">
            <v>291.66666666666669</v>
          </cell>
          <cell r="S32">
            <v>7875.0000000000009</v>
          </cell>
          <cell r="T32">
            <v>89575</v>
          </cell>
          <cell r="U32">
            <v>202</v>
          </cell>
          <cell r="V32">
            <v>8400</v>
          </cell>
          <cell r="W32">
            <v>0</v>
          </cell>
          <cell r="X32">
            <v>8602</v>
          </cell>
          <cell r="Y32">
            <v>80973</v>
          </cell>
        </row>
        <row r="33">
          <cell r="A33" t="str">
            <v>EMP032</v>
          </cell>
          <cell r="B33" t="str">
            <v>Name 32</v>
          </cell>
          <cell r="C33" t="str">
            <v>Accountant</v>
          </cell>
          <cell r="D33">
            <v>23</v>
          </cell>
          <cell r="E33">
            <v>43838</v>
          </cell>
          <cell r="F33" t="str">
            <v>Night</v>
          </cell>
          <cell r="G33" t="str">
            <v>Name 32@gmail.com</v>
          </cell>
          <cell r="H33">
            <v>34000</v>
          </cell>
          <cell r="I33">
            <v>6120</v>
          </cell>
          <cell r="J33">
            <v>1700</v>
          </cell>
          <cell r="K33">
            <v>1000</v>
          </cell>
          <cell r="L33">
            <v>2000</v>
          </cell>
          <cell r="M33">
            <v>1600</v>
          </cell>
          <cell r="N33">
            <v>30</v>
          </cell>
          <cell r="O33">
            <v>34000</v>
          </cell>
          <cell r="P33">
            <v>2</v>
          </cell>
          <cell r="Q33">
            <v>60</v>
          </cell>
          <cell r="R33">
            <v>141.66666666666666</v>
          </cell>
          <cell r="S33">
            <v>8500</v>
          </cell>
          <cell r="T33">
            <v>54920</v>
          </cell>
          <cell r="U33">
            <v>203</v>
          </cell>
          <cell r="V33">
            <v>4080</v>
          </cell>
          <cell r="W33">
            <v>0</v>
          </cell>
          <cell r="X33">
            <v>4283</v>
          </cell>
          <cell r="Y33">
            <v>50637</v>
          </cell>
        </row>
        <row r="34">
          <cell r="A34" t="str">
            <v>EMP033</v>
          </cell>
          <cell r="B34" t="str">
            <v>Name 33</v>
          </cell>
          <cell r="C34" t="str">
            <v>Accountant</v>
          </cell>
          <cell r="D34">
            <v>34</v>
          </cell>
          <cell r="E34">
            <v>43839</v>
          </cell>
          <cell r="F34" t="str">
            <v>Night</v>
          </cell>
          <cell r="G34" t="str">
            <v>Name 33@gmail.com</v>
          </cell>
          <cell r="H34">
            <v>45000</v>
          </cell>
          <cell r="I34">
            <v>8100</v>
          </cell>
          <cell r="J34">
            <v>2250</v>
          </cell>
          <cell r="K34">
            <v>1000</v>
          </cell>
          <cell r="L34">
            <v>5000</v>
          </cell>
          <cell r="M34">
            <v>1600</v>
          </cell>
          <cell r="N34">
            <v>30</v>
          </cell>
          <cell r="O34">
            <v>45000</v>
          </cell>
          <cell r="P34">
            <v>0</v>
          </cell>
          <cell r="Q34">
            <v>0</v>
          </cell>
          <cell r="R34">
            <v>187.5</v>
          </cell>
          <cell r="S34">
            <v>0</v>
          </cell>
          <cell r="T34">
            <v>62950</v>
          </cell>
          <cell r="U34">
            <v>204</v>
          </cell>
          <cell r="V34">
            <v>5400</v>
          </cell>
          <cell r="W34">
            <v>4000</v>
          </cell>
          <cell r="X34">
            <v>9604</v>
          </cell>
          <cell r="Y34">
            <v>53346</v>
          </cell>
        </row>
        <row r="35">
          <cell r="A35" t="str">
            <v>EMP034</v>
          </cell>
          <cell r="B35" t="str">
            <v>Name 34</v>
          </cell>
          <cell r="C35" t="str">
            <v>Accountant</v>
          </cell>
          <cell r="D35">
            <v>23</v>
          </cell>
          <cell r="E35">
            <v>43840</v>
          </cell>
          <cell r="F35" t="str">
            <v>Night</v>
          </cell>
          <cell r="G35" t="str">
            <v>Name 34@gmail.com</v>
          </cell>
          <cell r="H35">
            <v>55000</v>
          </cell>
          <cell r="I35">
            <v>9900</v>
          </cell>
          <cell r="J35">
            <v>2750</v>
          </cell>
          <cell r="K35">
            <v>1000</v>
          </cell>
          <cell r="L35">
            <v>0</v>
          </cell>
          <cell r="M35">
            <v>1600</v>
          </cell>
          <cell r="N35">
            <v>30</v>
          </cell>
          <cell r="O35">
            <v>55000</v>
          </cell>
          <cell r="P35">
            <v>1</v>
          </cell>
          <cell r="Q35">
            <v>30</v>
          </cell>
          <cell r="R35">
            <v>229.16666666666666</v>
          </cell>
          <cell r="S35">
            <v>6875</v>
          </cell>
          <cell r="T35">
            <v>77125</v>
          </cell>
          <cell r="U35">
            <v>205</v>
          </cell>
          <cell r="V35">
            <v>6600</v>
          </cell>
          <cell r="W35">
            <v>0</v>
          </cell>
          <cell r="X35">
            <v>6805</v>
          </cell>
          <cell r="Y35">
            <v>70320</v>
          </cell>
        </row>
        <row r="36">
          <cell r="A36" t="str">
            <v>EMP035</v>
          </cell>
          <cell r="B36" t="str">
            <v>Name 35</v>
          </cell>
          <cell r="C36" t="str">
            <v>Manager</v>
          </cell>
          <cell r="D36">
            <v>34</v>
          </cell>
          <cell r="E36">
            <v>43841</v>
          </cell>
          <cell r="F36" t="str">
            <v>Day</v>
          </cell>
          <cell r="G36" t="str">
            <v>Name 35@gmail.com</v>
          </cell>
          <cell r="H36">
            <v>43000</v>
          </cell>
          <cell r="I36">
            <v>7740</v>
          </cell>
          <cell r="J36">
            <v>2150</v>
          </cell>
          <cell r="K36">
            <v>1000</v>
          </cell>
          <cell r="L36">
            <v>0</v>
          </cell>
          <cell r="M36">
            <v>1600</v>
          </cell>
          <cell r="N36">
            <v>27</v>
          </cell>
          <cell r="O36">
            <v>38700</v>
          </cell>
          <cell r="P36">
            <v>1</v>
          </cell>
          <cell r="Q36">
            <v>27</v>
          </cell>
          <cell r="R36">
            <v>179.16666666666666</v>
          </cell>
          <cell r="S36">
            <v>4837.5</v>
          </cell>
          <cell r="T36">
            <v>56027.5</v>
          </cell>
          <cell r="U36">
            <v>200</v>
          </cell>
          <cell r="V36">
            <v>5160</v>
          </cell>
          <cell r="W36">
            <v>0</v>
          </cell>
          <cell r="X36">
            <v>5360</v>
          </cell>
          <cell r="Y36">
            <v>50667.5</v>
          </cell>
        </row>
        <row r="37">
          <cell r="A37" t="str">
            <v>EMP036</v>
          </cell>
          <cell r="B37" t="str">
            <v>Name 36</v>
          </cell>
          <cell r="C37" t="str">
            <v>Clerk</v>
          </cell>
          <cell r="D37">
            <v>45</v>
          </cell>
          <cell r="E37">
            <v>43842</v>
          </cell>
          <cell r="F37" t="str">
            <v>Day</v>
          </cell>
          <cell r="G37" t="str">
            <v>Name 36@gmail.com</v>
          </cell>
          <cell r="H37">
            <v>25000</v>
          </cell>
          <cell r="I37">
            <v>4500</v>
          </cell>
          <cell r="J37">
            <v>1250</v>
          </cell>
          <cell r="K37">
            <v>1000</v>
          </cell>
          <cell r="L37">
            <v>0</v>
          </cell>
          <cell r="M37">
            <v>1600</v>
          </cell>
          <cell r="N37">
            <v>30</v>
          </cell>
          <cell r="O37">
            <v>25000</v>
          </cell>
          <cell r="P37">
            <v>0</v>
          </cell>
          <cell r="Q37">
            <v>0</v>
          </cell>
          <cell r="R37">
            <v>104.16666666666667</v>
          </cell>
          <cell r="S37">
            <v>0</v>
          </cell>
          <cell r="T37">
            <v>33350</v>
          </cell>
          <cell r="U37">
            <v>200</v>
          </cell>
          <cell r="V37">
            <v>3000</v>
          </cell>
          <cell r="W37">
            <v>0</v>
          </cell>
          <cell r="X37">
            <v>3200</v>
          </cell>
          <cell r="Y37">
            <v>30150</v>
          </cell>
        </row>
        <row r="38">
          <cell r="A38" t="str">
            <v>EMP037</v>
          </cell>
          <cell r="B38" t="str">
            <v>Name 37</v>
          </cell>
          <cell r="C38" t="str">
            <v>Accountant</v>
          </cell>
          <cell r="D38">
            <v>54</v>
          </cell>
          <cell r="E38">
            <v>43843</v>
          </cell>
          <cell r="F38" t="str">
            <v>Day</v>
          </cell>
          <cell r="G38" t="str">
            <v>Name 37@gmail.com</v>
          </cell>
          <cell r="H38">
            <v>28000</v>
          </cell>
          <cell r="I38">
            <v>5040</v>
          </cell>
          <cell r="J38">
            <v>1400</v>
          </cell>
          <cell r="K38">
            <v>1000</v>
          </cell>
          <cell r="L38">
            <v>0</v>
          </cell>
          <cell r="M38">
            <v>1600</v>
          </cell>
          <cell r="N38">
            <v>20</v>
          </cell>
          <cell r="O38">
            <v>18666.666666666668</v>
          </cell>
          <cell r="P38">
            <v>0</v>
          </cell>
          <cell r="Q38">
            <v>0</v>
          </cell>
          <cell r="R38">
            <v>116.66666666666667</v>
          </cell>
          <cell r="S38">
            <v>0</v>
          </cell>
          <cell r="T38">
            <v>27706.666666666668</v>
          </cell>
          <cell r="U38">
            <v>200</v>
          </cell>
          <cell r="V38">
            <v>3360</v>
          </cell>
          <cell r="W38">
            <v>0</v>
          </cell>
          <cell r="X38">
            <v>3560</v>
          </cell>
          <cell r="Y38">
            <v>24146.666666666668</v>
          </cell>
        </row>
        <row r="39">
          <cell r="A39" t="str">
            <v>EMP038</v>
          </cell>
          <cell r="B39" t="str">
            <v>Name 38</v>
          </cell>
          <cell r="C39" t="str">
            <v>Manager</v>
          </cell>
          <cell r="D39">
            <v>56</v>
          </cell>
          <cell r="E39">
            <v>43844</v>
          </cell>
          <cell r="F39" t="str">
            <v>Day</v>
          </cell>
          <cell r="G39" t="str">
            <v>Name 38@gmail.com</v>
          </cell>
          <cell r="H39">
            <v>40000</v>
          </cell>
          <cell r="I39">
            <v>7200</v>
          </cell>
          <cell r="J39">
            <v>2000</v>
          </cell>
          <cell r="K39">
            <v>1000</v>
          </cell>
          <cell r="L39">
            <v>0</v>
          </cell>
          <cell r="M39">
            <v>1600</v>
          </cell>
          <cell r="N39">
            <v>28</v>
          </cell>
          <cell r="O39">
            <v>37333.333333333328</v>
          </cell>
          <cell r="P39">
            <v>2</v>
          </cell>
          <cell r="Q39">
            <v>56</v>
          </cell>
          <cell r="R39">
            <v>166.66666666666666</v>
          </cell>
          <cell r="S39">
            <v>9333.3333333333321</v>
          </cell>
          <cell r="T39">
            <v>58466.666666666657</v>
          </cell>
          <cell r="U39">
            <v>200</v>
          </cell>
          <cell r="V39">
            <v>4800</v>
          </cell>
          <cell r="W39">
            <v>0</v>
          </cell>
          <cell r="X39">
            <v>5000</v>
          </cell>
          <cell r="Y39">
            <v>53466.666666666657</v>
          </cell>
        </row>
        <row r="40">
          <cell r="A40" t="str">
            <v>EMP039</v>
          </cell>
          <cell r="B40" t="str">
            <v>Name 39</v>
          </cell>
          <cell r="C40" t="str">
            <v>Manager</v>
          </cell>
          <cell r="D40">
            <v>54</v>
          </cell>
          <cell r="E40">
            <v>43845</v>
          </cell>
          <cell r="F40" t="str">
            <v>Day</v>
          </cell>
          <cell r="G40" t="str">
            <v>Name 39@gmail.com</v>
          </cell>
          <cell r="H40">
            <v>32000</v>
          </cell>
          <cell r="I40">
            <v>5760</v>
          </cell>
          <cell r="J40">
            <v>1600</v>
          </cell>
          <cell r="K40">
            <v>1000</v>
          </cell>
          <cell r="L40">
            <v>0</v>
          </cell>
          <cell r="M40">
            <v>1600</v>
          </cell>
          <cell r="N40">
            <v>30</v>
          </cell>
          <cell r="O40">
            <v>32000.000000000004</v>
          </cell>
          <cell r="P40">
            <v>1</v>
          </cell>
          <cell r="Q40">
            <v>30</v>
          </cell>
          <cell r="R40">
            <v>133.33333333333334</v>
          </cell>
          <cell r="S40">
            <v>4000.0000000000005</v>
          </cell>
          <cell r="T40">
            <v>45960</v>
          </cell>
          <cell r="U40">
            <v>200</v>
          </cell>
          <cell r="V40">
            <v>3840</v>
          </cell>
          <cell r="W40">
            <v>5000</v>
          </cell>
          <cell r="X40">
            <v>9040</v>
          </cell>
          <cell r="Y40">
            <v>36920</v>
          </cell>
        </row>
        <row r="41">
          <cell r="A41" t="str">
            <v>EMP040</v>
          </cell>
          <cell r="B41" t="str">
            <v>Name 40</v>
          </cell>
          <cell r="C41" t="str">
            <v>Clerk</v>
          </cell>
          <cell r="D41">
            <v>34</v>
          </cell>
          <cell r="E41">
            <v>43846</v>
          </cell>
          <cell r="F41" t="str">
            <v>Day</v>
          </cell>
          <cell r="G41" t="str">
            <v>Name 40@gmail.com</v>
          </cell>
          <cell r="H41">
            <v>28000</v>
          </cell>
          <cell r="I41">
            <v>5040</v>
          </cell>
          <cell r="J41">
            <v>1400</v>
          </cell>
          <cell r="K41">
            <v>1000</v>
          </cell>
          <cell r="L41">
            <v>0</v>
          </cell>
          <cell r="M41">
            <v>1600</v>
          </cell>
          <cell r="N41">
            <v>29</v>
          </cell>
          <cell r="O41">
            <v>27066.666666666668</v>
          </cell>
          <cell r="P41">
            <v>1</v>
          </cell>
          <cell r="Q41">
            <v>29</v>
          </cell>
          <cell r="R41">
            <v>116.66666666666667</v>
          </cell>
          <cell r="S41">
            <v>3383.3333333333335</v>
          </cell>
          <cell r="T41">
            <v>39490.000000000007</v>
          </cell>
          <cell r="U41">
            <v>200</v>
          </cell>
          <cell r="V41">
            <v>3360</v>
          </cell>
          <cell r="W41">
            <v>0</v>
          </cell>
          <cell r="X41">
            <v>3560</v>
          </cell>
          <cell r="Y41">
            <v>35930.000000000007</v>
          </cell>
        </row>
        <row r="42">
          <cell r="A42" t="str">
            <v>EMP041</v>
          </cell>
          <cell r="B42" t="str">
            <v>Name 41</v>
          </cell>
          <cell r="C42" t="str">
            <v>Accountant</v>
          </cell>
          <cell r="D42">
            <v>23</v>
          </cell>
          <cell r="E42">
            <v>43847</v>
          </cell>
          <cell r="F42" t="str">
            <v>Night</v>
          </cell>
          <cell r="G42" t="str">
            <v>Name 41@gmail.com</v>
          </cell>
          <cell r="H42">
            <v>44000</v>
          </cell>
          <cell r="I42">
            <v>7920</v>
          </cell>
          <cell r="J42">
            <v>2200</v>
          </cell>
          <cell r="K42">
            <v>1000</v>
          </cell>
          <cell r="L42">
            <v>0</v>
          </cell>
          <cell r="M42">
            <v>1600</v>
          </cell>
          <cell r="N42">
            <v>28</v>
          </cell>
          <cell r="O42">
            <v>41066.666666666672</v>
          </cell>
          <cell r="P42">
            <v>1</v>
          </cell>
          <cell r="Q42">
            <v>28</v>
          </cell>
          <cell r="R42">
            <v>183.33333333333334</v>
          </cell>
          <cell r="S42">
            <v>5133.3333333333339</v>
          </cell>
          <cell r="T42">
            <v>58920.000000000007</v>
          </cell>
          <cell r="U42">
            <v>200</v>
          </cell>
          <cell r="V42">
            <v>5280</v>
          </cell>
          <cell r="W42">
            <v>0</v>
          </cell>
          <cell r="X42">
            <v>5480</v>
          </cell>
          <cell r="Y42">
            <v>53440.000000000007</v>
          </cell>
        </row>
        <row r="43">
          <cell r="A43" t="str">
            <v>EMP042</v>
          </cell>
          <cell r="B43" t="str">
            <v>Name 42</v>
          </cell>
          <cell r="C43" t="str">
            <v>Manager</v>
          </cell>
          <cell r="D43">
            <v>34</v>
          </cell>
          <cell r="E43">
            <v>43848</v>
          </cell>
          <cell r="F43" t="str">
            <v>Day</v>
          </cell>
          <cell r="G43" t="str">
            <v>Name 42@gmail.com</v>
          </cell>
          <cell r="H43">
            <v>25000</v>
          </cell>
          <cell r="I43">
            <v>4500</v>
          </cell>
          <cell r="J43">
            <v>1250</v>
          </cell>
          <cell r="K43">
            <v>1000</v>
          </cell>
          <cell r="L43">
            <v>0</v>
          </cell>
          <cell r="M43">
            <v>1600</v>
          </cell>
          <cell r="N43">
            <v>27</v>
          </cell>
          <cell r="O43">
            <v>22500</v>
          </cell>
          <cell r="P43">
            <v>1</v>
          </cell>
          <cell r="Q43">
            <v>27</v>
          </cell>
          <cell r="R43">
            <v>104.16666666666667</v>
          </cell>
          <cell r="S43">
            <v>2812.5</v>
          </cell>
          <cell r="T43">
            <v>33662.5</v>
          </cell>
          <cell r="U43">
            <v>200</v>
          </cell>
          <cell r="V43">
            <v>3000</v>
          </cell>
          <cell r="W43">
            <v>0</v>
          </cell>
          <cell r="X43">
            <v>3200</v>
          </cell>
          <cell r="Y43">
            <v>30462.5</v>
          </cell>
        </row>
        <row r="44">
          <cell r="A44" t="str">
            <v>EMP043</v>
          </cell>
          <cell r="B44" t="str">
            <v>Name 43</v>
          </cell>
          <cell r="C44" t="str">
            <v>Accountant</v>
          </cell>
          <cell r="D44">
            <v>43</v>
          </cell>
          <cell r="E44">
            <v>43849</v>
          </cell>
          <cell r="F44" t="str">
            <v>Day</v>
          </cell>
          <cell r="G44" t="str">
            <v>Name 43@gmail.com</v>
          </cell>
          <cell r="H44">
            <v>50000</v>
          </cell>
          <cell r="I44">
            <v>9000</v>
          </cell>
          <cell r="J44">
            <v>2500</v>
          </cell>
          <cell r="K44">
            <v>1000</v>
          </cell>
          <cell r="L44">
            <v>0</v>
          </cell>
          <cell r="M44">
            <v>1600</v>
          </cell>
          <cell r="N44">
            <v>27</v>
          </cell>
          <cell r="O44">
            <v>45000</v>
          </cell>
          <cell r="P44">
            <v>3</v>
          </cell>
          <cell r="Q44">
            <v>81</v>
          </cell>
          <cell r="R44">
            <v>208.33333333333334</v>
          </cell>
          <cell r="S44">
            <v>16875</v>
          </cell>
          <cell r="T44">
            <v>75975</v>
          </cell>
          <cell r="U44">
            <v>201</v>
          </cell>
          <cell r="V44">
            <v>6000</v>
          </cell>
          <cell r="W44">
            <v>0</v>
          </cell>
          <cell r="X44">
            <v>6201</v>
          </cell>
          <cell r="Y44">
            <v>69774</v>
          </cell>
        </row>
        <row r="45">
          <cell r="A45" t="str">
            <v>EMP044</v>
          </cell>
          <cell r="B45" t="str">
            <v>Name 44</v>
          </cell>
          <cell r="C45" t="str">
            <v>Accountant</v>
          </cell>
          <cell r="D45">
            <v>34</v>
          </cell>
          <cell r="E45">
            <v>43850</v>
          </cell>
          <cell r="F45" t="str">
            <v>Night</v>
          </cell>
          <cell r="G45" t="str">
            <v>Name 44@gmail.com</v>
          </cell>
          <cell r="H45">
            <v>70000</v>
          </cell>
          <cell r="I45">
            <v>12600</v>
          </cell>
          <cell r="J45">
            <v>3500</v>
          </cell>
          <cell r="K45">
            <v>1000</v>
          </cell>
          <cell r="L45">
            <v>0</v>
          </cell>
          <cell r="M45">
            <v>1600</v>
          </cell>
          <cell r="N45">
            <v>27</v>
          </cell>
          <cell r="O45">
            <v>63000.000000000007</v>
          </cell>
          <cell r="P45">
            <v>1</v>
          </cell>
          <cell r="Q45">
            <v>27</v>
          </cell>
          <cell r="R45">
            <v>291.66666666666669</v>
          </cell>
          <cell r="S45">
            <v>7875.0000000000009</v>
          </cell>
          <cell r="T45">
            <v>89575</v>
          </cell>
          <cell r="U45">
            <v>202</v>
          </cell>
          <cell r="V45">
            <v>8400</v>
          </cell>
          <cell r="W45">
            <v>0</v>
          </cell>
          <cell r="X45">
            <v>8602</v>
          </cell>
          <cell r="Y45">
            <v>80973</v>
          </cell>
        </row>
        <row r="46">
          <cell r="A46" t="str">
            <v>EMP045</v>
          </cell>
          <cell r="B46" t="str">
            <v>Name 45</v>
          </cell>
          <cell r="C46" t="str">
            <v>Accountant</v>
          </cell>
          <cell r="D46">
            <v>43</v>
          </cell>
          <cell r="E46">
            <v>43851</v>
          </cell>
          <cell r="F46" t="str">
            <v>Night</v>
          </cell>
          <cell r="G46" t="str">
            <v>Name 45@gmail.com</v>
          </cell>
          <cell r="H46">
            <v>34000</v>
          </cell>
          <cell r="I46">
            <v>6120</v>
          </cell>
          <cell r="J46">
            <v>1700</v>
          </cell>
          <cell r="K46">
            <v>1000</v>
          </cell>
          <cell r="L46">
            <v>2000</v>
          </cell>
          <cell r="M46">
            <v>1600</v>
          </cell>
          <cell r="N46">
            <v>30</v>
          </cell>
          <cell r="O46">
            <v>34000</v>
          </cell>
          <cell r="P46">
            <v>2</v>
          </cell>
          <cell r="Q46">
            <v>60</v>
          </cell>
          <cell r="R46">
            <v>141.66666666666666</v>
          </cell>
          <cell r="S46">
            <v>8500</v>
          </cell>
          <cell r="T46">
            <v>54920</v>
          </cell>
          <cell r="U46">
            <v>203</v>
          </cell>
          <cell r="V46">
            <v>4080</v>
          </cell>
          <cell r="W46">
            <v>0</v>
          </cell>
          <cell r="X46">
            <v>4283</v>
          </cell>
          <cell r="Y46">
            <v>50637</v>
          </cell>
        </row>
        <row r="47">
          <cell r="A47" t="str">
            <v>EMP046</v>
          </cell>
          <cell r="B47" t="str">
            <v>Name 46</v>
          </cell>
          <cell r="C47" t="str">
            <v>Accountant</v>
          </cell>
          <cell r="D47">
            <v>23</v>
          </cell>
          <cell r="E47">
            <v>43852</v>
          </cell>
          <cell r="F47" t="str">
            <v>Night</v>
          </cell>
          <cell r="G47" t="str">
            <v>Name 46@gmail.com</v>
          </cell>
          <cell r="H47">
            <v>45000</v>
          </cell>
          <cell r="I47">
            <v>8100</v>
          </cell>
          <cell r="J47">
            <v>2250</v>
          </cell>
          <cell r="K47">
            <v>1000</v>
          </cell>
          <cell r="L47">
            <v>5000</v>
          </cell>
          <cell r="M47">
            <v>1600</v>
          </cell>
          <cell r="N47">
            <v>30</v>
          </cell>
          <cell r="O47">
            <v>45000</v>
          </cell>
          <cell r="P47">
            <v>0</v>
          </cell>
          <cell r="Q47">
            <v>0</v>
          </cell>
          <cell r="R47">
            <v>187.5</v>
          </cell>
          <cell r="S47">
            <v>0</v>
          </cell>
          <cell r="T47">
            <v>62950</v>
          </cell>
          <cell r="U47">
            <v>204</v>
          </cell>
          <cell r="V47">
            <v>5400</v>
          </cell>
          <cell r="W47">
            <v>4000</v>
          </cell>
          <cell r="X47">
            <v>9604</v>
          </cell>
          <cell r="Y47">
            <v>53346</v>
          </cell>
        </row>
        <row r="48">
          <cell r="A48" t="str">
            <v>EMP047</v>
          </cell>
          <cell r="B48" t="str">
            <v>Name 47</v>
          </cell>
          <cell r="C48" t="str">
            <v>Accountant</v>
          </cell>
          <cell r="D48">
            <v>34</v>
          </cell>
          <cell r="E48">
            <v>43853</v>
          </cell>
          <cell r="F48" t="str">
            <v>Night</v>
          </cell>
          <cell r="G48" t="str">
            <v>Name 47@gmail.com</v>
          </cell>
          <cell r="H48">
            <v>55000</v>
          </cell>
          <cell r="I48">
            <v>9900</v>
          </cell>
          <cell r="J48">
            <v>2750</v>
          </cell>
          <cell r="K48">
            <v>1000</v>
          </cell>
          <cell r="L48">
            <v>5000</v>
          </cell>
          <cell r="M48">
            <v>1600</v>
          </cell>
          <cell r="N48">
            <v>30</v>
          </cell>
          <cell r="O48">
            <v>55000</v>
          </cell>
          <cell r="P48">
            <v>1</v>
          </cell>
          <cell r="Q48">
            <v>30</v>
          </cell>
          <cell r="R48">
            <v>229.16666666666666</v>
          </cell>
          <cell r="S48">
            <v>6875</v>
          </cell>
          <cell r="T48">
            <v>82125</v>
          </cell>
          <cell r="U48">
            <v>205</v>
          </cell>
          <cell r="V48">
            <v>6600</v>
          </cell>
          <cell r="W48">
            <v>0</v>
          </cell>
          <cell r="X48">
            <v>6805</v>
          </cell>
          <cell r="Y48">
            <v>75320</v>
          </cell>
        </row>
        <row r="49">
          <cell r="A49" t="str">
            <v>EMP048</v>
          </cell>
          <cell r="B49" t="str">
            <v>Name 48</v>
          </cell>
          <cell r="C49" t="str">
            <v>Manager</v>
          </cell>
          <cell r="D49">
            <v>23</v>
          </cell>
          <cell r="E49">
            <v>43854</v>
          </cell>
          <cell r="F49" t="str">
            <v>Day</v>
          </cell>
          <cell r="G49" t="str">
            <v>Name 48@gmail.com</v>
          </cell>
          <cell r="H49">
            <v>43000</v>
          </cell>
          <cell r="I49">
            <v>7740</v>
          </cell>
          <cell r="J49">
            <v>2150</v>
          </cell>
          <cell r="K49">
            <v>1000</v>
          </cell>
          <cell r="L49">
            <v>5000</v>
          </cell>
          <cell r="M49">
            <v>1600</v>
          </cell>
          <cell r="N49">
            <v>27</v>
          </cell>
          <cell r="O49">
            <v>38700</v>
          </cell>
          <cell r="P49">
            <v>1</v>
          </cell>
          <cell r="Q49">
            <v>27</v>
          </cell>
          <cell r="R49">
            <v>179.16666666666666</v>
          </cell>
          <cell r="S49">
            <v>4837.5</v>
          </cell>
          <cell r="T49">
            <v>61027.5</v>
          </cell>
          <cell r="U49">
            <v>200</v>
          </cell>
          <cell r="V49">
            <v>5160</v>
          </cell>
          <cell r="W49">
            <v>0</v>
          </cell>
          <cell r="X49">
            <v>5360</v>
          </cell>
          <cell r="Y49">
            <v>55667.5</v>
          </cell>
        </row>
        <row r="50">
          <cell r="A50" t="str">
            <v>EMP049</v>
          </cell>
          <cell r="B50" t="str">
            <v>Name 49</v>
          </cell>
          <cell r="C50" t="str">
            <v>Clerk</v>
          </cell>
          <cell r="D50">
            <v>34</v>
          </cell>
          <cell r="E50">
            <v>43831</v>
          </cell>
          <cell r="F50" t="str">
            <v>Day</v>
          </cell>
          <cell r="G50" t="str">
            <v>Name 49@gmail.com</v>
          </cell>
          <cell r="H50">
            <v>25000</v>
          </cell>
          <cell r="I50">
            <v>4500</v>
          </cell>
          <cell r="J50">
            <v>1250</v>
          </cell>
          <cell r="K50">
            <v>1000</v>
          </cell>
          <cell r="L50">
            <v>5000</v>
          </cell>
          <cell r="M50">
            <v>1600</v>
          </cell>
          <cell r="N50">
            <v>30</v>
          </cell>
          <cell r="O50">
            <v>25000</v>
          </cell>
          <cell r="P50">
            <v>0</v>
          </cell>
          <cell r="Q50">
            <v>0</v>
          </cell>
          <cell r="R50">
            <v>104.16666666666667</v>
          </cell>
          <cell r="S50">
            <v>0</v>
          </cell>
          <cell r="T50">
            <v>38350</v>
          </cell>
          <cell r="U50">
            <v>200</v>
          </cell>
          <cell r="V50">
            <v>3000</v>
          </cell>
          <cell r="W50">
            <v>0</v>
          </cell>
          <cell r="X50">
            <v>3200</v>
          </cell>
          <cell r="Y50">
            <v>35150</v>
          </cell>
        </row>
        <row r="51">
          <cell r="A51" t="str">
            <v>EMP050</v>
          </cell>
          <cell r="B51" t="str">
            <v>Name 50</v>
          </cell>
          <cell r="C51" t="str">
            <v>Accountant</v>
          </cell>
          <cell r="D51">
            <v>23</v>
          </cell>
          <cell r="E51">
            <v>43832</v>
          </cell>
          <cell r="F51" t="str">
            <v>Day</v>
          </cell>
          <cell r="G51" t="str">
            <v>Name 50@gmail.com</v>
          </cell>
          <cell r="H51">
            <v>28000</v>
          </cell>
          <cell r="I51">
            <v>5040</v>
          </cell>
          <cell r="J51">
            <v>1400</v>
          </cell>
          <cell r="K51">
            <v>1000</v>
          </cell>
          <cell r="L51">
            <v>5000</v>
          </cell>
          <cell r="M51">
            <v>1600</v>
          </cell>
          <cell r="N51">
            <v>20</v>
          </cell>
          <cell r="O51">
            <v>18666.666666666668</v>
          </cell>
          <cell r="P51">
            <v>0</v>
          </cell>
          <cell r="Q51">
            <v>0</v>
          </cell>
          <cell r="R51">
            <v>116.66666666666667</v>
          </cell>
          <cell r="S51">
            <v>0</v>
          </cell>
          <cell r="T51">
            <v>32706.666666666668</v>
          </cell>
          <cell r="U51">
            <v>200</v>
          </cell>
          <cell r="V51">
            <v>3360</v>
          </cell>
          <cell r="W51">
            <v>0</v>
          </cell>
          <cell r="X51">
            <v>3560</v>
          </cell>
          <cell r="Y51">
            <v>29146.666666666668</v>
          </cell>
        </row>
        <row r="52">
          <cell r="A52" t="str">
            <v>EMP051</v>
          </cell>
          <cell r="B52" t="str">
            <v>Name 51</v>
          </cell>
          <cell r="C52" t="str">
            <v>Manager</v>
          </cell>
          <cell r="D52">
            <v>34</v>
          </cell>
          <cell r="E52">
            <v>43833</v>
          </cell>
          <cell r="F52" t="str">
            <v>Day</v>
          </cell>
          <cell r="G52" t="str">
            <v>Name 51@gmail.com</v>
          </cell>
          <cell r="H52">
            <v>40000</v>
          </cell>
          <cell r="I52">
            <v>7200</v>
          </cell>
          <cell r="J52">
            <v>2000</v>
          </cell>
          <cell r="K52">
            <v>1000</v>
          </cell>
          <cell r="L52">
            <v>5000</v>
          </cell>
          <cell r="M52">
            <v>1600</v>
          </cell>
          <cell r="N52">
            <v>28</v>
          </cell>
          <cell r="O52">
            <v>37333.333333333328</v>
          </cell>
          <cell r="P52">
            <v>2</v>
          </cell>
          <cell r="Q52">
            <v>56</v>
          </cell>
          <cell r="R52">
            <v>166.66666666666666</v>
          </cell>
          <cell r="S52">
            <v>9333.3333333333321</v>
          </cell>
          <cell r="T52">
            <v>63466.666666666657</v>
          </cell>
          <cell r="U52">
            <v>200</v>
          </cell>
          <cell r="V52">
            <v>4800</v>
          </cell>
          <cell r="W52">
            <v>0</v>
          </cell>
          <cell r="X52">
            <v>5000</v>
          </cell>
          <cell r="Y52">
            <v>58466.666666666657</v>
          </cell>
        </row>
        <row r="53">
          <cell r="A53" t="str">
            <v>EMP052</v>
          </cell>
          <cell r="B53" t="str">
            <v>Name 52</v>
          </cell>
          <cell r="C53" t="str">
            <v>Manager</v>
          </cell>
          <cell r="D53">
            <v>45</v>
          </cell>
          <cell r="E53">
            <v>43834</v>
          </cell>
          <cell r="F53" t="str">
            <v>Day</v>
          </cell>
          <cell r="G53" t="str">
            <v>Name 52@gmail.com</v>
          </cell>
          <cell r="H53">
            <v>32000</v>
          </cell>
          <cell r="I53">
            <v>5760</v>
          </cell>
          <cell r="J53">
            <v>1600</v>
          </cell>
          <cell r="K53">
            <v>1000</v>
          </cell>
          <cell r="L53">
            <v>5000</v>
          </cell>
          <cell r="M53">
            <v>1600</v>
          </cell>
          <cell r="N53">
            <v>30</v>
          </cell>
          <cell r="O53">
            <v>32000.000000000004</v>
          </cell>
          <cell r="P53">
            <v>1</v>
          </cell>
          <cell r="Q53">
            <v>30</v>
          </cell>
          <cell r="R53">
            <v>133.33333333333334</v>
          </cell>
          <cell r="S53">
            <v>4000.0000000000005</v>
          </cell>
          <cell r="T53">
            <v>50960</v>
          </cell>
          <cell r="U53">
            <v>200</v>
          </cell>
          <cell r="V53">
            <v>3840</v>
          </cell>
          <cell r="W53">
            <v>5000</v>
          </cell>
          <cell r="X53">
            <v>9040</v>
          </cell>
          <cell r="Y53">
            <v>41920</v>
          </cell>
        </row>
        <row r="54">
          <cell r="A54" t="str">
            <v>EMP053</v>
          </cell>
          <cell r="B54" t="str">
            <v>Name 53</v>
          </cell>
          <cell r="C54" t="str">
            <v>Clerk</v>
          </cell>
          <cell r="D54">
            <v>54</v>
          </cell>
          <cell r="E54">
            <v>43835</v>
          </cell>
          <cell r="F54" t="str">
            <v>Day</v>
          </cell>
          <cell r="G54" t="str">
            <v>Name 53@gmail.com</v>
          </cell>
          <cell r="H54">
            <v>28000</v>
          </cell>
          <cell r="I54">
            <v>5040</v>
          </cell>
          <cell r="J54">
            <v>1400</v>
          </cell>
          <cell r="K54">
            <v>1000</v>
          </cell>
          <cell r="L54">
            <v>5000</v>
          </cell>
          <cell r="M54">
            <v>1600</v>
          </cell>
          <cell r="N54">
            <v>29</v>
          </cell>
          <cell r="O54">
            <v>27066.666666666668</v>
          </cell>
          <cell r="P54">
            <v>1</v>
          </cell>
          <cell r="Q54">
            <v>29</v>
          </cell>
          <cell r="R54">
            <v>116.66666666666667</v>
          </cell>
          <cell r="S54">
            <v>3383.3333333333335</v>
          </cell>
          <cell r="T54">
            <v>44490.000000000007</v>
          </cell>
          <cell r="U54">
            <v>200</v>
          </cell>
          <cell r="V54">
            <v>3360</v>
          </cell>
          <cell r="W54">
            <v>0</v>
          </cell>
          <cell r="X54">
            <v>3560</v>
          </cell>
          <cell r="Y54">
            <v>40930.000000000007</v>
          </cell>
        </row>
        <row r="55">
          <cell r="A55" t="str">
            <v>EMP054</v>
          </cell>
          <cell r="B55" t="str">
            <v>Name 54</v>
          </cell>
          <cell r="C55" t="str">
            <v>Accountant</v>
          </cell>
          <cell r="D55">
            <v>56</v>
          </cell>
          <cell r="E55">
            <v>43836</v>
          </cell>
          <cell r="F55" t="str">
            <v>Night</v>
          </cell>
          <cell r="G55" t="str">
            <v>Name 54@gmail.com</v>
          </cell>
          <cell r="H55">
            <v>44000</v>
          </cell>
          <cell r="I55">
            <v>7920</v>
          </cell>
          <cell r="J55">
            <v>2200</v>
          </cell>
          <cell r="K55">
            <v>1000</v>
          </cell>
          <cell r="L55">
            <v>5000</v>
          </cell>
          <cell r="M55">
            <v>1600</v>
          </cell>
          <cell r="N55">
            <v>28</v>
          </cell>
          <cell r="O55">
            <v>41066.666666666672</v>
          </cell>
          <cell r="P55">
            <v>1</v>
          </cell>
          <cell r="Q55">
            <v>28</v>
          </cell>
          <cell r="R55">
            <v>183.33333333333334</v>
          </cell>
          <cell r="S55">
            <v>5133.3333333333339</v>
          </cell>
          <cell r="T55">
            <v>63920.000000000007</v>
          </cell>
          <cell r="U55">
            <v>200</v>
          </cell>
          <cell r="V55">
            <v>5280</v>
          </cell>
          <cell r="W55">
            <v>0</v>
          </cell>
          <cell r="X55">
            <v>5480</v>
          </cell>
          <cell r="Y55">
            <v>58440.000000000007</v>
          </cell>
        </row>
        <row r="56">
          <cell r="A56" t="str">
            <v>EMP055</v>
          </cell>
          <cell r="B56" t="str">
            <v>Name 55</v>
          </cell>
          <cell r="C56" t="str">
            <v>Manager</v>
          </cell>
          <cell r="D56">
            <v>54</v>
          </cell>
          <cell r="E56">
            <v>43837</v>
          </cell>
          <cell r="F56" t="str">
            <v>Day</v>
          </cell>
          <cell r="G56" t="str">
            <v>Name 55@gmail.com</v>
          </cell>
          <cell r="H56">
            <v>25000</v>
          </cell>
          <cell r="I56">
            <v>4500</v>
          </cell>
          <cell r="J56">
            <v>1250</v>
          </cell>
          <cell r="K56">
            <v>1000</v>
          </cell>
          <cell r="L56">
            <v>5000</v>
          </cell>
          <cell r="M56">
            <v>1600</v>
          </cell>
          <cell r="N56">
            <v>27</v>
          </cell>
          <cell r="O56">
            <v>22500</v>
          </cell>
          <cell r="P56">
            <v>1</v>
          </cell>
          <cell r="Q56">
            <v>27</v>
          </cell>
          <cell r="R56">
            <v>104.16666666666667</v>
          </cell>
          <cell r="S56">
            <v>2812.5</v>
          </cell>
          <cell r="T56">
            <v>38662.5</v>
          </cell>
          <cell r="U56">
            <v>200</v>
          </cell>
          <cell r="V56">
            <v>3000</v>
          </cell>
          <cell r="W56">
            <v>0</v>
          </cell>
          <cell r="X56">
            <v>3200</v>
          </cell>
          <cell r="Y56">
            <v>35462.5</v>
          </cell>
        </row>
        <row r="57">
          <cell r="A57" t="str">
            <v>EMP056</v>
          </cell>
          <cell r="B57" t="str">
            <v>Name 56</v>
          </cell>
          <cell r="C57" t="str">
            <v>Accountant</v>
          </cell>
          <cell r="D57">
            <v>34</v>
          </cell>
          <cell r="E57">
            <v>43838</v>
          </cell>
          <cell r="F57" t="str">
            <v>Day</v>
          </cell>
          <cell r="G57" t="str">
            <v>Name 56@gmail.com</v>
          </cell>
          <cell r="H57">
            <v>50000</v>
          </cell>
          <cell r="I57">
            <v>9000</v>
          </cell>
          <cell r="J57">
            <v>2500</v>
          </cell>
          <cell r="K57">
            <v>1000</v>
          </cell>
          <cell r="L57">
            <v>5000</v>
          </cell>
          <cell r="M57">
            <v>1600</v>
          </cell>
          <cell r="N57">
            <v>27</v>
          </cell>
          <cell r="O57">
            <v>45000</v>
          </cell>
          <cell r="P57">
            <v>3</v>
          </cell>
          <cell r="Q57">
            <v>81</v>
          </cell>
          <cell r="R57">
            <v>208.33333333333334</v>
          </cell>
          <cell r="S57">
            <v>16875</v>
          </cell>
          <cell r="T57">
            <v>80975</v>
          </cell>
          <cell r="U57">
            <v>201</v>
          </cell>
          <cell r="V57">
            <v>6000</v>
          </cell>
          <cell r="W57">
            <v>0</v>
          </cell>
          <cell r="X57">
            <v>6201</v>
          </cell>
          <cell r="Y57">
            <v>74774</v>
          </cell>
        </row>
        <row r="58">
          <cell r="A58" t="str">
            <v>EMP057</v>
          </cell>
          <cell r="B58" t="str">
            <v>Name 57</v>
          </cell>
          <cell r="C58" t="str">
            <v>Accountant</v>
          </cell>
          <cell r="D58">
            <v>23</v>
          </cell>
          <cell r="E58">
            <v>43839</v>
          </cell>
          <cell r="F58" t="str">
            <v>Night</v>
          </cell>
          <cell r="G58" t="str">
            <v>Name 57@gmail.com</v>
          </cell>
          <cell r="H58">
            <v>70000</v>
          </cell>
          <cell r="I58">
            <v>12600</v>
          </cell>
          <cell r="J58">
            <v>3500</v>
          </cell>
          <cell r="K58">
            <v>1000</v>
          </cell>
          <cell r="L58">
            <v>5000</v>
          </cell>
          <cell r="M58">
            <v>1600</v>
          </cell>
          <cell r="N58">
            <v>27</v>
          </cell>
          <cell r="O58">
            <v>63000.000000000007</v>
          </cell>
          <cell r="P58">
            <v>1</v>
          </cell>
          <cell r="Q58">
            <v>27</v>
          </cell>
          <cell r="R58">
            <v>291.66666666666669</v>
          </cell>
          <cell r="S58">
            <v>7875.0000000000009</v>
          </cell>
          <cell r="T58">
            <v>94575</v>
          </cell>
          <cell r="U58">
            <v>202</v>
          </cell>
          <cell r="V58">
            <v>8400</v>
          </cell>
          <cell r="W58">
            <v>0</v>
          </cell>
          <cell r="X58">
            <v>8602</v>
          </cell>
          <cell r="Y58">
            <v>85973</v>
          </cell>
        </row>
        <row r="59">
          <cell r="A59" t="str">
            <v>EMP058</v>
          </cell>
          <cell r="B59" t="str">
            <v>Name 58</v>
          </cell>
          <cell r="C59" t="str">
            <v>Accountant</v>
          </cell>
          <cell r="D59">
            <v>34</v>
          </cell>
          <cell r="E59">
            <v>43840</v>
          </cell>
          <cell r="F59" t="str">
            <v>Night</v>
          </cell>
          <cell r="G59" t="str">
            <v>Name 58@gmail.com</v>
          </cell>
          <cell r="H59">
            <v>34000</v>
          </cell>
          <cell r="I59">
            <v>6120</v>
          </cell>
          <cell r="J59">
            <v>1700</v>
          </cell>
          <cell r="K59">
            <v>1000</v>
          </cell>
          <cell r="L59">
            <v>5000</v>
          </cell>
          <cell r="M59">
            <v>1600</v>
          </cell>
          <cell r="N59">
            <v>30</v>
          </cell>
          <cell r="O59">
            <v>34000</v>
          </cell>
          <cell r="P59">
            <v>2</v>
          </cell>
          <cell r="Q59">
            <v>60</v>
          </cell>
          <cell r="R59">
            <v>141.66666666666666</v>
          </cell>
          <cell r="S59">
            <v>8500</v>
          </cell>
          <cell r="T59">
            <v>57920</v>
          </cell>
          <cell r="U59">
            <v>203</v>
          </cell>
          <cell r="V59">
            <v>4080</v>
          </cell>
          <cell r="W59">
            <v>0</v>
          </cell>
          <cell r="X59">
            <v>4283</v>
          </cell>
          <cell r="Y59">
            <v>53637</v>
          </cell>
        </row>
        <row r="60">
          <cell r="A60" t="str">
            <v>EMP059</v>
          </cell>
          <cell r="B60" t="str">
            <v>Name 59</v>
          </cell>
          <cell r="C60" t="str">
            <v>Accountant</v>
          </cell>
          <cell r="D60">
            <v>43</v>
          </cell>
          <cell r="E60">
            <v>43841</v>
          </cell>
          <cell r="F60" t="str">
            <v>Night</v>
          </cell>
          <cell r="G60" t="str">
            <v>Name 59@gmail.com</v>
          </cell>
          <cell r="H60">
            <v>45000</v>
          </cell>
          <cell r="I60">
            <v>8100</v>
          </cell>
          <cell r="J60">
            <v>2250</v>
          </cell>
          <cell r="K60">
            <v>1000</v>
          </cell>
          <cell r="L60">
            <v>5000</v>
          </cell>
          <cell r="M60">
            <v>1600</v>
          </cell>
          <cell r="N60">
            <v>30</v>
          </cell>
          <cell r="O60">
            <v>45000</v>
          </cell>
          <cell r="P60">
            <v>0</v>
          </cell>
          <cell r="Q60">
            <v>0</v>
          </cell>
          <cell r="R60">
            <v>187.5</v>
          </cell>
          <cell r="S60">
            <v>0</v>
          </cell>
          <cell r="T60">
            <v>62950</v>
          </cell>
          <cell r="U60">
            <v>204</v>
          </cell>
          <cell r="V60">
            <v>5400</v>
          </cell>
          <cell r="W60">
            <v>4000</v>
          </cell>
          <cell r="X60">
            <v>9604</v>
          </cell>
          <cell r="Y60">
            <v>53346</v>
          </cell>
        </row>
        <row r="61">
          <cell r="A61" t="str">
            <v>EMP060</v>
          </cell>
          <cell r="B61" t="str">
            <v>Name 60</v>
          </cell>
          <cell r="C61" t="str">
            <v>Accountant</v>
          </cell>
          <cell r="D61">
            <v>34</v>
          </cell>
          <cell r="E61">
            <v>43842</v>
          </cell>
          <cell r="F61" t="str">
            <v>Night</v>
          </cell>
          <cell r="G61" t="str">
            <v>Name 60@gmail.com</v>
          </cell>
          <cell r="H61">
            <v>55000</v>
          </cell>
          <cell r="I61">
            <v>9900</v>
          </cell>
          <cell r="J61">
            <v>2750</v>
          </cell>
          <cell r="K61">
            <v>1000</v>
          </cell>
          <cell r="L61">
            <v>5000</v>
          </cell>
          <cell r="M61">
            <v>1600</v>
          </cell>
          <cell r="N61">
            <v>30</v>
          </cell>
          <cell r="O61">
            <v>55000</v>
          </cell>
          <cell r="P61">
            <v>1</v>
          </cell>
          <cell r="Q61">
            <v>30</v>
          </cell>
          <cell r="R61">
            <v>229.16666666666666</v>
          </cell>
          <cell r="S61">
            <v>6875</v>
          </cell>
          <cell r="T61">
            <v>82125</v>
          </cell>
          <cell r="U61">
            <v>205</v>
          </cell>
          <cell r="V61">
            <v>6600</v>
          </cell>
          <cell r="W61">
            <v>0</v>
          </cell>
          <cell r="X61">
            <v>6805</v>
          </cell>
          <cell r="Y61">
            <v>75320</v>
          </cell>
        </row>
        <row r="62">
          <cell r="A62" t="str">
            <v>EMP061</v>
          </cell>
          <cell r="B62" t="str">
            <v>Name 61</v>
          </cell>
          <cell r="C62" t="str">
            <v>Manager</v>
          </cell>
          <cell r="D62">
            <v>43</v>
          </cell>
          <cell r="E62">
            <v>43843</v>
          </cell>
          <cell r="F62" t="str">
            <v>Day</v>
          </cell>
          <cell r="G62" t="str">
            <v>Name 61@gmail.com</v>
          </cell>
          <cell r="H62">
            <v>43000</v>
          </cell>
          <cell r="I62">
            <v>7740</v>
          </cell>
          <cell r="J62">
            <v>2150</v>
          </cell>
          <cell r="K62">
            <v>1000</v>
          </cell>
          <cell r="L62">
            <v>5000</v>
          </cell>
          <cell r="M62">
            <v>1600</v>
          </cell>
          <cell r="N62">
            <v>27</v>
          </cell>
          <cell r="O62">
            <v>38700</v>
          </cell>
          <cell r="P62">
            <v>1</v>
          </cell>
          <cell r="Q62">
            <v>27</v>
          </cell>
          <cell r="R62">
            <v>179.16666666666666</v>
          </cell>
          <cell r="S62">
            <v>4837.5</v>
          </cell>
          <cell r="T62">
            <v>61027.5</v>
          </cell>
          <cell r="U62">
            <v>200</v>
          </cell>
          <cell r="V62">
            <v>5160</v>
          </cell>
          <cell r="W62">
            <v>0</v>
          </cell>
          <cell r="X62">
            <v>5360</v>
          </cell>
          <cell r="Y62">
            <v>55667.5</v>
          </cell>
        </row>
        <row r="63">
          <cell r="A63" t="str">
            <v>EMP062</v>
          </cell>
          <cell r="B63" t="str">
            <v>Name 62</v>
          </cell>
          <cell r="C63" t="str">
            <v>Clerk</v>
          </cell>
          <cell r="D63">
            <v>23</v>
          </cell>
          <cell r="E63">
            <v>43844</v>
          </cell>
          <cell r="F63" t="str">
            <v>Day</v>
          </cell>
          <cell r="G63" t="str">
            <v>Name 62@gmail.com</v>
          </cell>
          <cell r="H63">
            <v>25000</v>
          </cell>
          <cell r="I63">
            <v>4500</v>
          </cell>
          <cell r="J63">
            <v>1250</v>
          </cell>
          <cell r="K63">
            <v>1000</v>
          </cell>
          <cell r="L63">
            <v>5000</v>
          </cell>
          <cell r="M63">
            <v>1600</v>
          </cell>
          <cell r="N63">
            <v>30</v>
          </cell>
          <cell r="O63">
            <v>25000</v>
          </cell>
          <cell r="P63">
            <v>0</v>
          </cell>
          <cell r="Q63">
            <v>0</v>
          </cell>
          <cell r="R63">
            <v>104.16666666666667</v>
          </cell>
          <cell r="S63">
            <v>0</v>
          </cell>
          <cell r="T63">
            <v>38350</v>
          </cell>
          <cell r="U63">
            <v>200</v>
          </cell>
          <cell r="V63">
            <v>3000</v>
          </cell>
          <cell r="W63">
            <v>0</v>
          </cell>
          <cell r="X63">
            <v>3200</v>
          </cell>
          <cell r="Y63">
            <v>35150</v>
          </cell>
        </row>
        <row r="64">
          <cell r="A64" t="str">
            <v>EMP063</v>
          </cell>
          <cell r="B64" t="str">
            <v>Name 63</v>
          </cell>
          <cell r="C64" t="str">
            <v>Accountant</v>
          </cell>
          <cell r="D64">
            <v>34</v>
          </cell>
          <cell r="E64">
            <v>43845</v>
          </cell>
          <cell r="F64" t="str">
            <v>Day</v>
          </cell>
          <cell r="G64" t="str">
            <v>Name 63@gmail.com</v>
          </cell>
          <cell r="H64">
            <v>28000</v>
          </cell>
          <cell r="I64">
            <v>5040</v>
          </cell>
          <cell r="J64">
            <v>1400</v>
          </cell>
          <cell r="K64">
            <v>1000</v>
          </cell>
          <cell r="L64">
            <v>5000</v>
          </cell>
          <cell r="M64">
            <v>1600</v>
          </cell>
          <cell r="N64">
            <v>20</v>
          </cell>
          <cell r="O64">
            <v>18666.666666666668</v>
          </cell>
          <cell r="P64">
            <v>0</v>
          </cell>
          <cell r="Q64">
            <v>0</v>
          </cell>
          <cell r="R64">
            <v>116.66666666666667</v>
          </cell>
          <cell r="S64">
            <v>0</v>
          </cell>
          <cell r="T64">
            <v>32706.666666666668</v>
          </cell>
          <cell r="U64">
            <v>200</v>
          </cell>
          <cell r="V64">
            <v>3360</v>
          </cell>
          <cell r="W64">
            <v>0</v>
          </cell>
          <cell r="X64">
            <v>3560</v>
          </cell>
          <cell r="Y64">
            <v>29146.666666666668</v>
          </cell>
        </row>
        <row r="65">
          <cell r="A65" t="str">
            <v>EMP064</v>
          </cell>
          <cell r="B65" t="str">
            <v>Name 64</v>
          </cell>
          <cell r="C65" t="str">
            <v>Manager</v>
          </cell>
          <cell r="D65">
            <v>23</v>
          </cell>
          <cell r="E65">
            <v>43846</v>
          </cell>
          <cell r="F65" t="str">
            <v>Day</v>
          </cell>
          <cell r="G65" t="str">
            <v>Name 64@gmail.com</v>
          </cell>
          <cell r="H65">
            <v>40000</v>
          </cell>
          <cell r="I65">
            <v>7200</v>
          </cell>
          <cell r="J65">
            <v>2000</v>
          </cell>
          <cell r="K65">
            <v>1000</v>
          </cell>
          <cell r="L65">
            <v>5000</v>
          </cell>
          <cell r="M65">
            <v>1600</v>
          </cell>
          <cell r="N65">
            <v>28</v>
          </cell>
          <cell r="O65">
            <v>37333.333333333328</v>
          </cell>
          <cell r="P65">
            <v>2</v>
          </cell>
          <cell r="Q65">
            <v>56</v>
          </cell>
          <cell r="R65">
            <v>166.66666666666666</v>
          </cell>
          <cell r="S65">
            <v>9333.3333333333321</v>
          </cell>
          <cell r="T65">
            <v>63466.666666666657</v>
          </cell>
          <cell r="U65">
            <v>200</v>
          </cell>
          <cell r="V65">
            <v>4800</v>
          </cell>
          <cell r="W65">
            <v>0</v>
          </cell>
          <cell r="X65">
            <v>5000</v>
          </cell>
          <cell r="Y65">
            <v>58466.666666666657</v>
          </cell>
        </row>
        <row r="66">
          <cell r="A66" t="str">
            <v>EMP065</v>
          </cell>
          <cell r="B66" t="str">
            <v>Name 65</v>
          </cell>
          <cell r="C66" t="str">
            <v>Manager</v>
          </cell>
          <cell r="D66">
            <v>34</v>
          </cell>
          <cell r="E66">
            <v>43847</v>
          </cell>
          <cell r="F66" t="str">
            <v>Day</v>
          </cell>
          <cell r="G66" t="str">
            <v>Name 65@gmail.com</v>
          </cell>
          <cell r="H66">
            <v>32000</v>
          </cell>
          <cell r="I66">
            <v>5760</v>
          </cell>
          <cell r="J66">
            <v>1600</v>
          </cell>
          <cell r="K66">
            <v>1000</v>
          </cell>
          <cell r="L66">
            <v>5000</v>
          </cell>
          <cell r="M66">
            <v>1600</v>
          </cell>
          <cell r="N66">
            <v>30</v>
          </cell>
          <cell r="O66">
            <v>32000.000000000004</v>
          </cell>
          <cell r="P66">
            <v>1</v>
          </cell>
          <cell r="Q66">
            <v>30</v>
          </cell>
          <cell r="R66">
            <v>133.33333333333334</v>
          </cell>
          <cell r="S66">
            <v>4000.0000000000005</v>
          </cell>
          <cell r="T66">
            <v>50960</v>
          </cell>
          <cell r="U66">
            <v>200</v>
          </cell>
          <cell r="V66">
            <v>3840</v>
          </cell>
          <cell r="W66">
            <v>5000</v>
          </cell>
          <cell r="X66">
            <v>9040</v>
          </cell>
          <cell r="Y66">
            <v>41920</v>
          </cell>
        </row>
        <row r="67">
          <cell r="A67" t="str">
            <v>EMP066</v>
          </cell>
          <cell r="B67" t="str">
            <v>Name 66</v>
          </cell>
          <cell r="C67" t="str">
            <v>Clerk</v>
          </cell>
          <cell r="D67">
            <v>23</v>
          </cell>
          <cell r="E67">
            <v>43848</v>
          </cell>
          <cell r="F67" t="str">
            <v>Day</v>
          </cell>
          <cell r="G67" t="str">
            <v>Name 66@gmail.com</v>
          </cell>
          <cell r="H67">
            <v>28000</v>
          </cell>
          <cell r="I67">
            <v>5040</v>
          </cell>
          <cell r="J67">
            <v>1400</v>
          </cell>
          <cell r="K67">
            <v>1000</v>
          </cell>
          <cell r="L67">
            <v>5000</v>
          </cell>
          <cell r="M67">
            <v>1600</v>
          </cell>
          <cell r="N67">
            <v>29</v>
          </cell>
          <cell r="O67">
            <v>27066.666666666668</v>
          </cell>
          <cell r="P67">
            <v>1</v>
          </cell>
          <cell r="Q67">
            <v>29</v>
          </cell>
          <cell r="R67">
            <v>116.66666666666667</v>
          </cell>
          <cell r="S67">
            <v>3383.3333333333335</v>
          </cell>
          <cell r="T67">
            <v>44490.000000000007</v>
          </cell>
          <cell r="U67">
            <v>200</v>
          </cell>
          <cell r="V67">
            <v>3360</v>
          </cell>
          <cell r="W67">
            <v>0</v>
          </cell>
          <cell r="X67">
            <v>3560</v>
          </cell>
          <cell r="Y67">
            <v>40930.000000000007</v>
          </cell>
        </row>
        <row r="68">
          <cell r="A68" t="str">
            <v>EMP067</v>
          </cell>
          <cell r="B68" t="str">
            <v>Name 67</v>
          </cell>
          <cell r="C68" t="str">
            <v>Accountant</v>
          </cell>
          <cell r="D68">
            <v>34</v>
          </cell>
          <cell r="E68">
            <v>43849</v>
          </cell>
          <cell r="F68" t="str">
            <v>Night</v>
          </cell>
          <cell r="G68" t="str">
            <v>Name 67@gmail.com</v>
          </cell>
          <cell r="H68">
            <v>44000</v>
          </cell>
          <cell r="I68">
            <v>7920</v>
          </cell>
          <cell r="J68">
            <v>2200</v>
          </cell>
          <cell r="K68">
            <v>1000</v>
          </cell>
          <cell r="L68">
            <v>5000</v>
          </cell>
          <cell r="M68">
            <v>1600</v>
          </cell>
          <cell r="N68">
            <v>28</v>
          </cell>
          <cell r="O68">
            <v>41066.666666666672</v>
          </cell>
          <cell r="P68">
            <v>1</v>
          </cell>
          <cell r="Q68">
            <v>28</v>
          </cell>
          <cell r="R68">
            <v>183.33333333333334</v>
          </cell>
          <cell r="S68">
            <v>5133.3333333333339</v>
          </cell>
          <cell r="T68">
            <v>63920.000000000007</v>
          </cell>
          <cell r="U68">
            <v>200</v>
          </cell>
          <cell r="V68">
            <v>5280</v>
          </cell>
          <cell r="W68">
            <v>0</v>
          </cell>
          <cell r="X68">
            <v>5480</v>
          </cell>
          <cell r="Y68">
            <v>58440.000000000007</v>
          </cell>
        </row>
        <row r="69">
          <cell r="A69" t="str">
            <v>EMP068</v>
          </cell>
          <cell r="B69" t="str">
            <v>Name 68</v>
          </cell>
          <cell r="C69" t="str">
            <v>Manager</v>
          </cell>
          <cell r="D69">
            <v>45</v>
          </cell>
          <cell r="E69">
            <v>43850</v>
          </cell>
          <cell r="F69" t="str">
            <v>Day</v>
          </cell>
          <cell r="G69" t="str">
            <v>Name 68@gmail.com</v>
          </cell>
          <cell r="H69">
            <v>25000</v>
          </cell>
          <cell r="I69">
            <v>4500</v>
          </cell>
          <cell r="J69">
            <v>1250</v>
          </cell>
          <cell r="K69">
            <v>1000</v>
          </cell>
          <cell r="L69">
            <v>5000</v>
          </cell>
          <cell r="M69">
            <v>1600</v>
          </cell>
          <cell r="N69">
            <v>27</v>
          </cell>
          <cell r="O69">
            <v>22500</v>
          </cell>
          <cell r="P69">
            <v>1</v>
          </cell>
          <cell r="Q69">
            <v>27</v>
          </cell>
          <cell r="R69">
            <v>104.16666666666667</v>
          </cell>
          <cell r="S69">
            <v>2812.5</v>
          </cell>
          <cell r="T69">
            <v>38662.5</v>
          </cell>
          <cell r="U69">
            <v>200</v>
          </cell>
          <cell r="V69">
            <v>3000</v>
          </cell>
          <cell r="W69">
            <v>0</v>
          </cell>
          <cell r="X69">
            <v>3200</v>
          </cell>
          <cell r="Y69">
            <v>35462.5</v>
          </cell>
        </row>
        <row r="70">
          <cell r="A70" t="str">
            <v>EMP069</v>
          </cell>
          <cell r="B70" t="str">
            <v>Name 69</v>
          </cell>
          <cell r="C70" t="str">
            <v>Accountant</v>
          </cell>
          <cell r="D70">
            <v>54</v>
          </cell>
          <cell r="E70">
            <v>43851</v>
          </cell>
          <cell r="F70" t="str">
            <v>Day</v>
          </cell>
          <cell r="G70" t="str">
            <v>Name 69@gmail.com</v>
          </cell>
          <cell r="H70">
            <v>50000</v>
          </cell>
          <cell r="I70">
            <v>9000</v>
          </cell>
          <cell r="J70">
            <v>2500</v>
          </cell>
          <cell r="K70">
            <v>1000</v>
          </cell>
          <cell r="L70">
            <v>5000</v>
          </cell>
          <cell r="M70">
            <v>1600</v>
          </cell>
          <cell r="N70">
            <v>27</v>
          </cell>
          <cell r="O70">
            <v>45000</v>
          </cell>
          <cell r="P70">
            <v>3</v>
          </cell>
          <cell r="Q70">
            <v>81</v>
          </cell>
          <cell r="R70">
            <v>208.33333333333334</v>
          </cell>
          <cell r="S70">
            <v>16875</v>
          </cell>
          <cell r="T70">
            <v>80975</v>
          </cell>
          <cell r="U70">
            <v>201</v>
          </cell>
          <cell r="V70">
            <v>6000</v>
          </cell>
          <cell r="W70">
            <v>0</v>
          </cell>
          <cell r="X70">
            <v>6201</v>
          </cell>
          <cell r="Y70">
            <v>74774</v>
          </cell>
        </row>
        <row r="71">
          <cell r="A71" t="str">
            <v>EMP070</v>
          </cell>
          <cell r="B71" t="str">
            <v>Name 70</v>
          </cell>
          <cell r="C71" t="str">
            <v>Accountant</v>
          </cell>
          <cell r="D71">
            <v>56</v>
          </cell>
          <cell r="E71">
            <v>43852</v>
          </cell>
          <cell r="F71" t="str">
            <v>Night</v>
          </cell>
          <cell r="G71" t="str">
            <v>Name 70@gmail.com</v>
          </cell>
          <cell r="H71">
            <v>70000</v>
          </cell>
          <cell r="I71">
            <v>12600</v>
          </cell>
          <cell r="J71">
            <v>3500</v>
          </cell>
          <cell r="K71">
            <v>1000</v>
          </cell>
          <cell r="L71">
            <v>0</v>
          </cell>
          <cell r="M71">
            <v>1600</v>
          </cell>
          <cell r="N71">
            <v>27</v>
          </cell>
          <cell r="O71">
            <v>63000.000000000007</v>
          </cell>
          <cell r="P71">
            <v>1</v>
          </cell>
          <cell r="Q71">
            <v>27</v>
          </cell>
          <cell r="R71">
            <v>291.66666666666669</v>
          </cell>
          <cell r="S71">
            <v>7875.0000000000009</v>
          </cell>
          <cell r="T71">
            <v>89575</v>
          </cell>
          <cell r="U71">
            <v>202</v>
          </cell>
          <cell r="V71">
            <v>8400</v>
          </cell>
          <cell r="W71">
            <v>0</v>
          </cell>
          <cell r="X71">
            <v>8602</v>
          </cell>
          <cell r="Y71">
            <v>80973</v>
          </cell>
        </row>
        <row r="72">
          <cell r="A72" t="str">
            <v>EMP071</v>
          </cell>
          <cell r="B72" t="str">
            <v>Name 71</v>
          </cell>
          <cell r="C72" t="str">
            <v>Accountant</v>
          </cell>
          <cell r="D72">
            <v>54</v>
          </cell>
          <cell r="E72">
            <v>43853</v>
          </cell>
          <cell r="F72" t="str">
            <v>Night</v>
          </cell>
          <cell r="G72" t="str">
            <v>Name 71@gmail.com</v>
          </cell>
          <cell r="H72">
            <v>34000</v>
          </cell>
          <cell r="I72">
            <v>6120</v>
          </cell>
          <cell r="J72">
            <v>1700</v>
          </cell>
          <cell r="K72">
            <v>1000</v>
          </cell>
          <cell r="L72">
            <v>2000</v>
          </cell>
          <cell r="M72">
            <v>1600</v>
          </cell>
          <cell r="N72">
            <v>30</v>
          </cell>
          <cell r="O72">
            <v>34000</v>
          </cell>
          <cell r="P72">
            <v>2</v>
          </cell>
          <cell r="Q72">
            <v>60</v>
          </cell>
          <cell r="R72">
            <v>141.66666666666666</v>
          </cell>
          <cell r="S72">
            <v>8500</v>
          </cell>
          <cell r="T72">
            <v>54920</v>
          </cell>
          <cell r="U72">
            <v>203</v>
          </cell>
          <cell r="V72">
            <v>4080</v>
          </cell>
          <cell r="W72">
            <v>0</v>
          </cell>
          <cell r="X72">
            <v>4283</v>
          </cell>
          <cell r="Y72">
            <v>50637</v>
          </cell>
        </row>
        <row r="73">
          <cell r="A73" t="str">
            <v>EMP072</v>
          </cell>
          <cell r="B73" t="str">
            <v>Name 72</v>
          </cell>
          <cell r="C73" t="str">
            <v>Accountant</v>
          </cell>
          <cell r="D73">
            <v>34</v>
          </cell>
          <cell r="E73">
            <v>43854</v>
          </cell>
          <cell r="F73" t="str">
            <v>Night</v>
          </cell>
          <cell r="G73" t="str">
            <v>Name 72@gmail.com</v>
          </cell>
          <cell r="H73">
            <v>45000</v>
          </cell>
          <cell r="I73">
            <v>8100</v>
          </cell>
          <cell r="J73">
            <v>2250</v>
          </cell>
          <cell r="K73">
            <v>1000</v>
          </cell>
          <cell r="L73">
            <v>5000</v>
          </cell>
          <cell r="M73">
            <v>1600</v>
          </cell>
          <cell r="N73">
            <v>30</v>
          </cell>
          <cell r="O73">
            <v>45000</v>
          </cell>
          <cell r="P73">
            <v>0</v>
          </cell>
          <cell r="Q73">
            <v>0</v>
          </cell>
          <cell r="R73">
            <v>187.5</v>
          </cell>
          <cell r="S73">
            <v>0</v>
          </cell>
          <cell r="T73">
            <v>62950</v>
          </cell>
          <cell r="U73">
            <v>204</v>
          </cell>
          <cell r="V73">
            <v>5400</v>
          </cell>
          <cell r="W73">
            <v>4000</v>
          </cell>
          <cell r="X73">
            <v>9604</v>
          </cell>
          <cell r="Y73">
            <v>53346</v>
          </cell>
        </row>
        <row r="74">
          <cell r="A74" t="str">
            <v>EMP073</v>
          </cell>
          <cell r="B74" t="str">
            <v>Name 73</v>
          </cell>
          <cell r="C74" t="str">
            <v>Accountant</v>
          </cell>
          <cell r="D74">
            <v>23</v>
          </cell>
          <cell r="E74">
            <v>43831</v>
          </cell>
          <cell r="F74" t="str">
            <v>Night</v>
          </cell>
          <cell r="G74" t="str">
            <v>Name 73@gmail.com</v>
          </cell>
          <cell r="H74">
            <v>55000</v>
          </cell>
          <cell r="I74">
            <v>9900</v>
          </cell>
          <cell r="J74">
            <v>2750</v>
          </cell>
          <cell r="K74">
            <v>1000</v>
          </cell>
          <cell r="L74">
            <v>0</v>
          </cell>
          <cell r="M74">
            <v>1600</v>
          </cell>
          <cell r="N74">
            <v>30</v>
          </cell>
          <cell r="O74">
            <v>55000</v>
          </cell>
          <cell r="P74">
            <v>1</v>
          </cell>
          <cell r="Q74">
            <v>30</v>
          </cell>
          <cell r="R74">
            <v>229.16666666666666</v>
          </cell>
          <cell r="S74">
            <v>6875</v>
          </cell>
          <cell r="T74">
            <v>77125</v>
          </cell>
          <cell r="U74">
            <v>205</v>
          </cell>
          <cell r="V74">
            <v>6600</v>
          </cell>
          <cell r="W74">
            <v>0</v>
          </cell>
          <cell r="X74">
            <v>6805</v>
          </cell>
          <cell r="Y74">
            <v>70320</v>
          </cell>
        </row>
        <row r="75">
          <cell r="A75" t="str">
            <v>EMP074</v>
          </cell>
          <cell r="B75" t="str">
            <v>Name 74</v>
          </cell>
          <cell r="C75" t="str">
            <v>Manager</v>
          </cell>
          <cell r="D75">
            <v>34</v>
          </cell>
          <cell r="E75">
            <v>43832</v>
          </cell>
          <cell r="F75" t="str">
            <v>Day</v>
          </cell>
          <cell r="G75" t="str">
            <v>Name 74@gmail.com</v>
          </cell>
          <cell r="H75">
            <v>43000</v>
          </cell>
          <cell r="I75">
            <v>7740</v>
          </cell>
          <cell r="J75">
            <v>2150</v>
          </cell>
          <cell r="K75">
            <v>1000</v>
          </cell>
          <cell r="L75">
            <v>0</v>
          </cell>
          <cell r="M75">
            <v>1600</v>
          </cell>
          <cell r="N75">
            <v>27</v>
          </cell>
          <cell r="O75">
            <v>38700</v>
          </cell>
          <cell r="P75">
            <v>1</v>
          </cell>
          <cell r="Q75">
            <v>27</v>
          </cell>
          <cell r="R75">
            <v>179.16666666666666</v>
          </cell>
          <cell r="S75">
            <v>4837.5</v>
          </cell>
          <cell r="T75">
            <v>56027.5</v>
          </cell>
          <cell r="U75">
            <v>200</v>
          </cell>
          <cell r="V75">
            <v>5160</v>
          </cell>
          <cell r="W75">
            <v>0</v>
          </cell>
          <cell r="X75">
            <v>5360</v>
          </cell>
          <cell r="Y75">
            <v>50667.5</v>
          </cell>
        </row>
        <row r="76">
          <cell r="A76" t="str">
            <v>EMP075</v>
          </cell>
          <cell r="B76" t="str">
            <v>Name 75</v>
          </cell>
          <cell r="C76" t="str">
            <v>Clerk</v>
          </cell>
          <cell r="D76">
            <v>43</v>
          </cell>
          <cell r="E76">
            <v>43833</v>
          </cell>
          <cell r="F76" t="str">
            <v>Day</v>
          </cell>
          <cell r="G76" t="str">
            <v>Name 75@gmail.com</v>
          </cell>
          <cell r="H76">
            <v>25000</v>
          </cell>
          <cell r="I76">
            <v>4500</v>
          </cell>
          <cell r="J76">
            <v>1250</v>
          </cell>
          <cell r="K76">
            <v>1000</v>
          </cell>
          <cell r="L76">
            <v>0</v>
          </cell>
          <cell r="M76">
            <v>1600</v>
          </cell>
          <cell r="N76">
            <v>30</v>
          </cell>
          <cell r="O76">
            <v>25000</v>
          </cell>
          <cell r="P76">
            <v>0</v>
          </cell>
          <cell r="Q76">
            <v>0</v>
          </cell>
          <cell r="R76">
            <v>104.16666666666667</v>
          </cell>
          <cell r="S76">
            <v>0</v>
          </cell>
          <cell r="T76">
            <v>33350</v>
          </cell>
          <cell r="U76">
            <v>200</v>
          </cell>
          <cell r="V76">
            <v>3000</v>
          </cell>
          <cell r="W76">
            <v>0</v>
          </cell>
          <cell r="X76">
            <v>3200</v>
          </cell>
          <cell r="Y76">
            <v>30150</v>
          </cell>
        </row>
        <row r="77">
          <cell r="A77" t="str">
            <v>EMP076</v>
          </cell>
          <cell r="B77" t="str">
            <v>Name 76</v>
          </cell>
          <cell r="C77" t="str">
            <v>Accountant</v>
          </cell>
          <cell r="D77">
            <v>34</v>
          </cell>
          <cell r="E77">
            <v>43834</v>
          </cell>
          <cell r="F77" t="str">
            <v>Day</v>
          </cell>
          <cell r="G77" t="str">
            <v>Name 76@gmail.com</v>
          </cell>
          <cell r="H77">
            <v>28000</v>
          </cell>
          <cell r="I77">
            <v>5040</v>
          </cell>
          <cell r="J77">
            <v>1400</v>
          </cell>
          <cell r="K77">
            <v>1000</v>
          </cell>
          <cell r="L77">
            <v>0</v>
          </cell>
          <cell r="M77">
            <v>1600</v>
          </cell>
          <cell r="N77">
            <v>20</v>
          </cell>
          <cell r="O77">
            <v>18666.666666666668</v>
          </cell>
          <cell r="P77">
            <v>0</v>
          </cell>
          <cell r="Q77">
            <v>0</v>
          </cell>
          <cell r="R77">
            <v>116.66666666666667</v>
          </cell>
          <cell r="S77">
            <v>0</v>
          </cell>
          <cell r="T77">
            <v>27706.666666666668</v>
          </cell>
          <cell r="U77">
            <v>200</v>
          </cell>
          <cell r="V77">
            <v>3360</v>
          </cell>
          <cell r="W77">
            <v>0</v>
          </cell>
          <cell r="X77">
            <v>3560</v>
          </cell>
          <cell r="Y77">
            <v>24146.666666666668</v>
          </cell>
        </row>
        <row r="78">
          <cell r="A78" t="str">
            <v>EMP077</v>
          </cell>
          <cell r="B78" t="str">
            <v>Name 77</v>
          </cell>
          <cell r="C78" t="str">
            <v>Manager</v>
          </cell>
          <cell r="D78">
            <v>43</v>
          </cell>
          <cell r="E78">
            <v>43835</v>
          </cell>
          <cell r="F78" t="str">
            <v>Day</v>
          </cell>
          <cell r="G78" t="str">
            <v>Name 77@gmail.com</v>
          </cell>
          <cell r="H78">
            <v>40000</v>
          </cell>
          <cell r="I78">
            <v>7200</v>
          </cell>
          <cell r="J78">
            <v>2000</v>
          </cell>
          <cell r="K78">
            <v>1000</v>
          </cell>
          <cell r="L78">
            <v>0</v>
          </cell>
          <cell r="M78">
            <v>1600</v>
          </cell>
          <cell r="N78">
            <v>28</v>
          </cell>
          <cell r="O78">
            <v>37333.333333333328</v>
          </cell>
          <cell r="P78">
            <v>2</v>
          </cell>
          <cell r="Q78">
            <v>56</v>
          </cell>
          <cell r="R78">
            <v>166.66666666666666</v>
          </cell>
          <cell r="S78">
            <v>9333.3333333333321</v>
          </cell>
          <cell r="T78">
            <v>58466.666666666657</v>
          </cell>
          <cell r="U78">
            <v>200</v>
          </cell>
          <cell r="V78">
            <v>4800</v>
          </cell>
          <cell r="W78">
            <v>0</v>
          </cell>
          <cell r="X78">
            <v>5000</v>
          </cell>
          <cell r="Y78">
            <v>53466.666666666657</v>
          </cell>
        </row>
        <row r="79">
          <cell r="A79" t="str">
            <v>EMP078</v>
          </cell>
          <cell r="B79" t="str">
            <v>Name 78</v>
          </cell>
          <cell r="C79" t="str">
            <v>Manager</v>
          </cell>
          <cell r="D79">
            <v>23</v>
          </cell>
          <cell r="E79">
            <v>43836</v>
          </cell>
          <cell r="F79" t="str">
            <v>Day</v>
          </cell>
          <cell r="G79" t="str">
            <v>Name 78@gmail.com</v>
          </cell>
          <cell r="H79">
            <v>32000</v>
          </cell>
          <cell r="I79">
            <v>5760</v>
          </cell>
          <cell r="J79">
            <v>1600</v>
          </cell>
          <cell r="K79">
            <v>1000</v>
          </cell>
          <cell r="L79">
            <v>0</v>
          </cell>
          <cell r="M79">
            <v>1600</v>
          </cell>
          <cell r="N79">
            <v>30</v>
          </cell>
          <cell r="O79">
            <v>32000.000000000004</v>
          </cell>
          <cell r="P79">
            <v>1</v>
          </cell>
          <cell r="Q79">
            <v>30</v>
          </cell>
          <cell r="R79">
            <v>133.33333333333334</v>
          </cell>
          <cell r="S79">
            <v>4000.0000000000005</v>
          </cell>
          <cell r="T79">
            <v>45960</v>
          </cell>
          <cell r="U79">
            <v>200</v>
          </cell>
          <cell r="V79">
            <v>3840</v>
          </cell>
          <cell r="W79">
            <v>5000</v>
          </cell>
          <cell r="X79">
            <v>9040</v>
          </cell>
          <cell r="Y79">
            <v>36920</v>
          </cell>
        </row>
        <row r="80">
          <cell r="A80" t="str">
            <v>EMP079</v>
          </cell>
          <cell r="B80" t="str">
            <v>Name 79</v>
          </cell>
          <cell r="C80" t="str">
            <v>Clerk</v>
          </cell>
          <cell r="D80">
            <v>34</v>
          </cell>
          <cell r="E80">
            <v>43837</v>
          </cell>
          <cell r="F80" t="str">
            <v>Day</v>
          </cell>
          <cell r="G80" t="str">
            <v>Name 79@gmail.com</v>
          </cell>
          <cell r="H80">
            <v>28000</v>
          </cell>
          <cell r="I80">
            <v>5040</v>
          </cell>
          <cell r="J80">
            <v>1400</v>
          </cell>
          <cell r="K80">
            <v>1000</v>
          </cell>
          <cell r="L80">
            <v>0</v>
          </cell>
          <cell r="M80">
            <v>1600</v>
          </cell>
          <cell r="N80">
            <v>29</v>
          </cell>
          <cell r="O80">
            <v>27066.666666666668</v>
          </cell>
          <cell r="P80">
            <v>1</v>
          </cell>
          <cell r="Q80">
            <v>29</v>
          </cell>
          <cell r="R80">
            <v>116.66666666666667</v>
          </cell>
          <cell r="S80">
            <v>3383.3333333333335</v>
          </cell>
          <cell r="T80">
            <v>39490.000000000007</v>
          </cell>
          <cell r="U80">
            <v>200</v>
          </cell>
          <cell r="V80">
            <v>3360</v>
          </cell>
          <cell r="W80">
            <v>0</v>
          </cell>
          <cell r="X80">
            <v>3560</v>
          </cell>
          <cell r="Y80">
            <v>35930.000000000007</v>
          </cell>
        </row>
        <row r="81">
          <cell r="A81" t="str">
            <v>EMP080</v>
          </cell>
          <cell r="B81" t="str">
            <v>Name 80</v>
          </cell>
          <cell r="C81" t="str">
            <v>Accountant</v>
          </cell>
          <cell r="D81">
            <v>23</v>
          </cell>
          <cell r="E81">
            <v>43838</v>
          </cell>
          <cell r="F81" t="str">
            <v>Night</v>
          </cell>
          <cell r="G81" t="str">
            <v>Name 80@gmail.com</v>
          </cell>
          <cell r="H81">
            <v>44000</v>
          </cell>
          <cell r="I81">
            <v>7920</v>
          </cell>
          <cell r="J81">
            <v>2200</v>
          </cell>
          <cell r="K81">
            <v>1000</v>
          </cell>
          <cell r="L81">
            <v>0</v>
          </cell>
          <cell r="M81">
            <v>1600</v>
          </cell>
          <cell r="N81">
            <v>28</v>
          </cell>
          <cell r="O81">
            <v>41066.666666666672</v>
          </cell>
          <cell r="P81">
            <v>1</v>
          </cell>
          <cell r="Q81">
            <v>28</v>
          </cell>
          <cell r="R81">
            <v>183.33333333333334</v>
          </cell>
          <cell r="S81">
            <v>5133.3333333333339</v>
          </cell>
          <cell r="T81">
            <v>58920.000000000007</v>
          </cell>
          <cell r="U81">
            <v>200</v>
          </cell>
          <cell r="V81">
            <v>5280</v>
          </cell>
          <cell r="W81">
            <v>0</v>
          </cell>
          <cell r="X81">
            <v>5480</v>
          </cell>
          <cell r="Y81">
            <v>53440.000000000007</v>
          </cell>
        </row>
        <row r="82">
          <cell r="A82" t="str">
            <v>EMP081</v>
          </cell>
          <cell r="B82" t="str">
            <v>Name 81</v>
          </cell>
          <cell r="C82" t="str">
            <v>Manager</v>
          </cell>
          <cell r="D82">
            <v>34</v>
          </cell>
          <cell r="E82">
            <v>43839</v>
          </cell>
          <cell r="F82" t="str">
            <v>Day</v>
          </cell>
          <cell r="G82" t="str">
            <v>Name 81@gmail.com</v>
          </cell>
          <cell r="H82">
            <v>25000</v>
          </cell>
          <cell r="I82">
            <v>4500</v>
          </cell>
          <cell r="J82">
            <v>1250</v>
          </cell>
          <cell r="K82">
            <v>1000</v>
          </cell>
          <cell r="L82">
            <v>0</v>
          </cell>
          <cell r="M82">
            <v>1600</v>
          </cell>
          <cell r="N82">
            <v>27</v>
          </cell>
          <cell r="O82">
            <v>22500</v>
          </cell>
          <cell r="P82">
            <v>1</v>
          </cell>
          <cell r="Q82">
            <v>27</v>
          </cell>
          <cell r="R82">
            <v>104.16666666666667</v>
          </cell>
          <cell r="S82">
            <v>2812.5</v>
          </cell>
          <cell r="T82">
            <v>33662.5</v>
          </cell>
          <cell r="U82">
            <v>200</v>
          </cell>
          <cell r="V82">
            <v>3000</v>
          </cell>
          <cell r="W82">
            <v>0</v>
          </cell>
          <cell r="X82">
            <v>3200</v>
          </cell>
          <cell r="Y82">
            <v>30462.5</v>
          </cell>
        </row>
        <row r="83">
          <cell r="A83" t="str">
            <v>EMP082</v>
          </cell>
          <cell r="B83" t="str">
            <v>Name 82</v>
          </cell>
          <cell r="C83" t="str">
            <v>Accountant</v>
          </cell>
          <cell r="D83">
            <v>23</v>
          </cell>
          <cell r="E83">
            <v>43840</v>
          </cell>
          <cell r="F83" t="str">
            <v>Day</v>
          </cell>
          <cell r="G83" t="str">
            <v>Name 82@gmail.com</v>
          </cell>
          <cell r="H83">
            <v>50000</v>
          </cell>
          <cell r="I83">
            <v>9000</v>
          </cell>
          <cell r="J83">
            <v>2500</v>
          </cell>
          <cell r="K83">
            <v>1000</v>
          </cell>
          <cell r="L83">
            <v>0</v>
          </cell>
          <cell r="M83">
            <v>1600</v>
          </cell>
          <cell r="N83">
            <v>27</v>
          </cell>
          <cell r="O83">
            <v>45000</v>
          </cell>
          <cell r="P83">
            <v>3</v>
          </cell>
          <cell r="Q83">
            <v>81</v>
          </cell>
          <cell r="R83">
            <v>208.33333333333334</v>
          </cell>
          <cell r="S83">
            <v>16875</v>
          </cell>
          <cell r="T83">
            <v>75975</v>
          </cell>
          <cell r="U83">
            <v>201</v>
          </cell>
          <cell r="V83">
            <v>6000</v>
          </cell>
          <cell r="W83">
            <v>0</v>
          </cell>
          <cell r="X83">
            <v>6201</v>
          </cell>
          <cell r="Y83">
            <v>69774</v>
          </cell>
        </row>
        <row r="84">
          <cell r="A84" t="str">
            <v>EMP083</v>
          </cell>
          <cell r="B84" t="str">
            <v>Name 83</v>
          </cell>
          <cell r="C84" t="str">
            <v>Accountant</v>
          </cell>
          <cell r="D84">
            <v>34</v>
          </cell>
          <cell r="E84">
            <v>43841</v>
          </cell>
          <cell r="F84" t="str">
            <v>Night</v>
          </cell>
          <cell r="G84" t="str">
            <v>Name 83@gmail.com</v>
          </cell>
          <cell r="H84">
            <v>70000</v>
          </cell>
          <cell r="I84">
            <v>12600</v>
          </cell>
          <cell r="J84">
            <v>3500</v>
          </cell>
          <cell r="K84">
            <v>1000</v>
          </cell>
          <cell r="L84">
            <v>0</v>
          </cell>
          <cell r="M84">
            <v>1600</v>
          </cell>
          <cell r="N84">
            <v>27</v>
          </cell>
          <cell r="O84">
            <v>63000.000000000007</v>
          </cell>
          <cell r="P84">
            <v>1</v>
          </cell>
          <cell r="Q84">
            <v>27</v>
          </cell>
          <cell r="R84">
            <v>291.66666666666669</v>
          </cell>
          <cell r="S84">
            <v>7875.0000000000009</v>
          </cell>
          <cell r="T84">
            <v>89575</v>
          </cell>
          <cell r="U84">
            <v>202</v>
          </cell>
          <cell r="V84">
            <v>8400</v>
          </cell>
          <cell r="W84">
            <v>0</v>
          </cell>
          <cell r="X84">
            <v>8602</v>
          </cell>
          <cell r="Y84">
            <v>80973</v>
          </cell>
        </row>
        <row r="85">
          <cell r="A85" t="str">
            <v>EMP084</v>
          </cell>
          <cell r="B85" t="str">
            <v>Name 84</v>
          </cell>
          <cell r="C85" t="str">
            <v>Accountant</v>
          </cell>
          <cell r="D85">
            <v>45</v>
          </cell>
          <cell r="E85">
            <v>43842</v>
          </cell>
          <cell r="F85" t="str">
            <v>Night</v>
          </cell>
          <cell r="G85" t="str">
            <v>Name 84@gmail.com</v>
          </cell>
          <cell r="H85">
            <v>34000</v>
          </cell>
          <cell r="I85">
            <v>6120</v>
          </cell>
          <cell r="J85">
            <v>1700</v>
          </cell>
          <cell r="K85">
            <v>1000</v>
          </cell>
          <cell r="L85">
            <v>2000</v>
          </cell>
          <cell r="M85">
            <v>1600</v>
          </cell>
          <cell r="N85">
            <v>30</v>
          </cell>
          <cell r="O85">
            <v>34000</v>
          </cell>
          <cell r="P85">
            <v>2</v>
          </cell>
          <cell r="Q85">
            <v>60</v>
          </cell>
          <cell r="R85">
            <v>141.66666666666666</v>
          </cell>
          <cell r="S85">
            <v>8500</v>
          </cell>
          <cell r="T85">
            <v>54920</v>
          </cell>
          <cell r="U85">
            <v>203</v>
          </cell>
          <cell r="V85">
            <v>4080</v>
          </cell>
          <cell r="W85">
            <v>0</v>
          </cell>
          <cell r="X85">
            <v>4283</v>
          </cell>
          <cell r="Y85">
            <v>50637</v>
          </cell>
        </row>
        <row r="86">
          <cell r="A86" t="str">
            <v>EMP085</v>
          </cell>
          <cell r="B86" t="str">
            <v>Name 85</v>
          </cell>
          <cell r="C86" t="str">
            <v>Accountant</v>
          </cell>
          <cell r="D86">
            <v>54</v>
          </cell>
          <cell r="E86">
            <v>43843</v>
          </cell>
          <cell r="F86" t="str">
            <v>Night</v>
          </cell>
          <cell r="G86" t="str">
            <v>Name 85@gmail.com</v>
          </cell>
          <cell r="H86">
            <v>45000</v>
          </cell>
          <cell r="I86">
            <v>8100</v>
          </cell>
          <cell r="J86">
            <v>2250</v>
          </cell>
          <cell r="K86">
            <v>1000</v>
          </cell>
          <cell r="L86">
            <v>2000</v>
          </cell>
          <cell r="M86">
            <v>1600</v>
          </cell>
          <cell r="N86">
            <v>30</v>
          </cell>
          <cell r="O86">
            <v>45000</v>
          </cell>
          <cell r="P86">
            <v>0</v>
          </cell>
          <cell r="Q86">
            <v>0</v>
          </cell>
          <cell r="R86">
            <v>187.5</v>
          </cell>
          <cell r="S86">
            <v>0</v>
          </cell>
          <cell r="T86">
            <v>59950</v>
          </cell>
          <cell r="U86">
            <v>204</v>
          </cell>
          <cell r="V86">
            <v>5400</v>
          </cell>
          <cell r="W86">
            <v>4000</v>
          </cell>
          <cell r="X86">
            <v>9604</v>
          </cell>
          <cell r="Y86">
            <v>50346</v>
          </cell>
        </row>
        <row r="87">
          <cell r="A87" t="str">
            <v>EMP086</v>
          </cell>
          <cell r="B87" t="str">
            <v>Name 86</v>
          </cell>
          <cell r="C87" t="str">
            <v>Accountant</v>
          </cell>
          <cell r="D87">
            <v>56</v>
          </cell>
          <cell r="E87">
            <v>43844</v>
          </cell>
          <cell r="F87" t="str">
            <v>Night</v>
          </cell>
          <cell r="G87" t="str">
            <v>Name 86@gmail.com</v>
          </cell>
          <cell r="H87">
            <v>55000</v>
          </cell>
          <cell r="I87">
            <v>9900</v>
          </cell>
          <cell r="J87">
            <v>2750</v>
          </cell>
          <cell r="K87">
            <v>1000</v>
          </cell>
          <cell r="L87">
            <v>2000</v>
          </cell>
          <cell r="M87">
            <v>1600</v>
          </cell>
          <cell r="N87">
            <v>30</v>
          </cell>
          <cell r="O87">
            <v>55000</v>
          </cell>
          <cell r="P87">
            <v>1</v>
          </cell>
          <cell r="Q87">
            <v>30</v>
          </cell>
          <cell r="R87">
            <v>229.16666666666666</v>
          </cell>
          <cell r="S87">
            <v>6875</v>
          </cell>
          <cell r="T87">
            <v>79125</v>
          </cell>
          <cell r="U87">
            <v>205</v>
          </cell>
          <cell r="V87">
            <v>6600</v>
          </cell>
          <cell r="W87">
            <v>0</v>
          </cell>
          <cell r="X87">
            <v>6805</v>
          </cell>
          <cell r="Y87">
            <v>72320</v>
          </cell>
        </row>
        <row r="88">
          <cell r="A88" t="str">
            <v>EMP087</v>
          </cell>
          <cell r="B88" t="str">
            <v>Name 87</v>
          </cell>
          <cell r="C88" t="str">
            <v>Manager</v>
          </cell>
          <cell r="D88">
            <v>54</v>
          </cell>
          <cell r="E88">
            <v>43845</v>
          </cell>
          <cell r="F88" t="str">
            <v>Day</v>
          </cell>
          <cell r="G88" t="str">
            <v>Name 87@gmail.com</v>
          </cell>
          <cell r="H88">
            <v>43000</v>
          </cell>
          <cell r="I88">
            <v>7740</v>
          </cell>
          <cell r="J88">
            <v>2150</v>
          </cell>
          <cell r="K88">
            <v>1000</v>
          </cell>
          <cell r="L88">
            <v>2000</v>
          </cell>
          <cell r="M88">
            <v>1600</v>
          </cell>
          <cell r="N88">
            <v>27</v>
          </cell>
          <cell r="O88">
            <v>38700</v>
          </cell>
          <cell r="P88">
            <v>1</v>
          </cell>
          <cell r="Q88">
            <v>27</v>
          </cell>
          <cell r="R88">
            <v>179.16666666666666</v>
          </cell>
          <cell r="S88">
            <v>4837.5</v>
          </cell>
          <cell r="T88">
            <v>58027.5</v>
          </cell>
          <cell r="U88">
            <v>200</v>
          </cell>
          <cell r="V88">
            <v>5160</v>
          </cell>
          <cell r="W88">
            <v>0</v>
          </cell>
          <cell r="X88">
            <v>5360</v>
          </cell>
          <cell r="Y88">
            <v>52667.5</v>
          </cell>
        </row>
        <row r="89">
          <cell r="A89" t="str">
            <v>EMP088</v>
          </cell>
          <cell r="B89" t="str">
            <v>Name 88</v>
          </cell>
          <cell r="C89" t="str">
            <v>Clerk</v>
          </cell>
          <cell r="D89">
            <v>34</v>
          </cell>
          <cell r="E89">
            <v>43846</v>
          </cell>
          <cell r="F89" t="str">
            <v>Day</v>
          </cell>
          <cell r="G89" t="str">
            <v>Name 88@gmail.com</v>
          </cell>
          <cell r="H89">
            <v>25000</v>
          </cell>
          <cell r="I89">
            <v>4500</v>
          </cell>
          <cell r="J89">
            <v>1250</v>
          </cell>
          <cell r="K89">
            <v>1000</v>
          </cell>
          <cell r="L89">
            <v>2000</v>
          </cell>
          <cell r="M89">
            <v>1600</v>
          </cell>
          <cell r="N89">
            <v>30</v>
          </cell>
          <cell r="O89">
            <v>25000</v>
          </cell>
          <cell r="P89">
            <v>0</v>
          </cell>
          <cell r="Q89">
            <v>0</v>
          </cell>
          <cell r="R89">
            <v>104.16666666666667</v>
          </cell>
          <cell r="S89">
            <v>0</v>
          </cell>
          <cell r="T89">
            <v>35350</v>
          </cell>
          <cell r="U89">
            <v>200</v>
          </cell>
          <cell r="V89">
            <v>3000</v>
          </cell>
          <cell r="W89">
            <v>0</v>
          </cell>
          <cell r="X89">
            <v>3200</v>
          </cell>
          <cell r="Y89">
            <v>32150</v>
          </cell>
        </row>
        <row r="90">
          <cell r="A90" t="str">
            <v>EMP089</v>
          </cell>
          <cell r="B90" t="str">
            <v>Name 89</v>
          </cell>
          <cell r="C90" t="str">
            <v>Accountant</v>
          </cell>
          <cell r="D90">
            <v>23</v>
          </cell>
          <cell r="E90">
            <v>43847</v>
          </cell>
          <cell r="F90" t="str">
            <v>Day</v>
          </cell>
          <cell r="G90" t="str">
            <v>Name 89@gmail.com</v>
          </cell>
          <cell r="H90">
            <v>28000</v>
          </cell>
          <cell r="I90">
            <v>5040</v>
          </cell>
          <cell r="J90">
            <v>1400</v>
          </cell>
          <cell r="K90">
            <v>1000</v>
          </cell>
          <cell r="L90">
            <v>2000</v>
          </cell>
          <cell r="M90">
            <v>1600</v>
          </cell>
          <cell r="N90">
            <v>20</v>
          </cell>
          <cell r="O90">
            <v>18666.666666666668</v>
          </cell>
          <cell r="P90">
            <v>0</v>
          </cell>
          <cell r="Q90">
            <v>0</v>
          </cell>
          <cell r="R90">
            <v>116.66666666666667</v>
          </cell>
          <cell r="S90">
            <v>0</v>
          </cell>
          <cell r="T90">
            <v>29706.666666666668</v>
          </cell>
          <cell r="U90">
            <v>200</v>
          </cell>
          <cell r="V90">
            <v>3360</v>
          </cell>
          <cell r="W90">
            <v>0</v>
          </cell>
          <cell r="X90">
            <v>3560</v>
          </cell>
          <cell r="Y90">
            <v>26146.666666666668</v>
          </cell>
        </row>
        <row r="91">
          <cell r="A91" t="str">
            <v>EMP090</v>
          </cell>
          <cell r="B91" t="str">
            <v>Name 90</v>
          </cell>
          <cell r="C91" t="str">
            <v>Manager</v>
          </cell>
          <cell r="D91">
            <v>34</v>
          </cell>
          <cell r="E91">
            <v>43848</v>
          </cell>
          <cell r="F91" t="str">
            <v>Day</v>
          </cell>
          <cell r="G91" t="str">
            <v>Name 90@gmail.com</v>
          </cell>
          <cell r="H91">
            <v>40000</v>
          </cell>
          <cell r="I91">
            <v>7200</v>
          </cell>
          <cell r="J91">
            <v>2000</v>
          </cell>
          <cell r="K91">
            <v>1000</v>
          </cell>
          <cell r="L91">
            <v>2000</v>
          </cell>
          <cell r="M91">
            <v>1600</v>
          </cell>
          <cell r="N91">
            <v>28</v>
          </cell>
          <cell r="O91">
            <v>37333.333333333328</v>
          </cell>
          <cell r="P91">
            <v>2</v>
          </cell>
          <cell r="Q91">
            <v>56</v>
          </cell>
          <cell r="R91">
            <v>166.66666666666666</v>
          </cell>
          <cell r="S91">
            <v>9333.3333333333321</v>
          </cell>
          <cell r="T91">
            <v>60466.666666666657</v>
          </cell>
          <cell r="U91">
            <v>200</v>
          </cell>
          <cell r="V91">
            <v>4800</v>
          </cell>
          <cell r="W91">
            <v>0</v>
          </cell>
          <cell r="X91">
            <v>5000</v>
          </cell>
          <cell r="Y91">
            <v>55466.666666666657</v>
          </cell>
        </row>
        <row r="92">
          <cell r="A92" t="str">
            <v>EMP091</v>
          </cell>
          <cell r="B92" t="str">
            <v>Name 91</v>
          </cell>
          <cell r="C92" t="str">
            <v>Manager</v>
          </cell>
          <cell r="D92">
            <v>43</v>
          </cell>
          <cell r="E92">
            <v>43849</v>
          </cell>
          <cell r="F92" t="str">
            <v>Day</v>
          </cell>
          <cell r="G92" t="str">
            <v>Name 91@gmail.com</v>
          </cell>
          <cell r="H92">
            <v>32000</v>
          </cell>
          <cell r="I92">
            <v>5760</v>
          </cell>
          <cell r="J92">
            <v>1600</v>
          </cell>
          <cell r="K92">
            <v>1000</v>
          </cell>
          <cell r="L92">
            <v>2000</v>
          </cell>
          <cell r="M92">
            <v>1600</v>
          </cell>
          <cell r="N92">
            <v>30</v>
          </cell>
          <cell r="O92">
            <v>32000.000000000004</v>
          </cell>
          <cell r="P92">
            <v>1</v>
          </cell>
          <cell r="Q92">
            <v>30</v>
          </cell>
          <cell r="R92">
            <v>133.33333333333334</v>
          </cell>
          <cell r="S92">
            <v>4000.0000000000005</v>
          </cell>
          <cell r="T92">
            <v>47960</v>
          </cell>
          <cell r="U92">
            <v>200</v>
          </cell>
          <cell r="V92">
            <v>3840</v>
          </cell>
          <cell r="W92">
            <v>5000</v>
          </cell>
          <cell r="X92">
            <v>9040</v>
          </cell>
          <cell r="Y92">
            <v>38920</v>
          </cell>
        </row>
        <row r="93">
          <cell r="A93" t="str">
            <v>EMP092</v>
          </cell>
          <cell r="B93" t="str">
            <v>Name 92</v>
          </cell>
          <cell r="C93" t="str">
            <v>Clerk</v>
          </cell>
          <cell r="D93">
            <v>34</v>
          </cell>
          <cell r="E93">
            <v>43850</v>
          </cell>
          <cell r="F93" t="str">
            <v>Day</v>
          </cell>
          <cell r="G93" t="str">
            <v>Name 92@gmail.com</v>
          </cell>
          <cell r="H93">
            <v>28000</v>
          </cell>
          <cell r="I93">
            <v>5040</v>
          </cell>
          <cell r="J93">
            <v>1400</v>
          </cell>
          <cell r="K93">
            <v>1000</v>
          </cell>
          <cell r="L93">
            <v>2000</v>
          </cell>
          <cell r="M93">
            <v>1600</v>
          </cell>
          <cell r="N93">
            <v>29</v>
          </cell>
          <cell r="O93">
            <v>27066.666666666668</v>
          </cell>
          <cell r="P93">
            <v>1</v>
          </cell>
          <cell r="Q93">
            <v>29</v>
          </cell>
          <cell r="R93">
            <v>116.66666666666667</v>
          </cell>
          <cell r="S93">
            <v>3383.3333333333335</v>
          </cell>
          <cell r="T93">
            <v>41490.000000000007</v>
          </cell>
          <cell r="U93">
            <v>200</v>
          </cell>
          <cell r="V93">
            <v>3360</v>
          </cell>
          <cell r="W93">
            <v>0</v>
          </cell>
          <cell r="X93">
            <v>3560</v>
          </cell>
          <cell r="Y93">
            <v>37930.000000000007</v>
          </cell>
        </row>
        <row r="94">
          <cell r="A94" t="str">
            <v>EMP093</v>
          </cell>
          <cell r="B94" t="str">
            <v>Name 93</v>
          </cell>
          <cell r="C94" t="str">
            <v>Accountant</v>
          </cell>
          <cell r="D94">
            <v>43</v>
          </cell>
          <cell r="E94">
            <v>43851</v>
          </cell>
          <cell r="F94" t="str">
            <v>Night</v>
          </cell>
          <cell r="G94" t="str">
            <v>Name 93@gmail.com</v>
          </cell>
          <cell r="H94">
            <v>44000</v>
          </cell>
          <cell r="I94">
            <v>7920</v>
          </cell>
          <cell r="J94">
            <v>2200</v>
          </cell>
          <cell r="K94">
            <v>1000</v>
          </cell>
          <cell r="L94">
            <v>2000</v>
          </cell>
          <cell r="M94">
            <v>1600</v>
          </cell>
          <cell r="N94">
            <v>28</v>
          </cell>
          <cell r="O94">
            <v>41066.666666666672</v>
          </cell>
          <cell r="P94">
            <v>1</v>
          </cell>
          <cell r="Q94">
            <v>28</v>
          </cell>
          <cell r="R94">
            <v>183.33333333333334</v>
          </cell>
          <cell r="S94">
            <v>5133.3333333333339</v>
          </cell>
          <cell r="T94">
            <v>60920.000000000007</v>
          </cell>
          <cell r="U94">
            <v>200</v>
          </cell>
          <cell r="V94">
            <v>5280</v>
          </cell>
          <cell r="W94">
            <v>0</v>
          </cell>
          <cell r="X94">
            <v>5480</v>
          </cell>
          <cell r="Y94">
            <v>55440.000000000007</v>
          </cell>
        </row>
        <row r="95">
          <cell r="A95" t="str">
            <v>EMP094</v>
          </cell>
          <cell r="B95" t="str">
            <v>Name 94</v>
          </cell>
          <cell r="C95" t="str">
            <v>Manager</v>
          </cell>
          <cell r="D95">
            <v>23</v>
          </cell>
          <cell r="E95">
            <v>43852</v>
          </cell>
          <cell r="F95" t="str">
            <v>Day</v>
          </cell>
          <cell r="G95" t="str">
            <v>Name 94@gmail.com</v>
          </cell>
          <cell r="H95">
            <v>25000</v>
          </cell>
          <cell r="I95">
            <v>4500</v>
          </cell>
          <cell r="J95">
            <v>1250</v>
          </cell>
          <cell r="K95">
            <v>1000</v>
          </cell>
          <cell r="L95">
            <v>0</v>
          </cell>
          <cell r="M95">
            <v>1600</v>
          </cell>
          <cell r="N95">
            <v>27</v>
          </cell>
          <cell r="O95">
            <v>22500</v>
          </cell>
          <cell r="P95">
            <v>1</v>
          </cell>
          <cell r="Q95">
            <v>27</v>
          </cell>
          <cell r="R95">
            <v>104.16666666666667</v>
          </cell>
          <cell r="S95">
            <v>2812.5</v>
          </cell>
          <cell r="T95">
            <v>33662.5</v>
          </cell>
          <cell r="U95">
            <v>200</v>
          </cell>
          <cell r="V95">
            <v>3000</v>
          </cell>
          <cell r="W95">
            <v>0</v>
          </cell>
          <cell r="X95">
            <v>3200</v>
          </cell>
          <cell r="Y95">
            <v>30462.5</v>
          </cell>
        </row>
        <row r="96">
          <cell r="A96" t="str">
            <v>EMP095</v>
          </cell>
          <cell r="B96" t="str">
            <v>Name 95</v>
          </cell>
          <cell r="C96" t="str">
            <v>Accountant</v>
          </cell>
          <cell r="D96">
            <v>34</v>
          </cell>
          <cell r="E96">
            <v>43853</v>
          </cell>
          <cell r="F96" t="str">
            <v>Day</v>
          </cell>
          <cell r="G96" t="str">
            <v>Name 95@gmail.com</v>
          </cell>
          <cell r="H96">
            <v>50000</v>
          </cell>
          <cell r="I96">
            <v>9000</v>
          </cell>
          <cell r="J96">
            <v>2500</v>
          </cell>
          <cell r="K96">
            <v>1000</v>
          </cell>
          <cell r="L96">
            <v>0</v>
          </cell>
          <cell r="M96">
            <v>1600</v>
          </cell>
          <cell r="N96">
            <v>27</v>
          </cell>
          <cell r="O96">
            <v>45000</v>
          </cell>
          <cell r="P96">
            <v>3</v>
          </cell>
          <cell r="Q96">
            <v>81</v>
          </cell>
          <cell r="R96">
            <v>208.33333333333334</v>
          </cell>
          <cell r="S96">
            <v>16875</v>
          </cell>
          <cell r="T96">
            <v>75975</v>
          </cell>
          <cell r="U96">
            <v>201</v>
          </cell>
          <cell r="V96">
            <v>6000</v>
          </cell>
          <cell r="W96">
            <v>0</v>
          </cell>
          <cell r="X96">
            <v>6201</v>
          </cell>
          <cell r="Y96">
            <v>69774</v>
          </cell>
        </row>
        <row r="97">
          <cell r="A97" t="str">
            <v>EMP096</v>
          </cell>
          <cell r="B97" t="str">
            <v>Name 96</v>
          </cell>
          <cell r="C97" t="str">
            <v>Accountant</v>
          </cell>
          <cell r="D97">
            <v>23</v>
          </cell>
          <cell r="E97">
            <v>43854</v>
          </cell>
          <cell r="F97" t="str">
            <v>Night</v>
          </cell>
          <cell r="G97" t="str">
            <v>Name 96@gmail.com</v>
          </cell>
          <cell r="H97">
            <v>70000</v>
          </cell>
          <cell r="I97">
            <v>12600</v>
          </cell>
          <cell r="J97">
            <v>3500</v>
          </cell>
          <cell r="K97">
            <v>1000</v>
          </cell>
          <cell r="L97">
            <v>0</v>
          </cell>
          <cell r="M97">
            <v>1600</v>
          </cell>
          <cell r="N97">
            <v>27</v>
          </cell>
          <cell r="O97">
            <v>63000.000000000007</v>
          </cell>
          <cell r="P97">
            <v>1</v>
          </cell>
          <cell r="Q97">
            <v>27</v>
          </cell>
          <cell r="R97">
            <v>291.66666666666669</v>
          </cell>
          <cell r="S97">
            <v>7875.0000000000009</v>
          </cell>
          <cell r="T97">
            <v>89575</v>
          </cell>
          <cell r="U97">
            <v>202</v>
          </cell>
          <cell r="V97">
            <v>8400</v>
          </cell>
          <cell r="W97">
            <v>0</v>
          </cell>
          <cell r="X97">
            <v>8602</v>
          </cell>
          <cell r="Y97">
            <v>80973</v>
          </cell>
        </row>
        <row r="98">
          <cell r="A98" t="str">
            <v>EMP097</v>
          </cell>
          <cell r="B98" t="str">
            <v>Name 97</v>
          </cell>
          <cell r="C98" t="str">
            <v>Accountant</v>
          </cell>
          <cell r="D98">
            <v>34</v>
          </cell>
          <cell r="E98">
            <v>43831</v>
          </cell>
          <cell r="F98" t="str">
            <v>Night</v>
          </cell>
          <cell r="G98" t="str">
            <v>Name 97@gmail.com</v>
          </cell>
          <cell r="H98">
            <v>34000</v>
          </cell>
          <cell r="I98">
            <v>6120</v>
          </cell>
          <cell r="J98">
            <v>1700</v>
          </cell>
          <cell r="K98">
            <v>1000</v>
          </cell>
          <cell r="L98">
            <v>2000</v>
          </cell>
          <cell r="M98">
            <v>1600</v>
          </cell>
          <cell r="N98">
            <v>30</v>
          </cell>
          <cell r="O98">
            <v>34000</v>
          </cell>
          <cell r="P98">
            <v>2</v>
          </cell>
          <cell r="Q98">
            <v>60</v>
          </cell>
          <cell r="R98">
            <v>141.66666666666666</v>
          </cell>
          <cell r="S98">
            <v>8500</v>
          </cell>
          <cell r="T98">
            <v>54920</v>
          </cell>
          <cell r="U98">
            <v>203</v>
          </cell>
          <cell r="V98">
            <v>4080</v>
          </cell>
          <cell r="W98">
            <v>0</v>
          </cell>
          <cell r="X98">
            <v>4283</v>
          </cell>
          <cell r="Y98">
            <v>50637</v>
          </cell>
        </row>
        <row r="99">
          <cell r="A99" t="str">
            <v>EMP098</v>
          </cell>
          <cell r="B99" t="str">
            <v>Name 98</v>
          </cell>
          <cell r="C99" t="str">
            <v>Accountant</v>
          </cell>
          <cell r="D99">
            <v>23</v>
          </cell>
          <cell r="E99">
            <v>43832</v>
          </cell>
          <cell r="F99" t="str">
            <v>Night</v>
          </cell>
          <cell r="G99" t="str">
            <v>Name 98@gmail.com</v>
          </cell>
          <cell r="H99">
            <v>45000</v>
          </cell>
          <cell r="I99">
            <v>8100</v>
          </cell>
          <cell r="J99">
            <v>2250</v>
          </cell>
          <cell r="K99">
            <v>1000</v>
          </cell>
          <cell r="L99">
            <v>5000</v>
          </cell>
          <cell r="M99">
            <v>1600</v>
          </cell>
          <cell r="N99">
            <v>30</v>
          </cell>
          <cell r="O99">
            <v>45000</v>
          </cell>
          <cell r="P99">
            <v>0</v>
          </cell>
          <cell r="Q99">
            <v>0</v>
          </cell>
          <cell r="R99">
            <v>187.5</v>
          </cell>
          <cell r="S99">
            <v>0</v>
          </cell>
          <cell r="T99">
            <v>62950</v>
          </cell>
          <cell r="U99">
            <v>204</v>
          </cell>
          <cell r="V99">
            <v>5400</v>
          </cell>
          <cell r="W99">
            <v>4000</v>
          </cell>
          <cell r="X99">
            <v>9604</v>
          </cell>
          <cell r="Y99">
            <v>53346</v>
          </cell>
        </row>
        <row r="100">
          <cell r="A100" t="str">
            <v>EMP099</v>
          </cell>
          <cell r="B100" t="str">
            <v>Name 99</v>
          </cell>
          <cell r="C100" t="str">
            <v>Accountant</v>
          </cell>
          <cell r="D100">
            <v>34</v>
          </cell>
          <cell r="E100">
            <v>43833</v>
          </cell>
          <cell r="F100" t="str">
            <v>Night</v>
          </cell>
          <cell r="G100" t="str">
            <v>Name 99@gmail.com</v>
          </cell>
          <cell r="H100">
            <v>55000</v>
          </cell>
          <cell r="I100">
            <v>9900</v>
          </cell>
          <cell r="J100">
            <v>2750</v>
          </cell>
          <cell r="K100">
            <v>1000</v>
          </cell>
          <cell r="L100">
            <v>0</v>
          </cell>
          <cell r="M100">
            <v>1600</v>
          </cell>
          <cell r="N100">
            <v>30</v>
          </cell>
          <cell r="O100">
            <v>55000</v>
          </cell>
          <cell r="P100">
            <v>1</v>
          </cell>
          <cell r="Q100">
            <v>30</v>
          </cell>
          <cell r="R100">
            <v>229.16666666666666</v>
          </cell>
          <cell r="S100">
            <v>6875</v>
          </cell>
          <cell r="T100">
            <v>77125</v>
          </cell>
          <cell r="U100">
            <v>205</v>
          </cell>
          <cell r="V100">
            <v>6600</v>
          </cell>
          <cell r="W100">
            <v>0</v>
          </cell>
          <cell r="X100">
            <v>6805</v>
          </cell>
          <cell r="Y100">
            <v>70320</v>
          </cell>
        </row>
        <row r="101">
          <cell r="A101" t="str">
            <v>EMP100</v>
          </cell>
          <cell r="B101" t="str">
            <v>Name 100</v>
          </cell>
          <cell r="C101" t="str">
            <v>Manager</v>
          </cell>
          <cell r="D101">
            <v>45</v>
          </cell>
          <cell r="E101">
            <v>43834</v>
          </cell>
          <cell r="F101" t="str">
            <v>Day</v>
          </cell>
          <cell r="G101" t="str">
            <v>Name 100@gmail.com</v>
          </cell>
          <cell r="H101">
            <v>43000</v>
          </cell>
          <cell r="I101">
            <v>7740</v>
          </cell>
          <cell r="J101">
            <v>2150</v>
          </cell>
          <cell r="K101">
            <v>1000</v>
          </cell>
          <cell r="L101">
            <v>0</v>
          </cell>
          <cell r="M101">
            <v>1600</v>
          </cell>
          <cell r="N101">
            <v>27</v>
          </cell>
          <cell r="O101">
            <v>38700</v>
          </cell>
          <cell r="P101">
            <v>1</v>
          </cell>
          <cell r="Q101">
            <v>27</v>
          </cell>
          <cell r="R101">
            <v>179.16666666666666</v>
          </cell>
          <cell r="S101">
            <v>4837.5</v>
          </cell>
          <cell r="T101">
            <v>56027.5</v>
          </cell>
          <cell r="U101">
            <v>200</v>
          </cell>
          <cell r="V101">
            <v>5160</v>
          </cell>
          <cell r="W101">
            <v>0</v>
          </cell>
          <cell r="X101">
            <v>5360</v>
          </cell>
          <cell r="Y101">
            <v>50667.5</v>
          </cell>
        </row>
        <row r="102">
          <cell r="A102" t="str">
            <v>EMP101</v>
          </cell>
          <cell r="B102" t="str">
            <v>Name 101</v>
          </cell>
          <cell r="C102" t="str">
            <v>Clerk</v>
          </cell>
          <cell r="D102">
            <v>54</v>
          </cell>
          <cell r="E102">
            <v>43835</v>
          </cell>
          <cell r="F102" t="str">
            <v>Day</v>
          </cell>
          <cell r="G102" t="str">
            <v>Name 101@gmail.com</v>
          </cell>
          <cell r="H102">
            <v>25000</v>
          </cell>
          <cell r="I102">
            <v>4500</v>
          </cell>
          <cell r="J102">
            <v>1250</v>
          </cell>
          <cell r="K102">
            <v>1000</v>
          </cell>
          <cell r="L102">
            <v>0</v>
          </cell>
          <cell r="M102">
            <v>1600</v>
          </cell>
          <cell r="N102">
            <v>30</v>
          </cell>
          <cell r="O102">
            <v>25000</v>
          </cell>
          <cell r="P102">
            <v>0</v>
          </cell>
          <cell r="Q102">
            <v>0</v>
          </cell>
          <cell r="R102">
            <v>104.16666666666667</v>
          </cell>
          <cell r="S102">
            <v>0</v>
          </cell>
          <cell r="T102">
            <v>33350</v>
          </cell>
          <cell r="U102">
            <v>200</v>
          </cell>
          <cell r="V102">
            <v>3000</v>
          </cell>
          <cell r="W102">
            <v>0</v>
          </cell>
          <cell r="X102">
            <v>3200</v>
          </cell>
          <cell r="Y102">
            <v>30150</v>
          </cell>
        </row>
        <row r="103">
          <cell r="A103" t="str">
            <v>EMP102</v>
          </cell>
          <cell r="B103" t="str">
            <v>Name 102</v>
          </cell>
          <cell r="C103" t="str">
            <v>Accountant</v>
          </cell>
          <cell r="D103">
            <v>56</v>
          </cell>
          <cell r="E103">
            <v>43836</v>
          </cell>
          <cell r="F103" t="str">
            <v>Day</v>
          </cell>
          <cell r="G103" t="str">
            <v>Name 102@gmail.com</v>
          </cell>
          <cell r="H103">
            <v>28000</v>
          </cell>
          <cell r="I103">
            <v>5040</v>
          </cell>
          <cell r="J103">
            <v>1400</v>
          </cell>
          <cell r="K103">
            <v>1000</v>
          </cell>
          <cell r="L103">
            <v>0</v>
          </cell>
          <cell r="M103">
            <v>1600</v>
          </cell>
          <cell r="N103">
            <v>20</v>
          </cell>
          <cell r="O103">
            <v>18666.666666666668</v>
          </cell>
          <cell r="P103">
            <v>0</v>
          </cell>
          <cell r="Q103">
            <v>0</v>
          </cell>
          <cell r="R103">
            <v>116.66666666666667</v>
          </cell>
          <cell r="S103">
            <v>0</v>
          </cell>
          <cell r="T103">
            <v>27706.666666666668</v>
          </cell>
          <cell r="U103">
            <v>200</v>
          </cell>
          <cell r="V103">
            <v>3360</v>
          </cell>
          <cell r="W103">
            <v>0</v>
          </cell>
          <cell r="X103">
            <v>3560</v>
          </cell>
          <cell r="Y103">
            <v>24146.666666666668</v>
          </cell>
        </row>
        <row r="104">
          <cell r="A104" t="str">
            <v>EMP103</v>
          </cell>
          <cell r="B104" t="str">
            <v>Name 103</v>
          </cell>
          <cell r="C104" t="str">
            <v>Manager</v>
          </cell>
          <cell r="D104">
            <v>54</v>
          </cell>
          <cell r="E104">
            <v>43837</v>
          </cell>
          <cell r="F104" t="str">
            <v>Day</v>
          </cell>
          <cell r="G104" t="str">
            <v>Name 103@gmail.com</v>
          </cell>
          <cell r="H104">
            <v>40000</v>
          </cell>
          <cell r="I104">
            <v>7200</v>
          </cell>
          <cell r="J104">
            <v>2000</v>
          </cell>
          <cell r="K104">
            <v>1000</v>
          </cell>
          <cell r="L104">
            <v>0</v>
          </cell>
          <cell r="M104">
            <v>1600</v>
          </cell>
          <cell r="N104">
            <v>28</v>
          </cell>
          <cell r="O104">
            <v>37333.333333333328</v>
          </cell>
          <cell r="P104">
            <v>2</v>
          </cell>
          <cell r="Q104">
            <v>56</v>
          </cell>
          <cell r="R104">
            <v>166.66666666666666</v>
          </cell>
          <cell r="S104">
            <v>9333.3333333333321</v>
          </cell>
          <cell r="T104">
            <v>58466.666666666657</v>
          </cell>
          <cell r="U104">
            <v>200</v>
          </cell>
          <cell r="V104">
            <v>4800</v>
          </cell>
          <cell r="W104">
            <v>0</v>
          </cell>
          <cell r="X104">
            <v>5000</v>
          </cell>
          <cell r="Y104">
            <v>53466.666666666657</v>
          </cell>
        </row>
        <row r="105">
          <cell r="A105" t="str">
            <v>EMP104</v>
          </cell>
          <cell r="B105" t="str">
            <v>Name 104</v>
          </cell>
          <cell r="C105" t="str">
            <v>Manager</v>
          </cell>
          <cell r="D105">
            <v>34</v>
          </cell>
          <cell r="E105">
            <v>43838</v>
          </cell>
          <cell r="F105" t="str">
            <v>Day</v>
          </cell>
          <cell r="G105" t="str">
            <v>Name 104@gmail.com</v>
          </cell>
          <cell r="H105">
            <v>32000</v>
          </cell>
          <cell r="I105">
            <v>5760</v>
          </cell>
          <cell r="J105">
            <v>1600</v>
          </cell>
          <cell r="K105">
            <v>1000</v>
          </cell>
          <cell r="L105">
            <v>0</v>
          </cell>
          <cell r="M105">
            <v>1600</v>
          </cell>
          <cell r="N105">
            <v>30</v>
          </cell>
          <cell r="O105">
            <v>32000.000000000004</v>
          </cell>
          <cell r="P105">
            <v>1</v>
          </cell>
          <cell r="Q105">
            <v>30</v>
          </cell>
          <cell r="R105">
            <v>133.33333333333334</v>
          </cell>
          <cell r="S105">
            <v>4000.0000000000005</v>
          </cell>
          <cell r="T105">
            <v>45960</v>
          </cell>
          <cell r="U105">
            <v>200</v>
          </cell>
          <cell r="V105">
            <v>3840</v>
          </cell>
          <cell r="W105">
            <v>5000</v>
          </cell>
          <cell r="X105">
            <v>9040</v>
          </cell>
          <cell r="Y105">
            <v>36920</v>
          </cell>
        </row>
        <row r="106">
          <cell r="A106" t="str">
            <v>EMP105</v>
          </cell>
          <cell r="B106" t="str">
            <v>Name 105</v>
          </cell>
          <cell r="C106" t="str">
            <v>Clerk</v>
          </cell>
          <cell r="D106">
            <v>23</v>
          </cell>
          <cell r="E106">
            <v>43839</v>
          </cell>
          <cell r="F106" t="str">
            <v>Day</v>
          </cell>
          <cell r="G106" t="str">
            <v>Name 105@gmail.com</v>
          </cell>
          <cell r="H106">
            <v>28000</v>
          </cell>
          <cell r="I106">
            <v>5040</v>
          </cell>
          <cell r="J106">
            <v>1400</v>
          </cell>
          <cell r="K106">
            <v>1000</v>
          </cell>
          <cell r="L106">
            <v>0</v>
          </cell>
          <cell r="M106">
            <v>1600</v>
          </cell>
          <cell r="N106">
            <v>29</v>
          </cell>
          <cell r="O106">
            <v>27066.666666666668</v>
          </cell>
          <cell r="P106">
            <v>1</v>
          </cell>
          <cell r="Q106">
            <v>29</v>
          </cell>
          <cell r="R106">
            <v>116.66666666666667</v>
          </cell>
          <cell r="S106">
            <v>3383.3333333333335</v>
          </cell>
          <cell r="T106">
            <v>39490.000000000007</v>
          </cell>
          <cell r="U106">
            <v>200</v>
          </cell>
          <cell r="V106">
            <v>3360</v>
          </cell>
          <cell r="W106">
            <v>0</v>
          </cell>
          <cell r="X106">
            <v>3560</v>
          </cell>
          <cell r="Y106">
            <v>35930.000000000007</v>
          </cell>
        </row>
        <row r="107">
          <cell r="A107" t="str">
            <v>EMP106</v>
          </cell>
          <cell r="B107" t="str">
            <v>Name 106</v>
          </cell>
          <cell r="C107" t="str">
            <v>Accountant</v>
          </cell>
          <cell r="D107">
            <v>34</v>
          </cell>
          <cell r="E107">
            <v>43840</v>
          </cell>
          <cell r="F107" t="str">
            <v>Night</v>
          </cell>
          <cell r="G107" t="str">
            <v>Name 106@gmail.com</v>
          </cell>
          <cell r="H107">
            <v>44000</v>
          </cell>
          <cell r="I107">
            <v>7920</v>
          </cell>
          <cell r="J107">
            <v>2200</v>
          </cell>
          <cell r="K107">
            <v>1000</v>
          </cell>
          <cell r="L107">
            <v>0</v>
          </cell>
          <cell r="M107">
            <v>1600</v>
          </cell>
          <cell r="N107">
            <v>28</v>
          </cell>
          <cell r="O107">
            <v>41066.666666666672</v>
          </cell>
          <cell r="P107">
            <v>1</v>
          </cell>
          <cell r="Q107">
            <v>28</v>
          </cell>
          <cell r="R107">
            <v>183.33333333333334</v>
          </cell>
          <cell r="S107">
            <v>5133.3333333333339</v>
          </cell>
          <cell r="T107">
            <v>58920.000000000007</v>
          </cell>
          <cell r="U107">
            <v>200</v>
          </cell>
          <cell r="V107">
            <v>5280</v>
          </cell>
          <cell r="W107">
            <v>0</v>
          </cell>
          <cell r="X107">
            <v>5480</v>
          </cell>
          <cell r="Y107">
            <v>53440.000000000007</v>
          </cell>
        </row>
        <row r="108">
          <cell r="A108" t="str">
            <v>EMP107</v>
          </cell>
          <cell r="B108" t="str">
            <v>Name 107</v>
          </cell>
          <cell r="C108" t="str">
            <v>Manager</v>
          </cell>
          <cell r="D108">
            <v>43</v>
          </cell>
          <cell r="E108">
            <v>43841</v>
          </cell>
          <cell r="F108" t="str">
            <v>Day</v>
          </cell>
          <cell r="G108" t="str">
            <v>Name 107@gmail.com</v>
          </cell>
          <cell r="H108">
            <v>25000</v>
          </cell>
          <cell r="I108">
            <v>4500</v>
          </cell>
          <cell r="J108">
            <v>1250</v>
          </cell>
          <cell r="K108">
            <v>1000</v>
          </cell>
          <cell r="L108">
            <v>0</v>
          </cell>
          <cell r="M108">
            <v>1600</v>
          </cell>
          <cell r="N108">
            <v>27</v>
          </cell>
          <cell r="O108">
            <v>22500</v>
          </cell>
          <cell r="P108">
            <v>1</v>
          </cell>
          <cell r="Q108">
            <v>27</v>
          </cell>
          <cell r="R108">
            <v>104.16666666666667</v>
          </cell>
          <cell r="S108">
            <v>2812.5</v>
          </cell>
          <cell r="T108">
            <v>33662.5</v>
          </cell>
          <cell r="U108">
            <v>200</v>
          </cell>
          <cell r="V108">
            <v>3000</v>
          </cell>
          <cell r="W108">
            <v>0</v>
          </cell>
          <cell r="X108">
            <v>3200</v>
          </cell>
          <cell r="Y108">
            <v>30462.5</v>
          </cell>
        </row>
        <row r="109">
          <cell r="A109" t="str">
            <v>EMP108</v>
          </cell>
          <cell r="B109" t="str">
            <v>Name 108</v>
          </cell>
          <cell r="C109" t="str">
            <v>Accountant</v>
          </cell>
          <cell r="D109">
            <v>34</v>
          </cell>
          <cell r="E109">
            <v>43842</v>
          </cell>
          <cell r="F109" t="str">
            <v>Day</v>
          </cell>
          <cell r="G109" t="str">
            <v>Name 108@gmail.com</v>
          </cell>
          <cell r="H109">
            <v>50000</v>
          </cell>
          <cell r="I109">
            <v>9000</v>
          </cell>
          <cell r="J109">
            <v>2500</v>
          </cell>
          <cell r="K109">
            <v>1000</v>
          </cell>
          <cell r="L109">
            <v>0</v>
          </cell>
          <cell r="M109">
            <v>1600</v>
          </cell>
          <cell r="N109">
            <v>27</v>
          </cell>
          <cell r="O109">
            <v>45000</v>
          </cell>
          <cell r="P109">
            <v>3</v>
          </cell>
          <cell r="Q109">
            <v>81</v>
          </cell>
          <cell r="R109">
            <v>208.33333333333334</v>
          </cell>
          <cell r="S109">
            <v>16875</v>
          </cell>
          <cell r="T109">
            <v>75975</v>
          </cell>
          <cell r="U109">
            <v>201</v>
          </cell>
          <cell r="V109">
            <v>6000</v>
          </cell>
          <cell r="W109">
            <v>0</v>
          </cell>
          <cell r="X109">
            <v>6201</v>
          </cell>
          <cell r="Y109">
            <v>69774</v>
          </cell>
        </row>
        <row r="110">
          <cell r="A110" t="str">
            <v>EMP109</v>
          </cell>
          <cell r="B110" t="str">
            <v>Name 109</v>
          </cell>
          <cell r="C110" t="str">
            <v>Accountant</v>
          </cell>
          <cell r="D110">
            <v>43</v>
          </cell>
          <cell r="E110">
            <v>43843</v>
          </cell>
          <cell r="F110" t="str">
            <v>Night</v>
          </cell>
          <cell r="G110" t="str">
            <v>Name 109@gmail.com</v>
          </cell>
          <cell r="H110">
            <v>70000</v>
          </cell>
          <cell r="I110">
            <v>12600</v>
          </cell>
          <cell r="J110">
            <v>3500</v>
          </cell>
          <cell r="K110">
            <v>1000</v>
          </cell>
          <cell r="L110">
            <v>0</v>
          </cell>
          <cell r="M110">
            <v>1600</v>
          </cell>
          <cell r="N110">
            <v>27</v>
          </cell>
          <cell r="O110">
            <v>63000.000000000007</v>
          </cell>
          <cell r="P110">
            <v>1</v>
          </cell>
          <cell r="Q110">
            <v>27</v>
          </cell>
          <cell r="R110">
            <v>291.66666666666669</v>
          </cell>
          <cell r="S110">
            <v>7875.0000000000009</v>
          </cell>
          <cell r="T110">
            <v>89575</v>
          </cell>
          <cell r="U110">
            <v>202</v>
          </cell>
          <cell r="V110">
            <v>8400</v>
          </cell>
          <cell r="W110">
            <v>0</v>
          </cell>
          <cell r="X110">
            <v>8602</v>
          </cell>
          <cell r="Y110">
            <v>80973</v>
          </cell>
        </row>
        <row r="111">
          <cell r="A111" t="str">
            <v>EMP110</v>
          </cell>
          <cell r="B111" t="str">
            <v>Name 110</v>
          </cell>
          <cell r="C111" t="str">
            <v>Accountant</v>
          </cell>
          <cell r="D111">
            <v>23</v>
          </cell>
          <cell r="E111">
            <v>43844</v>
          </cell>
          <cell r="F111" t="str">
            <v>Night</v>
          </cell>
          <cell r="G111" t="str">
            <v>Name 110@gmail.com</v>
          </cell>
          <cell r="H111">
            <v>34000</v>
          </cell>
          <cell r="I111">
            <v>6120</v>
          </cell>
          <cell r="J111">
            <v>1700</v>
          </cell>
          <cell r="K111">
            <v>1000</v>
          </cell>
          <cell r="L111">
            <v>2000</v>
          </cell>
          <cell r="M111">
            <v>1600</v>
          </cell>
          <cell r="N111">
            <v>30</v>
          </cell>
          <cell r="O111">
            <v>34000</v>
          </cell>
          <cell r="P111">
            <v>2</v>
          </cell>
          <cell r="Q111">
            <v>60</v>
          </cell>
          <cell r="R111">
            <v>141.66666666666666</v>
          </cell>
          <cell r="S111">
            <v>8500</v>
          </cell>
          <cell r="T111">
            <v>54920</v>
          </cell>
          <cell r="U111">
            <v>203</v>
          </cell>
          <cell r="V111">
            <v>4080</v>
          </cell>
          <cell r="W111">
            <v>0</v>
          </cell>
          <cell r="X111">
            <v>4283</v>
          </cell>
          <cell r="Y111">
            <v>50637</v>
          </cell>
        </row>
        <row r="112">
          <cell r="A112" t="str">
            <v>EMP111</v>
          </cell>
          <cell r="B112" t="str">
            <v>Name 111</v>
          </cell>
          <cell r="C112" t="str">
            <v>Accountant</v>
          </cell>
          <cell r="D112">
            <v>34</v>
          </cell>
          <cell r="E112">
            <v>43845</v>
          </cell>
          <cell r="F112" t="str">
            <v>Night</v>
          </cell>
          <cell r="G112" t="str">
            <v>Name 111@gmail.com</v>
          </cell>
          <cell r="H112">
            <v>45000</v>
          </cell>
          <cell r="I112">
            <v>8100</v>
          </cell>
          <cell r="J112">
            <v>2250</v>
          </cell>
          <cell r="K112">
            <v>1000</v>
          </cell>
          <cell r="L112">
            <v>5000</v>
          </cell>
          <cell r="M112">
            <v>1600</v>
          </cell>
          <cell r="N112">
            <v>30</v>
          </cell>
          <cell r="O112">
            <v>45000</v>
          </cell>
          <cell r="P112">
            <v>0</v>
          </cell>
          <cell r="Q112">
            <v>0</v>
          </cell>
          <cell r="R112">
            <v>187.5</v>
          </cell>
          <cell r="S112">
            <v>0</v>
          </cell>
          <cell r="T112">
            <v>62950</v>
          </cell>
          <cell r="U112">
            <v>204</v>
          </cell>
          <cell r="V112">
            <v>5400</v>
          </cell>
          <cell r="W112">
            <v>4000</v>
          </cell>
          <cell r="X112">
            <v>9604</v>
          </cell>
          <cell r="Y112">
            <v>53346</v>
          </cell>
        </row>
        <row r="113">
          <cell r="A113" t="str">
            <v>EMP112</v>
          </cell>
          <cell r="B113" t="str">
            <v>Name 112</v>
          </cell>
          <cell r="C113" t="str">
            <v>Accountant</v>
          </cell>
          <cell r="D113">
            <v>23</v>
          </cell>
          <cell r="E113">
            <v>43846</v>
          </cell>
          <cell r="F113" t="str">
            <v>Night</v>
          </cell>
          <cell r="G113" t="str">
            <v>Name 112@gmail.com</v>
          </cell>
          <cell r="H113">
            <v>55000</v>
          </cell>
          <cell r="I113">
            <v>9900</v>
          </cell>
          <cell r="J113">
            <v>2750</v>
          </cell>
          <cell r="K113">
            <v>1000</v>
          </cell>
          <cell r="L113">
            <v>0</v>
          </cell>
          <cell r="M113">
            <v>1600</v>
          </cell>
          <cell r="N113">
            <v>30</v>
          </cell>
          <cell r="O113">
            <v>55000</v>
          </cell>
          <cell r="P113">
            <v>1</v>
          </cell>
          <cell r="Q113">
            <v>30</v>
          </cell>
          <cell r="R113">
            <v>229.16666666666666</v>
          </cell>
          <cell r="S113">
            <v>6875</v>
          </cell>
          <cell r="T113">
            <v>77125</v>
          </cell>
          <cell r="U113">
            <v>205</v>
          </cell>
          <cell r="V113">
            <v>6600</v>
          </cell>
          <cell r="W113">
            <v>0</v>
          </cell>
          <cell r="X113">
            <v>6805</v>
          </cell>
          <cell r="Y113">
            <v>70320</v>
          </cell>
        </row>
        <row r="114">
          <cell r="A114" t="str">
            <v>EMP113</v>
          </cell>
          <cell r="B114" t="str">
            <v>Name 113</v>
          </cell>
          <cell r="C114" t="str">
            <v>Manager</v>
          </cell>
          <cell r="D114">
            <v>34</v>
          </cell>
          <cell r="E114">
            <v>43847</v>
          </cell>
          <cell r="F114" t="str">
            <v>Day</v>
          </cell>
          <cell r="G114" t="str">
            <v>Name 113@gmail.com</v>
          </cell>
          <cell r="H114">
            <v>43000</v>
          </cell>
          <cell r="I114">
            <v>7740</v>
          </cell>
          <cell r="J114">
            <v>2150</v>
          </cell>
          <cell r="K114">
            <v>1000</v>
          </cell>
          <cell r="L114">
            <v>0</v>
          </cell>
          <cell r="M114">
            <v>1600</v>
          </cell>
          <cell r="N114">
            <v>27</v>
          </cell>
          <cell r="O114">
            <v>38700</v>
          </cell>
          <cell r="P114">
            <v>1</v>
          </cell>
          <cell r="Q114">
            <v>27</v>
          </cell>
          <cell r="R114">
            <v>179.16666666666666</v>
          </cell>
          <cell r="S114">
            <v>4837.5</v>
          </cell>
          <cell r="T114">
            <v>56027.5</v>
          </cell>
          <cell r="U114">
            <v>200</v>
          </cell>
          <cell r="V114">
            <v>5160</v>
          </cell>
          <cell r="W114">
            <v>0</v>
          </cell>
          <cell r="X114">
            <v>5360</v>
          </cell>
          <cell r="Y114">
            <v>50667.5</v>
          </cell>
        </row>
        <row r="115">
          <cell r="A115" t="str">
            <v>EMP114</v>
          </cell>
          <cell r="B115" t="str">
            <v>Name 114</v>
          </cell>
          <cell r="C115" t="str">
            <v>Clerk</v>
          </cell>
          <cell r="D115">
            <v>23</v>
          </cell>
          <cell r="E115">
            <v>43848</v>
          </cell>
          <cell r="F115" t="str">
            <v>Day</v>
          </cell>
          <cell r="G115" t="str">
            <v>Name 114@gmail.com</v>
          </cell>
          <cell r="H115">
            <v>25000</v>
          </cell>
          <cell r="I115">
            <v>4500</v>
          </cell>
          <cell r="J115">
            <v>1250</v>
          </cell>
          <cell r="K115">
            <v>1000</v>
          </cell>
          <cell r="L115">
            <v>0</v>
          </cell>
          <cell r="M115">
            <v>1600</v>
          </cell>
          <cell r="N115">
            <v>30</v>
          </cell>
          <cell r="O115">
            <v>25000</v>
          </cell>
          <cell r="P115">
            <v>0</v>
          </cell>
          <cell r="Q115">
            <v>0</v>
          </cell>
          <cell r="R115">
            <v>104.16666666666667</v>
          </cell>
          <cell r="S115">
            <v>0</v>
          </cell>
          <cell r="T115">
            <v>33350</v>
          </cell>
          <cell r="U115">
            <v>200</v>
          </cell>
          <cell r="V115">
            <v>3000</v>
          </cell>
          <cell r="W115">
            <v>0</v>
          </cell>
          <cell r="X115">
            <v>3200</v>
          </cell>
          <cell r="Y115">
            <v>30150</v>
          </cell>
        </row>
        <row r="116">
          <cell r="A116" t="str">
            <v>EMP115</v>
          </cell>
          <cell r="B116" t="str">
            <v>Name 115</v>
          </cell>
          <cell r="C116" t="str">
            <v>Accountant</v>
          </cell>
          <cell r="D116">
            <v>34</v>
          </cell>
          <cell r="E116">
            <v>43849</v>
          </cell>
          <cell r="F116" t="str">
            <v>Day</v>
          </cell>
          <cell r="G116" t="str">
            <v>Name 115@gmail.com</v>
          </cell>
          <cell r="H116">
            <v>28000</v>
          </cell>
          <cell r="I116">
            <v>5040</v>
          </cell>
          <cell r="J116">
            <v>1400</v>
          </cell>
          <cell r="K116">
            <v>1000</v>
          </cell>
          <cell r="L116">
            <v>0</v>
          </cell>
          <cell r="M116">
            <v>1600</v>
          </cell>
          <cell r="N116">
            <v>20</v>
          </cell>
          <cell r="O116">
            <v>18666.666666666668</v>
          </cell>
          <cell r="P116">
            <v>0</v>
          </cell>
          <cell r="Q116">
            <v>0</v>
          </cell>
          <cell r="R116">
            <v>116.66666666666667</v>
          </cell>
          <cell r="S116">
            <v>0</v>
          </cell>
          <cell r="T116">
            <v>27706.666666666668</v>
          </cell>
          <cell r="U116">
            <v>200</v>
          </cell>
          <cell r="V116">
            <v>3360</v>
          </cell>
          <cell r="W116">
            <v>0</v>
          </cell>
          <cell r="X116">
            <v>3560</v>
          </cell>
          <cell r="Y116">
            <v>24146.666666666668</v>
          </cell>
        </row>
        <row r="117">
          <cell r="A117" t="str">
            <v>EMP116</v>
          </cell>
          <cell r="B117" t="str">
            <v>Name 116</v>
          </cell>
          <cell r="C117" t="str">
            <v>Manager</v>
          </cell>
          <cell r="D117">
            <v>45</v>
          </cell>
          <cell r="E117">
            <v>43850</v>
          </cell>
          <cell r="F117" t="str">
            <v>Day</v>
          </cell>
          <cell r="G117" t="str">
            <v>Name 116@gmail.com</v>
          </cell>
          <cell r="H117">
            <v>40000</v>
          </cell>
          <cell r="I117">
            <v>7200</v>
          </cell>
          <cell r="J117">
            <v>2000</v>
          </cell>
          <cell r="K117">
            <v>1000</v>
          </cell>
          <cell r="L117">
            <v>0</v>
          </cell>
          <cell r="M117">
            <v>1600</v>
          </cell>
          <cell r="N117">
            <v>28</v>
          </cell>
          <cell r="O117">
            <v>37333.333333333328</v>
          </cell>
          <cell r="P117">
            <v>2</v>
          </cell>
          <cell r="Q117">
            <v>56</v>
          </cell>
          <cell r="R117">
            <v>166.66666666666666</v>
          </cell>
          <cell r="S117">
            <v>9333.3333333333321</v>
          </cell>
          <cell r="T117">
            <v>58466.666666666657</v>
          </cell>
          <cell r="U117">
            <v>200</v>
          </cell>
          <cell r="V117">
            <v>4800</v>
          </cell>
          <cell r="W117">
            <v>0</v>
          </cell>
          <cell r="X117">
            <v>5000</v>
          </cell>
          <cell r="Y117">
            <v>53466.666666666657</v>
          </cell>
        </row>
        <row r="118">
          <cell r="A118" t="str">
            <v>EMP117</v>
          </cell>
          <cell r="B118" t="str">
            <v>Name 117</v>
          </cell>
          <cell r="C118" t="str">
            <v>Manager</v>
          </cell>
          <cell r="D118">
            <v>54</v>
          </cell>
          <cell r="E118">
            <v>43851</v>
          </cell>
          <cell r="F118" t="str">
            <v>Day</v>
          </cell>
          <cell r="G118" t="str">
            <v>Name 117@gmail.com</v>
          </cell>
          <cell r="H118">
            <v>32000</v>
          </cell>
          <cell r="I118">
            <v>5760</v>
          </cell>
          <cell r="J118">
            <v>1600</v>
          </cell>
          <cell r="K118">
            <v>1000</v>
          </cell>
          <cell r="L118">
            <v>0</v>
          </cell>
          <cell r="M118">
            <v>1600</v>
          </cell>
          <cell r="N118">
            <v>30</v>
          </cell>
          <cell r="O118">
            <v>32000.000000000004</v>
          </cell>
          <cell r="P118">
            <v>1</v>
          </cell>
          <cell r="Q118">
            <v>30</v>
          </cell>
          <cell r="R118">
            <v>133.33333333333334</v>
          </cell>
          <cell r="S118">
            <v>4000.0000000000005</v>
          </cell>
          <cell r="T118">
            <v>45960</v>
          </cell>
          <cell r="U118">
            <v>200</v>
          </cell>
          <cell r="V118">
            <v>3840</v>
          </cell>
          <cell r="W118">
            <v>5000</v>
          </cell>
          <cell r="X118">
            <v>9040</v>
          </cell>
          <cell r="Y118">
            <v>36920</v>
          </cell>
        </row>
        <row r="119">
          <cell r="A119" t="str">
            <v>EMP118</v>
          </cell>
          <cell r="B119" t="str">
            <v>Name 118</v>
          </cell>
          <cell r="C119" t="str">
            <v>Clerk</v>
          </cell>
          <cell r="D119">
            <v>56</v>
          </cell>
          <cell r="E119">
            <v>43852</v>
          </cell>
          <cell r="F119" t="str">
            <v>Day</v>
          </cell>
          <cell r="G119" t="str">
            <v>Name 118@gmail.com</v>
          </cell>
          <cell r="H119">
            <v>28000</v>
          </cell>
          <cell r="I119">
            <v>5040</v>
          </cell>
          <cell r="J119">
            <v>1400</v>
          </cell>
          <cell r="K119">
            <v>1000</v>
          </cell>
          <cell r="L119">
            <v>0</v>
          </cell>
          <cell r="M119">
            <v>1600</v>
          </cell>
          <cell r="N119">
            <v>29</v>
          </cell>
          <cell r="O119">
            <v>27066.666666666668</v>
          </cell>
          <cell r="P119">
            <v>1</v>
          </cell>
          <cell r="Q119">
            <v>29</v>
          </cell>
          <cell r="R119">
            <v>116.66666666666667</v>
          </cell>
          <cell r="S119">
            <v>3383.3333333333335</v>
          </cell>
          <cell r="T119">
            <v>39490.000000000007</v>
          </cell>
          <cell r="U119">
            <v>200</v>
          </cell>
          <cell r="V119">
            <v>3360</v>
          </cell>
          <cell r="W119">
            <v>0</v>
          </cell>
          <cell r="X119">
            <v>3560</v>
          </cell>
          <cell r="Y119">
            <v>35930.000000000007</v>
          </cell>
        </row>
        <row r="120">
          <cell r="A120" t="str">
            <v>EMP119</v>
          </cell>
          <cell r="B120" t="str">
            <v>Name 119</v>
          </cell>
          <cell r="C120" t="str">
            <v>Accountant</v>
          </cell>
          <cell r="D120">
            <v>54</v>
          </cell>
          <cell r="E120">
            <v>43853</v>
          </cell>
          <cell r="F120" t="str">
            <v>Night</v>
          </cell>
          <cell r="G120" t="str">
            <v>Name 119@gmail.com</v>
          </cell>
          <cell r="H120">
            <v>44000</v>
          </cell>
          <cell r="I120">
            <v>7920</v>
          </cell>
          <cell r="J120">
            <v>2200</v>
          </cell>
          <cell r="K120">
            <v>1000</v>
          </cell>
          <cell r="L120">
            <v>0</v>
          </cell>
          <cell r="M120">
            <v>1600</v>
          </cell>
          <cell r="N120">
            <v>28</v>
          </cell>
          <cell r="O120">
            <v>41066.666666666672</v>
          </cell>
          <cell r="P120">
            <v>1</v>
          </cell>
          <cell r="Q120">
            <v>28</v>
          </cell>
          <cell r="R120">
            <v>183.33333333333334</v>
          </cell>
          <cell r="S120">
            <v>5133.3333333333339</v>
          </cell>
          <cell r="T120">
            <v>58920.000000000007</v>
          </cell>
          <cell r="U120">
            <v>200</v>
          </cell>
          <cell r="V120">
            <v>5280</v>
          </cell>
          <cell r="W120">
            <v>0</v>
          </cell>
          <cell r="X120">
            <v>5480</v>
          </cell>
          <cell r="Y120">
            <v>53440.000000000007</v>
          </cell>
        </row>
        <row r="121">
          <cell r="A121" t="str">
            <v>EMP120</v>
          </cell>
          <cell r="B121" t="str">
            <v>Name 120</v>
          </cell>
          <cell r="C121" t="str">
            <v>Manager</v>
          </cell>
          <cell r="D121">
            <v>34</v>
          </cell>
          <cell r="E121">
            <v>43854</v>
          </cell>
          <cell r="F121" t="str">
            <v>Day</v>
          </cell>
          <cell r="G121" t="str">
            <v>Name 120@gmail.com</v>
          </cell>
          <cell r="H121">
            <v>25000</v>
          </cell>
          <cell r="I121">
            <v>4500</v>
          </cell>
          <cell r="J121">
            <v>1250</v>
          </cell>
          <cell r="K121">
            <v>1000</v>
          </cell>
          <cell r="L121">
            <v>0</v>
          </cell>
          <cell r="M121">
            <v>1600</v>
          </cell>
          <cell r="N121">
            <v>27</v>
          </cell>
          <cell r="O121">
            <v>22500</v>
          </cell>
          <cell r="P121">
            <v>1</v>
          </cell>
          <cell r="Q121">
            <v>27</v>
          </cell>
          <cell r="R121">
            <v>104.16666666666667</v>
          </cell>
          <cell r="S121">
            <v>2812.5</v>
          </cell>
          <cell r="T121">
            <v>33662.5</v>
          </cell>
          <cell r="U121">
            <v>200</v>
          </cell>
          <cell r="V121">
            <v>3000</v>
          </cell>
          <cell r="W121">
            <v>0</v>
          </cell>
          <cell r="X121">
            <v>3200</v>
          </cell>
          <cell r="Y121">
            <v>30462.5</v>
          </cell>
        </row>
        <row r="122">
          <cell r="A122" t="str">
            <v>EMP121</v>
          </cell>
          <cell r="B122" t="str">
            <v>Name 121</v>
          </cell>
          <cell r="C122" t="str">
            <v>Accountant</v>
          </cell>
          <cell r="D122">
            <v>23</v>
          </cell>
          <cell r="E122">
            <v>43831</v>
          </cell>
          <cell r="F122" t="str">
            <v>Day</v>
          </cell>
          <cell r="G122" t="str">
            <v>Name 121@gmail.com</v>
          </cell>
          <cell r="H122">
            <v>50000</v>
          </cell>
          <cell r="I122">
            <v>9000</v>
          </cell>
          <cell r="J122">
            <v>2500</v>
          </cell>
          <cell r="K122">
            <v>1000</v>
          </cell>
          <cell r="L122">
            <v>0</v>
          </cell>
          <cell r="M122">
            <v>1600</v>
          </cell>
          <cell r="N122">
            <v>27</v>
          </cell>
          <cell r="O122">
            <v>45000</v>
          </cell>
          <cell r="P122">
            <v>3</v>
          </cell>
          <cell r="Q122">
            <v>81</v>
          </cell>
          <cell r="R122">
            <v>208.33333333333334</v>
          </cell>
          <cell r="S122">
            <v>16875</v>
          </cell>
          <cell r="T122">
            <v>75975</v>
          </cell>
          <cell r="U122">
            <v>201</v>
          </cell>
          <cell r="V122">
            <v>6000</v>
          </cell>
          <cell r="W122">
            <v>0</v>
          </cell>
          <cell r="X122">
            <v>6201</v>
          </cell>
          <cell r="Y122">
            <v>69774</v>
          </cell>
        </row>
        <row r="123">
          <cell r="A123" t="str">
            <v>EMP122</v>
          </cell>
          <cell r="B123" t="str">
            <v>Name 122</v>
          </cell>
          <cell r="C123" t="str">
            <v>Accountant</v>
          </cell>
          <cell r="D123">
            <v>34</v>
          </cell>
          <cell r="E123">
            <v>43832</v>
          </cell>
          <cell r="F123" t="str">
            <v>Night</v>
          </cell>
          <cell r="G123" t="str">
            <v>Name 122@gmail.com</v>
          </cell>
          <cell r="H123">
            <v>70000</v>
          </cell>
          <cell r="I123">
            <v>12600</v>
          </cell>
          <cell r="J123">
            <v>3500</v>
          </cell>
          <cell r="K123">
            <v>1000</v>
          </cell>
          <cell r="L123">
            <v>0</v>
          </cell>
          <cell r="M123">
            <v>1600</v>
          </cell>
          <cell r="N123">
            <v>27</v>
          </cell>
          <cell r="O123">
            <v>63000.000000000007</v>
          </cell>
          <cell r="P123">
            <v>1</v>
          </cell>
          <cell r="Q123">
            <v>27</v>
          </cell>
          <cell r="R123">
            <v>291.66666666666669</v>
          </cell>
          <cell r="S123">
            <v>7875.0000000000009</v>
          </cell>
          <cell r="T123">
            <v>89575</v>
          </cell>
          <cell r="U123">
            <v>202</v>
          </cell>
          <cell r="V123">
            <v>8400</v>
          </cell>
          <cell r="W123">
            <v>0</v>
          </cell>
          <cell r="X123">
            <v>8602</v>
          </cell>
          <cell r="Y123">
            <v>80973</v>
          </cell>
        </row>
        <row r="124">
          <cell r="A124" t="str">
            <v>EMP123</v>
          </cell>
          <cell r="B124" t="str">
            <v>Name 123</v>
          </cell>
          <cell r="C124" t="str">
            <v>Accountant</v>
          </cell>
          <cell r="D124">
            <v>43</v>
          </cell>
          <cell r="E124">
            <v>43833</v>
          </cell>
          <cell r="F124" t="str">
            <v>Night</v>
          </cell>
          <cell r="G124" t="str">
            <v>Name 123@gmail.com</v>
          </cell>
          <cell r="H124">
            <v>34000</v>
          </cell>
          <cell r="I124">
            <v>6120</v>
          </cell>
          <cell r="J124">
            <v>1700</v>
          </cell>
          <cell r="K124">
            <v>1000</v>
          </cell>
          <cell r="L124">
            <v>2000</v>
          </cell>
          <cell r="M124">
            <v>1600</v>
          </cell>
          <cell r="N124">
            <v>30</v>
          </cell>
          <cell r="O124">
            <v>34000</v>
          </cell>
          <cell r="P124">
            <v>2</v>
          </cell>
          <cell r="Q124">
            <v>60</v>
          </cell>
          <cell r="R124">
            <v>141.66666666666666</v>
          </cell>
          <cell r="S124">
            <v>8500</v>
          </cell>
          <cell r="T124">
            <v>54920</v>
          </cell>
          <cell r="U124">
            <v>203</v>
          </cell>
          <cell r="V124">
            <v>4080</v>
          </cell>
          <cell r="W124">
            <v>0</v>
          </cell>
          <cell r="X124">
            <v>4283</v>
          </cell>
          <cell r="Y124">
            <v>50637</v>
          </cell>
        </row>
        <row r="125">
          <cell r="A125" t="str">
            <v>EMP124</v>
          </cell>
          <cell r="B125" t="str">
            <v>Name 124</v>
          </cell>
          <cell r="C125" t="str">
            <v>Accountant</v>
          </cell>
          <cell r="D125">
            <v>34</v>
          </cell>
          <cell r="E125">
            <v>43834</v>
          </cell>
          <cell r="F125" t="str">
            <v>Night</v>
          </cell>
          <cell r="G125" t="str">
            <v>Name 124@gmail.com</v>
          </cell>
          <cell r="H125">
            <v>45000</v>
          </cell>
          <cell r="I125">
            <v>8100</v>
          </cell>
          <cell r="J125">
            <v>2250</v>
          </cell>
          <cell r="K125">
            <v>1000</v>
          </cell>
          <cell r="L125">
            <v>2000</v>
          </cell>
          <cell r="M125">
            <v>1600</v>
          </cell>
          <cell r="N125">
            <v>30</v>
          </cell>
          <cell r="O125">
            <v>45000</v>
          </cell>
          <cell r="P125">
            <v>0</v>
          </cell>
          <cell r="Q125">
            <v>0</v>
          </cell>
          <cell r="R125">
            <v>187.5</v>
          </cell>
          <cell r="S125">
            <v>0</v>
          </cell>
          <cell r="T125">
            <v>59950</v>
          </cell>
          <cell r="U125">
            <v>204</v>
          </cell>
          <cell r="V125">
            <v>5400</v>
          </cell>
          <cell r="W125">
            <v>4000</v>
          </cell>
          <cell r="X125">
            <v>9604</v>
          </cell>
          <cell r="Y125">
            <v>50346</v>
          </cell>
        </row>
        <row r="126">
          <cell r="A126" t="str">
            <v>EMP125</v>
          </cell>
          <cell r="B126" t="str">
            <v>Name 125</v>
          </cell>
          <cell r="C126" t="str">
            <v>Accountant</v>
          </cell>
          <cell r="D126">
            <v>43</v>
          </cell>
          <cell r="E126">
            <v>43835</v>
          </cell>
          <cell r="F126" t="str">
            <v>Night</v>
          </cell>
          <cell r="G126" t="str">
            <v>Name 125@gmail.com</v>
          </cell>
          <cell r="H126">
            <v>55000</v>
          </cell>
          <cell r="I126">
            <v>9900</v>
          </cell>
          <cell r="J126">
            <v>2750</v>
          </cell>
          <cell r="K126">
            <v>1000</v>
          </cell>
          <cell r="L126">
            <v>2000</v>
          </cell>
          <cell r="M126">
            <v>1600</v>
          </cell>
          <cell r="N126">
            <v>30</v>
          </cell>
          <cell r="O126">
            <v>55000</v>
          </cell>
          <cell r="P126">
            <v>1</v>
          </cell>
          <cell r="Q126">
            <v>30</v>
          </cell>
          <cell r="R126">
            <v>229.16666666666666</v>
          </cell>
          <cell r="S126">
            <v>6875</v>
          </cell>
          <cell r="T126">
            <v>79125</v>
          </cell>
          <cell r="U126">
            <v>205</v>
          </cell>
          <cell r="V126">
            <v>6600</v>
          </cell>
          <cell r="W126">
            <v>0</v>
          </cell>
          <cell r="X126">
            <v>6805</v>
          </cell>
          <cell r="Y126">
            <v>72320</v>
          </cell>
        </row>
        <row r="127">
          <cell r="A127" t="str">
            <v>EMP126</v>
          </cell>
          <cell r="B127" t="str">
            <v>Name 126</v>
          </cell>
          <cell r="C127" t="str">
            <v>Manager</v>
          </cell>
          <cell r="D127">
            <v>23</v>
          </cell>
          <cell r="E127">
            <v>43836</v>
          </cell>
          <cell r="F127" t="str">
            <v>Day</v>
          </cell>
          <cell r="G127" t="str">
            <v>Name 126@gmail.com</v>
          </cell>
          <cell r="H127">
            <v>43000</v>
          </cell>
          <cell r="I127">
            <v>7740</v>
          </cell>
          <cell r="J127">
            <v>2150</v>
          </cell>
          <cell r="K127">
            <v>1000</v>
          </cell>
          <cell r="L127">
            <v>2000</v>
          </cell>
          <cell r="M127">
            <v>1600</v>
          </cell>
          <cell r="N127">
            <v>27</v>
          </cell>
          <cell r="O127">
            <v>38700</v>
          </cell>
          <cell r="P127">
            <v>1</v>
          </cell>
          <cell r="Q127">
            <v>27</v>
          </cell>
          <cell r="R127">
            <v>179.16666666666666</v>
          </cell>
          <cell r="S127">
            <v>4837.5</v>
          </cell>
          <cell r="T127">
            <v>58027.5</v>
          </cell>
          <cell r="U127">
            <v>200</v>
          </cell>
          <cell r="V127">
            <v>5160</v>
          </cell>
          <cell r="W127">
            <v>0</v>
          </cell>
          <cell r="X127">
            <v>5360</v>
          </cell>
          <cell r="Y127">
            <v>52667.5</v>
          </cell>
        </row>
        <row r="128">
          <cell r="A128" t="str">
            <v>EMP127</v>
          </cell>
          <cell r="B128" t="str">
            <v>Name 127</v>
          </cell>
          <cell r="C128" t="str">
            <v>Clerk</v>
          </cell>
          <cell r="D128">
            <v>34</v>
          </cell>
          <cell r="E128">
            <v>43837</v>
          </cell>
          <cell r="F128" t="str">
            <v>Day</v>
          </cell>
          <cell r="G128" t="str">
            <v>Name 127@gmail.com</v>
          </cell>
          <cell r="H128">
            <v>25000</v>
          </cell>
          <cell r="I128">
            <v>4500</v>
          </cell>
          <cell r="J128">
            <v>1250</v>
          </cell>
          <cell r="K128">
            <v>1000</v>
          </cell>
          <cell r="L128">
            <v>2000</v>
          </cell>
          <cell r="M128">
            <v>1600</v>
          </cell>
          <cell r="N128">
            <v>30</v>
          </cell>
          <cell r="O128">
            <v>25000</v>
          </cell>
          <cell r="P128">
            <v>0</v>
          </cell>
          <cell r="Q128">
            <v>0</v>
          </cell>
          <cell r="R128">
            <v>104.16666666666667</v>
          </cell>
          <cell r="S128">
            <v>0</v>
          </cell>
          <cell r="T128">
            <v>35350</v>
          </cell>
          <cell r="U128">
            <v>200</v>
          </cell>
          <cell r="V128">
            <v>3000</v>
          </cell>
          <cell r="W128">
            <v>0</v>
          </cell>
          <cell r="X128">
            <v>3200</v>
          </cell>
          <cell r="Y128">
            <v>32150</v>
          </cell>
        </row>
        <row r="129">
          <cell r="A129" t="str">
            <v>EMP128</v>
          </cell>
          <cell r="B129" t="str">
            <v>Name 128</v>
          </cell>
          <cell r="C129" t="str">
            <v>Accountant</v>
          </cell>
          <cell r="D129">
            <v>23</v>
          </cell>
          <cell r="E129">
            <v>43838</v>
          </cell>
          <cell r="F129" t="str">
            <v>Day</v>
          </cell>
          <cell r="G129" t="str">
            <v>Name 128@gmail.com</v>
          </cell>
          <cell r="H129">
            <v>28000</v>
          </cell>
          <cell r="I129">
            <v>5040</v>
          </cell>
          <cell r="J129">
            <v>1400</v>
          </cell>
          <cell r="K129">
            <v>1000</v>
          </cell>
          <cell r="L129">
            <v>2000</v>
          </cell>
          <cell r="M129">
            <v>1600</v>
          </cell>
          <cell r="N129">
            <v>20</v>
          </cell>
          <cell r="O129">
            <v>18666.666666666668</v>
          </cell>
          <cell r="P129">
            <v>0</v>
          </cell>
          <cell r="Q129">
            <v>0</v>
          </cell>
          <cell r="R129">
            <v>116.66666666666667</v>
          </cell>
          <cell r="S129">
            <v>0</v>
          </cell>
          <cell r="T129">
            <v>29706.666666666668</v>
          </cell>
          <cell r="U129">
            <v>200</v>
          </cell>
          <cell r="V129">
            <v>3360</v>
          </cell>
          <cell r="W129">
            <v>0</v>
          </cell>
          <cell r="X129">
            <v>3560</v>
          </cell>
          <cell r="Y129">
            <v>26146.666666666668</v>
          </cell>
        </row>
        <row r="130">
          <cell r="A130" t="str">
            <v>EMP129</v>
          </cell>
          <cell r="B130" t="str">
            <v>Name 129</v>
          </cell>
          <cell r="C130" t="str">
            <v>Manager</v>
          </cell>
          <cell r="D130">
            <v>34</v>
          </cell>
          <cell r="E130">
            <v>43839</v>
          </cell>
          <cell r="F130" t="str">
            <v>Day</v>
          </cell>
          <cell r="G130" t="str">
            <v>Name 129@gmail.com</v>
          </cell>
          <cell r="H130">
            <v>40000</v>
          </cell>
          <cell r="I130">
            <v>7200</v>
          </cell>
          <cell r="J130">
            <v>2000</v>
          </cell>
          <cell r="K130">
            <v>1000</v>
          </cell>
          <cell r="L130">
            <v>2000</v>
          </cell>
          <cell r="M130">
            <v>1600</v>
          </cell>
          <cell r="N130">
            <v>28</v>
          </cell>
          <cell r="O130">
            <v>37333.333333333328</v>
          </cell>
          <cell r="P130">
            <v>2</v>
          </cell>
          <cell r="Q130">
            <v>56</v>
          </cell>
          <cell r="R130">
            <v>166.66666666666666</v>
          </cell>
          <cell r="S130">
            <v>9333.3333333333321</v>
          </cell>
          <cell r="T130">
            <v>60466.666666666657</v>
          </cell>
          <cell r="U130">
            <v>200</v>
          </cell>
          <cell r="V130">
            <v>4800</v>
          </cell>
          <cell r="W130">
            <v>0</v>
          </cell>
          <cell r="X130">
            <v>5000</v>
          </cell>
          <cell r="Y130">
            <v>55466.666666666657</v>
          </cell>
        </row>
        <row r="131">
          <cell r="A131" t="str">
            <v>EMP130</v>
          </cell>
          <cell r="B131" t="str">
            <v>Name 130</v>
          </cell>
          <cell r="C131" t="str">
            <v>Manager</v>
          </cell>
          <cell r="D131">
            <v>23</v>
          </cell>
          <cell r="E131">
            <v>43840</v>
          </cell>
          <cell r="F131" t="str">
            <v>Day</v>
          </cell>
          <cell r="G131" t="str">
            <v>Name 130@gmail.com</v>
          </cell>
          <cell r="H131">
            <v>32000</v>
          </cell>
          <cell r="I131">
            <v>5760</v>
          </cell>
          <cell r="J131">
            <v>1600</v>
          </cell>
          <cell r="K131">
            <v>1000</v>
          </cell>
          <cell r="L131">
            <v>2000</v>
          </cell>
          <cell r="M131">
            <v>1600</v>
          </cell>
          <cell r="N131">
            <v>30</v>
          </cell>
          <cell r="O131">
            <v>32000.000000000004</v>
          </cell>
          <cell r="P131">
            <v>1</v>
          </cell>
          <cell r="Q131">
            <v>30</v>
          </cell>
          <cell r="R131">
            <v>133.33333333333334</v>
          </cell>
          <cell r="S131">
            <v>4000.0000000000005</v>
          </cell>
          <cell r="T131">
            <v>47960</v>
          </cell>
          <cell r="U131">
            <v>200</v>
          </cell>
          <cell r="V131">
            <v>3840</v>
          </cell>
          <cell r="W131">
            <v>5000</v>
          </cell>
          <cell r="X131">
            <v>9040</v>
          </cell>
          <cell r="Y131">
            <v>38920</v>
          </cell>
        </row>
        <row r="132">
          <cell r="A132" t="str">
            <v>EMP131</v>
          </cell>
          <cell r="B132" t="str">
            <v>Name 131</v>
          </cell>
          <cell r="C132" t="str">
            <v>Clerk</v>
          </cell>
          <cell r="D132">
            <v>34</v>
          </cell>
          <cell r="E132">
            <v>43841</v>
          </cell>
          <cell r="F132" t="str">
            <v>Day</v>
          </cell>
          <cell r="G132" t="str">
            <v>Name 131@gmail.com</v>
          </cell>
          <cell r="H132">
            <v>28000</v>
          </cell>
          <cell r="I132">
            <v>5040</v>
          </cell>
          <cell r="J132">
            <v>1400</v>
          </cell>
          <cell r="K132">
            <v>1000</v>
          </cell>
          <cell r="L132">
            <v>2000</v>
          </cell>
          <cell r="M132">
            <v>1600</v>
          </cell>
          <cell r="N132">
            <v>29</v>
          </cell>
          <cell r="O132">
            <v>27066.666666666668</v>
          </cell>
          <cell r="P132">
            <v>1</v>
          </cell>
          <cell r="Q132">
            <v>29</v>
          </cell>
          <cell r="R132">
            <v>116.66666666666667</v>
          </cell>
          <cell r="S132">
            <v>3383.3333333333335</v>
          </cell>
          <cell r="T132">
            <v>41490.000000000007</v>
          </cell>
          <cell r="U132">
            <v>200</v>
          </cell>
          <cell r="V132">
            <v>3360</v>
          </cell>
          <cell r="W132">
            <v>0</v>
          </cell>
          <cell r="X132">
            <v>3560</v>
          </cell>
          <cell r="Y132">
            <v>37930.000000000007</v>
          </cell>
        </row>
        <row r="133">
          <cell r="A133" t="str">
            <v>EMP132</v>
          </cell>
          <cell r="B133" t="str">
            <v>Name 132</v>
          </cell>
          <cell r="C133" t="str">
            <v>Accountant</v>
          </cell>
          <cell r="D133">
            <v>45</v>
          </cell>
          <cell r="E133">
            <v>43842</v>
          </cell>
          <cell r="F133" t="str">
            <v>Night</v>
          </cell>
          <cell r="G133" t="str">
            <v>Name 132@gmail.com</v>
          </cell>
          <cell r="H133">
            <v>44000</v>
          </cell>
          <cell r="I133">
            <v>7920</v>
          </cell>
          <cell r="J133">
            <v>2200</v>
          </cell>
          <cell r="K133">
            <v>1000</v>
          </cell>
          <cell r="L133">
            <v>2000</v>
          </cell>
          <cell r="M133">
            <v>1600</v>
          </cell>
          <cell r="N133">
            <v>28</v>
          </cell>
          <cell r="O133">
            <v>41066.666666666672</v>
          </cell>
          <cell r="P133">
            <v>1</v>
          </cell>
          <cell r="Q133">
            <v>28</v>
          </cell>
          <cell r="R133">
            <v>183.33333333333334</v>
          </cell>
          <cell r="S133">
            <v>5133.3333333333339</v>
          </cell>
          <cell r="T133">
            <v>60920.000000000007</v>
          </cell>
          <cell r="U133">
            <v>200</v>
          </cell>
          <cell r="V133">
            <v>5280</v>
          </cell>
          <cell r="W133">
            <v>0</v>
          </cell>
          <cell r="X133">
            <v>5480</v>
          </cell>
          <cell r="Y133">
            <v>55440.000000000007</v>
          </cell>
        </row>
        <row r="134">
          <cell r="A134" t="str">
            <v>EMP133</v>
          </cell>
          <cell r="B134" t="str">
            <v>Name 133</v>
          </cell>
          <cell r="C134" t="str">
            <v>Manager</v>
          </cell>
          <cell r="D134">
            <v>54</v>
          </cell>
          <cell r="E134">
            <v>43843</v>
          </cell>
          <cell r="F134" t="str">
            <v>Day</v>
          </cell>
          <cell r="G134" t="str">
            <v>Name 133@gmail.com</v>
          </cell>
          <cell r="H134">
            <v>25000</v>
          </cell>
          <cell r="I134">
            <v>4500</v>
          </cell>
          <cell r="J134">
            <v>1250</v>
          </cell>
          <cell r="K134">
            <v>1000</v>
          </cell>
          <cell r="L134">
            <v>2000</v>
          </cell>
          <cell r="M134">
            <v>1600</v>
          </cell>
          <cell r="N134">
            <v>27</v>
          </cell>
          <cell r="O134">
            <v>22500</v>
          </cell>
          <cell r="P134">
            <v>1</v>
          </cell>
          <cell r="Q134">
            <v>27</v>
          </cell>
          <cell r="R134">
            <v>104.16666666666667</v>
          </cell>
          <cell r="S134">
            <v>2812.5</v>
          </cell>
          <cell r="T134">
            <v>35662.5</v>
          </cell>
          <cell r="U134">
            <v>200</v>
          </cell>
          <cell r="V134">
            <v>3000</v>
          </cell>
          <cell r="W134">
            <v>0</v>
          </cell>
          <cell r="X134">
            <v>3200</v>
          </cell>
          <cell r="Y134">
            <v>32462.5</v>
          </cell>
        </row>
        <row r="135">
          <cell r="A135" t="str">
            <v>EMP134</v>
          </cell>
          <cell r="B135" t="str">
            <v>Name 134</v>
          </cell>
          <cell r="C135" t="str">
            <v>Accountant</v>
          </cell>
          <cell r="D135">
            <v>56</v>
          </cell>
          <cell r="E135">
            <v>43844</v>
          </cell>
          <cell r="F135" t="str">
            <v>Day</v>
          </cell>
          <cell r="G135" t="str">
            <v>Name 134@gmail.com</v>
          </cell>
          <cell r="H135">
            <v>50000</v>
          </cell>
          <cell r="I135">
            <v>9000</v>
          </cell>
          <cell r="J135">
            <v>2500</v>
          </cell>
          <cell r="K135">
            <v>1000</v>
          </cell>
          <cell r="L135">
            <v>2000</v>
          </cell>
          <cell r="M135">
            <v>1600</v>
          </cell>
          <cell r="N135">
            <v>27</v>
          </cell>
          <cell r="O135">
            <v>45000</v>
          </cell>
          <cell r="P135">
            <v>3</v>
          </cell>
          <cell r="Q135">
            <v>81</v>
          </cell>
          <cell r="R135">
            <v>208.33333333333334</v>
          </cell>
          <cell r="S135">
            <v>16875</v>
          </cell>
          <cell r="T135">
            <v>77975</v>
          </cell>
          <cell r="U135">
            <v>201</v>
          </cell>
          <cell r="V135">
            <v>6000</v>
          </cell>
          <cell r="W135">
            <v>0</v>
          </cell>
          <cell r="X135">
            <v>6201</v>
          </cell>
          <cell r="Y135">
            <v>71774</v>
          </cell>
        </row>
        <row r="136">
          <cell r="A136" t="str">
            <v>EMP135</v>
          </cell>
          <cell r="B136" t="str">
            <v>Name 135</v>
          </cell>
          <cell r="C136" t="str">
            <v>Accountant</v>
          </cell>
          <cell r="D136">
            <v>54</v>
          </cell>
          <cell r="E136">
            <v>43845</v>
          </cell>
          <cell r="F136" t="str">
            <v>Night</v>
          </cell>
          <cell r="G136" t="str">
            <v>Name 135@gmail.com</v>
          </cell>
          <cell r="H136">
            <v>70000</v>
          </cell>
          <cell r="I136">
            <v>12600</v>
          </cell>
          <cell r="J136">
            <v>3500</v>
          </cell>
          <cell r="K136">
            <v>1000</v>
          </cell>
          <cell r="L136">
            <v>0</v>
          </cell>
          <cell r="M136">
            <v>1600</v>
          </cell>
          <cell r="N136">
            <v>27</v>
          </cell>
          <cell r="O136">
            <v>63000.000000000007</v>
          </cell>
          <cell r="P136">
            <v>1</v>
          </cell>
          <cell r="Q136">
            <v>27</v>
          </cell>
          <cell r="R136">
            <v>291.66666666666669</v>
          </cell>
          <cell r="S136">
            <v>7875.0000000000009</v>
          </cell>
          <cell r="T136">
            <v>89575</v>
          </cell>
          <cell r="U136">
            <v>202</v>
          </cell>
          <cell r="V136">
            <v>8400</v>
          </cell>
          <cell r="W136">
            <v>0</v>
          </cell>
          <cell r="X136">
            <v>8602</v>
          </cell>
          <cell r="Y136">
            <v>80973</v>
          </cell>
        </row>
        <row r="137">
          <cell r="A137" t="str">
            <v>EMP136</v>
          </cell>
          <cell r="B137" t="str">
            <v>Name 136</v>
          </cell>
          <cell r="C137" t="str">
            <v>Accountant</v>
          </cell>
          <cell r="D137">
            <v>34</v>
          </cell>
          <cell r="E137">
            <v>43846</v>
          </cell>
          <cell r="F137" t="str">
            <v>Night</v>
          </cell>
          <cell r="G137" t="str">
            <v>Name 136@gmail.com</v>
          </cell>
          <cell r="H137">
            <v>34000</v>
          </cell>
          <cell r="I137">
            <v>6120</v>
          </cell>
          <cell r="J137">
            <v>1700</v>
          </cell>
          <cell r="K137">
            <v>1000</v>
          </cell>
          <cell r="L137">
            <v>2000</v>
          </cell>
          <cell r="M137">
            <v>1600</v>
          </cell>
          <cell r="N137">
            <v>30</v>
          </cell>
          <cell r="O137">
            <v>34000</v>
          </cell>
          <cell r="P137">
            <v>2</v>
          </cell>
          <cell r="Q137">
            <v>60</v>
          </cell>
          <cell r="R137">
            <v>141.66666666666666</v>
          </cell>
          <cell r="S137">
            <v>8500</v>
          </cell>
          <cell r="T137">
            <v>54920</v>
          </cell>
          <cell r="U137">
            <v>203</v>
          </cell>
          <cell r="V137">
            <v>4080</v>
          </cell>
          <cell r="W137">
            <v>0</v>
          </cell>
          <cell r="X137">
            <v>4283</v>
          </cell>
          <cell r="Y137">
            <v>50637</v>
          </cell>
        </row>
        <row r="138">
          <cell r="A138" t="str">
            <v>EMP137</v>
          </cell>
          <cell r="B138" t="str">
            <v>Name 137</v>
          </cell>
          <cell r="C138" t="str">
            <v>Accountant</v>
          </cell>
          <cell r="D138">
            <v>23</v>
          </cell>
          <cell r="E138">
            <v>43847</v>
          </cell>
          <cell r="F138" t="str">
            <v>Night</v>
          </cell>
          <cell r="G138" t="str">
            <v>Name 137@gmail.com</v>
          </cell>
          <cell r="H138">
            <v>45000</v>
          </cell>
          <cell r="I138">
            <v>8100</v>
          </cell>
          <cell r="J138">
            <v>2250</v>
          </cell>
          <cell r="K138">
            <v>1000</v>
          </cell>
          <cell r="L138">
            <v>5000</v>
          </cell>
          <cell r="M138">
            <v>1600</v>
          </cell>
          <cell r="N138">
            <v>30</v>
          </cell>
          <cell r="O138">
            <v>45000</v>
          </cell>
          <cell r="P138">
            <v>0</v>
          </cell>
          <cell r="Q138">
            <v>0</v>
          </cell>
          <cell r="R138">
            <v>187.5</v>
          </cell>
          <cell r="S138">
            <v>0</v>
          </cell>
          <cell r="T138">
            <v>62950</v>
          </cell>
          <cell r="U138">
            <v>204</v>
          </cell>
          <cell r="V138">
            <v>5400</v>
          </cell>
          <cell r="W138">
            <v>4000</v>
          </cell>
          <cell r="X138">
            <v>9604</v>
          </cell>
          <cell r="Y138">
            <v>53346</v>
          </cell>
        </row>
        <row r="139">
          <cell r="A139" t="str">
            <v>EMP138</v>
          </cell>
          <cell r="B139" t="str">
            <v>Name 138</v>
          </cell>
          <cell r="C139" t="str">
            <v>Accountant</v>
          </cell>
          <cell r="D139">
            <v>34</v>
          </cell>
          <cell r="E139">
            <v>43848</v>
          </cell>
          <cell r="F139" t="str">
            <v>Night</v>
          </cell>
          <cell r="G139" t="str">
            <v>Name 138@gmail.com</v>
          </cell>
          <cell r="H139">
            <v>55000</v>
          </cell>
          <cell r="I139">
            <v>9900</v>
          </cell>
          <cell r="J139">
            <v>2750</v>
          </cell>
          <cell r="K139">
            <v>1000</v>
          </cell>
          <cell r="L139">
            <v>0</v>
          </cell>
          <cell r="M139">
            <v>1600</v>
          </cell>
          <cell r="N139">
            <v>30</v>
          </cell>
          <cell r="O139">
            <v>55000</v>
          </cell>
          <cell r="P139">
            <v>1</v>
          </cell>
          <cell r="Q139">
            <v>30</v>
          </cell>
          <cell r="R139">
            <v>229.16666666666666</v>
          </cell>
          <cell r="S139">
            <v>6875</v>
          </cell>
          <cell r="T139">
            <v>77125</v>
          </cell>
          <cell r="U139">
            <v>205</v>
          </cell>
          <cell r="V139">
            <v>6600</v>
          </cell>
          <cell r="W139">
            <v>0</v>
          </cell>
          <cell r="X139">
            <v>6805</v>
          </cell>
          <cell r="Y139">
            <v>70320</v>
          </cell>
        </row>
        <row r="140">
          <cell r="A140" t="str">
            <v>EMP139</v>
          </cell>
          <cell r="B140" t="str">
            <v>Name 139</v>
          </cell>
          <cell r="C140" t="str">
            <v>Manager</v>
          </cell>
          <cell r="D140">
            <v>43</v>
          </cell>
          <cell r="E140">
            <v>43849</v>
          </cell>
          <cell r="F140" t="str">
            <v>Day</v>
          </cell>
          <cell r="G140" t="str">
            <v>Name 139@gmail.com</v>
          </cell>
          <cell r="H140">
            <v>43000</v>
          </cell>
          <cell r="I140">
            <v>7740</v>
          </cell>
          <cell r="J140">
            <v>2150</v>
          </cell>
          <cell r="K140">
            <v>1000</v>
          </cell>
          <cell r="L140">
            <v>0</v>
          </cell>
          <cell r="M140">
            <v>1600</v>
          </cell>
          <cell r="N140">
            <v>27</v>
          </cell>
          <cell r="O140">
            <v>38700</v>
          </cell>
          <cell r="P140">
            <v>1</v>
          </cell>
          <cell r="Q140">
            <v>27</v>
          </cell>
          <cell r="R140">
            <v>179.16666666666666</v>
          </cell>
          <cell r="S140">
            <v>4837.5</v>
          </cell>
          <cell r="T140">
            <v>56027.5</v>
          </cell>
          <cell r="U140">
            <v>200</v>
          </cell>
          <cell r="V140">
            <v>5160</v>
          </cell>
          <cell r="W140">
            <v>0</v>
          </cell>
          <cell r="X140">
            <v>5360</v>
          </cell>
          <cell r="Y140">
            <v>50667.5</v>
          </cell>
        </row>
        <row r="141">
          <cell r="A141" t="str">
            <v>EMP140</v>
          </cell>
          <cell r="B141" t="str">
            <v>Name 140</v>
          </cell>
          <cell r="C141" t="str">
            <v>Clerk</v>
          </cell>
          <cell r="D141">
            <v>34</v>
          </cell>
          <cell r="E141">
            <v>43850</v>
          </cell>
          <cell r="F141" t="str">
            <v>Day</v>
          </cell>
          <cell r="G141" t="str">
            <v>Name 140@gmail.com</v>
          </cell>
          <cell r="H141">
            <v>25000</v>
          </cell>
          <cell r="I141">
            <v>4500</v>
          </cell>
          <cell r="J141">
            <v>1250</v>
          </cell>
          <cell r="K141">
            <v>1000</v>
          </cell>
          <cell r="L141">
            <v>0</v>
          </cell>
          <cell r="M141">
            <v>1600</v>
          </cell>
          <cell r="N141">
            <v>30</v>
          </cell>
          <cell r="O141">
            <v>25000</v>
          </cell>
          <cell r="P141">
            <v>0</v>
          </cell>
          <cell r="Q141">
            <v>0</v>
          </cell>
          <cell r="R141">
            <v>104.16666666666667</v>
          </cell>
          <cell r="S141">
            <v>0</v>
          </cell>
          <cell r="T141">
            <v>33350</v>
          </cell>
          <cell r="U141">
            <v>200</v>
          </cell>
          <cell r="V141">
            <v>3000</v>
          </cell>
          <cell r="W141">
            <v>0</v>
          </cell>
          <cell r="X141">
            <v>3200</v>
          </cell>
          <cell r="Y141">
            <v>30150</v>
          </cell>
        </row>
        <row r="142">
          <cell r="A142" t="str">
            <v>EMP141</v>
          </cell>
          <cell r="B142" t="str">
            <v>Name 141</v>
          </cell>
          <cell r="C142" t="str">
            <v>Accountant</v>
          </cell>
          <cell r="D142">
            <v>43</v>
          </cell>
          <cell r="E142">
            <v>43851</v>
          </cell>
          <cell r="F142" t="str">
            <v>Day</v>
          </cell>
          <cell r="G142" t="str">
            <v>Name 141@gmail.com</v>
          </cell>
          <cell r="H142">
            <v>28000</v>
          </cell>
          <cell r="I142">
            <v>5040</v>
          </cell>
          <cell r="J142">
            <v>1400</v>
          </cell>
          <cell r="K142">
            <v>1000</v>
          </cell>
          <cell r="L142">
            <v>0</v>
          </cell>
          <cell r="M142">
            <v>1600</v>
          </cell>
          <cell r="N142">
            <v>20</v>
          </cell>
          <cell r="O142">
            <v>18666.666666666668</v>
          </cell>
          <cell r="P142">
            <v>0</v>
          </cell>
          <cell r="Q142">
            <v>0</v>
          </cell>
          <cell r="R142">
            <v>116.66666666666667</v>
          </cell>
          <cell r="S142">
            <v>0</v>
          </cell>
          <cell r="T142">
            <v>27706.666666666668</v>
          </cell>
          <cell r="U142">
            <v>200</v>
          </cell>
          <cell r="V142">
            <v>3360</v>
          </cell>
          <cell r="W142">
            <v>0</v>
          </cell>
          <cell r="X142">
            <v>3560</v>
          </cell>
          <cell r="Y142">
            <v>24146.666666666668</v>
          </cell>
        </row>
        <row r="143">
          <cell r="A143" t="str">
            <v>EMP142</v>
          </cell>
          <cell r="B143" t="str">
            <v>Name 142</v>
          </cell>
          <cell r="C143" t="str">
            <v>Manager</v>
          </cell>
          <cell r="D143">
            <v>23</v>
          </cell>
          <cell r="E143">
            <v>43852</v>
          </cell>
          <cell r="F143" t="str">
            <v>Day</v>
          </cell>
          <cell r="G143" t="str">
            <v>Name 142@gmail.com</v>
          </cell>
          <cell r="H143">
            <v>40000</v>
          </cell>
          <cell r="I143">
            <v>7200</v>
          </cell>
          <cell r="J143">
            <v>2000</v>
          </cell>
          <cell r="K143">
            <v>1000</v>
          </cell>
          <cell r="L143">
            <v>0</v>
          </cell>
          <cell r="M143">
            <v>1600</v>
          </cell>
          <cell r="N143">
            <v>28</v>
          </cell>
          <cell r="O143">
            <v>37333.333333333328</v>
          </cell>
          <cell r="P143">
            <v>2</v>
          </cell>
          <cell r="Q143">
            <v>56</v>
          </cell>
          <cell r="R143">
            <v>166.66666666666666</v>
          </cell>
          <cell r="S143">
            <v>9333.3333333333321</v>
          </cell>
          <cell r="T143">
            <v>58466.666666666657</v>
          </cell>
          <cell r="U143">
            <v>200</v>
          </cell>
          <cell r="V143">
            <v>4800</v>
          </cell>
          <cell r="W143">
            <v>0</v>
          </cell>
          <cell r="X143">
            <v>5000</v>
          </cell>
          <cell r="Y143">
            <v>53466.666666666657</v>
          </cell>
        </row>
        <row r="144">
          <cell r="A144" t="str">
            <v>EMP143</v>
          </cell>
          <cell r="B144" t="str">
            <v>Name 143</v>
          </cell>
          <cell r="C144" t="str">
            <v>Manager</v>
          </cell>
          <cell r="D144">
            <v>34</v>
          </cell>
          <cell r="E144">
            <v>43853</v>
          </cell>
          <cell r="F144" t="str">
            <v>Day</v>
          </cell>
          <cell r="G144" t="str">
            <v>Name 143@gmail.com</v>
          </cell>
          <cell r="H144">
            <v>32000</v>
          </cell>
          <cell r="I144">
            <v>5760</v>
          </cell>
          <cell r="J144">
            <v>1600</v>
          </cell>
          <cell r="K144">
            <v>1000</v>
          </cell>
          <cell r="L144">
            <v>0</v>
          </cell>
          <cell r="M144">
            <v>1600</v>
          </cell>
          <cell r="N144">
            <v>30</v>
          </cell>
          <cell r="O144">
            <v>32000.000000000004</v>
          </cell>
          <cell r="P144">
            <v>1</v>
          </cell>
          <cell r="Q144">
            <v>30</v>
          </cell>
          <cell r="R144">
            <v>133.33333333333334</v>
          </cell>
          <cell r="S144">
            <v>4000.0000000000005</v>
          </cell>
          <cell r="T144">
            <v>45960</v>
          </cell>
          <cell r="U144">
            <v>200</v>
          </cell>
          <cell r="V144">
            <v>3840</v>
          </cell>
          <cell r="W144">
            <v>5000</v>
          </cell>
          <cell r="X144">
            <v>9040</v>
          </cell>
          <cell r="Y144">
            <v>36920</v>
          </cell>
        </row>
        <row r="145">
          <cell r="A145" t="str">
            <v>EMP144</v>
          </cell>
          <cell r="B145" t="str">
            <v>Name 144</v>
          </cell>
          <cell r="C145" t="str">
            <v>Clerk</v>
          </cell>
          <cell r="D145">
            <v>23</v>
          </cell>
          <cell r="E145">
            <v>43854</v>
          </cell>
          <cell r="F145" t="str">
            <v>Day</v>
          </cell>
          <cell r="G145" t="str">
            <v>Name 144@gmail.com</v>
          </cell>
          <cell r="H145">
            <v>28000</v>
          </cell>
          <cell r="I145">
            <v>5040</v>
          </cell>
          <cell r="J145">
            <v>1400</v>
          </cell>
          <cell r="K145">
            <v>1000</v>
          </cell>
          <cell r="L145">
            <v>0</v>
          </cell>
          <cell r="M145">
            <v>1600</v>
          </cell>
          <cell r="N145">
            <v>29</v>
          </cell>
          <cell r="O145">
            <v>27066.666666666668</v>
          </cell>
          <cell r="P145">
            <v>1</v>
          </cell>
          <cell r="Q145">
            <v>29</v>
          </cell>
          <cell r="R145">
            <v>116.66666666666667</v>
          </cell>
          <cell r="S145">
            <v>3383.3333333333335</v>
          </cell>
          <cell r="T145">
            <v>39490.000000000007</v>
          </cell>
          <cell r="U145">
            <v>200</v>
          </cell>
          <cell r="V145">
            <v>3360</v>
          </cell>
          <cell r="W145">
            <v>0</v>
          </cell>
          <cell r="X145">
            <v>3560</v>
          </cell>
          <cell r="Y145">
            <v>35930.000000000007</v>
          </cell>
        </row>
        <row r="146">
          <cell r="A146" t="str">
            <v>EMP145</v>
          </cell>
          <cell r="B146" t="str">
            <v>Name 145</v>
          </cell>
          <cell r="C146" t="str">
            <v>Accountant</v>
          </cell>
          <cell r="D146">
            <v>34</v>
          </cell>
          <cell r="E146">
            <v>43831</v>
          </cell>
          <cell r="F146" t="str">
            <v>Night</v>
          </cell>
          <cell r="G146" t="str">
            <v>Name 145@gmail.com</v>
          </cell>
          <cell r="H146">
            <v>44000</v>
          </cell>
          <cell r="I146">
            <v>7920</v>
          </cell>
          <cell r="J146">
            <v>2200</v>
          </cell>
          <cell r="K146">
            <v>1000</v>
          </cell>
          <cell r="L146">
            <v>0</v>
          </cell>
          <cell r="M146">
            <v>1600</v>
          </cell>
          <cell r="N146">
            <v>28</v>
          </cell>
          <cell r="O146">
            <v>41066.666666666672</v>
          </cell>
          <cell r="P146">
            <v>1</v>
          </cell>
          <cell r="Q146">
            <v>28</v>
          </cell>
          <cell r="R146">
            <v>183.33333333333334</v>
          </cell>
          <cell r="S146">
            <v>5133.3333333333339</v>
          </cell>
          <cell r="T146">
            <v>58920.000000000007</v>
          </cell>
          <cell r="U146">
            <v>200</v>
          </cell>
          <cell r="V146">
            <v>5280</v>
          </cell>
          <cell r="W146">
            <v>0</v>
          </cell>
          <cell r="X146">
            <v>5480</v>
          </cell>
          <cell r="Y146">
            <v>53440.000000000007</v>
          </cell>
        </row>
        <row r="147">
          <cell r="A147" t="str">
            <v>EMP146</v>
          </cell>
          <cell r="B147" t="str">
            <v>Name 146</v>
          </cell>
          <cell r="C147" t="str">
            <v>Manager</v>
          </cell>
          <cell r="D147">
            <v>23</v>
          </cell>
          <cell r="E147">
            <v>43832</v>
          </cell>
          <cell r="F147" t="str">
            <v>Day</v>
          </cell>
          <cell r="G147" t="str">
            <v>Name 146@gmail.com</v>
          </cell>
          <cell r="H147">
            <v>25000</v>
          </cell>
          <cell r="I147">
            <v>4500</v>
          </cell>
          <cell r="J147">
            <v>1250</v>
          </cell>
          <cell r="K147">
            <v>1000</v>
          </cell>
          <cell r="L147">
            <v>0</v>
          </cell>
          <cell r="M147">
            <v>1600</v>
          </cell>
          <cell r="N147">
            <v>27</v>
          </cell>
          <cell r="O147">
            <v>22500</v>
          </cell>
          <cell r="P147">
            <v>1</v>
          </cell>
          <cell r="Q147">
            <v>27</v>
          </cell>
          <cell r="R147">
            <v>104.16666666666667</v>
          </cell>
          <cell r="S147">
            <v>2812.5</v>
          </cell>
          <cell r="T147">
            <v>33662.5</v>
          </cell>
          <cell r="U147">
            <v>200</v>
          </cell>
          <cell r="V147">
            <v>3000</v>
          </cell>
          <cell r="W147">
            <v>0</v>
          </cell>
          <cell r="X147">
            <v>3200</v>
          </cell>
          <cell r="Y147">
            <v>30462.5</v>
          </cell>
        </row>
        <row r="148">
          <cell r="A148" t="str">
            <v>EMP147</v>
          </cell>
          <cell r="B148" t="str">
            <v>Name 147</v>
          </cell>
          <cell r="C148" t="str">
            <v>Accountant</v>
          </cell>
          <cell r="D148">
            <v>34</v>
          </cell>
          <cell r="E148">
            <v>43833</v>
          </cell>
          <cell r="F148" t="str">
            <v>Day</v>
          </cell>
          <cell r="G148" t="str">
            <v>Name 147@gmail.com</v>
          </cell>
          <cell r="H148">
            <v>50000</v>
          </cell>
          <cell r="I148">
            <v>9000</v>
          </cell>
          <cell r="J148">
            <v>2500</v>
          </cell>
          <cell r="K148">
            <v>1000</v>
          </cell>
          <cell r="L148">
            <v>0</v>
          </cell>
          <cell r="M148">
            <v>1600</v>
          </cell>
          <cell r="N148">
            <v>27</v>
          </cell>
          <cell r="O148">
            <v>45000</v>
          </cell>
          <cell r="P148">
            <v>3</v>
          </cell>
          <cell r="Q148">
            <v>81</v>
          </cell>
          <cell r="R148">
            <v>208.33333333333334</v>
          </cell>
          <cell r="S148">
            <v>16875</v>
          </cell>
          <cell r="T148">
            <v>75975</v>
          </cell>
          <cell r="U148">
            <v>201</v>
          </cell>
          <cell r="V148">
            <v>6000</v>
          </cell>
          <cell r="W148">
            <v>0</v>
          </cell>
          <cell r="X148">
            <v>6201</v>
          </cell>
          <cell r="Y148">
            <v>69774</v>
          </cell>
        </row>
        <row r="149">
          <cell r="A149" t="str">
            <v>EMP148</v>
          </cell>
          <cell r="B149" t="str">
            <v>Name 148</v>
          </cell>
          <cell r="C149" t="str">
            <v>Accountant</v>
          </cell>
          <cell r="D149">
            <v>45</v>
          </cell>
          <cell r="E149">
            <v>43834</v>
          </cell>
          <cell r="F149" t="str">
            <v>Night</v>
          </cell>
          <cell r="G149" t="str">
            <v>Name 148@gmail.com</v>
          </cell>
          <cell r="H149">
            <v>70000</v>
          </cell>
          <cell r="I149">
            <v>12600</v>
          </cell>
          <cell r="J149">
            <v>3500</v>
          </cell>
          <cell r="K149">
            <v>1000</v>
          </cell>
          <cell r="L149">
            <v>0</v>
          </cell>
          <cell r="M149">
            <v>1600</v>
          </cell>
          <cell r="N149">
            <v>27</v>
          </cell>
          <cell r="O149">
            <v>63000.000000000007</v>
          </cell>
          <cell r="P149">
            <v>1</v>
          </cell>
          <cell r="Q149">
            <v>27</v>
          </cell>
          <cell r="R149">
            <v>291.66666666666669</v>
          </cell>
          <cell r="S149">
            <v>7875.0000000000009</v>
          </cell>
          <cell r="T149">
            <v>89575</v>
          </cell>
          <cell r="U149">
            <v>202</v>
          </cell>
          <cell r="V149">
            <v>8400</v>
          </cell>
          <cell r="W149">
            <v>0</v>
          </cell>
          <cell r="X149">
            <v>8602</v>
          </cell>
          <cell r="Y149">
            <v>80973</v>
          </cell>
        </row>
        <row r="150">
          <cell r="A150" t="str">
            <v>EMP149</v>
          </cell>
          <cell r="B150" t="str">
            <v>Name 149</v>
          </cell>
          <cell r="C150" t="str">
            <v>Accountant</v>
          </cell>
          <cell r="D150">
            <v>54</v>
          </cell>
          <cell r="E150">
            <v>43835</v>
          </cell>
          <cell r="F150" t="str">
            <v>Night</v>
          </cell>
          <cell r="G150" t="str">
            <v>Name 149@gmail.com</v>
          </cell>
          <cell r="H150">
            <v>34000</v>
          </cell>
          <cell r="I150">
            <v>6120</v>
          </cell>
          <cell r="J150">
            <v>1700</v>
          </cell>
          <cell r="K150">
            <v>1000</v>
          </cell>
          <cell r="L150">
            <v>2000</v>
          </cell>
          <cell r="M150">
            <v>1600</v>
          </cell>
          <cell r="N150">
            <v>30</v>
          </cell>
          <cell r="O150">
            <v>34000</v>
          </cell>
          <cell r="P150">
            <v>2</v>
          </cell>
          <cell r="Q150">
            <v>60</v>
          </cell>
          <cell r="R150">
            <v>141.66666666666666</v>
          </cell>
          <cell r="S150">
            <v>8500</v>
          </cell>
          <cell r="T150">
            <v>54920</v>
          </cell>
          <cell r="U150">
            <v>203</v>
          </cell>
          <cell r="V150">
            <v>4080</v>
          </cell>
          <cell r="W150">
            <v>0</v>
          </cell>
          <cell r="X150">
            <v>4283</v>
          </cell>
          <cell r="Y150">
            <v>50637</v>
          </cell>
        </row>
        <row r="151">
          <cell r="A151" t="str">
            <v>EMP150</v>
          </cell>
          <cell r="B151" t="str">
            <v>Name 150</v>
          </cell>
          <cell r="C151" t="str">
            <v>Accountant</v>
          </cell>
          <cell r="D151">
            <v>56</v>
          </cell>
          <cell r="E151">
            <v>43836</v>
          </cell>
          <cell r="F151" t="str">
            <v>Night</v>
          </cell>
          <cell r="G151" t="str">
            <v>Name 150@gmail.com</v>
          </cell>
          <cell r="H151">
            <v>45000</v>
          </cell>
          <cell r="I151">
            <v>8100</v>
          </cell>
          <cell r="J151">
            <v>2250</v>
          </cell>
          <cell r="K151">
            <v>1000</v>
          </cell>
          <cell r="L151">
            <v>5000</v>
          </cell>
          <cell r="M151">
            <v>1600</v>
          </cell>
          <cell r="N151">
            <v>30</v>
          </cell>
          <cell r="O151">
            <v>45000</v>
          </cell>
          <cell r="P151">
            <v>0</v>
          </cell>
          <cell r="Q151">
            <v>0</v>
          </cell>
          <cell r="R151">
            <v>187.5</v>
          </cell>
          <cell r="S151">
            <v>0</v>
          </cell>
          <cell r="T151">
            <v>62950</v>
          </cell>
          <cell r="U151">
            <v>204</v>
          </cell>
          <cell r="V151">
            <v>5400</v>
          </cell>
          <cell r="W151">
            <v>4000</v>
          </cell>
          <cell r="X151">
            <v>9604</v>
          </cell>
          <cell r="Y151">
            <v>53346</v>
          </cell>
        </row>
        <row r="152">
          <cell r="A152" t="str">
            <v>EMP151</v>
          </cell>
          <cell r="B152" t="str">
            <v>Name 151</v>
          </cell>
          <cell r="C152" t="str">
            <v>Accountant</v>
          </cell>
          <cell r="D152">
            <v>54</v>
          </cell>
          <cell r="E152">
            <v>43837</v>
          </cell>
          <cell r="F152" t="str">
            <v>Night</v>
          </cell>
          <cell r="G152" t="str">
            <v>Name 151@gmail.com</v>
          </cell>
          <cell r="H152">
            <v>55000</v>
          </cell>
          <cell r="I152">
            <v>9900</v>
          </cell>
          <cell r="J152">
            <v>2750</v>
          </cell>
          <cell r="K152">
            <v>1000</v>
          </cell>
          <cell r="L152">
            <v>5000</v>
          </cell>
          <cell r="M152">
            <v>1600</v>
          </cell>
          <cell r="N152">
            <v>30</v>
          </cell>
          <cell r="O152">
            <v>55000</v>
          </cell>
          <cell r="P152">
            <v>1</v>
          </cell>
          <cell r="Q152">
            <v>30</v>
          </cell>
          <cell r="R152">
            <v>229.16666666666666</v>
          </cell>
          <cell r="S152">
            <v>6875</v>
          </cell>
          <cell r="T152">
            <v>82125</v>
          </cell>
          <cell r="U152">
            <v>205</v>
          </cell>
          <cell r="V152">
            <v>6600</v>
          </cell>
          <cell r="W152">
            <v>0</v>
          </cell>
          <cell r="X152">
            <v>6805</v>
          </cell>
          <cell r="Y152">
            <v>75320</v>
          </cell>
        </row>
        <row r="153">
          <cell r="A153" t="str">
            <v>EMP152</v>
          </cell>
          <cell r="B153" t="str">
            <v>Name 152</v>
          </cell>
          <cell r="C153" t="str">
            <v>Manager</v>
          </cell>
          <cell r="D153">
            <v>34</v>
          </cell>
          <cell r="E153">
            <v>43838</v>
          </cell>
          <cell r="F153" t="str">
            <v>Day</v>
          </cell>
          <cell r="G153" t="str">
            <v>Name 152@gmail.com</v>
          </cell>
          <cell r="H153">
            <v>43000</v>
          </cell>
          <cell r="I153">
            <v>7740</v>
          </cell>
          <cell r="J153">
            <v>2150</v>
          </cell>
          <cell r="K153">
            <v>1000</v>
          </cell>
          <cell r="L153">
            <v>5000</v>
          </cell>
          <cell r="M153">
            <v>1600</v>
          </cell>
          <cell r="N153">
            <v>27</v>
          </cell>
          <cell r="O153">
            <v>38700</v>
          </cell>
          <cell r="P153">
            <v>1</v>
          </cell>
          <cell r="Q153">
            <v>27</v>
          </cell>
          <cell r="R153">
            <v>179.16666666666666</v>
          </cell>
          <cell r="S153">
            <v>4837.5</v>
          </cell>
          <cell r="T153">
            <v>61027.5</v>
          </cell>
          <cell r="U153">
            <v>200</v>
          </cell>
          <cell r="V153">
            <v>5160</v>
          </cell>
          <cell r="W153">
            <v>0</v>
          </cell>
          <cell r="X153">
            <v>5360</v>
          </cell>
          <cell r="Y153">
            <v>55667.5</v>
          </cell>
        </row>
        <row r="154">
          <cell r="A154" t="str">
            <v>EMP153</v>
          </cell>
          <cell r="B154" t="str">
            <v>Name 153</v>
          </cell>
          <cell r="C154" t="str">
            <v>Clerk</v>
          </cell>
          <cell r="D154">
            <v>23</v>
          </cell>
          <cell r="E154">
            <v>43839</v>
          </cell>
          <cell r="F154" t="str">
            <v>Day</v>
          </cell>
          <cell r="G154" t="str">
            <v>Name 153@gmail.com</v>
          </cell>
          <cell r="H154">
            <v>25000</v>
          </cell>
          <cell r="I154">
            <v>4500</v>
          </cell>
          <cell r="J154">
            <v>1250</v>
          </cell>
          <cell r="K154">
            <v>1000</v>
          </cell>
          <cell r="L154">
            <v>5000</v>
          </cell>
          <cell r="M154">
            <v>1600</v>
          </cell>
          <cell r="N154">
            <v>30</v>
          </cell>
          <cell r="O154">
            <v>25000</v>
          </cell>
          <cell r="P154">
            <v>0</v>
          </cell>
          <cell r="Q154">
            <v>0</v>
          </cell>
          <cell r="R154">
            <v>104.16666666666667</v>
          </cell>
          <cell r="S154">
            <v>0</v>
          </cell>
          <cell r="T154">
            <v>38350</v>
          </cell>
          <cell r="U154">
            <v>200</v>
          </cell>
          <cell r="V154">
            <v>3000</v>
          </cell>
          <cell r="W154">
            <v>0</v>
          </cell>
          <cell r="X154">
            <v>3200</v>
          </cell>
          <cell r="Y154">
            <v>35150</v>
          </cell>
        </row>
        <row r="155">
          <cell r="A155" t="str">
            <v>EMP154</v>
          </cell>
          <cell r="B155" t="str">
            <v>Name 154</v>
          </cell>
          <cell r="C155" t="str">
            <v>Accountant</v>
          </cell>
          <cell r="D155">
            <v>34</v>
          </cell>
          <cell r="E155">
            <v>43840</v>
          </cell>
          <cell r="F155" t="str">
            <v>Day</v>
          </cell>
          <cell r="G155" t="str">
            <v>Name 154@gmail.com</v>
          </cell>
          <cell r="H155">
            <v>28000</v>
          </cell>
          <cell r="I155">
            <v>5040</v>
          </cell>
          <cell r="J155">
            <v>1400</v>
          </cell>
          <cell r="K155">
            <v>1000</v>
          </cell>
          <cell r="L155">
            <v>5000</v>
          </cell>
          <cell r="M155">
            <v>1600</v>
          </cell>
          <cell r="N155">
            <v>20</v>
          </cell>
          <cell r="O155">
            <v>18666.666666666668</v>
          </cell>
          <cell r="P155">
            <v>0</v>
          </cell>
          <cell r="Q155">
            <v>0</v>
          </cell>
          <cell r="R155">
            <v>116.66666666666667</v>
          </cell>
          <cell r="S155">
            <v>0</v>
          </cell>
          <cell r="T155">
            <v>32706.666666666668</v>
          </cell>
          <cell r="U155">
            <v>200</v>
          </cell>
          <cell r="V155">
            <v>3360</v>
          </cell>
          <cell r="W155">
            <v>0</v>
          </cell>
          <cell r="X155">
            <v>3560</v>
          </cell>
          <cell r="Y155">
            <v>29146.666666666668</v>
          </cell>
        </row>
        <row r="156">
          <cell r="A156" t="str">
            <v>EMP155</v>
          </cell>
          <cell r="B156" t="str">
            <v>Name 155</v>
          </cell>
          <cell r="C156" t="str">
            <v>Manager</v>
          </cell>
          <cell r="D156">
            <v>43</v>
          </cell>
          <cell r="E156">
            <v>43841</v>
          </cell>
          <cell r="F156" t="str">
            <v>Day</v>
          </cell>
          <cell r="G156" t="str">
            <v>Name 155@gmail.com</v>
          </cell>
          <cell r="H156">
            <v>40000</v>
          </cell>
          <cell r="I156">
            <v>7200</v>
          </cell>
          <cell r="J156">
            <v>2000</v>
          </cell>
          <cell r="K156">
            <v>1000</v>
          </cell>
          <cell r="L156">
            <v>5000</v>
          </cell>
          <cell r="M156">
            <v>1600</v>
          </cell>
          <cell r="N156">
            <v>28</v>
          </cell>
          <cell r="O156">
            <v>37333.333333333328</v>
          </cell>
          <cell r="P156">
            <v>2</v>
          </cell>
          <cell r="Q156">
            <v>56</v>
          </cell>
          <cell r="R156">
            <v>166.66666666666666</v>
          </cell>
          <cell r="S156">
            <v>9333.3333333333321</v>
          </cell>
          <cell r="T156">
            <v>63466.666666666657</v>
          </cell>
          <cell r="U156">
            <v>200</v>
          </cell>
          <cell r="V156">
            <v>4800</v>
          </cell>
          <cell r="W156">
            <v>0</v>
          </cell>
          <cell r="X156">
            <v>5000</v>
          </cell>
          <cell r="Y156">
            <v>58466.666666666657</v>
          </cell>
        </row>
        <row r="157">
          <cell r="A157" t="str">
            <v>EMP156</v>
          </cell>
          <cell r="B157" t="str">
            <v>Name 156</v>
          </cell>
          <cell r="C157" t="str">
            <v>Manager</v>
          </cell>
          <cell r="D157">
            <v>34</v>
          </cell>
          <cell r="E157">
            <v>43842</v>
          </cell>
          <cell r="F157" t="str">
            <v>Day</v>
          </cell>
          <cell r="G157" t="str">
            <v>Name 156@gmail.com</v>
          </cell>
          <cell r="H157">
            <v>32000</v>
          </cell>
          <cell r="I157">
            <v>5760</v>
          </cell>
          <cell r="J157">
            <v>1600</v>
          </cell>
          <cell r="K157">
            <v>1000</v>
          </cell>
          <cell r="L157">
            <v>5000</v>
          </cell>
          <cell r="M157">
            <v>1600</v>
          </cell>
          <cell r="N157">
            <v>30</v>
          </cell>
          <cell r="O157">
            <v>32000.000000000004</v>
          </cell>
          <cell r="P157">
            <v>1</v>
          </cell>
          <cell r="Q157">
            <v>30</v>
          </cell>
          <cell r="R157">
            <v>133.33333333333334</v>
          </cell>
          <cell r="S157">
            <v>4000.0000000000005</v>
          </cell>
          <cell r="T157">
            <v>50960</v>
          </cell>
          <cell r="U157">
            <v>200</v>
          </cell>
          <cell r="V157">
            <v>3840</v>
          </cell>
          <cell r="W157">
            <v>5000</v>
          </cell>
          <cell r="X157">
            <v>9040</v>
          </cell>
          <cell r="Y157">
            <v>41920</v>
          </cell>
        </row>
        <row r="158">
          <cell r="A158" t="str">
            <v>EMP157</v>
          </cell>
          <cell r="B158" t="str">
            <v>Name 157</v>
          </cell>
          <cell r="C158" t="str">
            <v>Clerk</v>
          </cell>
          <cell r="D158">
            <v>43</v>
          </cell>
          <cell r="E158">
            <v>43843</v>
          </cell>
          <cell r="F158" t="str">
            <v>Day</v>
          </cell>
          <cell r="G158" t="str">
            <v>Name 157@gmail.com</v>
          </cell>
          <cell r="H158">
            <v>28000</v>
          </cell>
          <cell r="I158">
            <v>5040</v>
          </cell>
          <cell r="J158">
            <v>1400</v>
          </cell>
          <cell r="K158">
            <v>1000</v>
          </cell>
          <cell r="L158">
            <v>5000</v>
          </cell>
          <cell r="M158">
            <v>1600</v>
          </cell>
          <cell r="N158">
            <v>29</v>
          </cell>
          <cell r="O158">
            <v>27066.666666666668</v>
          </cell>
          <cell r="P158">
            <v>1</v>
          </cell>
          <cell r="Q158">
            <v>29</v>
          </cell>
          <cell r="R158">
            <v>116.66666666666667</v>
          </cell>
          <cell r="S158">
            <v>3383.3333333333335</v>
          </cell>
          <cell r="T158">
            <v>44490.000000000007</v>
          </cell>
          <cell r="U158">
            <v>200</v>
          </cell>
          <cell r="V158">
            <v>3360</v>
          </cell>
          <cell r="W158">
            <v>0</v>
          </cell>
          <cell r="X158">
            <v>3560</v>
          </cell>
          <cell r="Y158">
            <v>40930.000000000007</v>
          </cell>
        </row>
        <row r="159">
          <cell r="A159" t="str">
            <v>EMP158</v>
          </cell>
          <cell r="B159" t="str">
            <v>Name 158</v>
          </cell>
          <cell r="C159" t="str">
            <v>Accountant</v>
          </cell>
          <cell r="D159">
            <v>23</v>
          </cell>
          <cell r="E159">
            <v>43844</v>
          </cell>
          <cell r="F159" t="str">
            <v>Night</v>
          </cell>
          <cell r="G159" t="str">
            <v>Name 158@gmail.com</v>
          </cell>
          <cell r="H159">
            <v>44000</v>
          </cell>
          <cell r="I159">
            <v>7920</v>
          </cell>
          <cell r="J159">
            <v>2200</v>
          </cell>
          <cell r="K159">
            <v>1000</v>
          </cell>
          <cell r="L159">
            <v>5000</v>
          </cell>
          <cell r="M159">
            <v>1600</v>
          </cell>
          <cell r="N159">
            <v>28</v>
          </cell>
          <cell r="O159">
            <v>41066.666666666672</v>
          </cell>
          <cell r="P159">
            <v>1</v>
          </cell>
          <cell r="Q159">
            <v>28</v>
          </cell>
          <cell r="R159">
            <v>183.33333333333334</v>
          </cell>
          <cell r="S159">
            <v>5133.3333333333339</v>
          </cell>
          <cell r="T159">
            <v>63920.000000000007</v>
          </cell>
          <cell r="U159">
            <v>200</v>
          </cell>
          <cell r="V159">
            <v>5280</v>
          </cell>
          <cell r="W159">
            <v>0</v>
          </cell>
          <cell r="X159">
            <v>5480</v>
          </cell>
          <cell r="Y159">
            <v>58440.000000000007</v>
          </cell>
        </row>
        <row r="160">
          <cell r="A160" t="str">
            <v>EMP159</v>
          </cell>
          <cell r="B160" t="str">
            <v>Name 159</v>
          </cell>
          <cell r="C160" t="str">
            <v>Manager</v>
          </cell>
          <cell r="D160">
            <v>34</v>
          </cell>
          <cell r="E160">
            <v>43845</v>
          </cell>
          <cell r="F160" t="str">
            <v>Day</v>
          </cell>
          <cell r="G160" t="str">
            <v>Name 159@gmail.com</v>
          </cell>
          <cell r="H160">
            <v>25000</v>
          </cell>
          <cell r="I160">
            <v>4500</v>
          </cell>
          <cell r="J160">
            <v>1250</v>
          </cell>
          <cell r="K160">
            <v>1000</v>
          </cell>
          <cell r="L160">
            <v>5000</v>
          </cell>
          <cell r="M160">
            <v>1600</v>
          </cell>
          <cell r="N160">
            <v>27</v>
          </cell>
          <cell r="O160">
            <v>22500</v>
          </cell>
          <cell r="P160">
            <v>1</v>
          </cell>
          <cell r="Q160">
            <v>27</v>
          </cell>
          <cell r="R160">
            <v>104.16666666666667</v>
          </cell>
          <cell r="S160">
            <v>2812.5</v>
          </cell>
          <cell r="T160">
            <v>38662.5</v>
          </cell>
          <cell r="U160">
            <v>200</v>
          </cell>
          <cell r="V160">
            <v>3000</v>
          </cell>
          <cell r="W160">
            <v>0</v>
          </cell>
          <cell r="X160">
            <v>3200</v>
          </cell>
          <cell r="Y160">
            <v>35462.5</v>
          </cell>
        </row>
        <row r="161">
          <cell r="A161" t="str">
            <v>EMP160</v>
          </cell>
          <cell r="B161" t="str">
            <v>Name 160</v>
          </cell>
          <cell r="C161" t="str">
            <v>Accountant</v>
          </cell>
          <cell r="D161">
            <v>23</v>
          </cell>
          <cell r="E161">
            <v>43846</v>
          </cell>
          <cell r="F161" t="str">
            <v>Day</v>
          </cell>
          <cell r="G161" t="str">
            <v>Name 160@gmail.com</v>
          </cell>
          <cell r="H161">
            <v>50000</v>
          </cell>
          <cell r="I161">
            <v>9000</v>
          </cell>
          <cell r="J161">
            <v>2500</v>
          </cell>
          <cell r="K161">
            <v>1000</v>
          </cell>
          <cell r="L161">
            <v>0</v>
          </cell>
          <cell r="M161">
            <v>1600</v>
          </cell>
          <cell r="N161">
            <v>27</v>
          </cell>
          <cell r="O161">
            <v>45000</v>
          </cell>
          <cell r="P161">
            <v>3</v>
          </cell>
          <cell r="Q161">
            <v>81</v>
          </cell>
          <cell r="R161">
            <v>208.33333333333334</v>
          </cell>
          <cell r="S161">
            <v>16875</v>
          </cell>
          <cell r="T161">
            <v>75975</v>
          </cell>
          <cell r="U161">
            <v>201</v>
          </cell>
          <cell r="V161">
            <v>6000</v>
          </cell>
          <cell r="W161">
            <v>0</v>
          </cell>
          <cell r="X161">
            <v>6201</v>
          </cell>
          <cell r="Y161">
            <v>69774</v>
          </cell>
        </row>
        <row r="162">
          <cell r="A162" t="str">
            <v>EMP161</v>
          </cell>
          <cell r="B162" t="str">
            <v>Name 161</v>
          </cell>
          <cell r="C162" t="str">
            <v>Accountant</v>
          </cell>
          <cell r="D162">
            <v>34</v>
          </cell>
          <cell r="E162">
            <v>43847</v>
          </cell>
          <cell r="F162" t="str">
            <v>Night</v>
          </cell>
          <cell r="G162" t="str">
            <v>Name 161@gmail.com</v>
          </cell>
          <cell r="H162">
            <v>70000</v>
          </cell>
          <cell r="I162">
            <v>12600</v>
          </cell>
          <cell r="J162">
            <v>3500</v>
          </cell>
          <cell r="K162">
            <v>1000</v>
          </cell>
          <cell r="L162">
            <v>0</v>
          </cell>
          <cell r="M162">
            <v>1600</v>
          </cell>
          <cell r="N162">
            <v>27</v>
          </cell>
          <cell r="O162">
            <v>63000.000000000007</v>
          </cell>
          <cell r="P162">
            <v>1</v>
          </cell>
          <cell r="Q162">
            <v>27</v>
          </cell>
          <cell r="R162">
            <v>291.66666666666669</v>
          </cell>
          <cell r="S162">
            <v>7875.0000000000009</v>
          </cell>
          <cell r="T162">
            <v>89575</v>
          </cell>
          <cell r="U162">
            <v>202</v>
          </cell>
          <cell r="V162">
            <v>8400</v>
          </cell>
          <cell r="W162">
            <v>0</v>
          </cell>
          <cell r="X162">
            <v>8602</v>
          </cell>
          <cell r="Y162">
            <v>80973</v>
          </cell>
        </row>
        <row r="163">
          <cell r="A163" t="str">
            <v>EMP162</v>
          </cell>
          <cell r="B163" t="str">
            <v>Name 162</v>
          </cell>
          <cell r="C163" t="str">
            <v>Accountant</v>
          </cell>
          <cell r="D163">
            <v>23</v>
          </cell>
          <cell r="E163">
            <v>43848</v>
          </cell>
          <cell r="F163" t="str">
            <v>Night</v>
          </cell>
          <cell r="G163" t="str">
            <v>Name 162@gmail.com</v>
          </cell>
          <cell r="H163">
            <v>34000</v>
          </cell>
          <cell r="I163">
            <v>6120</v>
          </cell>
          <cell r="J163">
            <v>1700</v>
          </cell>
          <cell r="K163">
            <v>1000</v>
          </cell>
          <cell r="L163">
            <v>2000</v>
          </cell>
          <cell r="M163">
            <v>1600</v>
          </cell>
          <cell r="N163">
            <v>30</v>
          </cell>
          <cell r="O163">
            <v>34000</v>
          </cell>
          <cell r="P163">
            <v>2</v>
          </cell>
          <cell r="Q163">
            <v>60</v>
          </cell>
          <cell r="R163">
            <v>141.66666666666666</v>
          </cell>
          <cell r="S163">
            <v>8500</v>
          </cell>
          <cell r="T163">
            <v>54920</v>
          </cell>
          <cell r="U163">
            <v>203</v>
          </cell>
          <cell r="V163">
            <v>4080</v>
          </cell>
          <cell r="W163">
            <v>0</v>
          </cell>
          <cell r="X163">
            <v>4283</v>
          </cell>
          <cell r="Y163">
            <v>50637</v>
          </cell>
        </row>
        <row r="164">
          <cell r="A164" t="str">
            <v>EMP163</v>
          </cell>
          <cell r="B164" t="str">
            <v>Name 163</v>
          </cell>
          <cell r="C164" t="str">
            <v>Accountant</v>
          </cell>
          <cell r="D164">
            <v>34</v>
          </cell>
          <cell r="E164">
            <v>43849</v>
          </cell>
          <cell r="F164" t="str">
            <v>Night</v>
          </cell>
          <cell r="G164" t="str">
            <v>Name 163@gmail.com</v>
          </cell>
          <cell r="H164">
            <v>45000</v>
          </cell>
          <cell r="I164">
            <v>8100</v>
          </cell>
          <cell r="J164">
            <v>2250</v>
          </cell>
          <cell r="K164">
            <v>1000</v>
          </cell>
          <cell r="L164">
            <v>5000</v>
          </cell>
          <cell r="M164">
            <v>1600</v>
          </cell>
          <cell r="N164">
            <v>30</v>
          </cell>
          <cell r="O164">
            <v>45000</v>
          </cell>
          <cell r="P164">
            <v>0</v>
          </cell>
          <cell r="Q164">
            <v>0</v>
          </cell>
          <cell r="R164">
            <v>187.5</v>
          </cell>
          <cell r="S164">
            <v>0</v>
          </cell>
          <cell r="T164">
            <v>62950</v>
          </cell>
          <cell r="U164">
            <v>204</v>
          </cell>
          <cell r="V164">
            <v>5400</v>
          </cell>
          <cell r="W164">
            <v>4000</v>
          </cell>
          <cell r="X164">
            <v>9604</v>
          </cell>
          <cell r="Y164">
            <v>53346</v>
          </cell>
        </row>
        <row r="165">
          <cell r="A165" t="str">
            <v>EMP164</v>
          </cell>
          <cell r="B165" t="str">
            <v>Name 164</v>
          </cell>
          <cell r="C165" t="str">
            <v>Accountant</v>
          </cell>
          <cell r="D165">
            <v>45</v>
          </cell>
          <cell r="E165">
            <v>43850</v>
          </cell>
          <cell r="F165" t="str">
            <v>Night</v>
          </cell>
          <cell r="G165" t="str">
            <v>Name 164@gmail.com</v>
          </cell>
          <cell r="H165">
            <v>55000</v>
          </cell>
          <cell r="I165">
            <v>9900</v>
          </cell>
          <cell r="J165">
            <v>2750</v>
          </cell>
          <cell r="K165">
            <v>1000</v>
          </cell>
          <cell r="L165">
            <v>0</v>
          </cell>
          <cell r="M165">
            <v>1600</v>
          </cell>
          <cell r="N165">
            <v>30</v>
          </cell>
          <cell r="O165">
            <v>55000</v>
          </cell>
          <cell r="P165">
            <v>1</v>
          </cell>
          <cell r="Q165">
            <v>30</v>
          </cell>
          <cell r="R165">
            <v>229.16666666666666</v>
          </cell>
          <cell r="S165">
            <v>6875</v>
          </cell>
          <cell r="T165">
            <v>77125</v>
          </cell>
          <cell r="U165">
            <v>205</v>
          </cell>
          <cell r="V165">
            <v>6600</v>
          </cell>
          <cell r="W165">
            <v>0</v>
          </cell>
          <cell r="X165">
            <v>6805</v>
          </cell>
          <cell r="Y165">
            <v>70320</v>
          </cell>
        </row>
        <row r="166">
          <cell r="A166" t="str">
            <v>EMP165</v>
          </cell>
          <cell r="B166" t="str">
            <v>Name 165</v>
          </cell>
          <cell r="C166" t="str">
            <v>Manager</v>
          </cell>
          <cell r="D166">
            <v>54</v>
          </cell>
          <cell r="E166">
            <v>43851</v>
          </cell>
          <cell r="F166" t="str">
            <v>Day</v>
          </cell>
          <cell r="G166" t="str">
            <v>Name 165@gmail.com</v>
          </cell>
          <cell r="H166">
            <v>43000</v>
          </cell>
          <cell r="I166">
            <v>7740</v>
          </cell>
          <cell r="J166">
            <v>2150</v>
          </cell>
          <cell r="K166">
            <v>1000</v>
          </cell>
          <cell r="L166">
            <v>0</v>
          </cell>
          <cell r="M166">
            <v>1600</v>
          </cell>
          <cell r="N166">
            <v>27</v>
          </cell>
          <cell r="O166">
            <v>38700</v>
          </cell>
          <cell r="P166">
            <v>1</v>
          </cell>
          <cell r="Q166">
            <v>27</v>
          </cell>
          <cell r="R166">
            <v>179.16666666666666</v>
          </cell>
          <cell r="S166">
            <v>4837.5</v>
          </cell>
          <cell r="T166">
            <v>56027.5</v>
          </cell>
          <cell r="U166">
            <v>200</v>
          </cell>
          <cell r="V166">
            <v>5160</v>
          </cell>
          <cell r="W166">
            <v>0</v>
          </cell>
          <cell r="X166">
            <v>5360</v>
          </cell>
          <cell r="Y166">
            <v>50667.5</v>
          </cell>
        </row>
        <row r="167">
          <cell r="A167" t="str">
            <v>EMP166</v>
          </cell>
          <cell r="B167" t="str">
            <v>Name 166</v>
          </cell>
          <cell r="C167" t="str">
            <v>Clerk</v>
          </cell>
          <cell r="D167">
            <v>56</v>
          </cell>
          <cell r="E167">
            <v>43852</v>
          </cell>
          <cell r="F167" t="str">
            <v>Day</v>
          </cell>
          <cell r="G167" t="str">
            <v>Name 166@gmail.com</v>
          </cell>
          <cell r="H167">
            <v>25000</v>
          </cell>
          <cell r="I167">
            <v>4500</v>
          </cell>
          <cell r="J167">
            <v>1250</v>
          </cell>
          <cell r="K167">
            <v>1000</v>
          </cell>
          <cell r="L167">
            <v>0</v>
          </cell>
          <cell r="M167">
            <v>1600</v>
          </cell>
          <cell r="N167">
            <v>30</v>
          </cell>
          <cell r="O167">
            <v>25000</v>
          </cell>
          <cell r="P167">
            <v>0</v>
          </cell>
          <cell r="Q167">
            <v>0</v>
          </cell>
          <cell r="R167">
            <v>104.16666666666667</v>
          </cell>
          <cell r="S167">
            <v>0</v>
          </cell>
          <cell r="T167">
            <v>33350</v>
          </cell>
          <cell r="U167">
            <v>200</v>
          </cell>
          <cell r="V167">
            <v>3000</v>
          </cell>
          <cell r="W167">
            <v>0</v>
          </cell>
          <cell r="X167">
            <v>3200</v>
          </cell>
          <cell r="Y167">
            <v>30150</v>
          </cell>
        </row>
        <row r="168">
          <cell r="A168" t="str">
            <v>EMP167</v>
          </cell>
          <cell r="B168" t="str">
            <v>Name 167</v>
          </cell>
          <cell r="C168" t="str">
            <v>Accountant</v>
          </cell>
          <cell r="D168">
            <v>54</v>
          </cell>
          <cell r="E168">
            <v>43853</v>
          </cell>
          <cell r="F168" t="str">
            <v>Day</v>
          </cell>
          <cell r="G168" t="str">
            <v>Name 167@gmail.com</v>
          </cell>
          <cell r="H168">
            <v>28000</v>
          </cell>
          <cell r="I168">
            <v>5040</v>
          </cell>
          <cell r="J168">
            <v>1400</v>
          </cell>
          <cell r="K168">
            <v>1000</v>
          </cell>
          <cell r="L168">
            <v>0</v>
          </cell>
          <cell r="M168">
            <v>1600</v>
          </cell>
          <cell r="N168">
            <v>20</v>
          </cell>
          <cell r="O168">
            <v>18666.666666666668</v>
          </cell>
          <cell r="P168">
            <v>0</v>
          </cell>
          <cell r="Q168">
            <v>0</v>
          </cell>
          <cell r="R168">
            <v>116.66666666666667</v>
          </cell>
          <cell r="S168">
            <v>0</v>
          </cell>
          <cell r="T168">
            <v>27706.666666666668</v>
          </cell>
          <cell r="U168">
            <v>200</v>
          </cell>
          <cell r="V168">
            <v>3360</v>
          </cell>
          <cell r="W168">
            <v>0</v>
          </cell>
          <cell r="X168">
            <v>3560</v>
          </cell>
          <cell r="Y168">
            <v>24146.666666666668</v>
          </cell>
        </row>
        <row r="169">
          <cell r="A169" t="str">
            <v>EMP168</v>
          </cell>
          <cell r="B169" t="str">
            <v>Name 168</v>
          </cell>
          <cell r="C169" t="str">
            <v>Manager</v>
          </cell>
          <cell r="D169">
            <v>34</v>
          </cell>
          <cell r="E169">
            <v>43854</v>
          </cell>
          <cell r="F169" t="str">
            <v>Day</v>
          </cell>
          <cell r="G169" t="str">
            <v>Name 168@gmail.com</v>
          </cell>
          <cell r="H169">
            <v>40000</v>
          </cell>
          <cell r="I169">
            <v>7200</v>
          </cell>
          <cell r="J169">
            <v>2000</v>
          </cell>
          <cell r="K169">
            <v>1000</v>
          </cell>
          <cell r="L169">
            <v>0</v>
          </cell>
          <cell r="M169">
            <v>1600</v>
          </cell>
          <cell r="N169">
            <v>28</v>
          </cell>
          <cell r="O169">
            <v>37333.333333333328</v>
          </cell>
          <cell r="P169">
            <v>2</v>
          </cell>
          <cell r="Q169">
            <v>56</v>
          </cell>
          <cell r="R169">
            <v>166.66666666666666</v>
          </cell>
          <cell r="S169">
            <v>9333.3333333333321</v>
          </cell>
          <cell r="T169">
            <v>58466.666666666657</v>
          </cell>
          <cell r="U169">
            <v>200</v>
          </cell>
          <cell r="V169">
            <v>4800</v>
          </cell>
          <cell r="W169">
            <v>0</v>
          </cell>
          <cell r="X169">
            <v>5000</v>
          </cell>
          <cell r="Y169">
            <v>53466.666666666657</v>
          </cell>
        </row>
        <row r="170">
          <cell r="A170" t="str">
            <v>EMP169</v>
          </cell>
          <cell r="B170" t="str">
            <v>Name 169</v>
          </cell>
          <cell r="C170" t="str">
            <v>Manager</v>
          </cell>
          <cell r="D170">
            <v>23</v>
          </cell>
          <cell r="E170">
            <v>43831</v>
          </cell>
          <cell r="F170" t="str">
            <v>Day</v>
          </cell>
          <cell r="G170" t="str">
            <v>Name 169@gmail.com</v>
          </cell>
          <cell r="H170">
            <v>32000</v>
          </cell>
          <cell r="I170">
            <v>5760</v>
          </cell>
          <cell r="J170">
            <v>1600</v>
          </cell>
          <cell r="K170">
            <v>1000</v>
          </cell>
          <cell r="L170">
            <v>0</v>
          </cell>
          <cell r="M170">
            <v>1600</v>
          </cell>
          <cell r="N170">
            <v>30</v>
          </cell>
          <cell r="O170">
            <v>32000.000000000004</v>
          </cell>
          <cell r="P170">
            <v>1</v>
          </cell>
          <cell r="Q170">
            <v>30</v>
          </cell>
          <cell r="R170">
            <v>133.33333333333334</v>
          </cell>
          <cell r="S170">
            <v>4000.0000000000005</v>
          </cell>
          <cell r="T170">
            <v>45960</v>
          </cell>
          <cell r="U170">
            <v>200</v>
          </cell>
          <cell r="V170">
            <v>3840</v>
          </cell>
          <cell r="W170">
            <v>5000</v>
          </cell>
          <cell r="X170">
            <v>9040</v>
          </cell>
          <cell r="Y170">
            <v>36920</v>
          </cell>
        </row>
        <row r="171">
          <cell r="A171" t="str">
            <v>EMP170</v>
          </cell>
          <cell r="B171" t="str">
            <v>Name 170</v>
          </cell>
          <cell r="C171" t="str">
            <v>Clerk</v>
          </cell>
          <cell r="D171">
            <v>34</v>
          </cell>
          <cell r="E171">
            <v>43832</v>
          </cell>
          <cell r="F171" t="str">
            <v>Day</v>
          </cell>
          <cell r="G171" t="str">
            <v>Name 170@gmail.com</v>
          </cell>
          <cell r="H171">
            <v>28000</v>
          </cell>
          <cell r="I171">
            <v>5040</v>
          </cell>
          <cell r="J171">
            <v>1400</v>
          </cell>
          <cell r="K171">
            <v>1000</v>
          </cell>
          <cell r="L171">
            <v>0</v>
          </cell>
          <cell r="M171">
            <v>1600</v>
          </cell>
          <cell r="N171">
            <v>29</v>
          </cell>
          <cell r="O171">
            <v>27066.666666666668</v>
          </cell>
          <cell r="P171">
            <v>1</v>
          </cell>
          <cell r="Q171">
            <v>29</v>
          </cell>
          <cell r="R171">
            <v>116.66666666666667</v>
          </cell>
          <cell r="S171">
            <v>3383.3333333333335</v>
          </cell>
          <cell r="T171">
            <v>39490.000000000007</v>
          </cell>
          <cell r="U171">
            <v>200</v>
          </cell>
          <cell r="V171">
            <v>3360</v>
          </cell>
          <cell r="W171">
            <v>0</v>
          </cell>
          <cell r="X171">
            <v>3560</v>
          </cell>
          <cell r="Y171">
            <v>35930.000000000007</v>
          </cell>
        </row>
        <row r="172">
          <cell r="A172" t="str">
            <v>EMP171</v>
          </cell>
          <cell r="B172" t="str">
            <v>Name 171</v>
          </cell>
          <cell r="C172" t="str">
            <v>Accountant</v>
          </cell>
          <cell r="D172">
            <v>43</v>
          </cell>
          <cell r="E172">
            <v>43833</v>
          </cell>
          <cell r="F172" t="str">
            <v>Night</v>
          </cell>
          <cell r="G172" t="str">
            <v>Name 171@gmail.com</v>
          </cell>
          <cell r="H172">
            <v>44000</v>
          </cell>
          <cell r="I172">
            <v>7920</v>
          </cell>
          <cell r="J172">
            <v>2200</v>
          </cell>
          <cell r="K172">
            <v>1000</v>
          </cell>
          <cell r="L172">
            <v>0</v>
          </cell>
          <cell r="M172">
            <v>1600</v>
          </cell>
          <cell r="N172">
            <v>28</v>
          </cell>
          <cell r="O172">
            <v>41066.666666666672</v>
          </cell>
          <cell r="P172">
            <v>1</v>
          </cell>
          <cell r="Q172">
            <v>28</v>
          </cell>
          <cell r="R172">
            <v>183.33333333333334</v>
          </cell>
          <cell r="S172">
            <v>5133.3333333333339</v>
          </cell>
          <cell r="T172">
            <v>58920.000000000007</v>
          </cell>
          <cell r="U172">
            <v>200</v>
          </cell>
          <cell r="V172">
            <v>5280</v>
          </cell>
          <cell r="W172">
            <v>0</v>
          </cell>
          <cell r="X172">
            <v>5480</v>
          </cell>
          <cell r="Y172">
            <v>53440.000000000007</v>
          </cell>
        </row>
        <row r="173">
          <cell r="A173" t="str">
            <v>EMP172</v>
          </cell>
          <cell r="B173" t="str">
            <v>Name 172</v>
          </cell>
          <cell r="C173" t="str">
            <v>Manager</v>
          </cell>
          <cell r="D173">
            <v>34</v>
          </cell>
          <cell r="E173">
            <v>43834</v>
          </cell>
          <cell r="F173" t="str">
            <v>Day</v>
          </cell>
          <cell r="G173" t="str">
            <v>Name 172@gmail.com</v>
          </cell>
          <cell r="H173">
            <v>25000</v>
          </cell>
          <cell r="I173">
            <v>4500</v>
          </cell>
          <cell r="J173">
            <v>1250</v>
          </cell>
          <cell r="K173">
            <v>1000</v>
          </cell>
          <cell r="L173">
            <v>0</v>
          </cell>
          <cell r="M173">
            <v>1600</v>
          </cell>
          <cell r="N173">
            <v>27</v>
          </cell>
          <cell r="O173">
            <v>22500</v>
          </cell>
          <cell r="P173">
            <v>1</v>
          </cell>
          <cell r="Q173">
            <v>27</v>
          </cell>
          <cell r="R173">
            <v>104.16666666666667</v>
          </cell>
          <cell r="S173">
            <v>2812.5</v>
          </cell>
          <cell r="T173">
            <v>33662.5</v>
          </cell>
          <cell r="U173">
            <v>200</v>
          </cell>
          <cell r="V173">
            <v>3000</v>
          </cell>
          <cell r="W173">
            <v>0</v>
          </cell>
          <cell r="X173">
            <v>3200</v>
          </cell>
          <cell r="Y173">
            <v>30462.5</v>
          </cell>
        </row>
        <row r="174">
          <cell r="A174" t="str">
            <v>EMP173</v>
          </cell>
          <cell r="B174" t="str">
            <v>Name 173</v>
          </cell>
          <cell r="C174" t="str">
            <v>Accountant</v>
          </cell>
          <cell r="D174">
            <v>43</v>
          </cell>
          <cell r="E174">
            <v>43835</v>
          </cell>
          <cell r="F174" t="str">
            <v>Day</v>
          </cell>
          <cell r="G174" t="str">
            <v>Name 173@gmail.com</v>
          </cell>
          <cell r="H174">
            <v>50000</v>
          </cell>
          <cell r="I174">
            <v>9000</v>
          </cell>
          <cell r="J174">
            <v>2500</v>
          </cell>
          <cell r="K174">
            <v>1000</v>
          </cell>
          <cell r="L174">
            <v>0</v>
          </cell>
          <cell r="M174">
            <v>1600</v>
          </cell>
          <cell r="N174">
            <v>27</v>
          </cell>
          <cell r="O174">
            <v>45000</v>
          </cell>
          <cell r="P174">
            <v>3</v>
          </cell>
          <cell r="Q174">
            <v>81</v>
          </cell>
          <cell r="R174">
            <v>208.33333333333334</v>
          </cell>
          <cell r="S174">
            <v>16875</v>
          </cell>
          <cell r="T174">
            <v>75975</v>
          </cell>
          <cell r="U174">
            <v>201</v>
          </cell>
          <cell r="V174">
            <v>6000</v>
          </cell>
          <cell r="W174">
            <v>0</v>
          </cell>
          <cell r="X174">
            <v>6201</v>
          </cell>
          <cell r="Y174">
            <v>69774</v>
          </cell>
        </row>
        <row r="175">
          <cell r="A175" t="str">
            <v>EMP174</v>
          </cell>
          <cell r="B175" t="str">
            <v>Name 174</v>
          </cell>
          <cell r="C175" t="str">
            <v>Accountant</v>
          </cell>
          <cell r="D175">
            <v>23</v>
          </cell>
          <cell r="E175">
            <v>43836</v>
          </cell>
          <cell r="F175" t="str">
            <v>Night</v>
          </cell>
          <cell r="G175" t="str">
            <v>Name 174@gmail.com</v>
          </cell>
          <cell r="H175">
            <v>70000</v>
          </cell>
          <cell r="I175">
            <v>12600</v>
          </cell>
          <cell r="J175">
            <v>3500</v>
          </cell>
          <cell r="K175">
            <v>1000</v>
          </cell>
          <cell r="L175">
            <v>0</v>
          </cell>
          <cell r="M175">
            <v>1600</v>
          </cell>
          <cell r="N175">
            <v>27</v>
          </cell>
          <cell r="O175">
            <v>63000.000000000007</v>
          </cell>
          <cell r="P175">
            <v>1</v>
          </cell>
          <cell r="Q175">
            <v>27</v>
          </cell>
          <cell r="R175">
            <v>291.66666666666669</v>
          </cell>
          <cell r="S175">
            <v>7875.0000000000009</v>
          </cell>
          <cell r="T175">
            <v>89575</v>
          </cell>
          <cell r="U175">
            <v>202</v>
          </cell>
          <cell r="V175">
            <v>8400</v>
          </cell>
          <cell r="W175">
            <v>0</v>
          </cell>
          <cell r="X175">
            <v>8602</v>
          </cell>
          <cell r="Y175">
            <v>80973</v>
          </cell>
        </row>
        <row r="176">
          <cell r="A176" t="str">
            <v>EMP175</v>
          </cell>
          <cell r="B176" t="str">
            <v>Name 175</v>
          </cell>
          <cell r="C176" t="str">
            <v>Accountant</v>
          </cell>
          <cell r="D176">
            <v>34</v>
          </cell>
          <cell r="E176">
            <v>43837</v>
          </cell>
          <cell r="F176" t="str">
            <v>Night</v>
          </cell>
          <cell r="G176" t="str">
            <v>Name 175@gmail.com</v>
          </cell>
          <cell r="H176">
            <v>34000</v>
          </cell>
          <cell r="I176">
            <v>6120</v>
          </cell>
          <cell r="J176">
            <v>1700</v>
          </cell>
          <cell r="K176">
            <v>1000</v>
          </cell>
          <cell r="L176">
            <v>2000</v>
          </cell>
          <cell r="M176">
            <v>1600</v>
          </cell>
          <cell r="N176">
            <v>30</v>
          </cell>
          <cell r="O176">
            <v>34000</v>
          </cell>
          <cell r="P176">
            <v>2</v>
          </cell>
          <cell r="Q176">
            <v>60</v>
          </cell>
          <cell r="R176">
            <v>141.66666666666666</v>
          </cell>
          <cell r="S176">
            <v>8500</v>
          </cell>
          <cell r="T176">
            <v>54920</v>
          </cell>
          <cell r="U176">
            <v>203</v>
          </cell>
          <cell r="V176">
            <v>4080</v>
          </cell>
          <cell r="W176">
            <v>0</v>
          </cell>
          <cell r="X176">
            <v>4283</v>
          </cell>
          <cell r="Y176">
            <v>50637</v>
          </cell>
        </row>
        <row r="177">
          <cell r="A177" t="str">
            <v>EMP176</v>
          </cell>
          <cell r="B177" t="str">
            <v>Name 176</v>
          </cell>
          <cell r="C177" t="str">
            <v>Accountant</v>
          </cell>
          <cell r="D177">
            <v>23</v>
          </cell>
          <cell r="E177">
            <v>43838</v>
          </cell>
          <cell r="F177" t="str">
            <v>Night</v>
          </cell>
          <cell r="G177" t="str">
            <v>Name 176@gmail.com</v>
          </cell>
          <cell r="H177">
            <v>45000</v>
          </cell>
          <cell r="I177">
            <v>8100</v>
          </cell>
          <cell r="J177">
            <v>2250</v>
          </cell>
          <cell r="K177">
            <v>1000</v>
          </cell>
          <cell r="L177">
            <v>5000</v>
          </cell>
          <cell r="M177">
            <v>1600</v>
          </cell>
          <cell r="N177">
            <v>30</v>
          </cell>
          <cell r="O177">
            <v>45000</v>
          </cell>
          <cell r="P177">
            <v>0</v>
          </cell>
          <cell r="Q177">
            <v>0</v>
          </cell>
          <cell r="R177">
            <v>187.5</v>
          </cell>
          <cell r="S177">
            <v>0</v>
          </cell>
          <cell r="T177">
            <v>62950</v>
          </cell>
          <cell r="U177">
            <v>204</v>
          </cell>
          <cell r="V177">
            <v>5400</v>
          </cell>
          <cell r="W177">
            <v>4000</v>
          </cell>
          <cell r="X177">
            <v>9604</v>
          </cell>
          <cell r="Y177">
            <v>53346</v>
          </cell>
        </row>
        <row r="178">
          <cell r="A178" t="str">
            <v>EMP177</v>
          </cell>
          <cell r="B178" t="str">
            <v>Name 177</v>
          </cell>
          <cell r="C178" t="str">
            <v>Accountant</v>
          </cell>
          <cell r="D178">
            <v>34</v>
          </cell>
          <cell r="E178">
            <v>43839</v>
          </cell>
          <cell r="F178" t="str">
            <v>Night</v>
          </cell>
          <cell r="G178" t="str">
            <v>Name 177@gmail.com</v>
          </cell>
          <cell r="H178">
            <v>55000</v>
          </cell>
          <cell r="I178">
            <v>9900</v>
          </cell>
          <cell r="J178">
            <v>2750</v>
          </cell>
          <cell r="K178">
            <v>1000</v>
          </cell>
          <cell r="L178">
            <v>5000</v>
          </cell>
          <cell r="M178">
            <v>1600</v>
          </cell>
          <cell r="N178">
            <v>30</v>
          </cell>
          <cell r="O178">
            <v>55000</v>
          </cell>
          <cell r="P178">
            <v>1</v>
          </cell>
          <cell r="Q178">
            <v>30</v>
          </cell>
          <cell r="R178">
            <v>229.16666666666666</v>
          </cell>
          <cell r="S178">
            <v>6875</v>
          </cell>
          <cell r="T178">
            <v>82125</v>
          </cell>
          <cell r="U178">
            <v>205</v>
          </cell>
          <cell r="V178">
            <v>6600</v>
          </cell>
          <cell r="W178">
            <v>0</v>
          </cell>
          <cell r="X178">
            <v>6805</v>
          </cell>
          <cell r="Y178">
            <v>75320</v>
          </cell>
        </row>
        <row r="179">
          <cell r="A179" t="str">
            <v>EMP178</v>
          </cell>
          <cell r="B179" t="str">
            <v>Name 178</v>
          </cell>
          <cell r="C179" t="str">
            <v>Manager</v>
          </cell>
          <cell r="D179">
            <v>23</v>
          </cell>
          <cell r="E179">
            <v>43840</v>
          </cell>
          <cell r="F179" t="str">
            <v>Day</v>
          </cell>
          <cell r="G179" t="str">
            <v>Name 178@gmail.com</v>
          </cell>
          <cell r="H179">
            <v>43000</v>
          </cell>
          <cell r="I179">
            <v>7740</v>
          </cell>
          <cell r="J179">
            <v>2150</v>
          </cell>
          <cell r="K179">
            <v>1000</v>
          </cell>
          <cell r="L179">
            <v>5000</v>
          </cell>
          <cell r="M179">
            <v>1600</v>
          </cell>
          <cell r="N179">
            <v>27</v>
          </cell>
          <cell r="O179">
            <v>38700</v>
          </cell>
          <cell r="P179">
            <v>1</v>
          </cell>
          <cell r="Q179">
            <v>27</v>
          </cell>
          <cell r="R179">
            <v>179.16666666666666</v>
          </cell>
          <cell r="S179">
            <v>4837.5</v>
          </cell>
          <cell r="T179">
            <v>61027.5</v>
          </cell>
          <cell r="U179">
            <v>200</v>
          </cell>
          <cell r="V179">
            <v>5160</v>
          </cell>
          <cell r="W179">
            <v>0</v>
          </cell>
          <cell r="X179">
            <v>5360</v>
          </cell>
          <cell r="Y179">
            <v>55667.5</v>
          </cell>
        </row>
        <row r="180">
          <cell r="A180" t="str">
            <v>EMP179</v>
          </cell>
          <cell r="B180" t="str">
            <v>Name 179</v>
          </cell>
          <cell r="C180" t="str">
            <v>Clerk</v>
          </cell>
          <cell r="D180">
            <v>34</v>
          </cell>
          <cell r="E180">
            <v>43841</v>
          </cell>
          <cell r="F180" t="str">
            <v>Day</v>
          </cell>
          <cell r="G180" t="str">
            <v>Name 179@gmail.com</v>
          </cell>
          <cell r="H180">
            <v>25000</v>
          </cell>
          <cell r="I180">
            <v>4500</v>
          </cell>
          <cell r="J180">
            <v>1250</v>
          </cell>
          <cell r="K180">
            <v>1000</v>
          </cell>
          <cell r="L180">
            <v>5000</v>
          </cell>
          <cell r="M180">
            <v>1600</v>
          </cell>
          <cell r="N180">
            <v>30</v>
          </cell>
          <cell r="O180">
            <v>25000</v>
          </cell>
          <cell r="P180">
            <v>0</v>
          </cell>
          <cell r="Q180">
            <v>0</v>
          </cell>
          <cell r="R180">
            <v>104.16666666666667</v>
          </cell>
          <cell r="S180">
            <v>0</v>
          </cell>
          <cell r="T180">
            <v>38350</v>
          </cell>
          <cell r="U180">
            <v>200</v>
          </cell>
          <cell r="V180">
            <v>3000</v>
          </cell>
          <cell r="W180">
            <v>0</v>
          </cell>
          <cell r="X180">
            <v>3200</v>
          </cell>
          <cell r="Y180">
            <v>35150</v>
          </cell>
        </row>
        <row r="181">
          <cell r="A181" t="str">
            <v>EMP180</v>
          </cell>
          <cell r="B181" t="str">
            <v>Name 180</v>
          </cell>
          <cell r="C181" t="str">
            <v>Accountant</v>
          </cell>
          <cell r="D181">
            <v>45</v>
          </cell>
          <cell r="E181">
            <v>43842</v>
          </cell>
          <cell r="F181" t="str">
            <v>Day</v>
          </cell>
          <cell r="G181" t="str">
            <v>Name 180@gmail.com</v>
          </cell>
          <cell r="H181">
            <v>28000</v>
          </cell>
          <cell r="I181">
            <v>5040</v>
          </cell>
          <cell r="J181">
            <v>1400</v>
          </cell>
          <cell r="K181">
            <v>1000</v>
          </cell>
          <cell r="L181">
            <v>5000</v>
          </cell>
          <cell r="M181">
            <v>1600</v>
          </cell>
          <cell r="N181">
            <v>20</v>
          </cell>
          <cell r="O181">
            <v>18666.666666666668</v>
          </cell>
          <cell r="P181">
            <v>0</v>
          </cell>
          <cell r="Q181">
            <v>0</v>
          </cell>
          <cell r="R181">
            <v>116.66666666666667</v>
          </cell>
          <cell r="S181">
            <v>0</v>
          </cell>
          <cell r="T181">
            <v>32706.666666666668</v>
          </cell>
          <cell r="U181">
            <v>200</v>
          </cell>
          <cell r="V181">
            <v>3360</v>
          </cell>
          <cell r="W181">
            <v>0</v>
          </cell>
          <cell r="X181">
            <v>3560</v>
          </cell>
          <cell r="Y181">
            <v>29146.666666666668</v>
          </cell>
        </row>
        <row r="182">
          <cell r="A182" t="str">
            <v>EMP181</v>
          </cell>
          <cell r="B182" t="str">
            <v>Name 181</v>
          </cell>
          <cell r="C182" t="str">
            <v>Manager</v>
          </cell>
          <cell r="D182">
            <v>54</v>
          </cell>
          <cell r="E182">
            <v>43843</v>
          </cell>
          <cell r="F182" t="str">
            <v>Day</v>
          </cell>
          <cell r="G182" t="str">
            <v>Name 181@gmail.com</v>
          </cell>
          <cell r="H182">
            <v>40000</v>
          </cell>
          <cell r="I182">
            <v>7200</v>
          </cell>
          <cell r="J182">
            <v>2000</v>
          </cell>
          <cell r="K182">
            <v>1000</v>
          </cell>
          <cell r="L182">
            <v>5000</v>
          </cell>
          <cell r="M182">
            <v>1600</v>
          </cell>
          <cell r="N182">
            <v>28</v>
          </cell>
          <cell r="O182">
            <v>37333.333333333328</v>
          </cell>
          <cell r="P182">
            <v>2</v>
          </cell>
          <cell r="Q182">
            <v>56</v>
          </cell>
          <cell r="R182">
            <v>166.66666666666666</v>
          </cell>
          <cell r="S182">
            <v>9333.3333333333321</v>
          </cell>
          <cell r="T182">
            <v>63466.666666666657</v>
          </cell>
          <cell r="U182">
            <v>200</v>
          </cell>
          <cell r="V182">
            <v>4800</v>
          </cell>
          <cell r="W182">
            <v>0</v>
          </cell>
          <cell r="X182">
            <v>5000</v>
          </cell>
          <cell r="Y182">
            <v>58466.666666666657</v>
          </cell>
        </row>
        <row r="183">
          <cell r="A183" t="str">
            <v>EMP182</v>
          </cell>
          <cell r="B183" t="str">
            <v>Name 182</v>
          </cell>
          <cell r="C183" t="str">
            <v>Manager</v>
          </cell>
          <cell r="D183">
            <v>56</v>
          </cell>
          <cell r="E183">
            <v>43844</v>
          </cell>
          <cell r="F183" t="str">
            <v>Day</v>
          </cell>
          <cell r="G183" t="str">
            <v>Name 182@gmail.com</v>
          </cell>
          <cell r="H183">
            <v>32000</v>
          </cell>
          <cell r="I183">
            <v>5760</v>
          </cell>
          <cell r="J183">
            <v>1600</v>
          </cell>
          <cell r="K183">
            <v>1000</v>
          </cell>
          <cell r="L183">
            <v>5000</v>
          </cell>
          <cell r="M183">
            <v>1600</v>
          </cell>
          <cell r="N183">
            <v>30</v>
          </cell>
          <cell r="O183">
            <v>32000.000000000004</v>
          </cell>
          <cell r="P183">
            <v>1</v>
          </cell>
          <cell r="Q183">
            <v>30</v>
          </cell>
          <cell r="R183">
            <v>133.33333333333334</v>
          </cell>
          <cell r="S183">
            <v>4000.0000000000005</v>
          </cell>
          <cell r="T183">
            <v>50960</v>
          </cell>
          <cell r="U183">
            <v>200</v>
          </cell>
          <cell r="V183">
            <v>3840</v>
          </cell>
          <cell r="W183">
            <v>5000</v>
          </cell>
          <cell r="X183">
            <v>9040</v>
          </cell>
          <cell r="Y183">
            <v>41920</v>
          </cell>
        </row>
        <row r="184">
          <cell r="A184" t="str">
            <v>EMP183</v>
          </cell>
          <cell r="B184" t="str">
            <v>Name 183</v>
          </cell>
          <cell r="C184" t="str">
            <v>Clerk</v>
          </cell>
          <cell r="D184">
            <v>54</v>
          </cell>
          <cell r="E184">
            <v>43845</v>
          </cell>
          <cell r="F184" t="str">
            <v>Day</v>
          </cell>
          <cell r="G184" t="str">
            <v>Name 183@gmail.com</v>
          </cell>
          <cell r="H184">
            <v>28000</v>
          </cell>
          <cell r="I184">
            <v>5040</v>
          </cell>
          <cell r="J184">
            <v>1400</v>
          </cell>
          <cell r="K184">
            <v>1000</v>
          </cell>
          <cell r="L184">
            <v>5000</v>
          </cell>
          <cell r="M184">
            <v>1600</v>
          </cell>
          <cell r="N184">
            <v>29</v>
          </cell>
          <cell r="O184">
            <v>27066.666666666668</v>
          </cell>
          <cell r="P184">
            <v>1</v>
          </cell>
          <cell r="Q184">
            <v>29</v>
          </cell>
          <cell r="R184">
            <v>116.66666666666667</v>
          </cell>
          <cell r="S184">
            <v>3383.3333333333335</v>
          </cell>
          <cell r="T184">
            <v>44490.000000000007</v>
          </cell>
          <cell r="U184">
            <v>200</v>
          </cell>
          <cell r="V184">
            <v>3360</v>
          </cell>
          <cell r="W184">
            <v>0</v>
          </cell>
          <cell r="X184">
            <v>3560</v>
          </cell>
          <cell r="Y184">
            <v>40930.000000000007</v>
          </cell>
        </row>
        <row r="185">
          <cell r="A185" t="str">
            <v>EMP184</v>
          </cell>
          <cell r="B185" t="str">
            <v>Name 184</v>
          </cell>
          <cell r="C185" t="str">
            <v>Accountant</v>
          </cell>
          <cell r="D185">
            <v>34</v>
          </cell>
          <cell r="E185">
            <v>43846</v>
          </cell>
          <cell r="F185" t="str">
            <v>Night</v>
          </cell>
          <cell r="G185" t="str">
            <v>Name 184@gmail.com</v>
          </cell>
          <cell r="H185">
            <v>44000</v>
          </cell>
          <cell r="I185">
            <v>7920</v>
          </cell>
          <cell r="J185">
            <v>2200</v>
          </cell>
          <cell r="K185">
            <v>1000</v>
          </cell>
          <cell r="L185">
            <v>5000</v>
          </cell>
          <cell r="M185">
            <v>1600</v>
          </cell>
          <cell r="N185">
            <v>28</v>
          </cell>
          <cell r="O185">
            <v>41066.666666666672</v>
          </cell>
          <cell r="P185">
            <v>1</v>
          </cell>
          <cell r="Q185">
            <v>28</v>
          </cell>
          <cell r="R185">
            <v>183.33333333333334</v>
          </cell>
          <cell r="S185">
            <v>5133.3333333333339</v>
          </cell>
          <cell r="T185">
            <v>63920.000000000007</v>
          </cell>
          <cell r="U185">
            <v>200</v>
          </cell>
          <cell r="V185">
            <v>5280</v>
          </cell>
          <cell r="W185">
            <v>0</v>
          </cell>
          <cell r="X185">
            <v>5480</v>
          </cell>
          <cell r="Y185">
            <v>58440.000000000007</v>
          </cell>
        </row>
        <row r="186">
          <cell r="A186" t="str">
            <v>EMP185</v>
          </cell>
          <cell r="B186" t="str">
            <v>Name 185</v>
          </cell>
          <cell r="C186" t="str">
            <v>Manager</v>
          </cell>
          <cell r="D186">
            <v>23</v>
          </cell>
          <cell r="E186">
            <v>43847</v>
          </cell>
          <cell r="F186" t="str">
            <v>Day</v>
          </cell>
          <cell r="G186" t="str">
            <v>Name 185@gmail.com</v>
          </cell>
          <cell r="H186">
            <v>25000</v>
          </cell>
          <cell r="I186">
            <v>4500</v>
          </cell>
          <cell r="J186">
            <v>1250</v>
          </cell>
          <cell r="K186">
            <v>1000</v>
          </cell>
          <cell r="L186">
            <v>0</v>
          </cell>
          <cell r="M186">
            <v>1600</v>
          </cell>
          <cell r="N186">
            <v>27</v>
          </cell>
          <cell r="O186">
            <v>22500</v>
          </cell>
          <cell r="P186">
            <v>1</v>
          </cell>
          <cell r="Q186">
            <v>27</v>
          </cell>
          <cell r="R186">
            <v>104.16666666666667</v>
          </cell>
          <cell r="S186">
            <v>2812.5</v>
          </cell>
          <cell r="T186">
            <v>33662.5</v>
          </cell>
          <cell r="U186">
            <v>200</v>
          </cell>
          <cell r="V186">
            <v>3000</v>
          </cell>
          <cell r="W186">
            <v>0</v>
          </cell>
          <cell r="X186">
            <v>3200</v>
          </cell>
          <cell r="Y186">
            <v>30462.5</v>
          </cell>
        </row>
        <row r="187">
          <cell r="A187" t="str">
            <v>EMP186</v>
          </cell>
          <cell r="B187" t="str">
            <v>Name 186</v>
          </cell>
          <cell r="C187" t="str">
            <v>Accountant</v>
          </cell>
          <cell r="D187">
            <v>34</v>
          </cell>
          <cell r="E187">
            <v>43848</v>
          </cell>
          <cell r="F187" t="str">
            <v>Day</v>
          </cell>
          <cell r="G187" t="str">
            <v>Name 186@gmail.com</v>
          </cell>
          <cell r="H187">
            <v>50000</v>
          </cell>
          <cell r="I187">
            <v>9000</v>
          </cell>
          <cell r="J187">
            <v>2500</v>
          </cell>
          <cell r="K187">
            <v>1000</v>
          </cell>
          <cell r="L187">
            <v>0</v>
          </cell>
          <cell r="M187">
            <v>1600</v>
          </cell>
          <cell r="N187">
            <v>27</v>
          </cell>
          <cell r="O187">
            <v>45000</v>
          </cell>
          <cell r="P187">
            <v>3</v>
          </cell>
          <cell r="Q187">
            <v>81</v>
          </cell>
          <cell r="R187">
            <v>208.33333333333334</v>
          </cell>
          <cell r="S187">
            <v>16875</v>
          </cell>
          <cell r="T187">
            <v>75975</v>
          </cell>
          <cell r="U187">
            <v>201</v>
          </cell>
          <cell r="V187">
            <v>6000</v>
          </cell>
          <cell r="W187">
            <v>0</v>
          </cell>
          <cell r="X187">
            <v>6201</v>
          </cell>
          <cell r="Y187">
            <v>69774</v>
          </cell>
        </row>
        <row r="188">
          <cell r="A188" t="str">
            <v>EMP187</v>
          </cell>
          <cell r="B188" t="str">
            <v>Name 187</v>
          </cell>
          <cell r="C188" t="str">
            <v>Accountant</v>
          </cell>
          <cell r="D188">
            <v>43</v>
          </cell>
          <cell r="E188">
            <v>43849</v>
          </cell>
          <cell r="F188" t="str">
            <v>Night</v>
          </cell>
          <cell r="G188" t="str">
            <v>Name 187@gmail.com</v>
          </cell>
          <cell r="H188">
            <v>70000</v>
          </cell>
          <cell r="I188">
            <v>12600</v>
          </cell>
          <cell r="J188">
            <v>3500</v>
          </cell>
          <cell r="K188">
            <v>1000</v>
          </cell>
          <cell r="L188">
            <v>0</v>
          </cell>
          <cell r="M188">
            <v>1600</v>
          </cell>
          <cell r="N188">
            <v>27</v>
          </cell>
          <cell r="O188">
            <v>63000.000000000007</v>
          </cell>
          <cell r="P188">
            <v>1</v>
          </cell>
          <cell r="Q188">
            <v>27</v>
          </cell>
          <cell r="R188">
            <v>291.66666666666669</v>
          </cell>
          <cell r="S188">
            <v>7875.0000000000009</v>
          </cell>
          <cell r="T188">
            <v>89575</v>
          </cell>
          <cell r="U188">
            <v>202</v>
          </cell>
          <cell r="V188">
            <v>8400</v>
          </cell>
          <cell r="W188">
            <v>0</v>
          </cell>
          <cell r="X188">
            <v>8602</v>
          </cell>
          <cell r="Y188">
            <v>80973</v>
          </cell>
        </row>
        <row r="189">
          <cell r="A189" t="str">
            <v>EMP188</v>
          </cell>
          <cell r="B189" t="str">
            <v>Name 188</v>
          </cell>
          <cell r="C189" t="str">
            <v>Accountant</v>
          </cell>
          <cell r="D189">
            <v>34</v>
          </cell>
          <cell r="E189">
            <v>43850</v>
          </cell>
          <cell r="F189" t="str">
            <v>Night</v>
          </cell>
          <cell r="G189" t="str">
            <v>Name 188@gmail.com</v>
          </cell>
          <cell r="H189">
            <v>34000</v>
          </cell>
          <cell r="I189">
            <v>6120</v>
          </cell>
          <cell r="J189">
            <v>1700</v>
          </cell>
          <cell r="K189">
            <v>1000</v>
          </cell>
          <cell r="L189">
            <v>2000</v>
          </cell>
          <cell r="M189">
            <v>1600</v>
          </cell>
          <cell r="N189">
            <v>30</v>
          </cell>
          <cell r="O189">
            <v>34000</v>
          </cell>
          <cell r="P189">
            <v>2</v>
          </cell>
          <cell r="Q189">
            <v>60</v>
          </cell>
          <cell r="R189">
            <v>141.66666666666666</v>
          </cell>
          <cell r="S189">
            <v>8500</v>
          </cell>
          <cell r="T189">
            <v>54920</v>
          </cell>
          <cell r="U189">
            <v>203</v>
          </cell>
          <cell r="V189">
            <v>4080</v>
          </cell>
          <cell r="W189">
            <v>0</v>
          </cell>
          <cell r="X189">
            <v>4283</v>
          </cell>
          <cell r="Y189">
            <v>50637</v>
          </cell>
        </row>
        <row r="190">
          <cell r="A190" t="str">
            <v>EMP189</v>
          </cell>
          <cell r="B190" t="str">
            <v>Name 189</v>
          </cell>
          <cell r="C190" t="str">
            <v>Accountant</v>
          </cell>
          <cell r="D190">
            <v>43</v>
          </cell>
          <cell r="E190">
            <v>43851</v>
          </cell>
          <cell r="F190" t="str">
            <v>Night</v>
          </cell>
          <cell r="G190" t="str">
            <v>Name 189@gmail.com</v>
          </cell>
          <cell r="H190">
            <v>45000</v>
          </cell>
          <cell r="I190">
            <v>8100</v>
          </cell>
          <cell r="J190">
            <v>2250</v>
          </cell>
          <cell r="K190">
            <v>1000</v>
          </cell>
          <cell r="L190">
            <v>5000</v>
          </cell>
          <cell r="M190">
            <v>1600</v>
          </cell>
          <cell r="N190">
            <v>30</v>
          </cell>
          <cell r="O190">
            <v>45000</v>
          </cell>
          <cell r="P190">
            <v>0</v>
          </cell>
          <cell r="Q190">
            <v>0</v>
          </cell>
          <cell r="R190">
            <v>187.5</v>
          </cell>
          <cell r="S190">
            <v>0</v>
          </cell>
          <cell r="T190">
            <v>62950</v>
          </cell>
          <cell r="U190">
            <v>204</v>
          </cell>
          <cell r="V190">
            <v>5400</v>
          </cell>
          <cell r="W190">
            <v>4000</v>
          </cell>
          <cell r="X190">
            <v>9604</v>
          </cell>
          <cell r="Y190">
            <v>53346</v>
          </cell>
        </row>
        <row r="191">
          <cell r="A191" t="str">
            <v>EMP190</v>
          </cell>
          <cell r="B191" t="str">
            <v>Name 190</v>
          </cell>
          <cell r="C191" t="str">
            <v>Accountant</v>
          </cell>
          <cell r="D191">
            <v>23</v>
          </cell>
          <cell r="E191">
            <v>43852</v>
          </cell>
          <cell r="F191" t="str">
            <v>Night</v>
          </cell>
          <cell r="G191" t="str">
            <v>Name 190@gmail.com</v>
          </cell>
          <cell r="H191">
            <v>55000</v>
          </cell>
          <cell r="I191">
            <v>9900</v>
          </cell>
          <cell r="J191">
            <v>2750</v>
          </cell>
          <cell r="K191">
            <v>1000</v>
          </cell>
          <cell r="L191">
            <v>0</v>
          </cell>
          <cell r="M191">
            <v>1600</v>
          </cell>
          <cell r="N191">
            <v>30</v>
          </cell>
          <cell r="O191">
            <v>55000</v>
          </cell>
          <cell r="P191">
            <v>1</v>
          </cell>
          <cell r="Q191">
            <v>30</v>
          </cell>
          <cell r="R191">
            <v>229.16666666666666</v>
          </cell>
          <cell r="S191">
            <v>6875</v>
          </cell>
          <cell r="T191">
            <v>77125</v>
          </cell>
          <cell r="U191">
            <v>205</v>
          </cell>
          <cell r="V191">
            <v>6600</v>
          </cell>
          <cell r="W191">
            <v>0</v>
          </cell>
          <cell r="X191">
            <v>6805</v>
          </cell>
          <cell r="Y191">
            <v>70320</v>
          </cell>
        </row>
        <row r="192">
          <cell r="A192" t="str">
            <v>EMP191</v>
          </cell>
          <cell r="B192" t="str">
            <v>Name 191</v>
          </cell>
          <cell r="C192" t="str">
            <v>Manager</v>
          </cell>
          <cell r="D192">
            <v>34</v>
          </cell>
          <cell r="E192">
            <v>43853</v>
          </cell>
          <cell r="F192" t="str">
            <v>Day</v>
          </cell>
          <cell r="G192" t="str">
            <v>Name 191@gmail.com</v>
          </cell>
          <cell r="H192">
            <v>43000</v>
          </cell>
          <cell r="I192">
            <v>7740</v>
          </cell>
          <cell r="J192">
            <v>2150</v>
          </cell>
          <cell r="K192">
            <v>1000</v>
          </cell>
          <cell r="L192">
            <v>0</v>
          </cell>
          <cell r="M192">
            <v>1600</v>
          </cell>
          <cell r="N192">
            <v>27</v>
          </cell>
          <cell r="O192">
            <v>38700</v>
          </cell>
          <cell r="P192">
            <v>1</v>
          </cell>
          <cell r="Q192">
            <v>27</v>
          </cell>
          <cell r="R192">
            <v>179.16666666666666</v>
          </cell>
          <cell r="S192">
            <v>4837.5</v>
          </cell>
          <cell r="T192">
            <v>56027.5</v>
          </cell>
          <cell r="U192">
            <v>200</v>
          </cell>
          <cell r="V192">
            <v>5160</v>
          </cell>
          <cell r="W192">
            <v>0</v>
          </cell>
          <cell r="X192">
            <v>5360</v>
          </cell>
          <cell r="Y192">
            <v>50667.5</v>
          </cell>
        </row>
        <row r="193">
          <cell r="A193" t="str">
            <v>EMP192</v>
          </cell>
          <cell r="B193" t="str">
            <v>Name 192</v>
          </cell>
          <cell r="C193" t="str">
            <v>Clerk</v>
          </cell>
          <cell r="D193">
            <v>23</v>
          </cell>
          <cell r="E193">
            <v>43854</v>
          </cell>
          <cell r="F193" t="str">
            <v>Day</v>
          </cell>
          <cell r="G193" t="str">
            <v>Name 192@gmail.com</v>
          </cell>
          <cell r="H193">
            <v>25000</v>
          </cell>
          <cell r="I193">
            <v>4500</v>
          </cell>
          <cell r="J193">
            <v>1250</v>
          </cell>
          <cell r="K193">
            <v>1000</v>
          </cell>
          <cell r="L193">
            <v>0</v>
          </cell>
          <cell r="M193">
            <v>1600</v>
          </cell>
          <cell r="N193">
            <v>30</v>
          </cell>
          <cell r="O193">
            <v>25000</v>
          </cell>
          <cell r="P193">
            <v>0</v>
          </cell>
          <cell r="Q193">
            <v>0</v>
          </cell>
          <cell r="R193">
            <v>104.16666666666667</v>
          </cell>
          <cell r="S193">
            <v>0</v>
          </cell>
          <cell r="T193">
            <v>33350</v>
          </cell>
          <cell r="U193">
            <v>200</v>
          </cell>
          <cell r="V193">
            <v>3000</v>
          </cell>
          <cell r="W193">
            <v>0</v>
          </cell>
          <cell r="X193">
            <v>3200</v>
          </cell>
          <cell r="Y193">
            <v>30150</v>
          </cell>
        </row>
        <row r="194">
          <cell r="A194" t="str">
            <v>EMP193</v>
          </cell>
          <cell r="B194" t="str">
            <v>Name 193</v>
          </cell>
          <cell r="C194" t="str">
            <v>Accountant</v>
          </cell>
          <cell r="D194">
            <v>34</v>
          </cell>
          <cell r="E194">
            <v>43831</v>
          </cell>
          <cell r="F194" t="str">
            <v>Day</v>
          </cell>
          <cell r="G194" t="str">
            <v>Name 193@gmail.com</v>
          </cell>
          <cell r="H194">
            <v>28000</v>
          </cell>
          <cell r="I194">
            <v>5040</v>
          </cell>
          <cell r="J194">
            <v>1400</v>
          </cell>
          <cell r="K194">
            <v>1000</v>
          </cell>
          <cell r="L194">
            <v>0</v>
          </cell>
          <cell r="M194">
            <v>1600</v>
          </cell>
          <cell r="N194">
            <v>20</v>
          </cell>
          <cell r="O194">
            <v>18666.666666666668</v>
          </cell>
          <cell r="P194">
            <v>0</v>
          </cell>
          <cell r="Q194">
            <v>0</v>
          </cell>
          <cell r="R194">
            <v>116.66666666666667</v>
          </cell>
          <cell r="S194">
            <v>0</v>
          </cell>
          <cell r="T194">
            <v>27706.666666666668</v>
          </cell>
          <cell r="U194">
            <v>200</v>
          </cell>
          <cell r="V194">
            <v>3360</v>
          </cell>
          <cell r="W194">
            <v>0</v>
          </cell>
          <cell r="X194">
            <v>3560</v>
          </cell>
          <cell r="Y194">
            <v>24146.666666666668</v>
          </cell>
        </row>
        <row r="195">
          <cell r="A195" t="str">
            <v>EMP194</v>
          </cell>
          <cell r="B195" t="str">
            <v>Name 194</v>
          </cell>
          <cell r="C195" t="str">
            <v>Manager</v>
          </cell>
          <cell r="D195">
            <v>23</v>
          </cell>
          <cell r="E195">
            <v>43832</v>
          </cell>
          <cell r="F195" t="str">
            <v>Day</v>
          </cell>
          <cell r="G195" t="str">
            <v>Name 194@gmail.com</v>
          </cell>
          <cell r="H195">
            <v>40000</v>
          </cell>
          <cell r="I195">
            <v>7200</v>
          </cell>
          <cell r="J195">
            <v>2000</v>
          </cell>
          <cell r="K195">
            <v>1000</v>
          </cell>
          <cell r="L195">
            <v>0</v>
          </cell>
          <cell r="M195">
            <v>1600</v>
          </cell>
          <cell r="N195">
            <v>28</v>
          </cell>
          <cell r="O195">
            <v>37333.333333333328</v>
          </cell>
          <cell r="P195">
            <v>2</v>
          </cell>
          <cell r="Q195">
            <v>56</v>
          </cell>
          <cell r="R195">
            <v>166.66666666666666</v>
          </cell>
          <cell r="S195">
            <v>9333.3333333333321</v>
          </cell>
          <cell r="T195">
            <v>58466.666666666657</v>
          </cell>
          <cell r="U195">
            <v>200</v>
          </cell>
          <cell r="V195">
            <v>4800</v>
          </cell>
          <cell r="W195">
            <v>0</v>
          </cell>
          <cell r="X195">
            <v>5000</v>
          </cell>
          <cell r="Y195">
            <v>53466.666666666657</v>
          </cell>
        </row>
        <row r="196">
          <cell r="A196" t="str">
            <v>EMP195</v>
          </cell>
          <cell r="B196" t="str">
            <v>Name 195</v>
          </cell>
          <cell r="C196" t="str">
            <v>Manager</v>
          </cell>
          <cell r="D196">
            <v>34</v>
          </cell>
          <cell r="E196">
            <v>43833</v>
          </cell>
          <cell r="F196" t="str">
            <v>Day</v>
          </cell>
          <cell r="G196" t="str">
            <v>Name 195@gmail.com</v>
          </cell>
          <cell r="H196">
            <v>32000</v>
          </cell>
          <cell r="I196">
            <v>5760</v>
          </cell>
          <cell r="J196">
            <v>1600</v>
          </cell>
          <cell r="K196">
            <v>1000</v>
          </cell>
          <cell r="L196">
            <v>0</v>
          </cell>
          <cell r="M196">
            <v>1600</v>
          </cell>
          <cell r="N196">
            <v>30</v>
          </cell>
          <cell r="O196">
            <v>32000.000000000004</v>
          </cell>
          <cell r="P196">
            <v>1</v>
          </cell>
          <cell r="Q196">
            <v>30</v>
          </cell>
          <cell r="R196">
            <v>133.33333333333334</v>
          </cell>
          <cell r="S196">
            <v>4000.0000000000005</v>
          </cell>
          <cell r="T196">
            <v>45960</v>
          </cell>
          <cell r="U196">
            <v>200</v>
          </cell>
          <cell r="V196">
            <v>3840</v>
          </cell>
          <cell r="W196">
            <v>5000</v>
          </cell>
          <cell r="X196">
            <v>9040</v>
          </cell>
          <cell r="Y196">
            <v>36920</v>
          </cell>
        </row>
        <row r="197">
          <cell r="A197" t="str">
            <v>EMP196</v>
          </cell>
          <cell r="B197" t="str">
            <v>Name 196</v>
          </cell>
          <cell r="C197" t="str">
            <v>Clerk</v>
          </cell>
          <cell r="D197">
            <v>45</v>
          </cell>
          <cell r="E197">
            <v>43834</v>
          </cell>
          <cell r="F197" t="str">
            <v>Day</v>
          </cell>
          <cell r="G197" t="str">
            <v>Name 196@gmail.com</v>
          </cell>
          <cell r="H197">
            <v>28000</v>
          </cell>
          <cell r="I197">
            <v>5040</v>
          </cell>
          <cell r="J197">
            <v>1400</v>
          </cell>
          <cell r="K197">
            <v>1000</v>
          </cell>
          <cell r="L197">
            <v>0</v>
          </cell>
          <cell r="M197">
            <v>1600</v>
          </cell>
          <cell r="N197">
            <v>29</v>
          </cell>
          <cell r="O197">
            <v>27066.666666666668</v>
          </cell>
          <cell r="P197">
            <v>1</v>
          </cell>
          <cell r="Q197">
            <v>29</v>
          </cell>
          <cell r="R197">
            <v>116.66666666666667</v>
          </cell>
          <cell r="S197">
            <v>3383.3333333333335</v>
          </cell>
          <cell r="T197">
            <v>39490.000000000007</v>
          </cell>
          <cell r="U197">
            <v>200</v>
          </cell>
          <cell r="V197">
            <v>3360</v>
          </cell>
          <cell r="W197">
            <v>0</v>
          </cell>
          <cell r="X197">
            <v>3560</v>
          </cell>
          <cell r="Y197">
            <v>35930.000000000007</v>
          </cell>
        </row>
        <row r="198">
          <cell r="A198" t="str">
            <v>EMP197</v>
          </cell>
          <cell r="B198" t="str">
            <v>Name 197</v>
          </cell>
          <cell r="C198" t="str">
            <v>Accountant</v>
          </cell>
          <cell r="D198">
            <v>54</v>
          </cell>
          <cell r="E198">
            <v>43835</v>
          </cell>
          <cell r="F198" t="str">
            <v>Night</v>
          </cell>
          <cell r="G198" t="str">
            <v>Name 197@gmail.com</v>
          </cell>
          <cell r="H198">
            <v>44000</v>
          </cell>
          <cell r="I198">
            <v>7920</v>
          </cell>
          <cell r="J198">
            <v>2200</v>
          </cell>
          <cell r="K198">
            <v>1000</v>
          </cell>
          <cell r="L198">
            <v>0</v>
          </cell>
          <cell r="M198">
            <v>1600</v>
          </cell>
          <cell r="N198">
            <v>28</v>
          </cell>
          <cell r="O198">
            <v>41066.666666666672</v>
          </cell>
          <cell r="P198">
            <v>1</v>
          </cell>
          <cell r="Q198">
            <v>28</v>
          </cell>
          <cell r="R198">
            <v>183.33333333333334</v>
          </cell>
          <cell r="S198">
            <v>5133.3333333333339</v>
          </cell>
          <cell r="T198">
            <v>58920.000000000007</v>
          </cell>
          <cell r="U198">
            <v>200</v>
          </cell>
          <cell r="V198">
            <v>5280</v>
          </cell>
          <cell r="W198">
            <v>0</v>
          </cell>
          <cell r="X198">
            <v>5480</v>
          </cell>
          <cell r="Y198">
            <v>53440.000000000007</v>
          </cell>
        </row>
        <row r="199">
          <cell r="A199" t="str">
            <v>EMP198</v>
          </cell>
          <cell r="B199" t="str">
            <v>Name 198</v>
          </cell>
          <cell r="C199" t="str">
            <v>Manager</v>
          </cell>
          <cell r="D199">
            <v>56</v>
          </cell>
          <cell r="E199">
            <v>43836</v>
          </cell>
          <cell r="F199" t="str">
            <v>Day</v>
          </cell>
          <cell r="G199" t="str">
            <v>Name 198@gmail.com</v>
          </cell>
          <cell r="H199">
            <v>25000</v>
          </cell>
          <cell r="I199">
            <v>4500</v>
          </cell>
          <cell r="J199">
            <v>1250</v>
          </cell>
          <cell r="K199">
            <v>1000</v>
          </cell>
          <cell r="L199">
            <v>0</v>
          </cell>
          <cell r="M199">
            <v>1600</v>
          </cell>
          <cell r="N199">
            <v>27</v>
          </cell>
          <cell r="O199">
            <v>22500</v>
          </cell>
          <cell r="P199">
            <v>1</v>
          </cell>
          <cell r="Q199">
            <v>27</v>
          </cell>
          <cell r="R199">
            <v>104.16666666666667</v>
          </cell>
          <cell r="S199">
            <v>2812.5</v>
          </cell>
          <cell r="T199">
            <v>33662.5</v>
          </cell>
          <cell r="U199">
            <v>200</v>
          </cell>
          <cell r="V199">
            <v>3000</v>
          </cell>
          <cell r="W199">
            <v>0</v>
          </cell>
          <cell r="X199">
            <v>3200</v>
          </cell>
          <cell r="Y199">
            <v>30462.5</v>
          </cell>
        </row>
        <row r="200">
          <cell r="A200" t="str">
            <v>EMP199</v>
          </cell>
          <cell r="B200" t="str">
            <v>Name 199</v>
          </cell>
          <cell r="C200" t="str">
            <v>Accountant</v>
          </cell>
          <cell r="D200">
            <v>54</v>
          </cell>
          <cell r="E200">
            <v>43837</v>
          </cell>
          <cell r="F200" t="str">
            <v>Day</v>
          </cell>
          <cell r="G200" t="str">
            <v>Name 199@gmail.com</v>
          </cell>
          <cell r="H200">
            <v>50000</v>
          </cell>
          <cell r="I200">
            <v>9000</v>
          </cell>
          <cell r="J200">
            <v>2500</v>
          </cell>
          <cell r="K200">
            <v>1000</v>
          </cell>
          <cell r="L200">
            <v>0</v>
          </cell>
          <cell r="M200">
            <v>1600</v>
          </cell>
          <cell r="N200">
            <v>27</v>
          </cell>
          <cell r="O200">
            <v>45000</v>
          </cell>
          <cell r="P200">
            <v>3</v>
          </cell>
          <cell r="Q200">
            <v>81</v>
          </cell>
          <cell r="R200">
            <v>208.33333333333334</v>
          </cell>
          <cell r="S200">
            <v>16875</v>
          </cell>
          <cell r="T200">
            <v>75975</v>
          </cell>
          <cell r="U200">
            <v>201</v>
          </cell>
          <cell r="V200">
            <v>6000</v>
          </cell>
          <cell r="W200">
            <v>0</v>
          </cell>
          <cell r="X200">
            <v>6201</v>
          </cell>
          <cell r="Y200">
            <v>69774</v>
          </cell>
        </row>
        <row r="201">
          <cell r="A201" t="str">
            <v>EMP200</v>
          </cell>
          <cell r="B201" t="str">
            <v>Name 200</v>
          </cell>
          <cell r="C201" t="str">
            <v>Accountant</v>
          </cell>
          <cell r="D201">
            <v>34</v>
          </cell>
          <cell r="E201">
            <v>43838</v>
          </cell>
          <cell r="F201" t="str">
            <v>Night</v>
          </cell>
          <cell r="G201" t="str">
            <v>Name 200@gmail.com</v>
          </cell>
          <cell r="H201">
            <v>70000</v>
          </cell>
          <cell r="I201">
            <v>12600</v>
          </cell>
          <cell r="J201">
            <v>3500</v>
          </cell>
          <cell r="K201">
            <v>1000</v>
          </cell>
          <cell r="L201">
            <v>0</v>
          </cell>
          <cell r="M201">
            <v>1600</v>
          </cell>
          <cell r="N201">
            <v>27</v>
          </cell>
          <cell r="O201">
            <v>63000.000000000007</v>
          </cell>
          <cell r="P201">
            <v>1</v>
          </cell>
          <cell r="Q201">
            <v>27</v>
          </cell>
          <cell r="R201">
            <v>291.66666666666669</v>
          </cell>
          <cell r="S201">
            <v>7875.0000000000009</v>
          </cell>
          <cell r="T201">
            <v>89575</v>
          </cell>
          <cell r="U201">
            <v>202</v>
          </cell>
          <cell r="V201">
            <v>8400</v>
          </cell>
          <cell r="W201">
            <v>0</v>
          </cell>
          <cell r="X201">
            <v>8602</v>
          </cell>
          <cell r="Y201">
            <v>80973</v>
          </cell>
        </row>
        <row r="202">
          <cell r="A202" t="str">
            <v>EMP201</v>
          </cell>
          <cell r="B202" t="str">
            <v>Name 201</v>
          </cell>
          <cell r="C202" t="str">
            <v>Accountant</v>
          </cell>
          <cell r="D202">
            <v>23</v>
          </cell>
          <cell r="E202">
            <v>43839</v>
          </cell>
          <cell r="F202" t="str">
            <v>Night</v>
          </cell>
          <cell r="G202" t="str">
            <v>Name 201@gmail.com</v>
          </cell>
          <cell r="H202">
            <v>34000</v>
          </cell>
          <cell r="I202">
            <v>6120</v>
          </cell>
          <cell r="J202">
            <v>1700</v>
          </cell>
          <cell r="K202">
            <v>1000</v>
          </cell>
          <cell r="L202">
            <v>2000</v>
          </cell>
          <cell r="M202">
            <v>1600</v>
          </cell>
          <cell r="N202">
            <v>30</v>
          </cell>
          <cell r="O202">
            <v>34000</v>
          </cell>
          <cell r="P202">
            <v>2</v>
          </cell>
          <cell r="Q202">
            <v>60</v>
          </cell>
          <cell r="R202">
            <v>141.66666666666666</v>
          </cell>
          <cell r="S202">
            <v>8500</v>
          </cell>
          <cell r="T202">
            <v>54920</v>
          </cell>
          <cell r="U202">
            <v>203</v>
          </cell>
          <cell r="V202">
            <v>4080</v>
          </cell>
          <cell r="W202">
            <v>0</v>
          </cell>
          <cell r="X202">
            <v>4283</v>
          </cell>
          <cell r="Y202">
            <v>50637</v>
          </cell>
        </row>
        <row r="203">
          <cell r="A203" t="str">
            <v>EMP202</v>
          </cell>
          <cell r="B203" t="str">
            <v>Name 202</v>
          </cell>
          <cell r="C203" t="str">
            <v>Accountant</v>
          </cell>
          <cell r="D203">
            <v>34</v>
          </cell>
          <cell r="E203">
            <v>43840</v>
          </cell>
          <cell r="F203" t="str">
            <v>Night</v>
          </cell>
          <cell r="G203" t="str">
            <v>Name 202@gmail.com</v>
          </cell>
          <cell r="H203">
            <v>45000</v>
          </cell>
          <cell r="I203">
            <v>8100</v>
          </cell>
          <cell r="J203">
            <v>2250</v>
          </cell>
          <cell r="K203">
            <v>1000</v>
          </cell>
          <cell r="L203">
            <v>5000</v>
          </cell>
          <cell r="M203">
            <v>1600</v>
          </cell>
          <cell r="N203">
            <v>30</v>
          </cell>
          <cell r="O203">
            <v>45000</v>
          </cell>
          <cell r="P203">
            <v>0</v>
          </cell>
          <cell r="Q203">
            <v>0</v>
          </cell>
          <cell r="R203">
            <v>187.5</v>
          </cell>
          <cell r="S203">
            <v>0</v>
          </cell>
          <cell r="T203">
            <v>62950</v>
          </cell>
          <cell r="U203">
            <v>204</v>
          </cell>
          <cell r="V203">
            <v>5400</v>
          </cell>
          <cell r="W203">
            <v>4000</v>
          </cell>
          <cell r="X203">
            <v>9604</v>
          </cell>
          <cell r="Y203">
            <v>53346</v>
          </cell>
        </row>
        <row r="204">
          <cell r="A204" t="str">
            <v>EMP203</v>
          </cell>
          <cell r="B204" t="str">
            <v>Name 203</v>
          </cell>
          <cell r="C204" t="str">
            <v>Accountant</v>
          </cell>
          <cell r="D204">
            <v>43</v>
          </cell>
          <cell r="E204">
            <v>43841</v>
          </cell>
          <cell r="F204" t="str">
            <v>Night</v>
          </cell>
          <cell r="G204" t="str">
            <v>Name 203@gmail.com</v>
          </cell>
          <cell r="H204">
            <v>55000</v>
          </cell>
          <cell r="I204">
            <v>9900</v>
          </cell>
          <cell r="J204">
            <v>2750</v>
          </cell>
          <cell r="K204">
            <v>1000</v>
          </cell>
          <cell r="L204">
            <v>0</v>
          </cell>
          <cell r="M204">
            <v>1600</v>
          </cell>
          <cell r="N204">
            <v>30</v>
          </cell>
          <cell r="O204">
            <v>55000</v>
          </cell>
          <cell r="P204">
            <v>1</v>
          </cell>
          <cell r="Q204">
            <v>30</v>
          </cell>
          <cell r="R204">
            <v>229.16666666666666</v>
          </cell>
          <cell r="S204">
            <v>6875</v>
          </cell>
          <cell r="T204">
            <v>77125</v>
          </cell>
          <cell r="U204">
            <v>205</v>
          </cell>
          <cell r="V204">
            <v>6600</v>
          </cell>
          <cell r="W204">
            <v>0</v>
          </cell>
          <cell r="X204">
            <v>6805</v>
          </cell>
          <cell r="Y204">
            <v>70320</v>
          </cell>
        </row>
        <row r="205">
          <cell r="A205" t="str">
            <v>EMP204</v>
          </cell>
          <cell r="B205" t="str">
            <v>Name 204</v>
          </cell>
          <cell r="C205" t="str">
            <v>Manager</v>
          </cell>
          <cell r="D205">
            <v>34</v>
          </cell>
          <cell r="E205">
            <v>43842</v>
          </cell>
          <cell r="F205" t="str">
            <v>Day</v>
          </cell>
          <cell r="G205" t="str">
            <v>Name 204@gmail.com</v>
          </cell>
          <cell r="H205">
            <v>43000</v>
          </cell>
          <cell r="I205">
            <v>7740</v>
          </cell>
          <cell r="J205">
            <v>2150</v>
          </cell>
          <cell r="K205">
            <v>1000</v>
          </cell>
          <cell r="L205">
            <v>0</v>
          </cell>
          <cell r="M205">
            <v>1600</v>
          </cell>
          <cell r="N205">
            <v>27</v>
          </cell>
          <cell r="O205">
            <v>38700</v>
          </cell>
          <cell r="P205">
            <v>1</v>
          </cell>
          <cell r="Q205">
            <v>27</v>
          </cell>
          <cell r="R205">
            <v>179.16666666666666</v>
          </cell>
          <cell r="S205">
            <v>4837.5</v>
          </cell>
          <cell r="T205">
            <v>56027.5</v>
          </cell>
          <cell r="U205">
            <v>200</v>
          </cell>
          <cell r="V205">
            <v>5160</v>
          </cell>
          <cell r="W205">
            <v>0</v>
          </cell>
          <cell r="X205">
            <v>5360</v>
          </cell>
          <cell r="Y205">
            <v>50667.5</v>
          </cell>
        </row>
        <row r="206">
          <cell r="A206" t="str">
            <v>EMP205</v>
          </cell>
          <cell r="B206" t="str">
            <v>Name 205</v>
          </cell>
          <cell r="C206" t="str">
            <v>Clerk</v>
          </cell>
          <cell r="D206">
            <v>43</v>
          </cell>
          <cell r="E206">
            <v>43843</v>
          </cell>
          <cell r="F206" t="str">
            <v>Day</v>
          </cell>
          <cell r="G206" t="str">
            <v>Name 205@gmail.com</v>
          </cell>
          <cell r="H206">
            <v>25000</v>
          </cell>
          <cell r="I206">
            <v>4500</v>
          </cell>
          <cell r="J206">
            <v>1250</v>
          </cell>
          <cell r="K206">
            <v>1000</v>
          </cell>
          <cell r="L206">
            <v>0</v>
          </cell>
          <cell r="M206">
            <v>1600</v>
          </cell>
          <cell r="N206">
            <v>30</v>
          </cell>
          <cell r="O206">
            <v>25000</v>
          </cell>
          <cell r="P206">
            <v>0</v>
          </cell>
          <cell r="Q206">
            <v>0</v>
          </cell>
          <cell r="R206">
            <v>104.16666666666667</v>
          </cell>
          <cell r="S206">
            <v>0</v>
          </cell>
          <cell r="T206">
            <v>33350</v>
          </cell>
          <cell r="U206">
            <v>200</v>
          </cell>
          <cell r="V206">
            <v>3000</v>
          </cell>
          <cell r="W206">
            <v>0</v>
          </cell>
          <cell r="X206">
            <v>3200</v>
          </cell>
          <cell r="Y206">
            <v>30150</v>
          </cell>
        </row>
        <row r="207">
          <cell r="A207" t="str">
            <v>EMP206</v>
          </cell>
          <cell r="B207" t="str">
            <v>Name 206</v>
          </cell>
          <cell r="C207" t="str">
            <v>Accountant</v>
          </cell>
          <cell r="D207">
            <v>23</v>
          </cell>
          <cell r="E207">
            <v>43844</v>
          </cell>
          <cell r="F207" t="str">
            <v>Day</v>
          </cell>
          <cell r="G207" t="str">
            <v>Name 206@gmail.com</v>
          </cell>
          <cell r="H207">
            <v>28000</v>
          </cell>
          <cell r="I207">
            <v>5040</v>
          </cell>
          <cell r="J207">
            <v>1400</v>
          </cell>
          <cell r="K207">
            <v>1000</v>
          </cell>
          <cell r="L207">
            <v>0</v>
          </cell>
          <cell r="M207">
            <v>1600</v>
          </cell>
          <cell r="N207">
            <v>20</v>
          </cell>
          <cell r="O207">
            <v>18666.666666666668</v>
          </cell>
          <cell r="P207">
            <v>0</v>
          </cell>
          <cell r="Q207">
            <v>0</v>
          </cell>
          <cell r="R207">
            <v>116.66666666666667</v>
          </cell>
          <cell r="S207">
            <v>0</v>
          </cell>
          <cell r="T207">
            <v>27706.666666666668</v>
          </cell>
          <cell r="U207">
            <v>200</v>
          </cell>
          <cell r="V207">
            <v>3360</v>
          </cell>
          <cell r="W207">
            <v>0</v>
          </cell>
          <cell r="X207">
            <v>3560</v>
          </cell>
          <cell r="Y207">
            <v>24146.666666666668</v>
          </cell>
        </row>
        <row r="208">
          <cell r="A208" t="str">
            <v>EMP207</v>
          </cell>
          <cell r="B208" t="str">
            <v>Name 207</v>
          </cell>
          <cell r="C208" t="str">
            <v>Manager</v>
          </cell>
          <cell r="D208">
            <v>34</v>
          </cell>
          <cell r="E208">
            <v>43845</v>
          </cell>
          <cell r="F208" t="str">
            <v>Day</v>
          </cell>
          <cell r="G208" t="str">
            <v>Name 207@gmail.com</v>
          </cell>
          <cell r="H208">
            <v>40000</v>
          </cell>
          <cell r="I208">
            <v>7200</v>
          </cell>
          <cell r="J208">
            <v>2000</v>
          </cell>
          <cell r="K208">
            <v>1000</v>
          </cell>
          <cell r="L208">
            <v>0</v>
          </cell>
          <cell r="M208">
            <v>1600</v>
          </cell>
          <cell r="N208">
            <v>28</v>
          </cell>
          <cell r="O208">
            <v>37333.333333333328</v>
          </cell>
          <cell r="P208">
            <v>2</v>
          </cell>
          <cell r="Q208">
            <v>56</v>
          </cell>
          <cell r="R208">
            <v>166.66666666666666</v>
          </cell>
          <cell r="S208">
            <v>9333.3333333333321</v>
          </cell>
          <cell r="T208">
            <v>58466.666666666657</v>
          </cell>
          <cell r="U208">
            <v>200</v>
          </cell>
          <cell r="V208">
            <v>4800</v>
          </cell>
          <cell r="W208">
            <v>0</v>
          </cell>
          <cell r="X208">
            <v>5000</v>
          </cell>
          <cell r="Y208">
            <v>53466.666666666657</v>
          </cell>
        </row>
        <row r="209">
          <cell r="A209" t="str">
            <v>EMP208</v>
          </cell>
          <cell r="B209" t="str">
            <v>Name 208</v>
          </cell>
          <cell r="C209" t="str">
            <v>Manager</v>
          </cell>
          <cell r="D209">
            <v>23</v>
          </cell>
          <cell r="E209">
            <v>43846</v>
          </cell>
          <cell r="F209" t="str">
            <v>Day</v>
          </cell>
          <cell r="G209" t="str">
            <v>Name 208@gmail.com</v>
          </cell>
          <cell r="H209">
            <v>32000</v>
          </cell>
          <cell r="I209">
            <v>5760</v>
          </cell>
          <cell r="J209">
            <v>1600</v>
          </cell>
          <cell r="K209">
            <v>1000</v>
          </cell>
          <cell r="L209">
            <v>0</v>
          </cell>
          <cell r="M209">
            <v>1600</v>
          </cell>
          <cell r="N209">
            <v>30</v>
          </cell>
          <cell r="O209">
            <v>32000.000000000004</v>
          </cell>
          <cell r="P209">
            <v>1</v>
          </cell>
          <cell r="Q209">
            <v>30</v>
          </cell>
          <cell r="R209">
            <v>133.33333333333334</v>
          </cell>
          <cell r="S209">
            <v>4000.0000000000005</v>
          </cell>
          <cell r="T209">
            <v>45960</v>
          </cell>
          <cell r="U209">
            <v>200</v>
          </cell>
          <cell r="V209">
            <v>3840</v>
          </cell>
          <cell r="W209">
            <v>5000</v>
          </cell>
          <cell r="X209">
            <v>9040</v>
          </cell>
          <cell r="Y209">
            <v>36920</v>
          </cell>
        </row>
        <row r="210">
          <cell r="A210" t="str">
            <v>EMP209</v>
          </cell>
          <cell r="B210" t="str">
            <v>Name 209</v>
          </cell>
          <cell r="C210" t="str">
            <v>Clerk</v>
          </cell>
          <cell r="D210">
            <v>34</v>
          </cell>
          <cell r="E210">
            <v>43847</v>
          </cell>
          <cell r="F210" t="str">
            <v>Day</v>
          </cell>
          <cell r="G210" t="str">
            <v>Name 209@gmail.com</v>
          </cell>
          <cell r="H210">
            <v>28000</v>
          </cell>
          <cell r="I210">
            <v>5040</v>
          </cell>
          <cell r="J210">
            <v>1400</v>
          </cell>
          <cell r="K210">
            <v>1000</v>
          </cell>
          <cell r="L210">
            <v>0</v>
          </cell>
          <cell r="M210">
            <v>1600</v>
          </cell>
          <cell r="N210">
            <v>29</v>
          </cell>
          <cell r="O210">
            <v>27066.666666666668</v>
          </cell>
          <cell r="P210">
            <v>1</v>
          </cell>
          <cell r="Q210">
            <v>29</v>
          </cell>
          <cell r="R210">
            <v>116.66666666666667</v>
          </cell>
          <cell r="S210">
            <v>3383.3333333333335</v>
          </cell>
          <cell r="T210">
            <v>39490.000000000007</v>
          </cell>
          <cell r="U210">
            <v>200</v>
          </cell>
          <cell r="V210">
            <v>3360</v>
          </cell>
          <cell r="W210">
            <v>0</v>
          </cell>
          <cell r="X210">
            <v>3560</v>
          </cell>
          <cell r="Y210">
            <v>35930.000000000007</v>
          </cell>
        </row>
        <row r="211">
          <cell r="A211" t="str">
            <v>EMP210</v>
          </cell>
          <cell r="B211" t="str">
            <v>Name 210</v>
          </cell>
          <cell r="C211" t="str">
            <v>Accountant</v>
          </cell>
          <cell r="D211">
            <v>23</v>
          </cell>
          <cell r="E211">
            <v>43848</v>
          </cell>
          <cell r="F211" t="str">
            <v>Night</v>
          </cell>
          <cell r="G211" t="str">
            <v>Name 210@gmail.com</v>
          </cell>
          <cell r="H211">
            <v>44000</v>
          </cell>
          <cell r="I211">
            <v>7920</v>
          </cell>
          <cell r="J211">
            <v>2200</v>
          </cell>
          <cell r="K211">
            <v>1000</v>
          </cell>
          <cell r="L211">
            <v>0</v>
          </cell>
          <cell r="M211">
            <v>1600</v>
          </cell>
          <cell r="N211">
            <v>28</v>
          </cell>
          <cell r="O211">
            <v>41066.666666666672</v>
          </cell>
          <cell r="P211">
            <v>1</v>
          </cell>
          <cell r="Q211">
            <v>28</v>
          </cell>
          <cell r="R211">
            <v>183.33333333333334</v>
          </cell>
          <cell r="S211">
            <v>5133.3333333333339</v>
          </cell>
          <cell r="T211">
            <v>58920.000000000007</v>
          </cell>
          <cell r="U211">
            <v>200</v>
          </cell>
          <cell r="V211">
            <v>5280</v>
          </cell>
          <cell r="W211">
            <v>0</v>
          </cell>
          <cell r="X211">
            <v>5480</v>
          </cell>
          <cell r="Y211">
            <v>53440.000000000007</v>
          </cell>
        </row>
        <row r="212">
          <cell r="A212" t="str">
            <v>EMP211</v>
          </cell>
          <cell r="B212" t="str">
            <v>Name 211</v>
          </cell>
          <cell r="C212" t="str">
            <v>Manager</v>
          </cell>
          <cell r="D212">
            <v>34</v>
          </cell>
          <cell r="E212">
            <v>43849</v>
          </cell>
          <cell r="F212" t="str">
            <v>Day</v>
          </cell>
          <cell r="G212" t="str">
            <v>Name 211@gmail.com</v>
          </cell>
          <cell r="H212">
            <v>25000</v>
          </cell>
          <cell r="I212">
            <v>4500</v>
          </cell>
          <cell r="J212">
            <v>1250</v>
          </cell>
          <cell r="K212">
            <v>1000</v>
          </cell>
          <cell r="L212">
            <v>0</v>
          </cell>
          <cell r="M212">
            <v>1600</v>
          </cell>
          <cell r="N212">
            <v>27</v>
          </cell>
          <cell r="O212">
            <v>22500</v>
          </cell>
          <cell r="P212">
            <v>1</v>
          </cell>
          <cell r="Q212">
            <v>27</v>
          </cell>
          <cell r="R212">
            <v>104.16666666666667</v>
          </cell>
          <cell r="S212">
            <v>2812.5</v>
          </cell>
          <cell r="T212">
            <v>33662.5</v>
          </cell>
          <cell r="U212">
            <v>200</v>
          </cell>
          <cell r="V212">
            <v>3000</v>
          </cell>
          <cell r="W212">
            <v>0</v>
          </cell>
          <cell r="X212">
            <v>3200</v>
          </cell>
          <cell r="Y212">
            <v>30462.5</v>
          </cell>
        </row>
        <row r="213">
          <cell r="A213" t="str">
            <v>EMP212</v>
          </cell>
          <cell r="B213" t="str">
            <v>Name 212</v>
          </cell>
          <cell r="C213" t="str">
            <v>Accountant</v>
          </cell>
          <cell r="D213">
            <v>45</v>
          </cell>
          <cell r="E213">
            <v>43850</v>
          </cell>
          <cell r="F213" t="str">
            <v>Day</v>
          </cell>
          <cell r="G213" t="str">
            <v>Name 212@gmail.com</v>
          </cell>
          <cell r="H213">
            <v>50000</v>
          </cell>
          <cell r="I213">
            <v>9000</v>
          </cell>
          <cell r="J213">
            <v>2500</v>
          </cell>
          <cell r="K213">
            <v>1000</v>
          </cell>
          <cell r="L213">
            <v>0</v>
          </cell>
          <cell r="M213">
            <v>1600</v>
          </cell>
          <cell r="N213">
            <v>27</v>
          </cell>
          <cell r="O213">
            <v>45000</v>
          </cell>
          <cell r="P213">
            <v>3</v>
          </cell>
          <cell r="Q213">
            <v>81</v>
          </cell>
          <cell r="R213">
            <v>208.33333333333334</v>
          </cell>
          <cell r="S213">
            <v>16875</v>
          </cell>
          <cell r="T213">
            <v>75975</v>
          </cell>
          <cell r="U213">
            <v>201</v>
          </cell>
          <cell r="V213">
            <v>6000</v>
          </cell>
          <cell r="W213">
            <v>0</v>
          </cell>
          <cell r="X213">
            <v>6201</v>
          </cell>
          <cell r="Y213">
            <v>69774</v>
          </cell>
        </row>
        <row r="214">
          <cell r="A214" t="str">
            <v>EMP213</v>
          </cell>
          <cell r="B214" t="str">
            <v>Name 213</v>
          </cell>
          <cell r="C214" t="str">
            <v>Accountant</v>
          </cell>
          <cell r="D214">
            <v>54</v>
          </cell>
          <cell r="E214">
            <v>43851</v>
          </cell>
          <cell r="F214" t="str">
            <v>Night</v>
          </cell>
          <cell r="G214" t="str">
            <v>Name 213@gmail.com</v>
          </cell>
          <cell r="H214">
            <v>70000</v>
          </cell>
          <cell r="I214">
            <v>12600</v>
          </cell>
          <cell r="J214">
            <v>3500</v>
          </cell>
          <cell r="K214">
            <v>1000</v>
          </cell>
          <cell r="L214">
            <v>0</v>
          </cell>
          <cell r="M214">
            <v>1600</v>
          </cell>
          <cell r="N214">
            <v>27</v>
          </cell>
          <cell r="O214">
            <v>63000.000000000007</v>
          </cell>
          <cell r="P214">
            <v>1</v>
          </cell>
          <cell r="Q214">
            <v>27</v>
          </cell>
          <cell r="R214">
            <v>291.66666666666669</v>
          </cell>
          <cell r="S214">
            <v>7875.0000000000009</v>
          </cell>
          <cell r="T214">
            <v>89575</v>
          </cell>
          <cell r="U214">
            <v>202</v>
          </cell>
          <cell r="V214">
            <v>8400</v>
          </cell>
          <cell r="W214">
            <v>0</v>
          </cell>
          <cell r="X214">
            <v>8602</v>
          </cell>
          <cell r="Y214">
            <v>80973</v>
          </cell>
        </row>
        <row r="215">
          <cell r="A215" t="str">
            <v>EMP214</v>
          </cell>
          <cell r="B215" t="str">
            <v>Name 214</v>
          </cell>
          <cell r="C215" t="str">
            <v>Accountant</v>
          </cell>
          <cell r="D215">
            <v>56</v>
          </cell>
          <cell r="E215">
            <v>43852</v>
          </cell>
          <cell r="F215" t="str">
            <v>Night</v>
          </cell>
          <cell r="G215" t="str">
            <v>Name 214@gmail.com</v>
          </cell>
          <cell r="H215">
            <v>34000</v>
          </cell>
          <cell r="I215">
            <v>6120</v>
          </cell>
          <cell r="J215">
            <v>1700</v>
          </cell>
          <cell r="K215">
            <v>1000</v>
          </cell>
          <cell r="L215">
            <v>2000</v>
          </cell>
          <cell r="M215">
            <v>1600</v>
          </cell>
          <cell r="N215">
            <v>30</v>
          </cell>
          <cell r="O215">
            <v>34000</v>
          </cell>
          <cell r="P215">
            <v>2</v>
          </cell>
          <cell r="Q215">
            <v>60</v>
          </cell>
          <cell r="R215">
            <v>141.66666666666666</v>
          </cell>
          <cell r="S215">
            <v>8500</v>
          </cell>
          <cell r="T215">
            <v>54920</v>
          </cell>
          <cell r="U215">
            <v>203</v>
          </cell>
          <cell r="V215">
            <v>4080</v>
          </cell>
          <cell r="W215">
            <v>0</v>
          </cell>
          <cell r="X215">
            <v>4283</v>
          </cell>
          <cell r="Y215">
            <v>50637</v>
          </cell>
        </row>
        <row r="216">
          <cell r="A216" t="str">
            <v>EMP215</v>
          </cell>
          <cell r="B216" t="str">
            <v>Name 215</v>
          </cell>
          <cell r="C216" t="str">
            <v>Accountant</v>
          </cell>
          <cell r="D216">
            <v>54</v>
          </cell>
          <cell r="E216">
            <v>43853</v>
          </cell>
          <cell r="F216" t="str">
            <v>Night</v>
          </cell>
          <cell r="G216" t="str">
            <v>Name 215@gmail.com</v>
          </cell>
          <cell r="H216">
            <v>45000</v>
          </cell>
          <cell r="I216">
            <v>8100</v>
          </cell>
          <cell r="J216">
            <v>2250</v>
          </cell>
          <cell r="K216">
            <v>1000</v>
          </cell>
          <cell r="L216">
            <v>5000</v>
          </cell>
          <cell r="M216">
            <v>1600</v>
          </cell>
          <cell r="N216">
            <v>30</v>
          </cell>
          <cell r="O216">
            <v>45000</v>
          </cell>
          <cell r="P216">
            <v>0</v>
          </cell>
          <cell r="Q216">
            <v>0</v>
          </cell>
          <cell r="R216">
            <v>187.5</v>
          </cell>
          <cell r="S216">
            <v>0</v>
          </cell>
          <cell r="T216">
            <v>62950</v>
          </cell>
          <cell r="U216">
            <v>204</v>
          </cell>
          <cell r="V216">
            <v>5400</v>
          </cell>
          <cell r="W216">
            <v>4000</v>
          </cell>
          <cell r="X216">
            <v>9604</v>
          </cell>
          <cell r="Y216">
            <v>53346</v>
          </cell>
        </row>
        <row r="217">
          <cell r="A217" t="str">
            <v>EMP216</v>
          </cell>
          <cell r="B217" t="str">
            <v>Name 216</v>
          </cell>
          <cell r="C217" t="str">
            <v>Accountant</v>
          </cell>
          <cell r="D217">
            <v>34</v>
          </cell>
          <cell r="E217">
            <v>43854</v>
          </cell>
          <cell r="F217" t="str">
            <v>Night</v>
          </cell>
          <cell r="G217" t="str">
            <v>Name 216@gmail.com</v>
          </cell>
          <cell r="H217">
            <v>55000</v>
          </cell>
          <cell r="I217">
            <v>9900</v>
          </cell>
          <cell r="J217">
            <v>2750</v>
          </cell>
          <cell r="K217">
            <v>1000</v>
          </cell>
          <cell r="L217">
            <v>0</v>
          </cell>
          <cell r="M217">
            <v>1600</v>
          </cell>
          <cell r="N217">
            <v>30</v>
          </cell>
          <cell r="O217">
            <v>55000</v>
          </cell>
          <cell r="P217">
            <v>1</v>
          </cell>
          <cell r="Q217">
            <v>30</v>
          </cell>
          <cell r="R217">
            <v>229.16666666666666</v>
          </cell>
          <cell r="S217">
            <v>6875</v>
          </cell>
          <cell r="T217">
            <v>77125</v>
          </cell>
          <cell r="U217">
            <v>205</v>
          </cell>
          <cell r="V217">
            <v>6600</v>
          </cell>
          <cell r="W217">
            <v>0</v>
          </cell>
          <cell r="X217">
            <v>6805</v>
          </cell>
          <cell r="Y217">
            <v>70320</v>
          </cell>
        </row>
        <row r="218">
          <cell r="A218" t="str">
            <v>EMP217</v>
          </cell>
          <cell r="B218" t="str">
            <v>Name 217</v>
          </cell>
          <cell r="C218" t="str">
            <v>Manager</v>
          </cell>
          <cell r="D218">
            <v>23</v>
          </cell>
          <cell r="E218">
            <v>43831</v>
          </cell>
          <cell r="F218" t="str">
            <v>Day</v>
          </cell>
          <cell r="G218" t="str">
            <v>Name 217@gmail.com</v>
          </cell>
          <cell r="H218">
            <v>43000</v>
          </cell>
          <cell r="I218">
            <v>7740</v>
          </cell>
          <cell r="J218">
            <v>2150</v>
          </cell>
          <cell r="K218">
            <v>1000</v>
          </cell>
          <cell r="L218">
            <v>0</v>
          </cell>
          <cell r="M218">
            <v>1600</v>
          </cell>
          <cell r="N218">
            <v>27</v>
          </cell>
          <cell r="O218">
            <v>38700</v>
          </cell>
          <cell r="P218">
            <v>1</v>
          </cell>
          <cell r="Q218">
            <v>27</v>
          </cell>
          <cell r="R218">
            <v>179.16666666666666</v>
          </cell>
          <cell r="S218">
            <v>4837.5</v>
          </cell>
          <cell r="T218">
            <v>56027.5</v>
          </cell>
          <cell r="U218">
            <v>200</v>
          </cell>
          <cell r="V218">
            <v>5160</v>
          </cell>
          <cell r="W218">
            <v>0</v>
          </cell>
          <cell r="X218">
            <v>5360</v>
          </cell>
          <cell r="Y218">
            <v>50667.5</v>
          </cell>
        </row>
        <row r="219">
          <cell r="A219" t="str">
            <v>EMP218</v>
          </cell>
          <cell r="B219" t="str">
            <v>Name 218</v>
          </cell>
          <cell r="C219" t="str">
            <v>Clerk</v>
          </cell>
          <cell r="D219">
            <v>34</v>
          </cell>
          <cell r="E219">
            <v>43832</v>
          </cell>
          <cell r="F219" t="str">
            <v>Day</v>
          </cell>
          <cell r="G219" t="str">
            <v>Name 218@gmail.com</v>
          </cell>
          <cell r="H219">
            <v>25000</v>
          </cell>
          <cell r="I219">
            <v>4500</v>
          </cell>
          <cell r="J219">
            <v>1250</v>
          </cell>
          <cell r="K219">
            <v>1000</v>
          </cell>
          <cell r="L219">
            <v>0</v>
          </cell>
          <cell r="M219">
            <v>1600</v>
          </cell>
          <cell r="N219">
            <v>30</v>
          </cell>
          <cell r="O219">
            <v>25000</v>
          </cell>
          <cell r="P219">
            <v>0</v>
          </cell>
          <cell r="Q219">
            <v>0</v>
          </cell>
          <cell r="R219">
            <v>104.16666666666667</v>
          </cell>
          <cell r="S219">
            <v>0</v>
          </cell>
          <cell r="T219">
            <v>33350</v>
          </cell>
          <cell r="U219">
            <v>200</v>
          </cell>
          <cell r="V219">
            <v>3000</v>
          </cell>
          <cell r="W219">
            <v>0</v>
          </cell>
          <cell r="X219">
            <v>3200</v>
          </cell>
          <cell r="Y219">
            <v>30150</v>
          </cell>
        </row>
        <row r="220">
          <cell r="A220" t="str">
            <v>EMP219</v>
          </cell>
          <cell r="B220" t="str">
            <v>Name 219</v>
          </cell>
          <cell r="C220" t="str">
            <v>Accountant</v>
          </cell>
          <cell r="D220">
            <v>43</v>
          </cell>
          <cell r="E220">
            <v>43833</v>
          </cell>
          <cell r="F220" t="str">
            <v>Day</v>
          </cell>
          <cell r="G220" t="str">
            <v>Name 219@gmail.com</v>
          </cell>
          <cell r="H220">
            <v>28000</v>
          </cell>
          <cell r="I220">
            <v>5040</v>
          </cell>
          <cell r="J220">
            <v>1400</v>
          </cell>
          <cell r="K220">
            <v>1000</v>
          </cell>
          <cell r="L220">
            <v>0</v>
          </cell>
          <cell r="M220">
            <v>1600</v>
          </cell>
          <cell r="N220">
            <v>20</v>
          </cell>
          <cell r="O220">
            <v>18666.666666666668</v>
          </cell>
          <cell r="P220">
            <v>0</v>
          </cell>
          <cell r="Q220">
            <v>0</v>
          </cell>
          <cell r="R220">
            <v>116.66666666666667</v>
          </cell>
          <cell r="S220">
            <v>0</v>
          </cell>
          <cell r="T220">
            <v>27706.666666666668</v>
          </cell>
          <cell r="U220">
            <v>200</v>
          </cell>
          <cell r="V220">
            <v>3360</v>
          </cell>
          <cell r="W220">
            <v>0</v>
          </cell>
          <cell r="X220">
            <v>3560</v>
          </cell>
          <cell r="Y220">
            <v>24146.666666666668</v>
          </cell>
        </row>
        <row r="221">
          <cell r="A221" t="str">
            <v>EMP220</v>
          </cell>
          <cell r="B221" t="str">
            <v>Name 220</v>
          </cell>
          <cell r="C221" t="str">
            <v>Manager</v>
          </cell>
          <cell r="D221">
            <v>34</v>
          </cell>
          <cell r="E221">
            <v>43834</v>
          </cell>
          <cell r="F221" t="str">
            <v>Day</v>
          </cell>
          <cell r="G221" t="str">
            <v>Name 220@gmail.com</v>
          </cell>
          <cell r="H221">
            <v>40000</v>
          </cell>
          <cell r="I221">
            <v>7200</v>
          </cell>
          <cell r="J221">
            <v>2000</v>
          </cell>
          <cell r="K221">
            <v>1000</v>
          </cell>
          <cell r="L221">
            <v>0</v>
          </cell>
          <cell r="M221">
            <v>1600</v>
          </cell>
          <cell r="N221">
            <v>28</v>
          </cell>
          <cell r="O221">
            <v>37333.333333333328</v>
          </cell>
          <cell r="P221">
            <v>2</v>
          </cell>
          <cell r="Q221">
            <v>56</v>
          </cell>
          <cell r="R221">
            <v>166.66666666666666</v>
          </cell>
          <cell r="S221">
            <v>9333.3333333333321</v>
          </cell>
          <cell r="T221">
            <v>58466.666666666657</v>
          </cell>
          <cell r="U221">
            <v>200</v>
          </cell>
          <cell r="V221">
            <v>4800</v>
          </cell>
          <cell r="W221">
            <v>0</v>
          </cell>
          <cell r="X221">
            <v>5000</v>
          </cell>
          <cell r="Y221">
            <v>53466.666666666657</v>
          </cell>
        </row>
        <row r="222">
          <cell r="A222" t="str">
            <v>EMP221</v>
          </cell>
          <cell r="B222" t="str">
            <v>Name 221</v>
          </cell>
          <cell r="C222" t="str">
            <v>Manager</v>
          </cell>
          <cell r="D222">
            <v>43</v>
          </cell>
          <cell r="E222">
            <v>43835</v>
          </cell>
          <cell r="F222" t="str">
            <v>Day</v>
          </cell>
          <cell r="G222" t="str">
            <v>Name 221@gmail.com</v>
          </cell>
          <cell r="H222">
            <v>32000</v>
          </cell>
          <cell r="I222">
            <v>5760</v>
          </cell>
          <cell r="J222">
            <v>1600</v>
          </cell>
          <cell r="K222">
            <v>1000</v>
          </cell>
          <cell r="L222">
            <v>0</v>
          </cell>
          <cell r="M222">
            <v>1600</v>
          </cell>
          <cell r="N222">
            <v>30</v>
          </cell>
          <cell r="O222">
            <v>32000.000000000004</v>
          </cell>
          <cell r="P222">
            <v>1</v>
          </cell>
          <cell r="Q222">
            <v>30</v>
          </cell>
          <cell r="R222">
            <v>133.33333333333334</v>
          </cell>
          <cell r="S222">
            <v>4000.0000000000005</v>
          </cell>
          <cell r="T222">
            <v>45960</v>
          </cell>
          <cell r="U222">
            <v>200</v>
          </cell>
          <cell r="V222">
            <v>3840</v>
          </cell>
          <cell r="W222">
            <v>5000</v>
          </cell>
          <cell r="X222">
            <v>9040</v>
          </cell>
          <cell r="Y222">
            <v>36920</v>
          </cell>
        </row>
        <row r="223">
          <cell r="A223" t="str">
            <v>EMP222</v>
          </cell>
          <cell r="B223" t="str">
            <v>Name 222</v>
          </cell>
          <cell r="C223" t="str">
            <v>Clerk</v>
          </cell>
          <cell r="D223">
            <v>23</v>
          </cell>
          <cell r="E223">
            <v>43836</v>
          </cell>
          <cell r="F223" t="str">
            <v>Day</v>
          </cell>
          <cell r="G223" t="str">
            <v>Name 222@gmail.com</v>
          </cell>
          <cell r="H223">
            <v>28000</v>
          </cell>
          <cell r="I223">
            <v>5040</v>
          </cell>
          <cell r="J223">
            <v>1400</v>
          </cell>
          <cell r="K223">
            <v>1000</v>
          </cell>
          <cell r="L223">
            <v>0</v>
          </cell>
          <cell r="M223">
            <v>1600</v>
          </cell>
          <cell r="N223">
            <v>29</v>
          </cell>
          <cell r="O223">
            <v>27066.666666666668</v>
          </cell>
          <cell r="P223">
            <v>1</v>
          </cell>
          <cell r="Q223">
            <v>29</v>
          </cell>
          <cell r="R223">
            <v>116.66666666666667</v>
          </cell>
          <cell r="S223">
            <v>3383.3333333333335</v>
          </cell>
          <cell r="T223">
            <v>39490.000000000007</v>
          </cell>
          <cell r="U223">
            <v>200</v>
          </cell>
          <cell r="V223">
            <v>3360</v>
          </cell>
          <cell r="W223">
            <v>0</v>
          </cell>
          <cell r="X223">
            <v>3560</v>
          </cell>
          <cell r="Y223">
            <v>35930.000000000007</v>
          </cell>
        </row>
        <row r="224">
          <cell r="A224" t="str">
            <v>EMP223</v>
          </cell>
          <cell r="B224" t="str">
            <v>Name 223</v>
          </cell>
          <cell r="C224" t="str">
            <v>Accountant</v>
          </cell>
          <cell r="D224">
            <v>34</v>
          </cell>
          <cell r="E224">
            <v>43837</v>
          </cell>
          <cell r="F224" t="str">
            <v>Night</v>
          </cell>
          <cell r="G224" t="str">
            <v>Name 223@gmail.com</v>
          </cell>
          <cell r="H224">
            <v>44000</v>
          </cell>
          <cell r="I224">
            <v>7920</v>
          </cell>
          <cell r="J224">
            <v>2200</v>
          </cell>
          <cell r="K224">
            <v>1000</v>
          </cell>
          <cell r="L224">
            <v>0</v>
          </cell>
          <cell r="M224">
            <v>1600</v>
          </cell>
          <cell r="N224">
            <v>28</v>
          </cell>
          <cell r="O224">
            <v>41066.666666666672</v>
          </cell>
          <cell r="P224">
            <v>1</v>
          </cell>
          <cell r="Q224">
            <v>28</v>
          </cell>
          <cell r="R224">
            <v>183.33333333333334</v>
          </cell>
          <cell r="S224">
            <v>5133.3333333333339</v>
          </cell>
          <cell r="T224">
            <v>58920.000000000007</v>
          </cell>
          <cell r="U224">
            <v>200</v>
          </cell>
          <cell r="V224">
            <v>5280</v>
          </cell>
          <cell r="W224">
            <v>0</v>
          </cell>
          <cell r="X224">
            <v>5480</v>
          </cell>
          <cell r="Y224">
            <v>53440.000000000007</v>
          </cell>
        </row>
        <row r="225">
          <cell r="A225" t="str">
            <v>EMP224</v>
          </cell>
          <cell r="B225" t="str">
            <v>Name 224</v>
          </cell>
          <cell r="C225" t="str">
            <v>Manager</v>
          </cell>
          <cell r="D225">
            <v>23</v>
          </cell>
          <cell r="E225">
            <v>43838</v>
          </cell>
          <cell r="F225" t="str">
            <v>Day</v>
          </cell>
          <cell r="G225" t="str">
            <v>Name 224@gmail.com</v>
          </cell>
          <cell r="H225">
            <v>25000</v>
          </cell>
          <cell r="I225">
            <v>4500</v>
          </cell>
          <cell r="J225">
            <v>1250</v>
          </cell>
          <cell r="K225">
            <v>1000</v>
          </cell>
          <cell r="L225">
            <v>0</v>
          </cell>
          <cell r="M225">
            <v>1600</v>
          </cell>
          <cell r="N225">
            <v>27</v>
          </cell>
          <cell r="O225">
            <v>22500</v>
          </cell>
          <cell r="P225">
            <v>1</v>
          </cell>
          <cell r="Q225">
            <v>27</v>
          </cell>
          <cell r="R225">
            <v>104.16666666666667</v>
          </cell>
          <cell r="S225">
            <v>2812.5</v>
          </cell>
          <cell r="T225">
            <v>33662.5</v>
          </cell>
          <cell r="U225">
            <v>200</v>
          </cell>
          <cell r="V225">
            <v>3000</v>
          </cell>
          <cell r="W225">
            <v>0</v>
          </cell>
          <cell r="X225">
            <v>3200</v>
          </cell>
          <cell r="Y225">
            <v>30462.5</v>
          </cell>
        </row>
        <row r="226">
          <cell r="A226" t="str">
            <v>EMP225</v>
          </cell>
          <cell r="B226" t="str">
            <v>Name 225</v>
          </cell>
          <cell r="C226" t="str">
            <v>Accountant</v>
          </cell>
          <cell r="D226">
            <v>34</v>
          </cell>
          <cell r="E226">
            <v>43839</v>
          </cell>
          <cell r="F226" t="str">
            <v>Day</v>
          </cell>
          <cell r="G226" t="str">
            <v>Name 225@gmail.com</v>
          </cell>
          <cell r="H226">
            <v>50000</v>
          </cell>
          <cell r="I226">
            <v>9000</v>
          </cell>
          <cell r="J226">
            <v>2500</v>
          </cell>
          <cell r="K226">
            <v>1000</v>
          </cell>
          <cell r="L226">
            <v>0</v>
          </cell>
          <cell r="M226">
            <v>1600</v>
          </cell>
          <cell r="N226">
            <v>27</v>
          </cell>
          <cell r="O226">
            <v>45000</v>
          </cell>
          <cell r="P226">
            <v>3</v>
          </cell>
          <cell r="Q226">
            <v>81</v>
          </cell>
          <cell r="R226">
            <v>208.33333333333334</v>
          </cell>
          <cell r="S226">
            <v>16875</v>
          </cell>
          <cell r="T226">
            <v>75975</v>
          </cell>
          <cell r="U226">
            <v>201</v>
          </cell>
          <cell r="V226">
            <v>6000</v>
          </cell>
          <cell r="W226">
            <v>0</v>
          </cell>
          <cell r="X226">
            <v>6201</v>
          </cell>
          <cell r="Y226">
            <v>69774</v>
          </cell>
        </row>
        <row r="227">
          <cell r="A227" t="str">
            <v>EMP226</v>
          </cell>
          <cell r="B227" t="str">
            <v>Name 226</v>
          </cell>
          <cell r="C227" t="str">
            <v>Accountant</v>
          </cell>
          <cell r="D227">
            <v>23</v>
          </cell>
          <cell r="E227">
            <v>43840</v>
          </cell>
          <cell r="F227" t="str">
            <v>Night</v>
          </cell>
          <cell r="G227" t="str">
            <v>Name 226@gmail.com</v>
          </cell>
          <cell r="H227">
            <v>70000</v>
          </cell>
          <cell r="I227">
            <v>12600</v>
          </cell>
          <cell r="J227">
            <v>3500</v>
          </cell>
          <cell r="K227">
            <v>1000</v>
          </cell>
          <cell r="L227">
            <v>0</v>
          </cell>
          <cell r="M227">
            <v>1600</v>
          </cell>
          <cell r="N227">
            <v>27</v>
          </cell>
          <cell r="O227">
            <v>63000.000000000007</v>
          </cell>
          <cell r="P227">
            <v>1</v>
          </cell>
          <cell r="Q227">
            <v>27</v>
          </cell>
          <cell r="R227">
            <v>291.66666666666669</v>
          </cell>
          <cell r="S227">
            <v>7875.0000000000009</v>
          </cell>
          <cell r="T227">
            <v>89575</v>
          </cell>
          <cell r="U227">
            <v>202</v>
          </cell>
          <cell r="V227">
            <v>8400</v>
          </cell>
          <cell r="W227">
            <v>0</v>
          </cell>
          <cell r="X227">
            <v>8602</v>
          </cell>
          <cell r="Y227">
            <v>80973</v>
          </cell>
        </row>
        <row r="228">
          <cell r="A228" t="str">
            <v>EMP227</v>
          </cell>
          <cell r="B228" t="str">
            <v>Name 227</v>
          </cell>
          <cell r="C228" t="str">
            <v>Accountant</v>
          </cell>
          <cell r="D228">
            <v>34</v>
          </cell>
          <cell r="E228">
            <v>43841</v>
          </cell>
          <cell r="F228" t="str">
            <v>Night</v>
          </cell>
          <cell r="G228" t="str">
            <v>Name 227@gmail.com</v>
          </cell>
          <cell r="H228">
            <v>34000</v>
          </cell>
          <cell r="I228">
            <v>6120</v>
          </cell>
          <cell r="J228">
            <v>1700</v>
          </cell>
          <cell r="K228">
            <v>1000</v>
          </cell>
          <cell r="L228">
            <v>2000</v>
          </cell>
          <cell r="M228">
            <v>1600</v>
          </cell>
          <cell r="N228">
            <v>30</v>
          </cell>
          <cell r="O228">
            <v>34000</v>
          </cell>
          <cell r="P228">
            <v>2</v>
          </cell>
          <cell r="Q228">
            <v>60</v>
          </cell>
          <cell r="R228">
            <v>141.66666666666666</v>
          </cell>
          <cell r="S228">
            <v>8500</v>
          </cell>
          <cell r="T228">
            <v>54920</v>
          </cell>
          <cell r="U228">
            <v>203</v>
          </cell>
          <cell r="V228">
            <v>4080</v>
          </cell>
          <cell r="W228">
            <v>0</v>
          </cell>
          <cell r="X228">
            <v>4283</v>
          </cell>
          <cell r="Y228">
            <v>50637</v>
          </cell>
        </row>
        <row r="229">
          <cell r="A229" t="str">
            <v>EMP228</v>
          </cell>
          <cell r="B229" t="str">
            <v>Name 228</v>
          </cell>
          <cell r="C229" t="str">
            <v>Accountant</v>
          </cell>
          <cell r="D229">
            <v>45</v>
          </cell>
          <cell r="E229">
            <v>43842</v>
          </cell>
          <cell r="F229" t="str">
            <v>Night</v>
          </cell>
          <cell r="G229" t="str">
            <v>Name 228@gmail.com</v>
          </cell>
          <cell r="H229">
            <v>45000</v>
          </cell>
          <cell r="I229">
            <v>8100</v>
          </cell>
          <cell r="J229">
            <v>2250</v>
          </cell>
          <cell r="K229">
            <v>1000</v>
          </cell>
          <cell r="L229">
            <v>5000</v>
          </cell>
          <cell r="M229">
            <v>1600</v>
          </cell>
          <cell r="N229">
            <v>30</v>
          </cell>
          <cell r="O229">
            <v>45000</v>
          </cell>
          <cell r="P229">
            <v>0</v>
          </cell>
          <cell r="Q229">
            <v>0</v>
          </cell>
          <cell r="R229">
            <v>187.5</v>
          </cell>
          <cell r="S229">
            <v>0</v>
          </cell>
          <cell r="T229">
            <v>62950</v>
          </cell>
          <cell r="U229">
            <v>204</v>
          </cell>
          <cell r="V229">
            <v>5400</v>
          </cell>
          <cell r="W229">
            <v>4000</v>
          </cell>
          <cell r="X229">
            <v>9604</v>
          </cell>
          <cell r="Y229">
            <v>53346</v>
          </cell>
        </row>
        <row r="230">
          <cell r="A230" t="str">
            <v>EMP229</v>
          </cell>
          <cell r="B230" t="str">
            <v>Name 229</v>
          </cell>
          <cell r="C230" t="str">
            <v>Accountant</v>
          </cell>
          <cell r="D230">
            <v>54</v>
          </cell>
          <cell r="E230">
            <v>43843</v>
          </cell>
          <cell r="F230" t="str">
            <v>Night</v>
          </cell>
          <cell r="G230" t="str">
            <v>Name 229@gmail.com</v>
          </cell>
          <cell r="H230">
            <v>55000</v>
          </cell>
          <cell r="I230">
            <v>9900</v>
          </cell>
          <cell r="J230">
            <v>2750</v>
          </cell>
          <cell r="K230">
            <v>1000</v>
          </cell>
          <cell r="L230">
            <v>0</v>
          </cell>
          <cell r="M230">
            <v>1600</v>
          </cell>
          <cell r="N230">
            <v>30</v>
          </cell>
          <cell r="O230">
            <v>55000</v>
          </cell>
          <cell r="P230">
            <v>1</v>
          </cell>
          <cell r="Q230">
            <v>30</v>
          </cell>
          <cell r="R230">
            <v>229.16666666666666</v>
          </cell>
          <cell r="S230">
            <v>6875</v>
          </cell>
          <cell r="T230">
            <v>77125</v>
          </cell>
          <cell r="U230">
            <v>205</v>
          </cell>
          <cell r="V230">
            <v>6600</v>
          </cell>
          <cell r="W230">
            <v>0</v>
          </cell>
          <cell r="X230">
            <v>6805</v>
          </cell>
          <cell r="Y230">
            <v>70320</v>
          </cell>
        </row>
        <row r="231">
          <cell r="A231" t="str">
            <v>EMP230</v>
          </cell>
          <cell r="B231" t="str">
            <v>Name 230</v>
          </cell>
          <cell r="C231" t="str">
            <v>Manager</v>
          </cell>
          <cell r="D231">
            <v>56</v>
          </cell>
          <cell r="E231">
            <v>43844</v>
          </cell>
          <cell r="F231" t="str">
            <v>Day</v>
          </cell>
          <cell r="G231" t="str">
            <v>Name 230@gmail.com</v>
          </cell>
          <cell r="H231">
            <v>43000</v>
          </cell>
          <cell r="I231">
            <v>7740</v>
          </cell>
          <cell r="J231">
            <v>2150</v>
          </cell>
          <cell r="K231">
            <v>1000</v>
          </cell>
          <cell r="L231">
            <v>0</v>
          </cell>
          <cell r="M231">
            <v>1600</v>
          </cell>
          <cell r="N231">
            <v>27</v>
          </cell>
          <cell r="O231">
            <v>38700</v>
          </cell>
          <cell r="P231">
            <v>1</v>
          </cell>
          <cell r="Q231">
            <v>27</v>
          </cell>
          <cell r="R231">
            <v>179.16666666666666</v>
          </cell>
          <cell r="S231">
            <v>4837.5</v>
          </cell>
          <cell r="T231">
            <v>56027.5</v>
          </cell>
          <cell r="U231">
            <v>200</v>
          </cell>
          <cell r="V231">
            <v>5160</v>
          </cell>
          <cell r="W231">
            <v>0</v>
          </cell>
          <cell r="X231">
            <v>5360</v>
          </cell>
          <cell r="Y231">
            <v>50667.5</v>
          </cell>
        </row>
        <row r="232">
          <cell r="A232" t="str">
            <v>EMP231</v>
          </cell>
          <cell r="B232" t="str">
            <v>Name 231</v>
          </cell>
          <cell r="C232" t="str">
            <v>Clerk</v>
          </cell>
          <cell r="D232">
            <v>54</v>
          </cell>
          <cell r="E232">
            <v>43845</v>
          </cell>
          <cell r="F232" t="str">
            <v>Day</v>
          </cell>
          <cell r="G232" t="str">
            <v>Name 231@gmail.com</v>
          </cell>
          <cell r="H232">
            <v>25000</v>
          </cell>
          <cell r="I232">
            <v>4500</v>
          </cell>
          <cell r="J232">
            <v>1250</v>
          </cell>
          <cell r="K232">
            <v>1000</v>
          </cell>
          <cell r="L232">
            <v>0</v>
          </cell>
          <cell r="M232">
            <v>1600</v>
          </cell>
          <cell r="N232">
            <v>30</v>
          </cell>
          <cell r="O232">
            <v>25000</v>
          </cell>
          <cell r="P232">
            <v>0</v>
          </cell>
          <cell r="Q232">
            <v>0</v>
          </cell>
          <cell r="R232">
            <v>104.16666666666667</v>
          </cell>
          <cell r="S232">
            <v>0</v>
          </cell>
          <cell r="T232">
            <v>33350</v>
          </cell>
          <cell r="U232">
            <v>200</v>
          </cell>
          <cell r="V232">
            <v>3000</v>
          </cell>
          <cell r="W232">
            <v>0</v>
          </cell>
          <cell r="X232">
            <v>3200</v>
          </cell>
          <cell r="Y232">
            <v>30150</v>
          </cell>
        </row>
        <row r="233">
          <cell r="A233" t="str">
            <v>EMP232</v>
          </cell>
          <cell r="B233" t="str">
            <v>Name 232</v>
          </cell>
          <cell r="C233" t="str">
            <v>Accountant</v>
          </cell>
          <cell r="D233">
            <v>34</v>
          </cell>
          <cell r="E233">
            <v>43846</v>
          </cell>
          <cell r="F233" t="str">
            <v>Day</v>
          </cell>
          <cell r="G233" t="str">
            <v>Name 232@gmail.com</v>
          </cell>
          <cell r="H233">
            <v>28000</v>
          </cell>
          <cell r="I233">
            <v>5040</v>
          </cell>
          <cell r="J233">
            <v>1400</v>
          </cell>
          <cell r="K233">
            <v>1000</v>
          </cell>
          <cell r="L233">
            <v>0</v>
          </cell>
          <cell r="M233">
            <v>1600</v>
          </cell>
          <cell r="N233">
            <v>20</v>
          </cell>
          <cell r="O233">
            <v>18666.666666666668</v>
          </cell>
          <cell r="P233">
            <v>0</v>
          </cell>
          <cell r="Q233">
            <v>0</v>
          </cell>
          <cell r="R233">
            <v>116.66666666666667</v>
          </cell>
          <cell r="S233">
            <v>0</v>
          </cell>
          <cell r="T233">
            <v>27706.666666666668</v>
          </cell>
          <cell r="U233">
            <v>200</v>
          </cell>
          <cell r="V233">
            <v>3360</v>
          </cell>
          <cell r="W233">
            <v>0</v>
          </cell>
          <cell r="X233">
            <v>3560</v>
          </cell>
          <cell r="Y233">
            <v>24146.666666666668</v>
          </cell>
        </row>
        <row r="234">
          <cell r="A234" t="str">
            <v>EMP233</v>
          </cell>
          <cell r="B234" t="str">
            <v>Name 233</v>
          </cell>
          <cell r="C234" t="str">
            <v>Manager</v>
          </cell>
          <cell r="D234">
            <v>23</v>
          </cell>
          <cell r="E234">
            <v>43847</v>
          </cell>
          <cell r="F234" t="str">
            <v>Day</v>
          </cell>
          <cell r="G234" t="str">
            <v>Name 233@gmail.com</v>
          </cell>
          <cell r="H234">
            <v>40000</v>
          </cell>
          <cell r="I234">
            <v>7200</v>
          </cell>
          <cell r="J234">
            <v>2000</v>
          </cell>
          <cell r="K234">
            <v>1000</v>
          </cell>
          <cell r="L234">
            <v>0</v>
          </cell>
          <cell r="M234">
            <v>1600</v>
          </cell>
          <cell r="N234">
            <v>28</v>
          </cell>
          <cell r="O234">
            <v>37333.333333333328</v>
          </cell>
          <cell r="P234">
            <v>2</v>
          </cell>
          <cell r="Q234">
            <v>56</v>
          </cell>
          <cell r="R234">
            <v>166.66666666666666</v>
          </cell>
          <cell r="S234">
            <v>9333.3333333333321</v>
          </cell>
          <cell r="T234">
            <v>58466.666666666657</v>
          </cell>
          <cell r="U234">
            <v>200</v>
          </cell>
          <cell r="V234">
            <v>4800</v>
          </cell>
          <cell r="W234">
            <v>0</v>
          </cell>
          <cell r="X234">
            <v>5000</v>
          </cell>
          <cell r="Y234">
            <v>53466.666666666657</v>
          </cell>
        </row>
        <row r="235">
          <cell r="A235" t="str">
            <v>EMP234</v>
          </cell>
          <cell r="B235" t="str">
            <v>Name 234</v>
          </cell>
          <cell r="C235" t="str">
            <v>Manager</v>
          </cell>
          <cell r="D235">
            <v>34</v>
          </cell>
          <cell r="E235">
            <v>43848</v>
          </cell>
          <cell r="F235" t="str">
            <v>Day</v>
          </cell>
          <cell r="G235" t="str">
            <v>Name 234@gmail.com</v>
          </cell>
          <cell r="H235">
            <v>32000</v>
          </cell>
          <cell r="I235">
            <v>5760</v>
          </cell>
          <cell r="J235">
            <v>1600</v>
          </cell>
          <cell r="K235">
            <v>1000</v>
          </cell>
          <cell r="L235">
            <v>0</v>
          </cell>
          <cell r="M235">
            <v>1600</v>
          </cell>
          <cell r="N235">
            <v>30</v>
          </cell>
          <cell r="O235">
            <v>32000.000000000004</v>
          </cell>
          <cell r="P235">
            <v>1</v>
          </cell>
          <cell r="Q235">
            <v>30</v>
          </cell>
          <cell r="R235">
            <v>133.33333333333334</v>
          </cell>
          <cell r="S235">
            <v>4000.0000000000005</v>
          </cell>
          <cell r="T235">
            <v>45960</v>
          </cell>
          <cell r="U235">
            <v>200</v>
          </cell>
          <cell r="V235">
            <v>3840</v>
          </cell>
          <cell r="W235">
            <v>5000</v>
          </cell>
          <cell r="X235">
            <v>9040</v>
          </cell>
          <cell r="Y235">
            <v>36920</v>
          </cell>
        </row>
        <row r="236">
          <cell r="A236" t="str">
            <v>EMP235</v>
          </cell>
          <cell r="B236" t="str">
            <v>Name 235</v>
          </cell>
          <cell r="C236" t="str">
            <v>Clerk</v>
          </cell>
          <cell r="D236">
            <v>43</v>
          </cell>
          <cell r="E236">
            <v>43849</v>
          </cell>
          <cell r="F236" t="str">
            <v>Day</v>
          </cell>
          <cell r="G236" t="str">
            <v>Name 235@gmail.com</v>
          </cell>
          <cell r="H236">
            <v>28000</v>
          </cell>
          <cell r="I236">
            <v>5040</v>
          </cell>
          <cell r="J236">
            <v>1400</v>
          </cell>
          <cell r="K236">
            <v>1000</v>
          </cell>
          <cell r="L236">
            <v>0</v>
          </cell>
          <cell r="M236">
            <v>1600</v>
          </cell>
          <cell r="N236">
            <v>29</v>
          </cell>
          <cell r="O236">
            <v>27066.666666666668</v>
          </cell>
          <cell r="P236">
            <v>1</v>
          </cell>
          <cell r="Q236">
            <v>29</v>
          </cell>
          <cell r="R236">
            <v>116.66666666666667</v>
          </cell>
          <cell r="S236">
            <v>3383.3333333333335</v>
          </cell>
          <cell r="T236">
            <v>39490.000000000007</v>
          </cell>
          <cell r="U236">
            <v>200</v>
          </cell>
          <cell r="V236">
            <v>3360</v>
          </cell>
          <cell r="W236">
            <v>0</v>
          </cell>
          <cell r="X236">
            <v>3560</v>
          </cell>
          <cell r="Y236">
            <v>35930.000000000007</v>
          </cell>
        </row>
        <row r="237">
          <cell r="A237" t="str">
            <v>EMP236</v>
          </cell>
          <cell r="B237" t="str">
            <v>Name 236</v>
          </cell>
          <cell r="C237" t="str">
            <v>Accountant</v>
          </cell>
          <cell r="D237">
            <v>34</v>
          </cell>
          <cell r="E237">
            <v>43850</v>
          </cell>
          <cell r="F237" t="str">
            <v>Night</v>
          </cell>
          <cell r="G237" t="str">
            <v>Name 236@gmail.com</v>
          </cell>
          <cell r="H237">
            <v>44000</v>
          </cell>
          <cell r="I237">
            <v>7920</v>
          </cell>
          <cell r="J237">
            <v>2200</v>
          </cell>
          <cell r="K237">
            <v>1000</v>
          </cell>
          <cell r="L237">
            <v>0</v>
          </cell>
          <cell r="M237">
            <v>1600</v>
          </cell>
          <cell r="N237">
            <v>28</v>
          </cell>
          <cell r="O237">
            <v>41066.666666666672</v>
          </cell>
          <cell r="P237">
            <v>1</v>
          </cell>
          <cell r="Q237">
            <v>28</v>
          </cell>
          <cell r="R237">
            <v>183.33333333333334</v>
          </cell>
          <cell r="S237">
            <v>5133.3333333333339</v>
          </cell>
          <cell r="T237">
            <v>58920.000000000007</v>
          </cell>
          <cell r="U237">
            <v>200</v>
          </cell>
          <cell r="V237">
            <v>5280</v>
          </cell>
          <cell r="W237">
            <v>0</v>
          </cell>
          <cell r="X237">
            <v>5480</v>
          </cell>
          <cell r="Y237">
            <v>53440.000000000007</v>
          </cell>
        </row>
        <row r="238">
          <cell r="A238" t="str">
            <v>EMP237</v>
          </cell>
          <cell r="B238" t="str">
            <v>Name 237</v>
          </cell>
          <cell r="C238" t="str">
            <v>Manager</v>
          </cell>
          <cell r="D238">
            <v>43</v>
          </cell>
          <cell r="E238">
            <v>43851</v>
          </cell>
          <cell r="F238" t="str">
            <v>Day</v>
          </cell>
          <cell r="G238" t="str">
            <v>Name 237@gmail.com</v>
          </cell>
          <cell r="H238">
            <v>25000</v>
          </cell>
          <cell r="I238">
            <v>4500</v>
          </cell>
          <cell r="J238">
            <v>1250</v>
          </cell>
          <cell r="K238">
            <v>1000</v>
          </cell>
          <cell r="L238">
            <v>0</v>
          </cell>
          <cell r="M238">
            <v>1600</v>
          </cell>
          <cell r="N238">
            <v>27</v>
          </cell>
          <cell r="O238">
            <v>22500</v>
          </cell>
          <cell r="P238">
            <v>1</v>
          </cell>
          <cell r="Q238">
            <v>27</v>
          </cell>
          <cell r="R238">
            <v>104.16666666666667</v>
          </cell>
          <cell r="S238">
            <v>2812.5</v>
          </cell>
          <cell r="T238">
            <v>33662.5</v>
          </cell>
          <cell r="U238">
            <v>200</v>
          </cell>
          <cell r="V238">
            <v>3000</v>
          </cell>
          <cell r="W238">
            <v>0</v>
          </cell>
          <cell r="X238">
            <v>3200</v>
          </cell>
          <cell r="Y238">
            <v>30462.5</v>
          </cell>
        </row>
        <row r="239">
          <cell r="A239" t="str">
            <v>EMP238</v>
          </cell>
          <cell r="B239" t="str">
            <v>Name 238</v>
          </cell>
          <cell r="C239" t="str">
            <v>Accountant</v>
          </cell>
          <cell r="D239">
            <v>23</v>
          </cell>
          <cell r="E239">
            <v>43852</v>
          </cell>
          <cell r="F239" t="str">
            <v>Day</v>
          </cell>
          <cell r="G239" t="str">
            <v>Name 238@gmail.com</v>
          </cell>
          <cell r="H239">
            <v>50000</v>
          </cell>
          <cell r="I239">
            <v>9000</v>
          </cell>
          <cell r="J239">
            <v>2500</v>
          </cell>
          <cell r="K239">
            <v>1000</v>
          </cell>
          <cell r="L239">
            <v>0</v>
          </cell>
          <cell r="M239">
            <v>1600</v>
          </cell>
          <cell r="N239">
            <v>27</v>
          </cell>
          <cell r="O239">
            <v>45000</v>
          </cell>
          <cell r="P239">
            <v>3</v>
          </cell>
          <cell r="Q239">
            <v>81</v>
          </cell>
          <cell r="R239">
            <v>208.33333333333334</v>
          </cell>
          <cell r="S239">
            <v>16875</v>
          </cell>
          <cell r="T239">
            <v>75975</v>
          </cell>
          <cell r="U239">
            <v>201</v>
          </cell>
          <cell r="V239">
            <v>6000</v>
          </cell>
          <cell r="W239">
            <v>0</v>
          </cell>
          <cell r="X239">
            <v>6201</v>
          </cell>
          <cell r="Y239">
            <v>69774</v>
          </cell>
        </row>
        <row r="240">
          <cell r="A240" t="str">
            <v>EMP239</v>
          </cell>
          <cell r="B240" t="str">
            <v>Name 239</v>
          </cell>
          <cell r="C240" t="str">
            <v>Accountant</v>
          </cell>
          <cell r="D240">
            <v>34</v>
          </cell>
          <cell r="E240">
            <v>43853</v>
          </cell>
          <cell r="F240" t="str">
            <v>Night</v>
          </cell>
          <cell r="G240" t="str">
            <v>Name 239@gmail.com</v>
          </cell>
          <cell r="H240">
            <v>70000</v>
          </cell>
          <cell r="I240">
            <v>12600</v>
          </cell>
          <cell r="J240">
            <v>3500</v>
          </cell>
          <cell r="K240">
            <v>1000</v>
          </cell>
          <cell r="L240">
            <v>0</v>
          </cell>
          <cell r="M240">
            <v>1600</v>
          </cell>
          <cell r="N240">
            <v>27</v>
          </cell>
          <cell r="O240">
            <v>63000.000000000007</v>
          </cell>
          <cell r="P240">
            <v>1</v>
          </cell>
          <cell r="Q240">
            <v>27</v>
          </cell>
          <cell r="R240">
            <v>291.66666666666669</v>
          </cell>
          <cell r="S240">
            <v>7875.0000000000009</v>
          </cell>
          <cell r="T240">
            <v>89575</v>
          </cell>
          <cell r="U240">
            <v>202</v>
          </cell>
          <cell r="V240">
            <v>8400</v>
          </cell>
          <cell r="W240">
            <v>0</v>
          </cell>
          <cell r="X240">
            <v>8602</v>
          </cell>
          <cell r="Y240">
            <v>80973</v>
          </cell>
        </row>
        <row r="241">
          <cell r="A241" t="str">
            <v>EMP240</v>
          </cell>
          <cell r="B241" t="str">
            <v>Name 240</v>
          </cell>
          <cell r="C241" t="str">
            <v>Accountant</v>
          </cell>
          <cell r="D241">
            <v>23</v>
          </cell>
          <cell r="E241">
            <v>43854</v>
          </cell>
          <cell r="F241" t="str">
            <v>Night</v>
          </cell>
          <cell r="G241" t="str">
            <v>Name 240@gmail.com</v>
          </cell>
          <cell r="H241">
            <v>34000</v>
          </cell>
          <cell r="I241">
            <v>6120</v>
          </cell>
          <cell r="J241">
            <v>1700</v>
          </cell>
          <cell r="K241">
            <v>1000</v>
          </cell>
          <cell r="L241">
            <v>2000</v>
          </cell>
          <cell r="M241">
            <v>1600</v>
          </cell>
          <cell r="N241">
            <v>30</v>
          </cell>
          <cell r="O241">
            <v>34000</v>
          </cell>
          <cell r="P241">
            <v>2</v>
          </cell>
          <cell r="Q241">
            <v>60</v>
          </cell>
          <cell r="R241">
            <v>141.66666666666666</v>
          </cell>
          <cell r="S241">
            <v>8500</v>
          </cell>
          <cell r="T241">
            <v>54920</v>
          </cell>
          <cell r="U241">
            <v>203</v>
          </cell>
          <cell r="V241">
            <v>4080</v>
          </cell>
          <cell r="W241">
            <v>0</v>
          </cell>
          <cell r="X241">
            <v>4283</v>
          </cell>
          <cell r="Y241">
            <v>50637</v>
          </cell>
        </row>
        <row r="242">
          <cell r="A242" t="str">
            <v>EMP241</v>
          </cell>
          <cell r="B242" t="str">
            <v>Name 241</v>
          </cell>
          <cell r="C242" t="str">
            <v>Accountant</v>
          </cell>
          <cell r="D242">
            <v>34</v>
          </cell>
          <cell r="E242">
            <v>43831</v>
          </cell>
          <cell r="F242" t="str">
            <v>Night</v>
          </cell>
          <cell r="G242" t="str">
            <v>Name 241@gmail.com</v>
          </cell>
          <cell r="H242">
            <v>45000</v>
          </cell>
          <cell r="I242">
            <v>8100</v>
          </cell>
          <cell r="J242">
            <v>2250</v>
          </cell>
          <cell r="K242">
            <v>1000</v>
          </cell>
          <cell r="L242">
            <v>5000</v>
          </cell>
          <cell r="M242">
            <v>1600</v>
          </cell>
          <cell r="N242">
            <v>30</v>
          </cell>
          <cell r="O242">
            <v>45000</v>
          </cell>
          <cell r="P242">
            <v>0</v>
          </cell>
          <cell r="Q242">
            <v>0</v>
          </cell>
          <cell r="R242">
            <v>187.5</v>
          </cell>
          <cell r="S242">
            <v>0</v>
          </cell>
          <cell r="T242">
            <v>62950</v>
          </cell>
          <cell r="U242">
            <v>204</v>
          </cell>
          <cell r="V242">
            <v>5400</v>
          </cell>
          <cell r="W242">
            <v>4000</v>
          </cell>
          <cell r="X242">
            <v>9604</v>
          </cell>
          <cell r="Y242">
            <v>53346</v>
          </cell>
        </row>
        <row r="243">
          <cell r="A243" t="str">
            <v>EMP242</v>
          </cell>
          <cell r="B243" t="str">
            <v>Name 242</v>
          </cell>
          <cell r="C243" t="str">
            <v>Accountant</v>
          </cell>
          <cell r="D243">
            <v>23</v>
          </cell>
          <cell r="E243">
            <v>43832</v>
          </cell>
          <cell r="F243" t="str">
            <v>Night</v>
          </cell>
          <cell r="G243" t="str">
            <v>Name 242@gmail.com</v>
          </cell>
          <cell r="H243">
            <v>55000</v>
          </cell>
          <cell r="I243">
            <v>9900</v>
          </cell>
          <cell r="J243">
            <v>2750</v>
          </cell>
          <cell r="K243">
            <v>1000</v>
          </cell>
          <cell r="L243">
            <v>5000</v>
          </cell>
          <cell r="M243">
            <v>1600</v>
          </cell>
          <cell r="N243">
            <v>30</v>
          </cell>
          <cell r="O243">
            <v>55000</v>
          </cell>
          <cell r="P243">
            <v>1</v>
          </cell>
          <cell r="Q243">
            <v>30</v>
          </cell>
          <cell r="R243">
            <v>229.16666666666666</v>
          </cell>
          <cell r="S243">
            <v>6875</v>
          </cell>
          <cell r="T243">
            <v>82125</v>
          </cell>
          <cell r="U243">
            <v>205</v>
          </cell>
          <cell r="V243">
            <v>6600</v>
          </cell>
          <cell r="W243">
            <v>0</v>
          </cell>
          <cell r="X243">
            <v>6805</v>
          </cell>
          <cell r="Y243">
            <v>75320</v>
          </cell>
        </row>
        <row r="244">
          <cell r="A244" t="str">
            <v>EMP243</v>
          </cell>
          <cell r="B244" t="str">
            <v>Name 243</v>
          </cell>
          <cell r="C244" t="str">
            <v>Manager</v>
          </cell>
          <cell r="D244">
            <v>34</v>
          </cell>
          <cell r="E244">
            <v>43833</v>
          </cell>
          <cell r="F244" t="str">
            <v>Day</v>
          </cell>
          <cell r="G244" t="str">
            <v>Name 243@gmail.com</v>
          </cell>
          <cell r="H244">
            <v>43000</v>
          </cell>
          <cell r="I244">
            <v>7740</v>
          </cell>
          <cell r="J244">
            <v>2150</v>
          </cell>
          <cell r="K244">
            <v>1000</v>
          </cell>
          <cell r="L244">
            <v>5000</v>
          </cell>
          <cell r="M244">
            <v>1600</v>
          </cell>
          <cell r="N244">
            <v>27</v>
          </cell>
          <cell r="O244">
            <v>38700</v>
          </cell>
          <cell r="P244">
            <v>1</v>
          </cell>
          <cell r="Q244">
            <v>27</v>
          </cell>
          <cell r="R244">
            <v>179.16666666666666</v>
          </cell>
          <cell r="S244">
            <v>4837.5</v>
          </cell>
          <cell r="T244">
            <v>61027.5</v>
          </cell>
          <cell r="U244">
            <v>200</v>
          </cell>
          <cell r="V244">
            <v>5160</v>
          </cell>
          <cell r="W244">
            <v>0</v>
          </cell>
          <cell r="X244">
            <v>5360</v>
          </cell>
          <cell r="Y244">
            <v>55667.5</v>
          </cell>
        </row>
        <row r="245">
          <cell r="A245" t="str">
            <v>EMP244</v>
          </cell>
          <cell r="B245" t="str">
            <v>Name 244</v>
          </cell>
          <cell r="C245" t="str">
            <v>Clerk</v>
          </cell>
          <cell r="D245">
            <v>45</v>
          </cell>
          <cell r="E245">
            <v>43834</v>
          </cell>
          <cell r="F245" t="str">
            <v>Day</v>
          </cell>
          <cell r="G245" t="str">
            <v>Name 244@gmail.com</v>
          </cell>
          <cell r="H245">
            <v>25000</v>
          </cell>
          <cell r="I245">
            <v>4500</v>
          </cell>
          <cell r="J245">
            <v>1250</v>
          </cell>
          <cell r="K245">
            <v>1000</v>
          </cell>
          <cell r="L245">
            <v>5000</v>
          </cell>
          <cell r="M245">
            <v>1600</v>
          </cell>
          <cell r="N245">
            <v>30</v>
          </cell>
          <cell r="O245">
            <v>25000</v>
          </cell>
          <cell r="P245">
            <v>0</v>
          </cell>
          <cell r="Q245">
            <v>0</v>
          </cell>
          <cell r="R245">
            <v>104.16666666666667</v>
          </cell>
          <cell r="S245">
            <v>0</v>
          </cell>
          <cell r="T245">
            <v>38350</v>
          </cell>
          <cell r="U245">
            <v>200</v>
          </cell>
          <cell r="V245">
            <v>3000</v>
          </cell>
          <cell r="W245">
            <v>0</v>
          </cell>
          <cell r="X245">
            <v>3200</v>
          </cell>
          <cell r="Y245">
            <v>35150</v>
          </cell>
        </row>
        <row r="246">
          <cell r="A246" t="str">
            <v>EMP245</v>
          </cell>
          <cell r="B246" t="str">
            <v>Name 245</v>
          </cell>
          <cell r="C246" t="str">
            <v>Accountant</v>
          </cell>
          <cell r="D246">
            <v>54</v>
          </cell>
          <cell r="E246">
            <v>43835</v>
          </cell>
          <cell r="F246" t="str">
            <v>Day</v>
          </cell>
          <cell r="G246" t="str">
            <v>Name 245@gmail.com</v>
          </cell>
          <cell r="H246">
            <v>28000</v>
          </cell>
          <cell r="I246">
            <v>5040</v>
          </cell>
          <cell r="J246">
            <v>1400</v>
          </cell>
          <cell r="K246">
            <v>1000</v>
          </cell>
          <cell r="L246">
            <v>5000</v>
          </cell>
          <cell r="M246">
            <v>1600</v>
          </cell>
          <cell r="N246">
            <v>20</v>
          </cell>
          <cell r="O246">
            <v>18666.666666666668</v>
          </cell>
          <cell r="P246">
            <v>0</v>
          </cell>
          <cell r="Q246">
            <v>0</v>
          </cell>
          <cell r="R246">
            <v>116.66666666666667</v>
          </cell>
          <cell r="S246">
            <v>0</v>
          </cell>
          <cell r="T246">
            <v>32706.666666666668</v>
          </cell>
          <cell r="U246">
            <v>200</v>
          </cell>
          <cell r="V246">
            <v>3360</v>
          </cell>
          <cell r="W246">
            <v>0</v>
          </cell>
          <cell r="X246">
            <v>3560</v>
          </cell>
          <cell r="Y246">
            <v>29146.666666666668</v>
          </cell>
        </row>
        <row r="247">
          <cell r="A247" t="str">
            <v>EMP246</v>
          </cell>
          <cell r="B247" t="str">
            <v>Name 246</v>
          </cell>
          <cell r="C247" t="str">
            <v>Manager</v>
          </cell>
          <cell r="D247">
            <v>56</v>
          </cell>
          <cell r="E247">
            <v>43836</v>
          </cell>
          <cell r="F247" t="str">
            <v>Day</v>
          </cell>
          <cell r="G247" t="str">
            <v>Name 246@gmail.com</v>
          </cell>
          <cell r="H247">
            <v>40000</v>
          </cell>
          <cell r="I247">
            <v>7200</v>
          </cell>
          <cell r="J247">
            <v>2000</v>
          </cell>
          <cell r="K247">
            <v>1000</v>
          </cell>
          <cell r="L247">
            <v>5000</v>
          </cell>
          <cell r="M247">
            <v>1600</v>
          </cell>
          <cell r="N247">
            <v>28</v>
          </cell>
          <cell r="O247">
            <v>37333.333333333328</v>
          </cell>
          <cell r="P247">
            <v>2</v>
          </cell>
          <cell r="Q247">
            <v>56</v>
          </cell>
          <cell r="R247">
            <v>166.66666666666666</v>
          </cell>
          <cell r="S247">
            <v>9333.3333333333321</v>
          </cell>
          <cell r="T247">
            <v>63466.666666666657</v>
          </cell>
          <cell r="U247">
            <v>200</v>
          </cell>
          <cell r="V247">
            <v>4800</v>
          </cell>
          <cell r="W247">
            <v>0</v>
          </cell>
          <cell r="X247">
            <v>5000</v>
          </cell>
          <cell r="Y247">
            <v>58466.666666666657</v>
          </cell>
        </row>
        <row r="248">
          <cell r="A248" t="str">
            <v>EMP247</v>
          </cell>
          <cell r="B248" t="str">
            <v>Name 247</v>
          </cell>
          <cell r="C248" t="str">
            <v>Manager</v>
          </cell>
          <cell r="D248">
            <v>54</v>
          </cell>
          <cell r="E248">
            <v>43837</v>
          </cell>
          <cell r="F248" t="str">
            <v>Day</v>
          </cell>
          <cell r="G248" t="str">
            <v>Name 247@gmail.com</v>
          </cell>
          <cell r="H248">
            <v>32000</v>
          </cell>
          <cell r="I248">
            <v>5760</v>
          </cell>
          <cell r="J248">
            <v>1600</v>
          </cell>
          <cell r="K248">
            <v>1000</v>
          </cell>
          <cell r="L248">
            <v>5000</v>
          </cell>
          <cell r="M248">
            <v>1600</v>
          </cell>
          <cell r="N248">
            <v>30</v>
          </cell>
          <cell r="O248">
            <v>32000.000000000004</v>
          </cell>
          <cell r="P248">
            <v>1</v>
          </cell>
          <cell r="Q248">
            <v>30</v>
          </cell>
          <cell r="R248">
            <v>133.33333333333334</v>
          </cell>
          <cell r="S248">
            <v>4000.0000000000005</v>
          </cell>
          <cell r="T248">
            <v>50960</v>
          </cell>
          <cell r="U248">
            <v>200</v>
          </cell>
          <cell r="V248">
            <v>3840</v>
          </cell>
          <cell r="W248">
            <v>5000</v>
          </cell>
          <cell r="X248">
            <v>9040</v>
          </cell>
          <cell r="Y248">
            <v>41920</v>
          </cell>
        </row>
        <row r="249">
          <cell r="A249" t="str">
            <v>EMP248</v>
          </cell>
          <cell r="B249" t="str">
            <v>Name 248</v>
          </cell>
          <cell r="C249" t="str">
            <v>Clerk</v>
          </cell>
          <cell r="D249">
            <v>34</v>
          </cell>
          <cell r="E249">
            <v>43838</v>
          </cell>
          <cell r="F249" t="str">
            <v>Day</v>
          </cell>
          <cell r="G249" t="str">
            <v>Name 248@gmail.com</v>
          </cell>
          <cell r="H249">
            <v>28000</v>
          </cell>
          <cell r="I249">
            <v>5040</v>
          </cell>
          <cell r="J249">
            <v>1400</v>
          </cell>
          <cell r="K249">
            <v>1000</v>
          </cell>
          <cell r="L249">
            <v>5000</v>
          </cell>
          <cell r="M249">
            <v>1600</v>
          </cell>
          <cell r="N249">
            <v>29</v>
          </cell>
          <cell r="O249">
            <v>27066.666666666668</v>
          </cell>
          <cell r="P249">
            <v>1</v>
          </cell>
          <cell r="Q249">
            <v>29</v>
          </cell>
          <cell r="R249">
            <v>116.66666666666667</v>
          </cell>
          <cell r="S249">
            <v>3383.3333333333335</v>
          </cell>
          <cell r="T249">
            <v>44490.000000000007</v>
          </cell>
          <cell r="U249">
            <v>200</v>
          </cell>
          <cell r="V249">
            <v>3360</v>
          </cell>
          <cell r="W249">
            <v>0</v>
          </cell>
          <cell r="X249">
            <v>3560</v>
          </cell>
          <cell r="Y249">
            <v>40930.000000000007</v>
          </cell>
        </row>
        <row r="250">
          <cell r="A250" t="str">
            <v>EMP249</v>
          </cell>
          <cell r="B250" t="str">
            <v>Name 249</v>
          </cell>
          <cell r="C250" t="str">
            <v>Accountant</v>
          </cell>
          <cell r="D250">
            <v>23</v>
          </cell>
          <cell r="E250">
            <v>43839</v>
          </cell>
          <cell r="F250" t="str">
            <v>Night</v>
          </cell>
          <cell r="G250" t="str">
            <v>Name 249@gmail.com</v>
          </cell>
          <cell r="H250">
            <v>44000</v>
          </cell>
          <cell r="I250">
            <v>7920</v>
          </cell>
          <cell r="J250">
            <v>2200</v>
          </cell>
          <cell r="K250">
            <v>1000</v>
          </cell>
          <cell r="L250">
            <v>5000</v>
          </cell>
          <cell r="M250">
            <v>1600</v>
          </cell>
          <cell r="N250">
            <v>28</v>
          </cell>
          <cell r="O250">
            <v>41066.666666666672</v>
          </cell>
          <cell r="P250">
            <v>1</v>
          </cell>
          <cell r="Q250">
            <v>28</v>
          </cell>
          <cell r="R250">
            <v>183.33333333333334</v>
          </cell>
          <cell r="S250">
            <v>5133.3333333333339</v>
          </cell>
          <cell r="T250">
            <v>63920.000000000007</v>
          </cell>
          <cell r="U250">
            <v>200</v>
          </cell>
          <cell r="V250">
            <v>5280</v>
          </cell>
          <cell r="W250">
            <v>0</v>
          </cell>
          <cell r="X250">
            <v>5480</v>
          </cell>
          <cell r="Y250">
            <v>58440.000000000007</v>
          </cell>
        </row>
        <row r="251">
          <cell r="A251" t="str">
            <v>EMP250</v>
          </cell>
          <cell r="B251" t="str">
            <v>Name 250</v>
          </cell>
          <cell r="C251" t="str">
            <v>Manager</v>
          </cell>
          <cell r="D251">
            <v>34</v>
          </cell>
          <cell r="E251">
            <v>43840</v>
          </cell>
          <cell r="F251" t="str">
            <v>Day</v>
          </cell>
          <cell r="G251" t="str">
            <v>Name 250@gmail.com</v>
          </cell>
          <cell r="H251">
            <v>25000</v>
          </cell>
          <cell r="I251">
            <v>4500</v>
          </cell>
          <cell r="J251">
            <v>1250</v>
          </cell>
          <cell r="K251">
            <v>1000</v>
          </cell>
          <cell r="L251">
            <v>0</v>
          </cell>
          <cell r="M251">
            <v>1600</v>
          </cell>
          <cell r="N251">
            <v>27</v>
          </cell>
          <cell r="O251">
            <v>22500</v>
          </cell>
          <cell r="P251">
            <v>1</v>
          </cell>
          <cell r="Q251">
            <v>27</v>
          </cell>
          <cell r="R251">
            <v>104.16666666666667</v>
          </cell>
          <cell r="S251">
            <v>2812.5</v>
          </cell>
          <cell r="T251">
            <v>33662.5</v>
          </cell>
          <cell r="U251">
            <v>200</v>
          </cell>
          <cell r="V251">
            <v>3000</v>
          </cell>
          <cell r="W251">
            <v>0</v>
          </cell>
          <cell r="X251">
            <v>3200</v>
          </cell>
          <cell r="Y251">
            <v>30462.5</v>
          </cell>
        </row>
        <row r="252">
          <cell r="A252" t="str">
            <v>EMP251</v>
          </cell>
          <cell r="B252" t="str">
            <v>Name 251</v>
          </cell>
          <cell r="C252" t="str">
            <v>Accountant</v>
          </cell>
          <cell r="D252">
            <v>43</v>
          </cell>
          <cell r="E252">
            <v>43841</v>
          </cell>
          <cell r="F252" t="str">
            <v>Day</v>
          </cell>
          <cell r="G252" t="str">
            <v>Name 251@gmail.com</v>
          </cell>
          <cell r="H252">
            <v>50000</v>
          </cell>
          <cell r="I252">
            <v>9000</v>
          </cell>
          <cell r="J252">
            <v>2500</v>
          </cell>
          <cell r="K252">
            <v>1000</v>
          </cell>
          <cell r="L252">
            <v>0</v>
          </cell>
          <cell r="M252">
            <v>1600</v>
          </cell>
          <cell r="N252">
            <v>27</v>
          </cell>
          <cell r="O252">
            <v>45000</v>
          </cell>
          <cell r="P252">
            <v>3</v>
          </cell>
          <cell r="Q252">
            <v>81</v>
          </cell>
          <cell r="R252">
            <v>208.33333333333334</v>
          </cell>
          <cell r="S252">
            <v>16875</v>
          </cell>
          <cell r="T252">
            <v>75975</v>
          </cell>
          <cell r="U252">
            <v>201</v>
          </cell>
          <cell r="V252">
            <v>6000</v>
          </cell>
          <cell r="W252">
            <v>0</v>
          </cell>
          <cell r="X252">
            <v>6201</v>
          </cell>
          <cell r="Y252">
            <v>69774</v>
          </cell>
        </row>
        <row r="253">
          <cell r="A253" t="str">
            <v>EMP252</v>
          </cell>
          <cell r="B253" t="str">
            <v>Name 252</v>
          </cell>
          <cell r="C253" t="str">
            <v>Accountant</v>
          </cell>
          <cell r="D253">
            <v>34</v>
          </cell>
          <cell r="E253">
            <v>43842</v>
          </cell>
          <cell r="F253" t="str">
            <v>Night</v>
          </cell>
          <cell r="G253" t="str">
            <v>Name 252@gmail.com</v>
          </cell>
          <cell r="H253">
            <v>70000</v>
          </cell>
          <cell r="I253">
            <v>12600</v>
          </cell>
          <cell r="J253">
            <v>3500</v>
          </cell>
          <cell r="K253">
            <v>1000</v>
          </cell>
          <cell r="L253">
            <v>0</v>
          </cell>
          <cell r="M253">
            <v>1600</v>
          </cell>
          <cell r="N253">
            <v>27</v>
          </cell>
          <cell r="O253">
            <v>63000.000000000007</v>
          </cell>
          <cell r="P253">
            <v>1</v>
          </cell>
          <cell r="Q253">
            <v>27</v>
          </cell>
          <cell r="R253">
            <v>291.66666666666669</v>
          </cell>
          <cell r="S253">
            <v>7875.0000000000009</v>
          </cell>
          <cell r="T253">
            <v>89575</v>
          </cell>
          <cell r="U253">
            <v>202</v>
          </cell>
          <cell r="V253">
            <v>8400</v>
          </cell>
          <cell r="W253">
            <v>0</v>
          </cell>
          <cell r="X253">
            <v>8602</v>
          </cell>
          <cell r="Y253">
            <v>80973</v>
          </cell>
        </row>
        <row r="254">
          <cell r="A254" t="str">
            <v>EMP253</v>
          </cell>
          <cell r="B254" t="str">
            <v>Name 253</v>
          </cell>
          <cell r="C254" t="str">
            <v>Accountant</v>
          </cell>
          <cell r="D254">
            <v>43</v>
          </cell>
          <cell r="E254">
            <v>43843</v>
          </cell>
          <cell r="F254" t="str">
            <v>Night</v>
          </cell>
          <cell r="G254" t="str">
            <v>Name 253@gmail.com</v>
          </cell>
          <cell r="H254">
            <v>34000</v>
          </cell>
          <cell r="I254">
            <v>6120</v>
          </cell>
          <cell r="J254">
            <v>1700</v>
          </cell>
          <cell r="K254">
            <v>1000</v>
          </cell>
          <cell r="L254">
            <v>2000</v>
          </cell>
          <cell r="M254">
            <v>1600</v>
          </cell>
          <cell r="N254">
            <v>30</v>
          </cell>
          <cell r="O254">
            <v>34000</v>
          </cell>
          <cell r="P254">
            <v>2</v>
          </cell>
          <cell r="Q254">
            <v>60</v>
          </cell>
          <cell r="R254">
            <v>141.66666666666666</v>
          </cell>
          <cell r="S254">
            <v>8500</v>
          </cell>
          <cell r="T254">
            <v>54920</v>
          </cell>
          <cell r="U254">
            <v>203</v>
          </cell>
          <cell r="V254">
            <v>4080</v>
          </cell>
          <cell r="W254">
            <v>0</v>
          </cell>
          <cell r="X254">
            <v>4283</v>
          </cell>
          <cell r="Y254">
            <v>50637</v>
          </cell>
        </row>
        <row r="255">
          <cell r="A255" t="str">
            <v>EMP254</v>
          </cell>
          <cell r="B255" t="str">
            <v>Name 254</v>
          </cell>
          <cell r="C255" t="str">
            <v>Accountant</v>
          </cell>
          <cell r="D255">
            <v>23</v>
          </cell>
          <cell r="E255">
            <v>43844</v>
          </cell>
          <cell r="F255" t="str">
            <v>Night</v>
          </cell>
          <cell r="G255" t="str">
            <v>Name 254@gmail.com</v>
          </cell>
          <cell r="H255">
            <v>45000</v>
          </cell>
          <cell r="I255">
            <v>8100</v>
          </cell>
          <cell r="J255">
            <v>2250</v>
          </cell>
          <cell r="K255">
            <v>1000</v>
          </cell>
          <cell r="L255">
            <v>5000</v>
          </cell>
          <cell r="M255">
            <v>1600</v>
          </cell>
          <cell r="N255">
            <v>30</v>
          </cell>
          <cell r="O255">
            <v>45000</v>
          </cell>
          <cell r="P255">
            <v>0</v>
          </cell>
          <cell r="Q255">
            <v>0</v>
          </cell>
          <cell r="R255">
            <v>187.5</v>
          </cell>
          <cell r="S255">
            <v>0</v>
          </cell>
          <cell r="T255">
            <v>62950</v>
          </cell>
          <cell r="U255">
            <v>204</v>
          </cell>
          <cell r="V255">
            <v>5400</v>
          </cell>
          <cell r="W255">
            <v>4000</v>
          </cell>
          <cell r="X255">
            <v>9604</v>
          </cell>
          <cell r="Y255">
            <v>53346</v>
          </cell>
        </row>
        <row r="256">
          <cell r="A256" t="str">
            <v>EMP255</v>
          </cell>
          <cell r="B256" t="str">
            <v>Name 255</v>
          </cell>
          <cell r="C256" t="str">
            <v>Accountant</v>
          </cell>
          <cell r="D256">
            <v>34</v>
          </cell>
          <cell r="E256">
            <v>43845</v>
          </cell>
          <cell r="F256" t="str">
            <v>Night</v>
          </cell>
          <cell r="G256" t="str">
            <v>Name 255@gmail.com</v>
          </cell>
          <cell r="H256">
            <v>55000</v>
          </cell>
          <cell r="I256">
            <v>9900</v>
          </cell>
          <cell r="J256">
            <v>2750</v>
          </cell>
          <cell r="K256">
            <v>1000</v>
          </cell>
          <cell r="L256">
            <v>0</v>
          </cell>
          <cell r="M256">
            <v>1600</v>
          </cell>
          <cell r="N256">
            <v>30</v>
          </cell>
          <cell r="O256">
            <v>55000</v>
          </cell>
          <cell r="P256">
            <v>1</v>
          </cell>
          <cell r="Q256">
            <v>30</v>
          </cell>
          <cell r="R256">
            <v>229.16666666666666</v>
          </cell>
          <cell r="S256">
            <v>6875</v>
          </cell>
          <cell r="T256">
            <v>77125</v>
          </cell>
          <cell r="U256">
            <v>205</v>
          </cell>
          <cell r="V256">
            <v>6600</v>
          </cell>
          <cell r="W256">
            <v>0</v>
          </cell>
          <cell r="X256">
            <v>6805</v>
          </cell>
          <cell r="Y256">
            <v>70320</v>
          </cell>
        </row>
        <row r="257">
          <cell r="A257" t="str">
            <v>EMP256</v>
          </cell>
          <cell r="B257" t="str">
            <v>Name 256</v>
          </cell>
          <cell r="C257" t="str">
            <v>Manager</v>
          </cell>
          <cell r="D257">
            <v>23</v>
          </cell>
          <cell r="E257">
            <v>43846</v>
          </cell>
          <cell r="F257" t="str">
            <v>Day</v>
          </cell>
          <cell r="G257" t="str">
            <v>Name 256@gmail.com</v>
          </cell>
          <cell r="H257">
            <v>43000</v>
          </cell>
          <cell r="I257">
            <v>7740</v>
          </cell>
          <cell r="J257">
            <v>2150</v>
          </cell>
          <cell r="K257">
            <v>1000</v>
          </cell>
          <cell r="L257">
            <v>0</v>
          </cell>
          <cell r="M257">
            <v>1600</v>
          </cell>
          <cell r="N257">
            <v>27</v>
          </cell>
          <cell r="O257">
            <v>38700</v>
          </cell>
          <cell r="P257">
            <v>1</v>
          </cell>
          <cell r="Q257">
            <v>27</v>
          </cell>
          <cell r="R257">
            <v>179.16666666666666</v>
          </cell>
          <cell r="S257">
            <v>4837.5</v>
          </cell>
          <cell r="T257">
            <v>56027.5</v>
          </cell>
          <cell r="U257">
            <v>200</v>
          </cell>
          <cell r="V257">
            <v>5160</v>
          </cell>
          <cell r="W257">
            <v>0</v>
          </cell>
          <cell r="X257">
            <v>5360</v>
          </cell>
          <cell r="Y257">
            <v>50667.5</v>
          </cell>
        </row>
        <row r="258">
          <cell r="A258" t="str">
            <v>EMP257</v>
          </cell>
          <cell r="B258" t="str">
            <v>Name 257</v>
          </cell>
          <cell r="C258" t="str">
            <v>Clerk</v>
          </cell>
          <cell r="D258">
            <v>34</v>
          </cell>
          <cell r="E258">
            <v>43847</v>
          </cell>
          <cell r="F258" t="str">
            <v>Day</v>
          </cell>
          <cell r="G258" t="str">
            <v>Name 257@gmail.com</v>
          </cell>
          <cell r="H258">
            <v>25000</v>
          </cell>
          <cell r="I258">
            <v>4500</v>
          </cell>
          <cell r="J258">
            <v>1250</v>
          </cell>
          <cell r="K258">
            <v>1000</v>
          </cell>
          <cell r="L258">
            <v>0</v>
          </cell>
          <cell r="M258">
            <v>1600</v>
          </cell>
          <cell r="N258">
            <v>30</v>
          </cell>
          <cell r="O258">
            <v>25000</v>
          </cell>
          <cell r="P258">
            <v>0</v>
          </cell>
          <cell r="Q258">
            <v>0</v>
          </cell>
          <cell r="R258">
            <v>104.16666666666667</v>
          </cell>
          <cell r="S258">
            <v>0</v>
          </cell>
          <cell r="T258">
            <v>33350</v>
          </cell>
          <cell r="U258">
            <v>200</v>
          </cell>
          <cell r="V258">
            <v>3000</v>
          </cell>
          <cell r="W258">
            <v>0</v>
          </cell>
          <cell r="X258">
            <v>3200</v>
          </cell>
          <cell r="Y258">
            <v>30150</v>
          </cell>
        </row>
        <row r="259">
          <cell r="A259" t="str">
            <v>EMP258</v>
          </cell>
          <cell r="B259" t="str">
            <v>Name 258</v>
          </cell>
          <cell r="C259" t="str">
            <v>Accountant</v>
          </cell>
          <cell r="D259">
            <v>23</v>
          </cell>
          <cell r="E259">
            <v>43848</v>
          </cell>
          <cell r="F259" t="str">
            <v>Day</v>
          </cell>
          <cell r="G259" t="str">
            <v>Name 258@gmail.com</v>
          </cell>
          <cell r="H259">
            <v>28000</v>
          </cell>
          <cell r="I259">
            <v>5040</v>
          </cell>
          <cell r="J259">
            <v>1400</v>
          </cell>
          <cell r="K259">
            <v>1000</v>
          </cell>
          <cell r="L259">
            <v>0</v>
          </cell>
          <cell r="M259">
            <v>1600</v>
          </cell>
          <cell r="N259">
            <v>20</v>
          </cell>
          <cell r="O259">
            <v>18666.666666666668</v>
          </cell>
          <cell r="P259">
            <v>0</v>
          </cell>
          <cell r="Q259">
            <v>0</v>
          </cell>
          <cell r="R259">
            <v>116.66666666666667</v>
          </cell>
          <cell r="S259">
            <v>0</v>
          </cell>
          <cell r="T259">
            <v>27706.666666666668</v>
          </cell>
          <cell r="U259">
            <v>200</v>
          </cell>
          <cell r="V259">
            <v>3360</v>
          </cell>
          <cell r="W259">
            <v>0</v>
          </cell>
          <cell r="X259">
            <v>3560</v>
          </cell>
          <cell r="Y259">
            <v>24146.666666666668</v>
          </cell>
        </row>
        <row r="260">
          <cell r="A260" t="str">
            <v>EMP259</v>
          </cell>
          <cell r="B260" t="str">
            <v>Name 259</v>
          </cell>
          <cell r="C260" t="str">
            <v>Manager</v>
          </cell>
          <cell r="D260">
            <v>34</v>
          </cell>
          <cell r="E260">
            <v>43849</v>
          </cell>
          <cell r="F260" t="str">
            <v>Day</v>
          </cell>
          <cell r="G260" t="str">
            <v>Name 259@gmail.com</v>
          </cell>
          <cell r="H260">
            <v>40000</v>
          </cell>
          <cell r="I260">
            <v>7200</v>
          </cell>
          <cell r="J260">
            <v>2000</v>
          </cell>
          <cell r="K260">
            <v>1000</v>
          </cell>
          <cell r="L260">
            <v>0</v>
          </cell>
          <cell r="M260">
            <v>1600</v>
          </cell>
          <cell r="N260">
            <v>28</v>
          </cell>
          <cell r="O260">
            <v>37333.333333333328</v>
          </cell>
          <cell r="P260">
            <v>2</v>
          </cell>
          <cell r="Q260">
            <v>56</v>
          </cell>
          <cell r="R260">
            <v>166.66666666666666</v>
          </cell>
          <cell r="S260">
            <v>9333.3333333333321</v>
          </cell>
          <cell r="T260">
            <v>58466.666666666657</v>
          </cell>
          <cell r="U260">
            <v>200</v>
          </cell>
          <cell r="V260">
            <v>4800</v>
          </cell>
          <cell r="W260">
            <v>0</v>
          </cell>
          <cell r="X260">
            <v>5000</v>
          </cell>
          <cell r="Y260">
            <v>53466.666666666657</v>
          </cell>
        </row>
        <row r="261">
          <cell r="A261" t="str">
            <v>EMP260</v>
          </cell>
          <cell r="B261" t="str">
            <v>Name 260</v>
          </cell>
          <cell r="C261" t="str">
            <v>Manager</v>
          </cell>
          <cell r="D261">
            <v>45</v>
          </cell>
          <cell r="E261">
            <v>43850</v>
          </cell>
          <cell r="F261" t="str">
            <v>Day</v>
          </cell>
          <cell r="G261" t="str">
            <v>Name 260@gmail.com</v>
          </cell>
          <cell r="H261">
            <v>32000</v>
          </cell>
          <cell r="I261">
            <v>5760</v>
          </cell>
          <cell r="J261">
            <v>1600</v>
          </cell>
          <cell r="K261">
            <v>1000</v>
          </cell>
          <cell r="L261">
            <v>0</v>
          </cell>
          <cell r="M261">
            <v>1600</v>
          </cell>
          <cell r="N261">
            <v>30</v>
          </cell>
          <cell r="O261">
            <v>32000.000000000004</v>
          </cell>
          <cell r="P261">
            <v>1</v>
          </cell>
          <cell r="Q261">
            <v>30</v>
          </cell>
          <cell r="R261">
            <v>133.33333333333334</v>
          </cell>
          <cell r="S261">
            <v>4000.0000000000005</v>
          </cell>
          <cell r="T261">
            <v>45960</v>
          </cell>
          <cell r="U261">
            <v>200</v>
          </cell>
          <cell r="V261">
            <v>3840</v>
          </cell>
          <cell r="W261">
            <v>5000</v>
          </cell>
          <cell r="X261">
            <v>9040</v>
          </cell>
          <cell r="Y261">
            <v>36920</v>
          </cell>
        </row>
        <row r="262">
          <cell r="A262" t="str">
            <v>EMP261</v>
          </cell>
          <cell r="B262" t="str">
            <v>Name 261</v>
          </cell>
          <cell r="C262" t="str">
            <v>Clerk</v>
          </cell>
          <cell r="D262">
            <v>54</v>
          </cell>
          <cell r="E262">
            <v>43851</v>
          </cell>
          <cell r="F262" t="str">
            <v>Day</v>
          </cell>
          <cell r="G262" t="str">
            <v>Name 261@gmail.com</v>
          </cell>
          <cell r="H262">
            <v>28000</v>
          </cell>
          <cell r="I262">
            <v>5040</v>
          </cell>
          <cell r="J262">
            <v>1400</v>
          </cell>
          <cell r="K262">
            <v>1000</v>
          </cell>
          <cell r="L262">
            <v>0</v>
          </cell>
          <cell r="M262">
            <v>1600</v>
          </cell>
          <cell r="N262">
            <v>29</v>
          </cell>
          <cell r="O262">
            <v>27066.666666666668</v>
          </cell>
          <cell r="P262">
            <v>1</v>
          </cell>
          <cell r="Q262">
            <v>29</v>
          </cell>
          <cell r="R262">
            <v>116.66666666666667</v>
          </cell>
          <cell r="S262">
            <v>3383.3333333333335</v>
          </cell>
          <cell r="T262">
            <v>39490.000000000007</v>
          </cell>
          <cell r="U262">
            <v>200</v>
          </cell>
          <cell r="V262">
            <v>3360</v>
          </cell>
          <cell r="W262">
            <v>0</v>
          </cell>
          <cell r="X262">
            <v>3560</v>
          </cell>
          <cell r="Y262">
            <v>35930.000000000007</v>
          </cell>
        </row>
        <row r="263">
          <cell r="A263" t="str">
            <v>EMP262</v>
          </cell>
          <cell r="B263" t="str">
            <v>Name 262</v>
          </cell>
          <cell r="C263" t="str">
            <v>Accountant</v>
          </cell>
          <cell r="D263">
            <v>56</v>
          </cell>
          <cell r="E263">
            <v>43852</v>
          </cell>
          <cell r="F263" t="str">
            <v>Night</v>
          </cell>
          <cell r="G263" t="str">
            <v>Name 262@gmail.com</v>
          </cell>
          <cell r="H263">
            <v>44000</v>
          </cell>
          <cell r="I263">
            <v>7920</v>
          </cell>
          <cell r="J263">
            <v>2200</v>
          </cell>
          <cell r="K263">
            <v>1000</v>
          </cell>
          <cell r="L263">
            <v>0</v>
          </cell>
          <cell r="M263">
            <v>1600</v>
          </cell>
          <cell r="N263">
            <v>28</v>
          </cell>
          <cell r="O263">
            <v>41066.666666666672</v>
          </cell>
          <cell r="P263">
            <v>1</v>
          </cell>
          <cell r="Q263">
            <v>28</v>
          </cell>
          <cell r="R263">
            <v>183.33333333333334</v>
          </cell>
          <cell r="S263">
            <v>5133.3333333333339</v>
          </cell>
          <cell r="T263">
            <v>58920.000000000007</v>
          </cell>
          <cell r="U263">
            <v>200</v>
          </cell>
          <cell r="V263">
            <v>5280</v>
          </cell>
          <cell r="W263">
            <v>0</v>
          </cell>
          <cell r="X263">
            <v>5480</v>
          </cell>
          <cell r="Y263">
            <v>53440.000000000007</v>
          </cell>
        </row>
        <row r="264">
          <cell r="A264" t="str">
            <v>EMP263</v>
          </cell>
          <cell r="B264" t="str">
            <v>Name 263</v>
          </cell>
          <cell r="C264" t="str">
            <v>Manager</v>
          </cell>
          <cell r="D264">
            <v>54</v>
          </cell>
          <cell r="E264">
            <v>43853</v>
          </cell>
          <cell r="F264" t="str">
            <v>Day</v>
          </cell>
          <cell r="G264" t="str">
            <v>Name 263@gmail.com</v>
          </cell>
          <cell r="H264">
            <v>25000</v>
          </cell>
          <cell r="I264">
            <v>4500</v>
          </cell>
          <cell r="J264">
            <v>1250</v>
          </cell>
          <cell r="K264">
            <v>1000</v>
          </cell>
          <cell r="L264">
            <v>0</v>
          </cell>
          <cell r="M264">
            <v>1600</v>
          </cell>
          <cell r="N264">
            <v>27</v>
          </cell>
          <cell r="O264">
            <v>22500</v>
          </cell>
          <cell r="P264">
            <v>1</v>
          </cell>
          <cell r="Q264">
            <v>27</v>
          </cell>
          <cell r="R264">
            <v>104.16666666666667</v>
          </cell>
          <cell r="S264">
            <v>2812.5</v>
          </cell>
          <cell r="T264">
            <v>33662.5</v>
          </cell>
          <cell r="U264">
            <v>200</v>
          </cell>
          <cell r="V264">
            <v>3000</v>
          </cell>
          <cell r="W264">
            <v>0</v>
          </cell>
          <cell r="X264">
            <v>3200</v>
          </cell>
          <cell r="Y264">
            <v>30462.5</v>
          </cell>
        </row>
        <row r="265">
          <cell r="A265" t="str">
            <v>EMP264</v>
          </cell>
          <cell r="B265" t="str">
            <v>Name 264</v>
          </cell>
          <cell r="C265" t="str">
            <v>Accountant</v>
          </cell>
          <cell r="D265">
            <v>34</v>
          </cell>
          <cell r="E265">
            <v>43854</v>
          </cell>
          <cell r="F265" t="str">
            <v>Day</v>
          </cell>
          <cell r="G265" t="str">
            <v>Name 264@gmail.com</v>
          </cell>
          <cell r="H265">
            <v>50000</v>
          </cell>
          <cell r="I265">
            <v>9000</v>
          </cell>
          <cell r="J265">
            <v>2500</v>
          </cell>
          <cell r="K265">
            <v>1000</v>
          </cell>
          <cell r="L265">
            <v>0</v>
          </cell>
          <cell r="M265">
            <v>1600</v>
          </cell>
          <cell r="N265">
            <v>27</v>
          </cell>
          <cell r="O265">
            <v>45000</v>
          </cell>
          <cell r="P265">
            <v>3</v>
          </cell>
          <cell r="Q265">
            <v>81</v>
          </cell>
          <cell r="R265">
            <v>208.33333333333334</v>
          </cell>
          <cell r="S265">
            <v>16875</v>
          </cell>
          <cell r="T265">
            <v>75975</v>
          </cell>
          <cell r="U265">
            <v>201</v>
          </cell>
          <cell r="V265">
            <v>6000</v>
          </cell>
          <cell r="W265">
            <v>0</v>
          </cell>
          <cell r="X265">
            <v>6201</v>
          </cell>
          <cell r="Y265">
            <v>69774</v>
          </cell>
        </row>
        <row r="266">
          <cell r="A266" t="str">
            <v>EMP265</v>
          </cell>
          <cell r="B266" t="str">
            <v>Name 265</v>
          </cell>
          <cell r="C266" t="str">
            <v>Accountant</v>
          </cell>
          <cell r="D266">
            <v>23</v>
          </cell>
          <cell r="E266">
            <v>43831</v>
          </cell>
          <cell r="F266" t="str">
            <v>Night</v>
          </cell>
          <cell r="G266" t="str">
            <v>Name 265@gmail.com</v>
          </cell>
          <cell r="H266">
            <v>70000</v>
          </cell>
          <cell r="I266">
            <v>12600</v>
          </cell>
          <cell r="J266">
            <v>3500</v>
          </cell>
          <cell r="K266">
            <v>1000</v>
          </cell>
          <cell r="L266">
            <v>0</v>
          </cell>
          <cell r="M266">
            <v>1600</v>
          </cell>
          <cell r="N266">
            <v>27</v>
          </cell>
          <cell r="O266">
            <v>63000.000000000007</v>
          </cell>
          <cell r="P266">
            <v>1</v>
          </cell>
          <cell r="Q266">
            <v>27</v>
          </cell>
          <cell r="R266">
            <v>291.66666666666669</v>
          </cell>
          <cell r="S266">
            <v>7875.0000000000009</v>
          </cell>
          <cell r="T266">
            <v>89575</v>
          </cell>
          <cell r="U266">
            <v>202</v>
          </cell>
          <cell r="V266">
            <v>8400</v>
          </cell>
          <cell r="W266">
            <v>0</v>
          </cell>
          <cell r="X266">
            <v>8602</v>
          </cell>
          <cell r="Y266">
            <v>80973</v>
          </cell>
        </row>
        <row r="267">
          <cell r="A267" t="str">
            <v>EMP266</v>
          </cell>
          <cell r="B267" t="str">
            <v>Name 266</v>
          </cell>
          <cell r="C267" t="str">
            <v>Accountant</v>
          </cell>
          <cell r="D267">
            <v>34</v>
          </cell>
          <cell r="E267">
            <v>43832</v>
          </cell>
          <cell r="F267" t="str">
            <v>Night</v>
          </cell>
          <cell r="G267" t="str">
            <v>Name 266@gmail.com</v>
          </cell>
          <cell r="H267">
            <v>34000</v>
          </cell>
          <cell r="I267">
            <v>6120</v>
          </cell>
          <cell r="J267">
            <v>1700</v>
          </cell>
          <cell r="K267">
            <v>1000</v>
          </cell>
          <cell r="L267">
            <v>2000</v>
          </cell>
          <cell r="M267">
            <v>1600</v>
          </cell>
          <cell r="N267">
            <v>30</v>
          </cell>
          <cell r="O267">
            <v>34000</v>
          </cell>
          <cell r="P267">
            <v>2</v>
          </cell>
          <cell r="Q267">
            <v>60</v>
          </cell>
          <cell r="R267">
            <v>141.66666666666666</v>
          </cell>
          <cell r="S267">
            <v>8500</v>
          </cell>
          <cell r="T267">
            <v>54920</v>
          </cell>
          <cell r="U267">
            <v>203</v>
          </cell>
          <cell r="V267">
            <v>4080</v>
          </cell>
          <cell r="W267">
            <v>0</v>
          </cell>
          <cell r="X267">
            <v>4283</v>
          </cell>
          <cell r="Y267">
            <v>50637</v>
          </cell>
        </row>
        <row r="268">
          <cell r="A268" t="str">
            <v>EMP267</v>
          </cell>
          <cell r="B268" t="str">
            <v>Name 267</v>
          </cell>
          <cell r="C268" t="str">
            <v>Accountant</v>
          </cell>
          <cell r="D268">
            <v>43</v>
          </cell>
          <cell r="E268">
            <v>43833</v>
          </cell>
          <cell r="F268" t="str">
            <v>Night</v>
          </cell>
          <cell r="G268" t="str">
            <v>Name 267@gmail.com</v>
          </cell>
          <cell r="H268">
            <v>45000</v>
          </cell>
          <cell r="I268">
            <v>8100</v>
          </cell>
          <cell r="J268">
            <v>2250</v>
          </cell>
          <cell r="K268">
            <v>1000</v>
          </cell>
          <cell r="L268">
            <v>5000</v>
          </cell>
          <cell r="M268">
            <v>1600</v>
          </cell>
          <cell r="N268">
            <v>30</v>
          </cell>
          <cell r="O268">
            <v>45000</v>
          </cell>
          <cell r="P268">
            <v>0</v>
          </cell>
          <cell r="Q268">
            <v>0</v>
          </cell>
          <cell r="R268">
            <v>187.5</v>
          </cell>
          <cell r="S268">
            <v>0</v>
          </cell>
          <cell r="T268">
            <v>62950</v>
          </cell>
          <cell r="U268">
            <v>204</v>
          </cell>
          <cell r="V268">
            <v>5400</v>
          </cell>
          <cell r="W268">
            <v>4000</v>
          </cell>
          <cell r="X268">
            <v>9604</v>
          </cell>
          <cell r="Y268">
            <v>53346</v>
          </cell>
        </row>
        <row r="269">
          <cell r="A269" t="str">
            <v>EMP268</v>
          </cell>
          <cell r="B269" t="str">
            <v>Name 268</v>
          </cell>
          <cell r="C269" t="str">
            <v>Accountant</v>
          </cell>
          <cell r="D269">
            <v>34</v>
          </cell>
          <cell r="E269">
            <v>43834</v>
          </cell>
          <cell r="F269" t="str">
            <v>Night</v>
          </cell>
          <cell r="G269" t="str">
            <v>Name 268@gmail.com</v>
          </cell>
          <cell r="H269">
            <v>55000</v>
          </cell>
          <cell r="I269">
            <v>9900</v>
          </cell>
          <cell r="J269">
            <v>2750</v>
          </cell>
          <cell r="K269">
            <v>1000</v>
          </cell>
          <cell r="L269">
            <v>5000</v>
          </cell>
          <cell r="M269">
            <v>1600</v>
          </cell>
          <cell r="N269">
            <v>30</v>
          </cell>
          <cell r="O269">
            <v>55000</v>
          </cell>
          <cell r="P269">
            <v>1</v>
          </cell>
          <cell r="Q269">
            <v>30</v>
          </cell>
          <cell r="R269">
            <v>229.16666666666666</v>
          </cell>
          <cell r="S269">
            <v>6875</v>
          </cell>
          <cell r="T269">
            <v>82125</v>
          </cell>
          <cell r="U269">
            <v>205</v>
          </cell>
          <cell r="V269">
            <v>6600</v>
          </cell>
          <cell r="W269">
            <v>0</v>
          </cell>
          <cell r="X269">
            <v>6805</v>
          </cell>
          <cell r="Y269">
            <v>75320</v>
          </cell>
        </row>
        <row r="270">
          <cell r="A270" t="str">
            <v>EMP269</v>
          </cell>
          <cell r="B270" t="str">
            <v>Name 269</v>
          </cell>
          <cell r="C270" t="str">
            <v>Manager</v>
          </cell>
          <cell r="D270">
            <v>43</v>
          </cell>
          <cell r="E270">
            <v>43835</v>
          </cell>
          <cell r="F270" t="str">
            <v>Day</v>
          </cell>
          <cell r="G270" t="str">
            <v>Name 269@gmail.com</v>
          </cell>
          <cell r="H270">
            <v>43000</v>
          </cell>
          <cell r="I270">
            <v>7740</v>
          </cell>
          <cell r="J270">
            <v>2150</v>
          </cell>
          <cell r="K270">
            <v>1000</v>
          </cell>
          <cell r="L270">
            <v>5000</v>
          </cell>
          <cell r="M270">
            <v>1600</v>
          </cell>
          <cell r="N270">
            <v>27</v>
          </cell>
          <cell r="O270">
            <v>38700</v>
          </cell>
          <cell r="P270">
            <v>1</v>
          </cell>
          <cell r="Q270">
            <v>27</v>
          </cell>
          <cell r="R270">
            <v>179.16666666666666</v>
          </cell>
          <cell r="S270">
            <v>4837.5</v>
          </cell>
          <cell r="T270">
            <v>61027.5</v>
          </cell>
          <cell r="U270">
            <v>200</v>
          </cell>
          <cell r="V270">
            <v>5160</v>
          </cell>
          <cell r="W270">
            <v>0</v>
          </cell>
          <cell r="X270">
            <v>5360</v>
          </cell>
          <cell r="Y270">
            <v>55667.5</v>
          </cell>
        </row>
        <row r="271">
          <cell r="A271" t="str">
            <v>EMP270</v>
          </cell>
          <cell r="B271" t="str">
            <v>Name 270</v>
          </cell>
          <cell r="C271" t="str">
            <v>Clerk</v>
          </cell>
          <cell r="D271">
            <v>23</v>
          </cell>
          <cell r="E271">
            <v>43836</v>
          </cell>
          <cell r="F271" t="str">
            <v>Day</v>
          </cell>
          <cell r="G271" t="str">
            <v>Name 270@gmail.com</v>
          </cell>
          <cell r="H271">
            <v>25000</v>
          </cell>
          <cell r="I271">
            <v>4500</v>
          </cell>
          <cell r="J271">
            <v>1250</v>
          </cell>
          <cell r="K271">
            <v>1000</v>
          </cell>
          <cell r="L271">
            <v>5000</v>
          </cell>
          <cell r="M271">
            <v>1600</v>
          </cell>
          <cell r="N271">
            <v>30</v>
          </cell>
          <cell r="O271">
            <v>25000</v>
          </cell>
          <cell r="P271">
            <v>0</v>
          </cell>
          <cell r="Q271">
            <v>0</v>
          </cell>
          <cell r="R271">
            <v>104.16666666666667</v>
          </cell>
          <cell r="S271">
            <v>0</v>
          </cell>
          <cell r="T271">
            <v>38350</v>
          </cell>
          <cell r="U271">
            <v>200</v>
          </cell>
          <cell r="V271">
            <v>3000</v>
          </cell>
          <cell r="W271">
            <v>0</v>
          </cell>
          <cell r="X271">
            <v>3200</v>
          </cell>
          <cell r="Y271">
            <v>35150</v>
          </cell>
        </row>
        <row r="272">
          <cell r="A272" t="str">
            <v>EMP271</v>
          </cell>
          <cell r="B272" t="str">
            <v>Name 271</v>
          </cell>
          <cell r="C272" t="str">
            <v>Accountant</v>
          </cell>
          <cell r="D272">
            <v>34</v>
          </cell>
          <cell r="E272">
            <v>43837</v>
          </cell>
          <cell r="F272" t="str">
            <v>Day</v>
          </cell>
          <cell r="G272" t="str">
            <v>Name 271@gmail.com</v>
          </cell>
          <cell r="H272">
            <v>28000</v>
          </cell>
          <cell r="I272">
            <v>5040</v>
          </cell>
          <cell r="J272">
            <v>1400</v>
          </cell>
          <cell r="K272">
            <v>1000</v>
          </cell>
          <cell r="L272">
            <v>5000</v>
          </cell>
          <cell r="M272">
            <v>1600</v>
          </cell>
          <cell r="N272">
            <v>20</v>
          </cell>
          <cell r="O272">
            <v>18666.666666666668</v>
          </cell>
          <cell r="P272">
            <v>0</v>
          </cell>
          <cell r="Q272">
            <v>0</v>
          </cell>
          <cell r="R272">
            <v>116.66666666666667</v>
          </cell>
          <cell r="S272">
            <v>0</v>
          </cell>
          <cell r="T272">
            <v>32706.666666666668</v>
          </cell>
          <cell r="U272">
            <v>200</v>
          </cell>
          <cell r="V272">
            <v>3360</v>
          </cell>
          <cell r="W272">
            <v>0</v>
          </cell>
          <cell r="X272">
            <v>3560</v>
          </cell>
          <cell r="Y272">
            <v>29146.666666666668</v>
          </cell>
        </row>
        <row r="273">
          <cell r="A273" t="str">
            <v>EMP272</v>
          </cell>
          <cell r="B273" t="str">
            <v>Name 272</v>
          </cell>
          <cell r="C273" t="str">
            <v>Manager</v>
          </cell>
          <cell r="D273">
            <v>23</v>
          </cell>
          <cell r="E273">
            <v>43838</v>
          </cell>
          <cell r="F273" t="str">
            <v>Day</v>
          </cell>
          <cell r="G273" t="str">
            <v>Name 272@gmail.com</v>
          </cell>
          <cell r="H273">
            <v>40000</v>
          </cell>
          <cell r="I273">
            <v>7200</v>
          </cell>
          <cell r="J273">
            <v>2000</v>
          </cell>
          <cell r="K273">
            <v>1000</v>
          </cell>
          <cell r="L273">
            <v>5000</v>
          </cell>
          <cell r="M273">
            <v>1600</v>
          </cell>
          <cell r="N273">
            <v>28</v>
          </cell>
          <cell r="O273">
            <v>37333.333333333328</v>
          </cell>
          <cell r="P273">
            <v>2</v>
          </cell>
          <cell r="Q273">
            <v>56</v>
          </cell>
          <cell r="R273">
            <v>166.66666666666666</v>
          </cell>
          <cell r="S273">
            <v>9333.3333333333321</v>
          </cell>
          <cell r="T273">
            <v>63466.666666666657</v>
          </cell>
          <cell r="U273">
            <v>200</v>
          </cell>
          <cell r="V273">
            <v>4800</v>
          </cell>
          <cell r="W273">
            <v>0</v>
          </cell>
          <cell r="X273">
            <v>5000</v>
          </cell>
          <cell r="Y273">
            <v>58466.666666666657</v>
          </cell>
        </row>
        <row r="274">
          <cell r="A274" t="str">
            <v>EMP273</v>
          </cell>
          <cell r="B274" t="str">
            <v>Name 273</v>
          </cell>
          <cell r="C274" t="str">
            <v>Manager</v>
          </cell>
          <cell r="D274">
            <v>34</v>
          </cell>
          <cell r="E274">
            <v>43839</v>
          </cell>
          <cell r="F274" t="str">
            <v>Day</v>
          </cell>
          <cell r="G274" t="str">
            <v>Name 273@gmail.com</v>
          </cell>
          <cell r="H274">
            <v>32000</v>
          </cell>
          <cell r="I274">
            <v>5760</v>
          </cell>
          <cell r="J274">
            <v>1600</v>
          </cell>
          <cell r="K274">
            <v>1000</v>
          </cell>
          <cell r="L274">
            <v>5000</v>
          </cell>
          <cell r="M274">
            <v>1600</v>
          </cell>
          <cell r="N274">
            <v>30</v>
          </cell>
          <cell r="O274">
            <v>32000.000000000004</v>
          </cell>
          <cell r="P274">
            <v>1</v>
          </cell>
          <cell r="Q274">
            <v>30</v>
          </cell>
          <cell r="R274">
            <v>133.33333333333334</v>
          </cell>
          <cell r="S274">
            <v>4000.0000000000005</v>
          </cell>
          <cell r="T274">
            <v>50960</v>
          </cell>
          <cell r="U274">
            <v>200</v>
          </cell>
          <cell r="V274">
            <v>3840</v>
          </cell>
          <cell r="W274">
            <v>5000</v>
          </cell>
          <cell r="X274">
            <v>9040</v>
          </cell>
          <cell r="Y274">
            <v>41920</v>
          </cell>
        </row>
        <row r="275">
          <cell r="A275" t="str">
            <v>EMP274</v>
          </cell>
          <cell r="B275" t="str">
            <v>Name 274</v>
          </cell>
          <cell r="C275" t="str">
            <v>Clerk</v>
          </cell>
          <cell r="D275">
            <v>23</v>
          </cell>
          <cell r="E275">
            <v>43840</v>
          </cell>
          <cell r="F275" t="str">
            <v>Day</v>
          </cell>
          <cell r="G275" t="str">
            <v>Name 274@gmail.com</v>
          </cell>
          <cell r="H275">
            <v>28000</v>
          </cell>
          <cell r="I275">
            <v>5040</v>
          </cell>
          <cell r="J275">
            <v>1400</v>
          </cell>
          <cell r="K275">
            <v>1000</v>
          </cell>
          <cell r="L275">
            <v>5000</v>
          </cell>
          <cell r="M275">
            <v>1600</v>
          </cell>
          <cell r="N275">
            <v>29</v>
          </cell>
          <cell r="O275">
            <v>27066.666666666668</v>
          </cell>
          <cell r="P275">
            <v>1</v>
          </cell>
          <cell r="Q275">
            <v>29</v>
          </cell>
          <cell r="R275">
            <v>116.66666666666667</v>
          </cell>
          <cell r="S275">
            <v>3383.3333333333335</v>
          </cell>
          <cell r="T275">
            <v>44490.000000000007</v>
          </cell>
          <cell r="U275">
            <v>200</v>
          </cell>
          <cell r="V275">
            <v>3360</v>
          </cell>
          <cell r="W275">
            <v>0</v>
          </cell>
          <cell r="X275">
            <v>3560</v>
          </cell>
          <cell r="Y275">
            <v>40930.000000000007</v>
          </cell>
        </row>
        <row r="276">
          <cell r="A276" t="str">
            <v>EMP275</v>
          </cell>
          <cell r="B276" t="str">
            <v>Name 275</v>
          </cell>
          <cell r="C276" t="str">
            <v>Accountant</v>
          </cell>
          <cell r="D276">
            <v>34</v>
          </cell>
          <cell r="E276">
            <v>43841</v>
          </cell>
          <cell r="F276" t="str">
            <v>Night</v>
          </cell>
          <cell r="G276" t="str">
            <v>Name 275@gmail.com</v>
          </cell>
          <cell r="H276">
            <v>44000</v>
          </cell>
          <cell r="I276">
            <v>7920</v>
          </cell>
          <cell r="J276">
            <v>2200</v>
          </cell>
          <cell r="K276">
            <v>1000</v>
          </cell>
          <cell r="L276">
            <v>5000</v>
          </cell>
          <cell r="M276">
            <v>1600</v>
          </cell>
          <cell r="N276">
            <v>28</v>
          </cell>
          <cell r="O276">
            <v>41066.666666666672</v>
          </cell>
          <cell r="P276">
            <v>1</v>
          </cell>
          <cell r="Q276">
            <v>28</v>
          </cell>
          <cell r="R276">
            <v>183.33333333333334</v>
          </cell>
          <cell r="S276">
            <v>5133.3333333333339</v>
          </cell>
          <cell r="T276">
            <v>63920.000000000007</v>
          </cell>
          <cell r="U276">
            <v>200</v>
          </cell>
          <cell r="V276">
            <v>5280</v>
          </cell>
          <cell r="W276">
            <v>0</v>
          </cell>
          <cell r="X276">
            <v>5480</v>
          </cell>
          <cell r="Y276">
            <v>58440.000000000007</v>
          </cell>
        </row>
        <row r="277">
          <cell r="A277" t="str">
            <v>EMP276</v>
          </cell>
          <cell r="B277" t="str">
            <v>Name 276</v>
          </cell>
          <cell r="C277" t="str">
            <v>Manager</v>
          </cell>
          <cell r="D277">
            <v>45</v>
          </cell>
          <cell r="E277">
            <v>43842</v>
          </cell>
          <cell r="F277" t="str">
            <v>Day</v>
          </cell>
          <cell r="G277" t="str">
            <v>Name 276@gmail.com</v>
          </cell>
          <cell r="H277">
            <v>25000</v>
          </cell>
          <cell r="I277">
            <v>4500</v>
          </cell>
          <cell r="J277">
            <v>1250</v>
          </cell>
          <cell r="K277">
            <v>1000</v>
          </cell>
          <cell r="L277">
            <v>0</v>
          </cell>
          <cell r="M277">
            <v>1600</v>
          </cell>
          <cell r="N277">
            <v>27</v>
          </cell>
          <cell r="O277">
            <v>22500</v>
          </cell>
          <cell r="P277">
            <v>1</v>
          </cell>
          <cell r="Q277">
            <v>27</v>
          </cell>
          <cell r="R277">
            <v>104.16666666666667</v>
          </cell>
          <cell r="S277">
            <v>2812.5</v>
          </cell>
          <cell r="T277">
            <v>33662.5</v>
          </cell>
          <cell r="U277">
            <v>200</v>
          </cell>
          <cell r="V277">
            <v>3000</v>
          </cell>
          <cell r="W277">
            <v>0</v>
          </cell>
          <cell r="X277">
            <v>3200</v>
          </cell>
          <cell r="Y277">
            <v>30462.5</v>
          </cell>
        </row>
        <row r="278">
          <cell r="A278" t="str">
            <v>EMP277</v>
          </cell>
          <cell r="B278" t="str">
            <v>Name 277</v>
          </cell>
          <cell r="C278" t="str">
            <v>Accountant</v>
          </cell>
          <cell r="D278">
            <v>54</v>
          </cell>
          <cell r="E278">
            <v>43843</v>
          </cell>
          <cell r="F278" t="str">
            <v>Day</v>
          </cell>
          <cell r="G278" t="str">
            <v>Name 277@gmail.com</v>
          </cell>
          <cell r="H278">
            <v>50000</v>
          </cell>
          <cell r="I278">
            <v>9000</v>
          </cell>
          <cell r="J278">
            <v>2500</v>
          </cell>
          <cell r="K278">
            <v>1000</v>
          </cell>
          <cell r="L278">
            <v>0</v>
          </cell>
          <cell r="M278">
            <v>1600</v>
          </cell>
          <cell r="N278">
            <v>27</v>
          </cell>
          <cell r="O278">
            <v>45000</v>
          </cell>
          <cell r="P278">
            <v>3</v>
          </cell>
          <cell r="Q278">
            <v>81</v>
          </cell>
          <cell r="R278">
            <v>208.33333333333334</v>
          </cell>
          <cell r="S278">
            <v>16875</v>
          </cell>
          <cell r="T278">
            <v>75975</v>
          </cell>
          <cell r="U278">
            <v>201</v>
          </cell>
          <cell r="V278">
            <v>6000</v>
          </cell>
          <cell r="W278">
            <v>0</v>
          </cell>
          <cell r="X278">
            <v>6201</v>
          </cell>
          <cell r="Y278">
            <v>69774</v>
          </cell>
        </row>
        <row r="279">
          <cell r="A279" t="str">
            <v>EMP278</v>
          </cell>
          <cell r="B279" t="str">
            <v>Name 278</v>
          </cell>
          <cell r="C279" t="str">
            <v>Accountant</v>
          </cell>
          <cell r="D279">
            <v>56</v>
          </cell>
          <cell r="E279">
            <v>43844</v>
          </cell>
          <cell r="F279" t="str">
            <v>Night</v>
          </cell>
          <cell r="G279" t="str">
            <v>Name 278@gmail.com</v>
          </cell>
          <cell r="H279">
            <v>70000</v>
          </cell>
          <cell r="I279">
            <v>12600</v>
          </cell>
          <cell r="J279">
            <v>3500</v>
          </cell>
          <cell r="K279">
            <v>1000</v>
          </cell>
          <cell r="L279">
            <v>0</v>
          </cell>
          <cell r="M279">
            <v>1600</v>
          </cell>
          <cell r="N279">
            <v>27</v>
          </cell>
          <cell r="O279">
            <v>63000.000000000007</v>
          </cell>
          <cell r="P279">
            <v>1</v>
          </cell>
          <cell r="Q279">
            <v>27</v>
          </cell>
          <cell r="R279">
            <v>291.66666666666669</v>
          </cell>
          <cell r="S279">
            <v>7875.0000000000009</v>
          </cell>
          <cell r="T279">
            <v>89575</v>
          </cell>
          <cell r="U279">
            <v>202</v>
          </cell>
          <cell r="V279">
            <v>8400</v>
          </cell>
          <cell r="W279">
            <v>0</v>
          </cell>
          <cell r="X279">
            <v>8602</v>
          </cell>
          <cell r="Y279">
            <v>80973</v>
          </cell>
        </row>
        <row r="280">
          <cell r="A280" t="str">
            <v>EMP279</v>
          </cell>
          <cell r="B280" t="str">
            <v>Name 279</v>
          </cell>
          <cell r="C280" t="str">
            <v>Accountant</v>
          </cell>
          <cell r="D280">
            <v>54</v>
          </cell>
          <cell r="E280">
            <v>43845</v>
          </cell>
          <cell r="F280" t="str">
            <v>Night</v>
          </cell>
          <cell r="G280" t="str">
            <v>Name 279@gmail.com</v>
          </cell>
          <cell r="H280">
            <v>34000</v>
          </cell>
          <cell r="I280">
            <v>6120</v>
          </cell>
          <cell r="J280">
            <v>1700</v>
          </cell>
          <cell r="K280">
            <v>1000</v>
          </cell>
          <cell r="L280">
            <v>2000</v>
          </cell>
          <cell r="M280">
            <v>1600</v>
          </cell>
          <cell r="N280">
            <v>30</v>
          </cell>
          <cell r="O280">
            <v>34000</v>
          </cell>
          <cell r="P280">
            <v>2</v>
          </cell>
          <cell r="Q280">
            <v>60</v>
          </cell>
          <cell r="R280">
            <v>141.66666666666666</v>
          </cell>
          <cell r="S280">
            <v>8500</v>
          </cell>
          <cell r="T280">
            <v>54920</v>
          </cell>
          <cell r="U280">
            <v>203</v>
          </cell>
          <cell r="V280">
            <v>4080</v>
          </cell>
          <cell r="W280">
            <v>0</v>
          </cell>
          <cell r="X280">
            <v>4283</v>
          </cell>
          <cell r="Y280">
            <v>50637</v>
          </cell>
        </row>
        <row r="281">
          <cell r="A281" t="str">
            <v>EMP280</v>
          </cell>
          <cell r="B281" t="str">
            <v>Name 280</v>
          </cell>
          <cell r="C281" t="str">
            <v>Accountant</v>
          </cell>
          <cell r="D281">
            <v>34</v>
          </cell>
          <cell r="E281">
            <v>43846</v>
          </cell>
          <cell r="F281" t="str">
            <v>Night</v>
          </cell>
          <cell r="G281" t="str">
            <v>Name 280@gmail.com</v>
          </cell>
          <cell r="H281">
            <v>45000</v>
          </cell>
          <cell r="I281">
            <v>8100</v>
          </cell>
          <cell r="J281">
            <v>2250</v>
          </cell>
          <cell r="K281">
            <v>1000</v>
          </cell>
          <cell r="L281">
            <v>5000</v>
          </cell>
          <cell r="M281">
            <v>1600</v>
          </cell>
          <cell r="N281">
            <v>30</v>
          </cell>
          <cell r="O281">
            <v>45000</v>
          </cell>
          <cell r="P281">
            <v>0</v>
          </cell>
          <cell r="Q281">
            <v>0</v>
          </cell>
          <cell r="R281">
            <v>187.5</v>
          </cell>
          <cell r="S281">
            <v>0</v>
          </cell>
          <cell r="T281">
            <v>62950</v>
          </cell>
          <cell r="U281">
            <v>204</v>
          </cell>
          <cell r="V281">
            <v>5400</v>
          </cell>
          <cell r="W281">
            <v>4000</v>
          </cell>
          <cell r="X281">
            <v>9604</v>
          </cell>
          <cell r="Y281">
            <v>53346</v>
          </cell>
        </row>
        <row r="282">
          <cell r="A282" t="str">
            <v>EMP281</v>
          </cell>
          <cell r="B282" t="str">
            <v>Name 281</v>
          </cell>
          <cell r="C282" t="str">
            <v>Accountant</v>
          </cell>
          <cell r="D282">
            <v>23</v>
          </cell>
          <cell r="E282">
            <v>43847</v>
          </cell>
          <cell r="F282" t="str">
            <v>Night</v>
          </cell>
          <cell r="G282" t="str">
            <v>Name 281@gmail.com</v>
          </cell>
          <cell r="H282">
            <v>55000</v>
          </cell>
          <cell r="I282">
            <v>9900</v>
          </cell>
          <cell r="J282">
            <v>2750</v>
          </cell>
          <cell r="K282">
            <v>1000</v>
          </cell>
          <cell r="L282">
            <v>0</v>
          </cell>
          <cell r="M282">
            <v>1600</v>
          </cell>
          <cell r="N282">
            <v>30</v>
          </cell>
          <cell r="O282">
            <v>55000</v>
          </cell>
          <cell r="P282">
            <v>1</v>
          </cell>
          <cell r="Q282">
            <v>30</v>
          </cell>
          <cell r="R282">
            <v>229.16666666666666</v>
          </cell>
          <cell r="S282">
            <v>6875</v>
          </cell>
          <cell r="T282">
            <v>77125</v>
          </cell>
          <cell r="U282">
            <v>205</v>
          </cell>
          <cell r="V282">
            <v>6600</v>
          </cell>
          <cell r="W282">
            <v>0</v>
          </cell>
          <cell r="X282">
            <v>6805</v>
          </cell>
          <cell r="Y282">
            <v>70320</v>
          </cell>
        </row>
        <row r="283">
          <cell r="A283" t="str">
            <v>EMP282</v>
          </cell>
          <cell r="B283" t="str">
            <v>Name 282</v>
          </cell>
          <cell r="C283" t="str">
            <v>Manager</v>
          </cell>
          <cell r="D283">
            <v>34</v>
          </cell>
          <cell r="E283">
            <v>43848</v>
          </cell>
          <cell r="F283" t="str">
            <v>Day</v>
          </cell>
          <cell r="G283" t="str">
            <v>Name 282@gmail.com</v>
          </cell>
          <cell r="H283">
            <v>43000</v>
          </cell>
          <cell r="I283">
            <v>7740</v>
          </cell>
          <cell r="J283">
            <v>2150</v>
          </cell>
          <cell r="K283">
            <v>1000</v>
          </cell>
          <cell r="L283">
            <v>0</v>
          </cell>
          <cell r="M283">
            <v>1600</v>
          </cell>
          <cell r="N283">
            <v>27</v>
          </cell>
          <cell r="O283">
            <v>38700</v>
          </cell>
          <cell r="P283">
            <v>1</v>
          </cell>
          <cell r="Q283">
            <v>27</v>
          </cell>
          <cell r="R283">
            <v>179.16666666666666</v>
          </cell>
          <cell r="S283">
            <v>4837.5</v>
          </cell>
          <cell r="T283">
            <v>56027.5</v>
          </cell>
          <cell r="U283">
            <v>200</v>
          </cell>
          <cell r="V283">
            <v>5160</v>
          </cell>
          <cell r="W283">
            <v>0</v>
          </cell>
          <cell r="X283">
            <v>5360</v>
          </cell>
          <cell r="Y283">
            <v>50667.5</v>
          </cell>
        </row>
        <row r="284">
          <cell r="A284" t="str">
            <v>EMP283</v>
          </cell>
          <cell r="B284" t="str">
            <v>Name 283</v>
          </cell>
          <cell r="C284" t="str">
            <v>Clerk</v>
          </cell>
          <cell r="D284">
            <v>43</v>
          </cell>
          <cell r="E284">
            <v>43849</v>
          </cell>
          <cell r="F284" t="str">
            <v>Day</v>
          </cell>
          <cell r="G284" t="str">
            <v>Name 283@gmail.com</v>
          </cell>
          <cell r="H284">
            <v>25000</v>
          </cell>
          <cell r="I284">
            <v>4500</v>
          </cell>
          <cell r="J284">
            <v>1250</v>
          </cell>
          <cell r="K284">
            <v>1000</v>
          </cell>
          <cell r="L284">
            <v>0</v>
          </cell>
          <cell r="M284">
            <v>1600</v>
          </cell>
          <cell r="N284">
            <v>30</v>
          </cell>
          <cell r="O284">
            <v>25000</v>
          </cell>
          <cell r="P284">
            <v>0</v>
          </cell>
          <cell r="Q284">
            <v>0</v>
          </cell>
          <cell r="R284">
            <v>104.16666666666667</v>
          </cell>
          <cell r="S284">
            <v>0</v>
          </cell>
          <cell r="T284">
            <v>33350</v>
          </cell>
          <cell r="U284">
            <v>200</v>
          </cell>
          <cell r="V284">
            <v>3000</v>
          </cell>
          <cell r="W284">
            <v>0</v>
          </cell>
          <cell r="X284">
            <v>3200</v>
          </cell>
          <cell r="Y284">
            <v>30150</v>
          </cell>
        </row>
        <row r="285">
          <cell r="A285" t="str">
            <v>EMP284</v>
          </cell>
          <cell r="B285" t="str">
            <v>Name 284</v>
          </cell>
          <cell r="C285" t="str">
            <v>Accountant</v>
          </cell>
          <cell r="D285">
            <v>34</v>
          </cell>
          <cell r="E285">
            <v>43850</v>
          </cell>
          <cell r="F285" t="str">
            <v>Day</v>
          </cell>
          <cell r="G285" t="str">
            <v>Name 284@gmail.com</v>
          </cell>
          <cell r="H285">
            <v>28000</v>
          </cell>
          <cell r="I285">
            <v>5040</v>
          </cell>
          <cell r="J285">
            <v>1400</v>
          </cell>
          <cell r="K285">
            <v>1000</v>
          </cell>
          <cell r="L285">
            <v>0</v>
          </cell>
          <cell r="M285">
            <v>1600</v>
          </cell>
          <cell r="N285">
            <v>20</v>
          </cell>
          <cell r="O285">
            <v>18666.666666666668</v>
          </cell>
          <cell r="P285">
            <v>0</v>
          </cell>
          <cell r="Q285">
            <v>0</v>
          </cell>
          <cell r="R285">
            <v>116.66666666666667</v>
          </cell>
          <cell r="S285">
            <v>0</v>
          </cell>
          <cell r="T285">
            <v>27706.666666666668</v>
          </cell>
          <cell r="U285">
            <v>200</v>
          </cell>
          <cell r="V285">
            <v>3360</v>
          </cell>
          <cell r="W285">
            <v>0</v>
          </cell>
          <cell r="X285">
            <v>3560</v>
          </cell>
          <cell r="Y285">
            <v>24146.666666666668</v>
          </cell>
        </row>
        <row r="286">
          <cell r="A286" t="str">
            <v>EMP285</v>
          </cell>
          <cell r="B286" t="str">
            <v>Name 285</v>
          </cell>
          <cell r="C286" t="str">
            <v>Manager</v>
          </cell>
          <cell r="D286">
            <v>43</v>
          </cell>
          <cell r="E286">
            <v>43851</v>
          </cell>
          <cell r="F286" t="str">
            <v>Day</v>
          </cell>
          <cell r="G286" t="str">
            <v>Name 285@gmail.com</v>
          </cell>
          <cell r="H286">
            <v>40000</v>
          </cell>
          <cell r="I286">
            <v>7200</v>
          </cell>
          <cell r="J286">
            <v>2000</v>
          </cell>
          <cell r="K286">
            <v>1000</v>
          </cell>
          <cell r="L286">
            <v>0</v>
          </cell>
          <cell r="M286">
            <v>1600</v>
          </cell>
          <cell r="N286">
            <v>28</v>
          </cell>
          <cell r="O286">
            <v>37333.333333333328</v>
          </cell>
          <cell r="P286">
            <v>2</v>
          </cell>
          <cell r="Q286">
            <v>56</v>
          </cell>
          <cell r="R286">
            <v>166.66666666666666</v>
          </cell>
          <cell r="S286">
            <v>9333.3333333333321</v>
          </cell>
          <cell r="T286">
            <v>58466.666666666657</v>
          </cell>
          <cell r="U286">
            <v>200</v>
          </cell>
          <cell r="V286">
            <v>4800</v>
          </cell>
          <cell r="W286">
            <v>0</v>
          </cell>
          <cell r="X286">
            <v>5000</v>
          </cell>
          <cell r="Y286">
            <v>53466.666666666657</v>
          </cell>
        </row>
        <row r="287">
          <cell r="A287" t="str">
            <v>EMP286</v>
          </cell>
          <cell r="B287" t="str">
            <v>Name 286</v>
          </cell>
          <cell r="C287" t="str">
            <v>Manager</v>
          </cell>
          <cell r="D287">
            <v>23</v>
          </cell>
          <cell r="E287">
            <v>43852</v>
          </cell>
          <cell r="F287" t="str">
            <v>Day</v>
          </cell>
          <cell r="G287" t="str">
            <v>Name 286@gmail.com</v>
          </cell>
          <cell r="H287">
            <v>32000</v>
          </cell>
          <cell r="I287">
            <v>5760</v>
          </cell>
          <cell r="J287">
            <v>1600</v>
          </cell>
          <cell r="K287">
            <v>1000</v>
          </cell>
          <cell r="L287">
            <v>0</v>
          </cell>
          <cell r="M287">
            <v>1600</v>
          </cell>
          <cell r="N287">
            <v>30</v>
          </cell>
          <cell r="O287">
            <v>32000.000000000004</v>
          </cell>
          <cell r="P287">
            <v>1</v>
          </cell>
          <cell r="Q287">
            <v>30</v>
          </cell>
          <cell r="R287">
            <v>133.33333333333334</v>
          </cell>
          <cell r="S287">
            <v>4000.0000000000005</v>
          </cell>
          <cell r="T287">
            <v>45960</v>
          </cell>
          <cell r="U287">
            <v>200</v>
          </cell>
          <cell r="V287">
            <v>3840</v>
          </cell>
          <cell r="W287">
            <v>5000</v>
          </cell>
          <cell r="X287">
            <v>9040</v>
          </cell>
          <cell r="Y287">
            <v>36920</v>
          </cell>
        </row>
        <row r="288">
          <cell r="A288" t="str">
            <v>EMP287</v>
          </cell>
          <cell r="B288" t="str">
            <v>Name 287</v>
          </cell>
          <cell r="C288" t="str">
            <v>Clerk</v>
          </cell>
          <cell r="D288">
            <v>34</v>
          </cell>
          <cell r="E288">
            <v>43853</v>
          </cell>
          <cell r="F288" t="str">
            <v>Day</v>
          </cell>
          <cell r="G288" t="str">
            <v>Name 287@gmail.com</v>
          </cell>
          <cell r="H288">
            <v>28000</v>
          </cell>
          <cell r="I288">
            <v>5040</v>
          </cell>
          <cell r="J288">
            <v>1400</v>
          </cell>
          <cell r="K288">
            <v>1000</v>
          </cell>
          <cell r="L288">
            <v>0</v>
          </cell>
          <cell r="M288">
            <v>1600</v>
          </cell>
          <cell r="N288">
            <v>29</v>
          </cell>
          <cell r="O288">
            <v>27066.666666666668</v>
          </cell>
          <cell r="P288">
            <v>1</v>
          </cell>
          <cell r="Q288">
            <v>29</v>
          </cell>
          <cell r="R288">
            <v>116.66666666666667</v>
          </cell>
          <cell r="S288">
            <v>3383.3333333333335</v>
          </cell>
          <cell r="T288">
            <v>39490.000000000007</v>
          </cell>
          <cell r="U288">
            <v>200</v>
          </cell>
          <cell r="V288">
            <v>3360</v>
          </cell>
          <cell r="W288">
            <v>0</v>
          </cell>
          <cell r="X288">
            <v>3560</v>
          </cell>
          <cell r="Y288">
            <v>35930.000000000007</v>
          </cell>
        </row>
        <row r="289">
          <cell r="A289" t="str">
            <v>EMP288</v>
          </cell>
          <cell r="B289" t="str">
            <v>Name 288</v>
          </cell>
          <cell r="C289" t="str">
            <v>Accountant</v>
          </cell>
          <cell r="D289">
            <v>23</v>
          </cell>
          <cell r="E289">
            <v>43854</v>
          </cell>
          <cell r="F289" t="str">
            <v>Night</v>
          </cell>
          <cell r="G289" t="str">
            <v>Name 288@gmail.com</v>
          </cell>
          <cell r="H289">
            <v>44000</v>
          </cell>
          <cell r="I289">
            <v>7920</v>
          </cell>
          <cell r="J289">
            <v>2200</v>
          </cell>
          <cell r="K289">
            <v>1000</v>
          </cell>
          <cell r="L289">
            <v>0</v>
          </cell>
          <cell r="M289">
            <v>1600</v>
          </cell>
          <cell r="N289">
            <v>28</v>
          </cell>
          <cell r="O289">
            <v>41066.666666666672</v>
          </cell>
          <cell r="P289">
            <v>1</v>
          </cell>
          <cell r="Q289">
            <v>28</v>
          </cell>
          <cell r="R289">
            <v>183.33333333333334</v>
          </cell>
          <cell r="S289">
            <v>5133.3333333333339</v>
          </cell>
          <cell r="T289">
            <v>58920.000000000007</v>
          </cell>
          <cell r="U289">
            <v>200</v>
          </cell>
          <cell r="V289">
            <v>5280</v>
          </cell>
          <cell r="W289">
            <v>0</v>
          </cell>
          <cell r="X289">
            <v>5480</v>
          </cell>
          <cell r="Y289">
            <v>53440.000000000007</v>
          </cell>
        </row>
        <row r="290">
          <cell r="A290" t="str">
            <v>EMP289</v>
          </cell>
          <cell r="B290" t="str">
            <v>Name 289</v>
          </cell>
          <cell r="C290" t="str">
            <v>Manager</v>
          </cell>
          <cell r="D290">
            <v>34</v>
          </cell>
          <cell r="E290">
            <v>43831</v>
          </cell>
          <cell r="F290" t="str">
            <v>Day</v>
          </cell>
          <cell r="G290" t="str">
            <v>Name 289@gmail.com</v>
          </cell>
          <cell r="H290">
            <v>25000</v>
          </cell>
          <cell r="I290">
            <v>4500</v>
          </cell>
          <cell r="J290">
            <v>1250</v>
          </cell>
          <cell r="K290">
            <v>1000</v>
          </cell>
          <cell r="L290">
            <v>0</v>
          </cell>
          <cell r="M290">
            <v>1600</v>
          </cell>
          <cell r="N290">
            <v>27</v>
          </cell>
          <cell r="O290">
            <v>22500</v>
          </cell>
          <cell r="P290">
            <v>1</v>
          </cell>
          <cell r="Q290">
            <v>27</v>
          </cell>
          <cell r="R290">
            <v>104.16666666666667</v>
          </cell>
          <cell r="S290">
            <v>2812.5</v>
          </cell>
          <cell r="T290">
            <v>33662.5</v>
          </cell>
          <cell r="U290">
            <v>200</v>
          </cell>
          <cell r="V290">
            <v>3000</v>
          </cell>
          <cell r="W290">
            <v>0</v>
          </cell>
          <cell r="X290">
            <v>3200</v>
          </cell>
          <cell r="Y290">
            <v>30462.5</v>
          </cell>
        </row>
        <row r="291">
          <cell r="A291" t="str">
            <v>EMP290</v>
          </cell>
          <cell r="B291" t="str">
            <v>Name 290</v>
          </cell>
          <cell r="C291" t="str">
            <v>Accountant</v>
          </cell>
          <cell r="D291">
            <v>23</v>
          </cell>
          <cell r="E291">
            <v>43832</v>
          </cell>
          <cell r="F291" t="str">
            <v>Day</v>
          </cell>
          <cell r="G291" t="str">
            <v>Name 290@gmail.com</v>
          </cell>
          <cell r="H291">
            <v>50000</v>
          </cell>
          <cell r="I291">
            <v>9000</v>
          </cell>
          <cell r="J291">
            <v>2500</v>
          </cell>
          <cell r="K291">
            <v>1000</v>
          </cell>
          <cell r="L291">
            <v>0</v>
          </cell>
          <cell r="M291">
            <v>1600</v>
          </cell>
          <cell r="N291">
            <v>27</v>
          </cell>
          <cell r="O291">
            <v>45000</v>
          </cell>
          <cell r="P291">
            <v>3</v>
          </cell>
          <cell r="Q291">
            <v>81</v>
          </cell>
          <cell r="R291">
            <v>208.33333333333334</v>
          </cell>
          <cell r="S291">
            <v>16875</v>
          </cell>
          <cell r="T291">
            <v>75975</v>
          </cell>
          <cell r="U291">
            <v>201</v>
          </cell>
          <cell r="V291">
            <v>6000</v>
          </cell>
          <cell r="W291">
            <v>0</v>
          </cell>
          <cell r="X291">
            <v>6201</v>
          </cell>
          <cell r="Y291">
            <v>69774</v>
          </cell>
        </row>
        <row r="292">
          <cell r="A292" t="str">
            <v>EMP291</v>
          </cell>
          <cell r="B292" t="str">
            <v>Name 291</v>
          </cell>
          <cell r="C292" t="str">
            <v>Accountant</v>
          </cell>
          <cell r="D292">
            <v>34</v>
          </cell>
          <cell r="E292">
            <v>43833</v>
          </cell>
          <cell r="F292" t="str">
            <v>Night</v>
          </cell>
          <cell r="G292" t="str">
            <v>Name 291@gmail.com</v>
          </cell>
          <cell r="H292">
            <v>70000</v>
          </cell>
          <cell r="I292">
            <v>12600</v>
          </cell>
          <cell r="J292">
            <v>3500</v>
          </cell>
          <cell r="K292">
            <v>1000</v>
          </cell>
          <cell r="L292">
            <v>0</v>
          </cell>
          <cell r="M292">
            <v>1600</v>
          </cell>
          <cell r="N292">
            <v>27</v>
          </cell>
          <cell r="O292">
            <v>63000.000000000007</v>
          </cell>
          <cell r="P292">
            <v>1</v>
          </cell>
          <cell r="Q292">
            <v>27</v>
          </cell>
          <cell r="R292">
            <v>291.66666666666669</v>
          </cell>
          <cell r="S292">
            <v>7875.0000000000009</v>
          </cell>
          <cell r="T292">
            <v>89575</v>
          </cell>
          <cell r="U292">
            <v>202</v>
          </cell>
          <cell r="V292">
            <v>8400</v>
          </cell>
          <cell r="W292">
            <v>0</v>
          </cell>
          <cell r="X292">
            <v>8602</v>
          </cell>
          <cell r="Y292">
            <v>80973</v>
          </cell>
        </row>
        <row r="293">
          <cell r="A293" t="str">
            <v>EMP292</v>
          </cell>
          <cell r="B293" t="str">
            <v>Name 292</v>
          </cell>
          <cell r="C293" t="str">
            <v>Accountant</v>
          </cell>
          <cell r="D293">
            <v>45</v>
          </cell>
          <cell r="E293">
            <v>43834</v>
          </cell>
          <cell r="F293" t="str">
            <v>Night</v>
          </cell>
          <cell r="G293" t="str">
            <v>Name 292@gmail.com</v>
          </cell>
          <cell r="H293">
            <v>34000</v>
          </cell>
          <cell r="I293">
            <v>6120</v>
          </cell>
          <cell r="J293">
            <v>1700</v>
          </cell>
          <cell r="K293">
            <v>1000</v>
          </cell>
          <cell r="L293">
            <v>2000</v>
          </cell>
          <cell r="M293">
            <v>1600</v>
          </cell>
          <cell r="N293">
            <v>30</v>
          </cell>
          <cell r="O293">
            <v>34000</v>
          </cell>
          <cell r="P293">
            <v>2</v>
          </cell>
          <cell r="Q293">
            <v>60</v>
          </cell>
          <cell r="R293">
            <v>141.66666666666666</v>
          </cell>
          <cell r="S293">
            <v>8500</v>
          </cell>
          <cell r="T293">
            <v>54920</v>
          </cell>
          <cell r="U293">
            <v>203</v>
          </cell>
          <cell r="V293">
            <v>4080</v>
          </cell>
          <cell r="W293">
            <v>0</v>
          </cell>
          <cell r="X293">
            <v>4283</v>
          </cell>
          <cell r="Y293">
            <v>50637</v>
          </cell>
        </row>
        <row r="294">
          <cell r="A294" t="str">
            <v>EMP293</v>
          </cell>
          <cell r="B294" t="str">
            <v>Name 293</v>
          </cell>
          <cell r="C294" t="str">
            <v>Accountant</v>
          </cell>
          <cell r="D294">
            <v>54</v>
          </cell>
          <cell r="E294">
            <v>43835</v>
          </cell>
          <cell r="F294" t="str">
            <v>Night</v>
          </cell>
          <cell r="G294" t="str">
            <v>Name 293@gmail.com</v>
          </cell>
          <cell r="H294">
            <v>45000</v>
          </cell>
          <cell r="I294">
            <v>8100</v>
          </cell>
          <cell r="J294">
            <v>2250</v>
          </cell>
          <cell r="K294">
            <v>1000</v>
          </cell>
          <cell r="L294">
            <v>5000</v>
          </cell>
          <cell r="M294">
            <v>1600</v>
          </cell>
          <cell r="N294">
            <v>30</v>
          </cell>
          <cell r="O294">
            <v>45000</v>
          </cell>
          <cell r="P294">
            <v>0</v>
          </cell>
          <cell r="Q294">
            <v>0</v>
          </cell>
          <cell r="R294">
            <v>187.5</v>
          </cell>
          <cell r="S294">
            <v>0</v>
          </cell>
          <cell r="T294">
            <v>62950</v>
          </cell>
          <cell r="U294">
            <v>204</v>
          </cell>
          <cell r="V294">
            <v>5400</v>
          </cell>
          <cell r="W294">
            <v>4000</v>
          </cell>
          <cell r="X294">
            <v>9604</v>
          </cell>
          <cell r="Y294">
            <v>53346</v>
          </cell>
        </row>
        <row r="295">
          <cell r="A295" t="str">
            <v>EMP294</v>
          </cell>
          <cell r="B295" t="str">
            <v>Name 294</v>
          </cell>
          <cell r="C295" t="str">
            <v>Accountant</v>
          </cell>
          <cell r="D295">
            <v>56</v>
          </cell>
          <cell r="E295">
            <v>43836</v>
          </cell>
          <cell r="F295" t="str">
            <v>Night</v>
          </cell>
          <cell r="G295" t="str">
            <v>Name 294@gmail.com</v>
          </cell>
          <cell r="H295">
            <v>55000</v>
          </cell>
          <cell r="I295">
            <v>9900</v>
          </cell>
          <cell r="J295">
            <v>2750</v>
          </cell>
          <cell r="K295">
            <v>1000</v>
          </cell>
          <cell r="L295">
            <v>0</v>
          </cell>
          <cell r="M295">
            <v>1600</v>
          </cell>
          <cell r="N295">
            <v>30</v>
          </cell>
          <cell r="O295">
            <v>55000</v>
          </cell>
          <cell r="P295">
            <v>1</v>
          </cell>
          <cell r="Q295">
            <v>30</v>
          </cell>
          <cell r="R295">
            <v>229.16666666666666</v>
          </cell>
          <cell r="S295">
            <v>6875</v>
          </cell>
          <cell r="T295">
            <v>77125</v>
          </cell>
          <cell r="U295">
            <v>205</v>
          </cell>
          <cell r="V295">
            <v>6600</v>
          </cell>
          <cell r="W295">
            <v>0</v>
          </cell>
          <cell r="X295">
            <v>6805</v>
          </cell>
          <cell r="Y295">
            <v>70320</v>
          </cell>
        </row>
        <row r="296">
          <cell r="A296" t="str">
            <v>EMP295</v>
          </cell>
          <cell r="B296" t="str">
            <v>Name 295</v>
          </cell>
          <cell r="C296" t="str">
            <v>Manager</v>
          </cell>
          <cell r="D296">
            <v>54</v>
          </cell>
          <cell r="E296">
            <v>43837</v>
          </cell>
          <cell r="F296" t="str">
            <v>Day</v>
          </cell>
          <cell r="G296" t="str">
            <v>Name 295@gmail.com</v>
          </cell>
          <cell r="H296">
            <v>43000</v>
          </cell>
          <cell r="I296">
            <v>7740</v>
          </cell>
          <cell r="J296">
            <v>2150</v>
          </cell>
          <cell r="K296">
            <v>1000</v>
          </cell>
          <cell r="L296">
            <v>0</v>
          </cell>
          <cell r="M296">
            <v>1600</v>
          </cell>
          <cell r="N296">
            <v>27</v>
          </cell>
          <cell r="O296">
            <v>38700</v>
          </cell>
          <cell r="P296">
            <v>1</v>
          </cell>
          <cell r="Q296">
            <v>27</v>
          </cell>
          <cell r="R296">
            <v>179.16666666666666</v>
          </cell>
          <cell r="S296">
            <v>4837.5</v>
          </cell>
          <cell r="T296">
            <v>56027.5</v>
          </cell>
          <cell r="U296">
            <v>200</v>
          </cell>
          <cell r="V296">
            <v>5160</v>
          </cell>
          <cell r="W296">
            <v>0</v>
          </cell>
          <cell r="X296">
            <v>5360</v>
          </cell>
          <cell r="Y296">
            <v>50667.5</v>
          </cell>
        </row>
        <row r="297">
          <cell r="A297" t="str">
            <v>EMP296</v>
          </cell>
          <cell r="B297" t="str">
            <v>Name 296</v>
          </cell>
          <cell r="C297" t="str">
            <v>Clerk</v>
          </cell>
          <cell r="D297">
            <v>34</v>
          </cell>
          <cell r="E297">
            <v>43838</v>
          </cell>
          <cell r="F297" t="str">
            <v>Day</v>
          </cell>
          <cell r="G297" t="str">
            <v>Name 296@gmail.com</v>
          </cell>
          <cell r="H297">
            <v>25000</v>
          </cell>
          <cell r="I297">
            <v>4500</v>
          </cell>
          <cell r="J297">
            <v>1250</v>
          </cell>
          <cell r="K297">
            <v>1000</v>
          </cell>
          <cell r="L297">
            <v>0</v>
          </cell>
          <cell r="M297">
            <v>1600</v>
          </cell>
          <cell r="N297">
            <v>30</v>
          </cell>
          <cell r="O297">
            <v>25000</v>
          </cell>
          <cell r="P297">
            <v>0</v>
          </cell>
          <cell r="Q297">
            <v>0</v>
          </cell>
          <cell r="R297">
            <v>104.16666666666667</v>
          </cell>
          <cell r="S297">
            <v>0</v>
          </cell>
          <cell r="T297">
            <v>33350</v>
          </cell>
          <cell r="U297">
            <v>200</v>
          </cell>
          <cell r="V297">
            <v>3000</v>
          </cell>
          <cell r="W297">
            <v>0</v>
          </cell>
          <cell r="X297">
            <v>3200</v>
          </cell>
          <cell r="Y297">
            <v>30150</v>
          </cell>
        </row>
        <row r="298">
          <cell r="A298" t="str">
            <v>EMP297</v>
          </cell>
          <cell r="B298" t="str">
            <v>Name 297</v>
          </cell>
          <cell r="C298" t="str">
            <v>Accountant</v>
          </cell>
          <cell r="D298">
            <v>23</v>
          </cell>
          <cell r="E298">
            <v>43839</v>
          </cell>
          <cell r="F298" t="str">
            <v>Day</v>
          </cell>
          <cell r="G298" t="str">
            <v>Name 297@gmail.com</v>
          </cell>
          <cell r="H298">
            <v>28000</v>
          </cell>
          <cell r="I298">
            <v>5040</v>
          </cell>
          <cell r="J298">
            <v>1400</v>
          </cell>
          <cell r="K298">
            <v>1000</v>
          </cell>
          <cell r="L298">
            <v>0</v>
          </cell>
          <cell r="M298">
            <v>1600</v>
          </cell>
          <cell r="N298">
            <v>20</v>
          </cell>
          <cell r="O298">
            <v>18666.666666666668</v>
          </cell>
          <cell r="P298">
            <v>0</v>
          </cell>
          <cell r="Q298">
            <v>0</v>
          </cell>
          <cell r="R298">
            <v>116.66666666666667</v>
          </cell>
          <cell r="S298">
            <v>0</v>
          </cell>
          <cell r="T298">
            <v>27706.666666666668</v>
          </cell>
          <cell r="U298">
            <v>200</v>
          </cell>
          <cell r="V298">
            <v>3360</v>
          </cell>
          <cell r="W298">
            <v>0</v>
          </cell>
          <cell r="X298">
            <v>3560</v>
          </cell>
          <cell r="Y298">
            <v>24146.666666666668</v>
          </cell>
        </row>
        <row r="299">
          <cell r="A299" t="str">
            <v>EMP298</v>
          </cell>
          <cell r="B299" t="str">
            <v>Name 298</v>
          </cell>
          <cell r="C299" t="str">
            <v>Manager</v>
          </cell>
          <cell r="D299">
            <v>34</v>
          </cell>
          <cell r="E299">
            <v>43840</v>
          </cell>
          <cell r="F299" t="str">
            <v>Day</v>
          </cell>
          <cell r="G299" t="str">
            <v>Name 298@gmail.com</v>
          </cell>
          <cell r="H299">
            <v>40000</v>
          </cell>
          <cell r="I299">
            <v>7200</v>
          </cell>
          <cell r="J299">
            <v>2000</v>
          </cell>
          <cell r="K299">
            <v>1000</v>
          </cell>
          <cell r="L299">
            <v>0</v>
          </cell>
          <cell r="M299">
            <v>1600</v>
          </cell>
          <cell r="N299">
            <v>28</v>
          </cell>
          <cell r="O299">
            <v>37333.333333333328</v>
          </cell>
          <cell r="P299">
            <v>2</v>
          </cell>
          <cell r="Q299">
            <v>56</v>
          </cell>
          <cell r="R299">
            <v>166.66666666666666</v>
          </cell>
          <cell r="S299">
            <v>9333.3333333333321</v>
          </cell>
          <cell r="T299">
            <v>58466.666666666657</v>
          </cell>
          <cell r="U299">
            <v>200</v>
          </cell>
          <cell r="V299">
            <v>4800</v>
          </cell>
          <cell r="W299">
            <v>0</v>
          </cell>
          <cell r="X299">
            <v>5000</v>
          </cell>
          <cell r="Y299">
            <v>53466.666666666657</v>
          </cell>
        </row>
        <row r="300">
          <cell r="A300" t="str">
            <v>EMP299</v>
          </cell>
          <cell r="B300" t="str">
            <v>Name 299</v>
          </cell>
          <cell r="C300" t="str">
            <v>Manager</v>
          </cell>
          <cell r="D300">
            <v>43</v>
          </cell>
          <cell r="E300">
            <v>43841</v>
          </cell>
          <cell r="F300" t="str">
            <v>Day</v>
          </cell>
          <cell r="G300" t="str">
            <v>Name 299@gmail.com</v>
          </cell>
          <cell r="H300">
            <v>32000</v>
          </cell>
          <cell r="I300">
            <v>5760</v>
          </cell>
          <cell r="J300">
            <v>1600</v>
          </cell>
          <cell r="K300">
            <v>1000</v>
          </cell>
          <cell r="L300">
            <v>0</v>
          </cell>
          <cell r="M300">
            <v>1600</v>
          </cell>
          <cell r="N300">
            <v>30</v>
          </cell>
          <cell r="O300">
            <v>32000.000000000004</v>
          </cell>
          <cell r="P300">
            <v>1</v>
          </cell>
          <cell r="Q300">
            <v>30</v>
          </cell>
          <cell r="R300">
            <v>133.33333333333334</v>
          </cell>
          <cell r="S300">
            <v>4000.0000000000005</v>
          </cell>
          <cell r="T300">
            <v>45960</v>
          </cell>
          <cell r="U300">
            <v>200</v>
          </cell>
          <cell r="V300">
            <v>3840</v>
          </cell>
          <cell r="W300">
            <v>5000</v>
          </cell>
          <cell r="X300">
            <v>9040</v>
          </cell>
          <cell r="Y300">
            <v>36920</v>
          </cell>
        </row>
        <row r="301">
          <cell r="A301" t="str">
            <v>EMP300</v>
          </cell>
          <cell r="B301" t="str">
            <v>Name 300</v>
          </cell>
          <cell r="C301" t="str">
            <v>Clerk</v>
          </cell>
          <cell r="D301">
            <v>34</v>
          </cell>
          <cell r="E301">
            <v>43842</v>
          </cell>
          <cell r="F301" t="str">
            <v>Day</v>
          </cell>
          <cell r="G301" t="str">
            <v>Name 300@gmail.com</v>
          </cell>
          <cell r="H301">
            <v>28000</v>
          </cell>
          <cell r="I301">
            <v>5040</v>
          </cell>
          <cell r="J301">
            <v>1400</v>
          </cell>
          <cell r="K301">
            <v>1000</v>
          </cell>
          <cell r="L301">
            <v>0</v>
          </cell>
          <cell r="M301">
            <v>1600</v>
          </cell>
          <cell r="N301">
            <v>29</v>
          </cell>
          <cell r="O301">
            <v>27066.666666666668</v>
          </cell>
          <cell r="P301">
            <v>1</v>
          </cell>
          <cell r="Q301">
            <v>29</v>
          </cell>
          <cell r="R301">
            <v>116.66666666666667</v>
          </cell>
          <cell r="S301">
            <v>3383.3333333333335</v>
          </cell>
          <cell r="T301">
            <v>39490.000000000007</v>
          </cell>
          <cell r="U301">
            <v>200</v>
          </cell>
          <cell r="V301">
            <v>3360</v>
          </cell>
          <cell r="W301">
            <v>0</v>
          </cell>
          <cell r="X301">
            <v>3560</v>
          </cell>
          <cell r="Y301">
            <v>35930.000000000007</v>
          </cell>
        </row>
        <row r="302">
          <cell r="A302" t="str">
            <v>EMP301</v>
          </cell>
          <cell r="B302" t="str">
            <v>Name 301</v>
          </cell>
          <cell r="C302" t="str">
            <v>Accountant</v>
          </cell>
          <cell r="D302">
            <v>43</v>
          </cell>
          <cell r="E302">
            <v>43843</v>
          </cell>
          <cell r="F302" t="str">
            <v>Night</v>
          </cell>
          <cell r="G302" t="str">
            <v>Name 301@gmail.com</v>
          </cell>
          <cell r="H302">
            <v>44000</v>
          </cell>
          <cell r="I302">
            <v>7920</v>
          </cell>
          <cell r="J302">
            <v>2200</v>
          </cell>
          <cell r="K302">
            <v>1000</v>
          </cell>
          <cell r="L302">
            <v>0</v>
          </cell>
          <cell r="M302">
            <v>1600</v>
          </cell>
          <cell r="N302">
            <v>28</v>
          </cell>
          <cell r="O302">
            <v>41066.666666666672</v>
          </cell>
          <cell r="P302">
            <v>1</v>
          </cell>
          <cell r="Q302">
            <v>28</v>
          </cell>
          <cell r="R302">
            <v>183.33333333333334</v>
          </cell>
          <cell r="S302">
            <v>5133.3333333333339</v>
          </cell>
          <cell r="T302">
            <v>58920.000000000007</v>
          </cell>
          <cell r="U302">
            <v>200</v>
          </cell>
          <cell r="V302">
            <v>5280</v>
          </cell>
          <cell r="W302">
            <v>0</v>
          </cell>
          <cell r="X302">
            <v>5480</v>
          </cell>
          <cell r="Y302">
            <v>53440.000000000007</v>
          </cell>
        </row>
        <row r="303">
          <cell r="A303" t="str">
            <v>EMP302</v>
          </cell>
          <cell r="B303" t="str">
            <v>Name 302</v>
          </cell>
          <cell r="C303" t="str">
            <v>Manager</v>
          </cell>
          <cell r="D303">
            <v>23</v>
          </cell>
          <cell r="E303">
            <v>43844</v>
          </cell>
          <cell r="F303" t="str">
            <v>Day</v>
          </cell>
          <cell r="G303" t="str">
            <v>Name 302@gmail.com</v>
          </cell>
          <cell r="H303">
            <v>25000</v>
          </cell>
          <cell r="I303">
            <v>4500</v>
          </cell>
          <cell r="J303">
            <v>1250</v>
          </cell>
          <cell r="K303">
            <v>1000</v>
          </cell>
          <cell r="L303">
            <v>0</v>
          </cell>
          <cell r="M303">
            <v>1600</v>
          </cell>
          <cell r="N303">
            <v>27</v>
          </cell>
          <cell r="O303">
            <v>22500</v>
          </cell>
          <cell r="P303">
            <v>1</v>
          </cell>
          <cell r="Q303">
            <v>27</v>
          </cell>
          <cell r="R303">
            <v>104.16666666666667</v>
          </cell>
          <cell r="S303">
            <v>2812.5</v>
          </cell>
          <cell r="T303">
            <v>33662.5</v>
          </cell>
          <cell r="U303">
            <v>200</v>
          </cell>
          <cell r="V303">
            <v>3000</v>
          </cell>
          <cell r="W303">
            <v>0</v>
          </cell>
          <cell r="X303">
            <v>3200</v>
          </cell>
          <cell r="Y303">
            <v>30462.5</v>
          </cell>
        </row>
        <row r="304">
          <cell r="A304" t="str">
            <v>EMP303</v>
          </cell>
          <cell r="B304" t="str">
            <v>Name 303</v>
          </cell>
          <cell r="C304" t="str">
            <v>Accountant</v>
          </cell>
          <cell r="D304">
            <v>34</v>
          </cell>
          <cell r="E304">
            <v>43845</v>
          </cell>
          <cell r="F304" t="str">
            <v>Day</v>
          </cell>
          <cell r="G304" t="str">
            <v>Name 303@gmail.com</v>
          </cell>
          <cell r="H304">
            <v>50000</v>
          </cell>
          <cell r="I304">
            <v>9000</v>
          </cell>
          <cell r="J304">
            <v>2500</v>
          </cell>
          <cell r="K304">
            <v>1000</v>
          </cell>
          <cell r="L304">
            <v>0</v>
          </cell>
          <cell r="M304">
            <v>1600</v>
          </cell>
          <cell r="N304">
            <v>27</v>
          </cell>
          <cell r="O304">
            <v>45000</v>
          </cell>
          <cell r="P304">
            <v>3</v>
          </cell>
          <cell r="Q304">
            <v>81</v>
          </cell>
          <cell r="R304">
            <v>208.33333333333334</v>
          </cell>
          <cell r="S304">
            <v>16875</v>
          </cell>
          <cell r="T304">
            <v>75975</v>
          </cell>
          <cell r="U304">
            <v>201</v>
          </cell>
          <cell r="V304">
            <v>6000</v>
          </cell>
          <cell r="W304">
            <v>0</v>
          </cell>
          <cell r="X304">
            <v>6201</v>
          </cell>
          <cell r="Y304">
            <v>69774</v>
          </cell>
        </row>
        <row r="305">
          <cell r="A305" t="str">
            <v>EMP304</v>
          </cell>
          <cell r="B305" t="str">
            <v>Name 304</v>
          </cell>
          <cell r="C305" t="str">
            <v>Accountant</v>
          </cell>
          <cell r="D305">
            <v>23</v>
          </cell>
          <cell r="E305">
            <v>43846</v>
          </cell>
          <cell r="F305" t="str">
            <v>Night</v>
          </cell>
          <cell r="G305" t="str">
            <v>Name 304@gmail.com</v>
          </cell>
          <cell r="H305">
            <v>70000</v>
          </cell>
          <cell r="I305">
            <v>12600</v>
          </cell>
          <cell r="J305">
            <v>3500</v>
          </cell>
          <cell r="K305">
            <v>1000</v>
          </cell>
          <cell r="L305">
            <v>0</v>
          </cell>
          <cell r="M305">
            <v>1600</v>
          </cell>
          <cell r="N305">
            <v>27</v>
          </cell>
          <cell r="O305">
            <v>63000.000000000007</v>
          </cell>
          <cell r="P305">
            <v>1</v>
          </cell>
          <cell r="Q305">
            <v>27</v>
          </cell>
          <cell r="R305">
            <v>291.66666666666669</v>
          </cell>
          <cell r="S305">
            <v>7875.0000000000009</v>
          </cell>
          <cell r="T305">
            <v>89575</v>
          </cell>
          <cell r="U305">
            <v>202</v>
          </cell>
          <cell r="V305">
            <v>8400</v>
          </cell>
          <cell r="W305">
            <v>0</v>
          </cell>
          <cell r="X305">
            <v>8602</v>
          </cell>
          <cell r="Y305">
            <v>80973</v>
          </cell>
        </row>
        <row r="306">
          <cell r="A306" t="str">
            <v>EMP305</v>
          </cell>
          <cell r="B306" t="str">
            <v>Name 305</v>
          </cell>
          <cell r="C306" t="str">
            <v>Accountant</v>
          </cell>
          <cell r="D306">
            <v>34</v>
          </cell>
          <cell r="E306">
            <v>43847</v>
          </cell>
          <cell r="F306" t="str">
            <v>Night</v>
          </cell>
          <cell r="G306" t="str">
            <v>Name 305@gmail.com</v>
          </cell>
          <cell r="H306">
            <v>34000</v>
          </cell>
          <cell r="I306">
            <v>6120</v>
          </cell>
          <cell r="J306">
            <v>1700</v>
          </cell>
          <cell r="K306">
            <v>1000</v>
          </cell>
          <cell r="L306">
            <v>2000</v>
          </cell>
          <cell r="M306">
            <v>1600</v>
          </cell>
          <cell r="N306">
            <v>30</v>
          </cell>
          <cell r="O306">
            <v>34000</v>
          </cell>
          <cell r="P306">
            <v>2</v>
          </cell>
          <cell r="Q306">
            <v>60</v>
          </cell>
          <cell r="R306">
            <v>141.66666666666666</v>
          </cell>
          <cell r="S306">
            <v>8500</v>
          </cell>
          <cell r="T306">
            <v>54920</v>
          </cell>
          <cell r="U306">
            <v>203</v>
          </cell>
          <cell r="V306">
            <v>4080</v>
          </cell>
          <cell r="W306">
            <v>0</v>
          </cell>
          <cell r="X306">
            <v>4283</v>
          </cell>
          <cell r="Y306">
            <v>50637</v>
          </cell>
        </row>
        <row r="307">
          <cell r="A307" t="str">
            <v>EMP306</v>
          </cell>
          <cell r="B307" t="str">
            <v>Name 306</v>
          </cell>
          <cell r="C307" t="str">
            <v>Accountant</v>
          </cell>
          <cell r="D307">
            <v>23</v>
          </cell>
          <cell r="E307">
            <v>43848</v>
          </cell>
          <cell r="F307" t="str">
            <v>Night</v>
          </cell>
          <cell r="G307" t="str">
            <v>Name 306@gmail.com</v>
          </cell>
          <cell r="H307">
            <v>45000</v>
          </cell>
          <cell r="I307">
            <v>8100</v>
          </cell>
          <cell r="J307">
            <v>2250</v>
          </cell>
          <cell r="K307">
            <v>1000</v>
          </cell>
          <cell r="L307">
            <v>5000</v>
          </cell>
          <cell r="M307">
            <v>1600</v>
          </cell>
          <cell r="N307">
            <v>30</v>
          </cell>
          <cell r="O307">
            <v>45000</v>
          </cell>
          <cell r="P307">
            <v>0</v>
          </cell>
          <cell r="Q307">
            <v>0</v>
          </cell>
          <cell r="R307">
            <v>187.5</v>
          </cell>
          <cell r="S307">
            <v>0</v>
          </cell>
          <cell r="T307">
            <v>62950</v>
          </cell>
          <cell r="U307">
            <v>204</v>
          </cell>
          <cell r="V307">
            <v>5400</v>
          </cell>
          <cell r="W307">
            <v>4000</v>
          </cell>
          <cell r="X307">
            <v>9604</v>
          </cell>
          <cell r="Y307">
            <v>53346</v>
          </cell>
        </row>
        <row r="308">
          <cell r="A308" t="str">
            <v>EMP307</v>
          </cell>
          <cell r="B308" t="str">
            <v>Name 307</v>
          </cell>
          <cell r="C308" t="str">
            <v>Accountant</v>
          </cell>
          <cell r="D308">
            <v>34</v>
          </cell>
          <cell r="E308">
            <v>43849</v>
          </cell>
          <cell r="F308" t="str">
            <v>Night</v>
          </cell>
          <cell r="G308" t="str">
            <v>Name 307@gmail.com</v>
          </cell>
          <cell r="H308">
            <v>55000</v>
          </cell>
          <cell r="I308">
            <v>9900</v>
          </cell>
          <cell r="J308">
            <v>2750</v>
          </cell>
          <cell r="K308">
            <v>1000</v>
          </cell>
          <cell r="L308">
            <v>0</v>
          </cell>
          <cell r="M308">
            <v>1600</v>
          </cell>
          <cell r="N308">
            <v>30</v>
          </cell>
          <cell r="O308">
            <v>55000</v>
          </cell>
          <cell r="P308">
            <v>1</v>
          </cell>
          <cell r="Q308">
            <v>30</v>
          </cell>
          <cell r="R308">
            <v>229.16666666666666</v>
          </cell>
          <cell r="S308">
            <v>6875</v>
          </cell>
          <cell r="T308">
            <v>77125</v>
          </cell>
          <cell r="U308">
            <v>205</v>
          </cell>
          <cell r="V308">
            <v>6600</v>
          </cell>
          <cell r="W308">
            <v>0</v>
          </cell>
          <cell r="X308">
            <v>6805</v>
          </cell>
          <cell r="Y308">
            <v>70320</v>
          </cell>
        </row>
        <row r="309">
          <cell r="A309" t="str">
            <v>EMP308</v>
          </cell>
          <cell r="B309" t="str">
            <v>Name 308</v>
          </cell>
          <cell r="C309" t="str">
            <v>Manager</v>
          </cell>
          <cell r="D309">
            <v>45</v>
          </cell>
          <cell r="E309">
            <v>43850</v>
          </cell>
          <cell r="F309" t="str">
            <v>Day</v>
          </cell>
          <cell r="G309" t="str">
            <v>Name 308@gmail.com</v>
          </cell>
          <cell r="H309">
            <v>43000</v>
          </cell>
          <cell r="I309">
            <v>7740</v>
          </cell>
          <cell r="J309">
            <v>2150</v>
          </cell>
          <cell r="K309">
            <v>1000</v>
          </cell>
          <cell r="L309">
            <v>0</v>
          </cell>
          <cell r="M309">
            <v>1600</v>
          </cell>
          <cell r="N309">
            <v>27</v>
          </cell>
          <cell r="O309">
            <v>38700</v>
          </cell>
          <cell r="P309">
            <v>1</v>
          </cell>
          <cell r="Q309">
            <v>27</v>
          </cell>
          <cell r="R309">
            <v>179.16666666666666</v>
          </cell>
          <cell r="S309">
            <v>4837.5</v>
          </cell>
          <cell r="T309">
            <v>56027.5</v>
          </cell>
          <cell r="U309">
            <v>200</v>
          </cell>
          <cell r="V309">
            <v>5160</v>
          </cell>
          <cell r="W309">
            <v>0</v>
          </cell>
          <cell r="X309">
            <v>5360</v>
          </cell>
          <cell r="Y309">
            <v>50667.5</v>
          </cell>
        </row>
        <row r="310">
          <cell r="A310" t="str">
            <v>EMP309</v>
          </cell>
          <cell r="B310" t="str">
            <v>Name 309</v>
          </cell>
          <cell r="C310" t="str">
            <v>Clerk</v>
          </cell>
          <cell r="D310">
            <v>54</v>
          </cell>
          <cell r="E310">
            <v>43851</v>
          </cell>
          <cell r="F310" t="str">
            <v>Day</v>
          </cell>
          <cell r="G310" t="str">
            <v>Name 309@gmail.com</v>
          </cell>
          <cell r="H310">
            <v>25000</v>
          </cell>
          <cell r="I310">
            <v>4500</v>
          </cell>
          <cell r="J310">
            <v>1250</v>
          </cell>
          <cell r="K310">
            <v>1000</v>
          </cell>
          <cell r="L310">
            <v>0</v>
          </cell>
          <cell r="M310">
            <v>1600</v>
          </cell>
          <cell r="N310">
            <v>30</v>
          </cell>
          <cell r="O310">
            <v>25000</v>
          </cell>
          <cell r="P310">
            <v>0</v>
          </cell>
          <cell r="Q310">
            <v>0</v>
          </cell>
          <cell r="R310">
            <v>104.16666666666667</v>
          </cell>
          <cell r="S310">
            <v>0</v>
          </cell>
          <cell r="T310">
            <v>33350</v>
          </cell>
          <cell r="U310">
            <v>200</v>
          </cell>
          <cell r="V310">
            <v>3000</v>
          </cell>
          <cell r="W310">
            <v>0</v>
          </cell>
          <cell r="X310">
            <v>3200</v>
          </cell>
          <cell r="Y310">
            <v>30150</v>
          </cell>
        </row>
        <row r="311">
          <cell r="A311" t="str">
            <v>EMP310</v>
          </cell>
          <cell r="B311" t="str">
            <v>Name 310</v>
          </cell>
          <cell r="C311" t="str">
            <v>Accountant</v>
          </cell>
          <cell r="D311">
            <v>56</v>
          </cell>
          <cell r="E311">
            <v>43852</v>
          </cell>
          <cell r="F311" t="str">
            <v>Day</v>
          </cell>
          <cell r="G311" t="str">
            <v>Name 310@gmail.com</v>
          </cell>
          <cell r="H311">
            <v>28000</v>
          </cell>
          <cell r="I311">
            <v>5040</v>
          </cell>
          <cell r="J311">
            <v>1400</v>
          </cell>
          <cell r="K311">
            <v>1000</v>
          </cell>
          <cell r="L311">
            <v>0</v>
          </cell>
          <cell r="M311">
            <v>1600</v>
          </cell>
          <cell r="N311">
            <v>20</v>
          </cell>
          <cell r="O311">
            <v>18666.666666666668</v>
          </cell>
          <cell r="P311">
            <v>0</v>
          </cell>
          <cell r="Q311">
            <v>0</v>
          </cell>
          <cell r="R311">
            <v>116.66666666666667</v>
          </cell>
          <cell r="S311">
            <v>0</v>
          </cell>
          <cell r="T311">
            <v>27706.666666666668</v>
          </cell>
          <cell r="U311">
            <v>200</v>
          </cell>
          <cell r="V311">
            <v>3360</v>
          </cell>
          <cell r="W311">
            <v>0</v>
          </cell>
          <cell r="X311">
            <v>3560</v>
          </cell>
          <cell r="Y311">
            <v>24146.666666666668</v>
          </cell>
        </row>
        <row r="312">
          <cell r="A312" t="str">
            <v>EMP311</v>
          </cell>
          <cell r="B312" t="str">
            <v>Name 311</v>
          </cell>
          <cell r="C312" t="str">
            <v>Manager</v>
          </cell>
          <cell r="D312">
            <v>54</v>
          </cell>
          <cell r="E312">
            <v>43853</v>
          </cell>
          <cell r="F312" t="str">
            <v>Day</v>
          </cell>
          <cell r="G312" t="str">
            <v>Name 311@gmail.com</v>
          </cell>
          <cell r="H312">
            <v>40000</v>
          </cell>
          <cell r="I312">
            <v>7200</v>
          </cell>
          <cell r="J312">
            <v>2000</v>
          </cell>
          <cell r="K312">
            <v>1000</v>
          </cell>
          <cell r="L312">
            <v>0</v>
          </cell>
          <cell r="M312">
            <v>1600</v>
          </cell>
          <cell r="N312">
            <v>28</v>
          </cell>
          <cell r="O312">
            <v>37333.333333333328</v>
          </cell>
          <cell r="P312">
            <v>2</v>
          </cell>
          <cell r="Q312">
            <v>56</v>
          </cell>
          <cell r="R312">
            <v>166.66666666666666</v>
          </cell>
          <cell r="S312">
            <v>9333.3333333333321</v>
          </cell>
          <cell r="T312">
            <v>58466.666666666657</v>
          </cell>
          <cell r="U312">
            <v>200</v>
          </cell>
          <cell r="V312">
            <v>4800</v>
          </cell>
          <cell r="W312">
            <v>0</v>
          </cell>
          <cell r="X312">
            <v>5000</v>
          </cell>
          <cell r="Y312">
            <v>53466.666666666657</v>
          </cell>
        </row>
        <row r="313">
          <cell r="A313" t="str">
            <v>EMP312</v>
          </cell>
          <cell r="B313" t="str">
            <v>Name 312</v>
          </cell>
          <cell r="C313" t="str">
            <v>Manager</v>
          </cell>
          <cell r="D313">
            <v>34</v>
          </cell>
          <cell r="E313">
            <v>43854</v>
          </cell>
          <cell r="F313" t="str">
            <v>Day</v>
          </cell>
          <cell r="G313" t="str">
            <v>Name 312@gmail.com</v>
          </cell>
          <cell r="H313">
            <v>32000</v>
          </cell>
          <cell r="I313">
            <v>5760</v>
          </cell>
          <cell r="J313">
            <v>1600</v>
          </cell>
          <cell r="K313">
            <v>1000</v>
          </cell>
          <cell r="L313">
            <v>0</v>
          </cell>
          <cell r="M313">
            <v>1600</v>
          </cell>
          <cell r="N313">
            <v>30</v>
          </cell>
          <cell r="O313">
            <v>32000.000000000004</v>
          </cell>
          <cell r="P313">
            <v>1</v>
          </cell>
          <cell r="Q313">
            <v>30</v>
          </cell>
          <cell r="R313">
            <v>133.33333333333334</v>
          </cell>
          <cell r="S313">
            <v>4000.0000000000005</v>
          </cell>
          <cell r="T313">
            <v>45960</v>
          </cell>
          <cell r="U313">
            <v>200</v>
          </cell>
          <cell r="V313">
            <v>3840</v>
          </cell>
          <cell r="W313">
            <v>5000</v>
          </cell>
          <cell r="X313">
            <v>9040</v>
          </cell>
          <cell r="Y313">
            <v>36920</v>
          </cell>
        </row>
        <row r="314">
          <cell r="A314" t="str">
            <v>EMP313</v>
          </cell>
          <cell r="B314" t="str">
            <v>Name 313</v>
          </cell>
          <cell r="C314" t="str">
            <v>Clerk</v>
          </cell>
          <cell r="D314">
            <v>23</v>
          </cell>
          <cell r="E314">
            <v>43831</v>
          </cell>
          <cell r="F314" t="str">
            <v>Day</v>
          </cell>
          <cell r="G314" t="str">
            <v>Name 313@gmail.com</v>
          </cell>
          <cell r="H314">
            <v>28000</v>
          </cell>
          <cell r="I314">
            <v>5040</v>
          </cell>
          <cell r="J314">
            <v>1400</v>
          </cell>
          <cell r="K314">
            <v>1000</v>
          </cell>
          <cell r="L314">
            <v>0</v>
          </cell>
          <cell r="M314">
            <v>1600</v>
          </cell>
          <cell r="N314">
            <v>29</v>
          </cell>
          <cell r="O314">
            <v>27066.666666666668</v>
          </cell>
          <cell r="P314">
            <v>1</v>
          </cell>
          <cell r="Q314">
            <v>29</v>
          </cell>
          <cell r="R314">
            <v>116.66666666666667</v>
          </cell>
          <cell r="S314">
            <v>3383.3333333333335</v>
          </cell>
          <cell r="T314">
            <v>39490.000000000007</v>
          </cell>
          <cell r="U314">
            <v>200</v>
          </cell>
          <cell r="V314">
            <v>3360</v>
          </cell>
          <cell r="W314">
            <v>0</v>
          </cell>
          <cell r="X314">
            <v>3560</v>
          </cell>
          <cell r="Y314">
            <v>35930.000000000007</v>
          </cell>
        </row>
        <row r="315">
          <cell r="A315" t="str">
            <v>EMP314</v>
          </cell>
          <cell r="B315" t="str">
            <v>Name 314</v>
          </cell>
          <cell r="C315" t="str">
            <v>Accountant</v>
          </cell>
          <cell r="D315">
            <v>34</v>
          </cell>
          <cell r="E315">
            <v>43832</v>
          </cell>
          <cell r="F315" t="str">
            <v>Night</v>
          </cell>
          <cell r="G315" t="str">
            <v>Name 314@gmail.com</v>
          </cell>
          <cell r="H315">
            <v>44000</v>
          </cell>
          <cell r="I315">
            <v>7920</v>
          </cell>
          <cell r="J315">
            <v>2200</v>
          </cell>
          <cell r="K315">
            <v>1000</v>
          </cell>
          <cell r="L315">
            <v>0</v>
          </cell>
          <cell r="M315">
            <v>1600</v>
          </cell>
          <cell r="N315">
            <v>28</v>
          </cell>
          <cell r="O315">
            <v>41066.666666666672</v>
          </cell>
          <cell r="P315">
            <v>1</v>
          </cell>
          <cell r="Q315">
            <v>28</v>
          </cell>
          <cell r="R315">
            <v>183.33333333333334</v>
          </cell>
          <cell r="S315">
            <v>5133.3333333333339</v>
          </cell>
          <cell r="T315">
            <v>58920.000000000007</v>
          </cell>
          <cell r="U315">
            <v>200</v>
          </cell>
          <cell r="V315">
            <v>5280</v>
          </cell>
          <cell r="W315">
            <v>0</v>
          </cell>
          <cell r="X315">
            <v>5480</v>
          </cell>
          <cell r="Y315">
            <v>53440.000000000007</v>
          </cell>
        </row>
        <row r="316">
          <cell r="A316" t="str">
            <v>EMP315</v>
          </cell>
          <cell r="B316" t="str">
            <v>Name 315</v>
          </cell>
          <cell r="C316" t="str">
            <v>Manager</v>
          </cell>
          <cell r="D316">
            <v>43</v>
          </cell>
          <cell r="E316">
            <v>43833</v>
          </cell>
          <cell r="F316" t="str">
            <v>Day</v>
          </cell>
          <cell r="G316" t="str">
            <v>Name 315@gmail.com</v>
          </cell>
          <cell r="H316">
            <v>25000</v>
          </cell>
          <cell r="I316">
            <v>4500</v>
          </cell>
          <cell r="J316">
            <v>1250</v>
          </cell>
          <cell r="K316">
            <v>1000</v>
          </cell>
          <cell r="L316">
            <v>0</v>
          </cell>
          <cell r="M316">
            <v>1600</v>
          </cell>
          <cell r="N316">
            <v>27</v>
          </cell>
          <cell r="O316">
            <v>22500</v>
          </cell>
          <cell r="P316">
            <v>1</v>
          </cell>
          <cell r="Q316">
            <v>27</v>
          </cell>
          <cell r="R316">
            <v>104.16666666666667</v>
          </cell>
          <cell r="S316">
            <v>2812.5</v>
          </cell>
          <cell r="T316">
            <v>33662.5</v>
          </cell>
          <cell r="U316">
            <v>200</v>
          </cell>
          <cell r="V316">
            <v>3000</v>
          </cell>
          <cell r="W316">
            <v>0</v>
          </cell>
          <cell r="X316">
            <v>3200</v>
          </cell>
          <cell r="Y316">
            <v>30462.5</v>
          </cell>
        </row>
        <row r="317">
          <cell r="A317" t="str">
            <v>EMP316</v>
          </cell>
          <cell r="B317" t="str">
            <v>Name 316</v>
          </cell>
          <cell r="C317" t="str">
            <v>Accountant</v>
          </cell>
          <cell r="D317">
            <v>34</v>
          </cell>
          <cell r="E317">
            <v>43834</v>
          </cell>
          <cell r="F317" t="str">
            <v>Day</v>
          </cell>
          <cell r="G317" t="str">
            <v>Name 316@gmail.com</v>
          </cell>
          <cell r="H317">
            <v>50000</v>
          </cell>
          <cell r="I317">
            <v>9000</v>
          </cell>
          <cell r="J317">
            <v>2500</v>
          </cell>
          <cell r="K317">
            <v>1000</v>
          </cell>
          <cell r="L317">
            <v>0</v>
          </cell>
          <cell r="M317">
            <v>1600</v>
          </cell>
          <cell r="N317">
            <v>27</v>
          </cell>
          <cell r="O317">
            <v>45000</v>
          </cell>
          <cell r="P317">
            <v>3</v>
          </cell>
          <cell r="Q317">
            <v>81</v>
          </cell>
          <cell r="R317">
            <v>208.33333333333334</v>
          </cell>
          <cell r="S317">
            <v>16875</v>
          </cell>
          <cell r="T317">
            <v>75975</v>
          </cell>
          <cell r="U317">
            <v>201</v>
          </cell>
          <cell r="V317">
            <v>6000</v>
          </cell>
          <cell r="W317">
            <v>0</v>
          </cell>
          <cell r="X317">
            <v>6201</v>
          </cell>
          <cell r="Y317">
            <v>69774</v>
          </cell>
        </row>
        <row r="318">
          <cell r="A318" t="str">
            <v>EMP317</v>
          </cell>
          <cell r="B318" t="str">
            <v>Name 317</v>
          </cell>
          <cell r="C318" t="str">
            <v>Accountant</v>
          </cell>
          <cell r="D318">
            <v>43</v>
          </cell>
          <cell r="E318">
            <v>43835</v>
          </cell>
          <cell r="F318" t="str">
            <v>Night</v>
          </cell>
          <cell r="G318" t="str">
            <v>Name 317@gmail.com</v>
          </cell>
          <cell r="H318">
            <v>70000</v>
          </cell>
          <cell r="I318">
            <v>12600</v>
          </cell>
          <cell r="J318">
            <v>3500</v>
          </cell>
          <cell r="K318">
            <v>1000</v>
          </cell>
          <cell r="L318">
            <v>0</v>
          </cell>
          <cell r="M318">
            <v>1600</v>
          </cell>
          <cell r="N318">
            <v>27</v>
          </cell>
          <cell r="O318">
            <v>63000.000000000007</v>
          </cell>
          <cell r="P318">
            <v>1</v>
          </cell>
          <cell r="Q318">
            <v>27</v>
          </cell>
          <cell r="R318">
            <v>291.66666666666669</v>
          </cell>
          <cell r="S318">
            <v>7875.0000000000009</v>
          </cell>
          <cell r="T318">
            <v>89575</v>
          </cell>
          <cell r="U318">
            <v>202</v>
          </cell>
          <cell r="V318">
            <v>8400</v>
          </cell>
          <cell r="W318">
            <v>0</v>
          </cell>
          <cell r="X318">
            <v>8602</v>
          </cell>
          <cell r="Y318">
            <v>80973</v>
          </cell>
        </row>
        <row r="319">
          <cell r="A319" t="str">
            <v>EMP318</v>
          </cell>
          <cell r="B319" t="str">
            <v>Name 318</v>
          </cell>
          <cell r="C319" t="str">
            <v>Accountant</v>
          </cell>
          <cell r="D319">
            <v>23</v>
          </cell>
          <cell r="E319">
            <v>43836</v>
          </cell>
          <cell r="F319" t="str">
            <v>Night</v>
          </cell>
          <cell r="G319" t="str">
            <v>Name 318@gmail.com</v>
          </cell>
          <cell r="H319">
            <v>34000</v>
          </cell>
          <cell r="I319">
            <v>6120</v>
          </cell>
          <cell r="J319">
            <v>1700</v>
          </cell>
          <cell r="K319">
            <v>1000</v>
          </cell>
          <cell r="L319">
            <v>2000</v>
          </cell>
          <cell r="M319">
            <v>1600</v>
          </cell>
          <cell r="N319">
            <v>30</v>
          </cell>
          <cell r="O319">
            <v>34000</v>
          </cell>
          <cell r="P319">
            <v>2</v>
          </cell>
          <cell r="Q319">
            <v>60</v>
          </cell>
          <cell r="R319">
            <v>141.66666666666666</v>
          </cell>
          <cell r="S319">
            <v>8500</v>
          </cell>
          <cell r="T319">
            <v>54920</v>
          </cell>
          <cell r="U319">
            <v>203</v>
          </cell>
          <cell r="V319">
            <v>4080</v>
          </cell>
          <cell r="W319">
            <v>0</v>
          </cell>
          <cell r="X319">
            <v>4283</v>
          </cell>
          <cell r="Y319">
            <v>50637</v>
          </cell>
        </row>
        <row r="320">
          <cell r="A320" t="str">
            <v>EMP319</v>
          </cell>
          <cell r="B320" t="str">
            <v>Name 319</v>
          </cell>
          <cell r="C320" t="str">
            <v>Accountant</v>
          </cell>
          <cell r="D320">
            <v>34</v>
          </cell>
          <cell r="E320">
            <v>43837</v>
          </cell>
          <cell r="F320" t="str">
            <v>Night</v>
          </cell>
          <cell r="G320" t="str">
            <v>Name 319@gmail.com</v>
          </cell>
          <cell r="H320">
            <v>45000</v>
          </cell>
          <cell r="I320">
            <v>8100</v>
          </cell>
          <cell r="J320">
            <v>2250</v>
          </cell>
          <cell r="K320">
            <v>1000</v>
          </cell>
          <cell r="L320">
            <v>5000</v>
          </cell>
          <cell r="M320">
            <v>1600</v>
          </cell>
          <cell r="N320">
            <v>30</v>
          </cell>
          <cell r="O320">
            <v>45000</v>
          </cell>
          <cell r="P320">
            <v>0</v>
          </cell>
          <cell r="Q320">
            <v>0</v>
          </cell>
          <cell r="R320">
            <v>187.5</v>
          </cell>
          <cell r="S320">
            <v>0</v>
          </cell>
          <cell r="T320">
            <v>62950</v>
          </cell>
          <cell r="U320">
            <v>204</v>
          </cell>
          <cell r="V320">
            <v>5400</v>
          </cell>
          <cell r="W320">
            <v>4000</v>
          </cell>
          <cell r="X320">
            <v>9604</v>
          </cell>
          <cell r="Y320">
            <v>53346</v>
          </cell>
        </row>
        <row r="321">
          <cell r="A321" t="str">
            <v>EMP320</v>
          </cell>
          <cell r="B321" t="str">
            <v>Name 320</v>
          </cell>
          <cell r="C321" t="str">
            <v>Accountant</v>
          </cell>
          <cell r="D321">
            <v>23</v>
          </cell>
          <cell r="E321">
            <v>43838</v>
          </cell>
          <cell r="F321" t="str">
            <v>Night</v>
          </cell>
          <cell r="G321" t="str">
            <v>Name 320@gmail.com</v>
          </cell>
          <cell r="H321">
            <v>55000</v>
          </cell>
          <cell r="I321">
            <v>9900</v>
          </cell>
          <cell r="J321">
            <v>2750</v>
          </cell>
          <cell r="K321">
            <v>1000</v>
          </cell>
          <cell r="L321">
            <v>5000</v>
          </cell>
          <cell r="M321">
            <v>1600</v>
          </cell>
          <cell r="N321">
            <v>30</v>
          </cell>
          <cell r="O321">
            <v>55000</v>
          </cell>
          <cell r="P321">
            <v>1</v>
          </cell>
          <cell r="Q321">
            <v>30</v>
          </cell>
          <cell r="R321">
            <v>229.16666666666666</v>
          </cell>
          <cell r="S321">
            <v>6875</v>
          </cell>
          <cell r="T321">
            <v>82125</v>
          </cell>
          <cell r="U321">
            <v>205</v>
          </cell>
          <cell r="V321">
            <v>6600</v>
          </cell>
          <cell r="W321">
            <v>0</v>
          </cell>
          <cell r="X321">
            <v>6805</v>
          </cell>
          <cell r="Y321">
            <v>75320</v>
          </cell>
        </row>
        <row r="322">
          <cell r="A322" t="str">
            <v>EMP321</v>
          </cell>
          <cell r="B322" t="str">
            <v>Name 321</v>
          </cell>
          <cell r="C322" t="str">
            <v>Manager</v>
          </cell>
          <cell r="D322">
            <v>34</v>
          </cell>
          <cell r="E322">
            <v>43839</v>
          </cell>
          <cell r="F322" t="str">
            <v>Day</v>
          </cell>
          <cell r="G322" t="str">
            <v>Name 321@gmail.com</v>
          </cell>
          <cell r="H322">
            <v>43000</v>
          </cell>
          <cell r="I322">
            <v>7740</v>
          </cell>
          <cell r="J322">
            <v>2150</v>
          </cell>
          <cell r="K322">
            <v>1000</v>
          </cell>
          <cell r="L322">
            <v>5000</v>
          </cell>
          <cell r="M322">
            <v>1600</v>
          </cell>
          <cell r="N322">
            <v>27</v>
          </cell>
          <cell r="O322">
            <v>38700</v>
          </cell>
          <cell r="P322">
            <v>1</v>
          </cell>
          <cell r="Q322">
            <v>27</v>
          </cell>
          <cell r="R322">
            <v>179.16666666666666</v>
          </cell>
          <cell r="S322">
            <v>4837.5</v>
          </cell>
          <cell r="T322">
            <v>61027.5</v>
          </cell>
          <cell r="U322">
            <v>200</v>
          </cell>
          <cell r="V322">
            <v>5160</v>
          </cell>
          <cell r="W322">
            <v>0</v>
          </cell>
          <cell r="X322">
            <v>5360</v>
          </cell>
          <cell r="Y322">
            <v>55667.5</v>
          </cell>
        </row>
        <row r="323">
          <cell r="A323" t="str">
            <v>EMP322</v>
          </cell>
          <cell r="B323" t="str">
            <v>Name 322</v>
          </cell>
          <cell r="C323" t="str">
            <v>Clerk</v>
          </cell>
          <cell r="D323">
            <v>23</v>
          </cell>
          <cell r="E323">
            <v>43840</v>
          </cell>
          <cell r="F323" t="str">
            <v>Day</v>
          </cell>
          <cell r="G323" t="str">
            <v>Name 322@gmail.com</v>
          </cell>
          <cell r="H323">
            <v>25000</v>
          </cell>
          <cell r="I323">
            <v>4500</v>
          </cell>
          <cell r="J323">
            <v>1250</v>
          </cell>
          <cell r="K323">
            <v>1000</v>
          </cell>
          <cell r="L323">
            <v>5000</v>
          </cell>
          <cell r="M323">
            <v>1600</v>
          </cell>
          <cell r="N323">
            <v>30</v>
          </cell>
          <cell r="O323">
            <v>25000</v>
          </cell>
          <cell r="P323">
            <v>0</v>
          </cell>
          <cell r="Q323">
            <v>0</v>
          </cell>
          <cell r="R323">
            <v>104.16666666666667</v>
          </cell>
          <cell r="S323">
            <v>0</v>
          </cell>
          <cell r="T323">
            <v>38350</v>
          </cell>
          <cell r="U323">
            <v>200</v>
          </cell>
          <cell r="V323">
            <v>3000</v>
          </cell>
          <cell r="W323">
            <v>0</v>
          </cell>
          <cell r="X323">
            <v>3200</v>
          </cell>
          <cell r="Y323">
            <v>35150</v>
          </cell>
        </row>
        <row r="324">
          <cell r="A324" t="str">
            <v>EMP323</v>
          </cell>
          <cell r="B324" t="str">
            <v>Name 323</v>
          </cell>
          <cell r="C324" t="str">
            <v>Accountant</v>
          </cell>
          <cell r="D324">
            <v>34</v>
          </cell>
          <cell r="E324">
            <v>43841</v>
          </cell>
          <cell r="F324" t="str">
            <v>Day</v>
          </cell>
          <cell r="G324" t="str">
            <v>Name 323@gmail.com</v>
          </cell>
          <cell r="H324">
            <v>28000</v>
          </cell>
          <cell r="I324">
            <v>5040</v>
          </cell>
          <cell r="J324">
            <v>1400</v>
          </cell>
          <cell r="K324">
            <v>1000</v>
          </cell>
          <cell r="L324">
            <v>5000</v>
          </cell>
          <cell r="M324">
            <v>1600</v>
          </cell>
          <cell r="N324">
            <v>20</v>
          </cell>
          <cell r="O324">
            <v>18666.666666666668</v>
          </cell>
          <cell r="P324">
            <v>0</v>
          </cell>
          <cell r="Q324">
            <v>0</v>
          </cell>
          <cell r="R324">
            <v>116.66666666666667</v>
          </cell>
          <cell r="S324">
            <v>0</v>
          </cell>
          <cell r="T324">
            <v>32706.666666666668</v>
          </cell>
          <cell r="U324">
            <v>200</v>
          </cell>
          <cell r="V324">
            <v>3360</v>
          </cell>
          <cell r="W324">
            <v>0</v>
          </cell>
          <cell r="X324">
            <v>3560</v>
          </cell>
          <cell r="Y324">
            <v>29146.666666666668</v>
          </cell>
        </row>
        <row r="325">
          <cell r="A325" t="str">
            <v>EMP324</v>
          </cell>
          <cell r="B325" t="str">
            <v>Name 324</v>
          </cell>
          <cell r="C325" t="str">
            <v>Manager</v>
          </cell>
          <cell r="D325">
            <v>45</v>
          </cell>
          <cell r="E325">
            <v>43842</v>
          </cell>
          <cell r="F325" t="str">
            <v>Day</v>
          </cell>
          <cell r="G325" t="str">
            <v>Name 324@gmail.com</v>
          </cell>
          <cell r="H325">
            <v>40000</v>
          </cell>
          <cell r="I325">
            <v>7200</v>
          </cell>
          <cell r="J325">
            <v>2000</v>
          </cell>
          <cell r="K325">
            <v>1000</v>
          </cell>
          <cell r="L325">
            <v>5000</v>
          </cell>
          <cell r="M325">
            <v>1600</v>
          </cell>
          <cell r="N325">
            <v>28</v>
          </cell>
          <cell r="O325">
            <v>37333.333333333328</v>
          </cell>
          <cell r="P325">
            <v>2</v>
          </cell>
          <cell r="Q325">
            <v>56</v>
          </cell>
          <cell r="R325">
            <v>166.66666666666666</v>
          </cell>
          <cell r="S325">
            <v>9333.3333333333321</v>
          </cell>
          <cell r="T325">
            <v>63466.666666666657</v>
          </cell>
          <cell r="U325">
            <v>200</v>
          </cell>
          <cell r="V325">
            <v>4800</v>
          </cell>
          <cell r="W325">
            <v>0</v>
          </cell>
          <cell r="X325">
            <v>5000</v>
          </cell>
          <cell r="Y325">
            <v>58466.666666666657</v>
          </cell>
        </row>
        <row r="326">
          <cell r="A326" t="str">
            <v>EMP325</v>
          </cell>
          <cell r="B326" t="str">
            <v>Name 325</v>
          </cell>
          <cell r="C326" t="str">
            <v>Manager</v>
          </cell>
          <cell r="D326">
            <v>54</v>
          </cell>
          <cell r="E326">
            <v>43843</v>
          </cell>
          <cell r="F326" t="str">
            <v>Day</v>
          </cell>
          <cell r="G326" t="str">
            <v>Name 325@gmail.com</v>
          </cell>
          <cell r="H326">
            <v>32000</v>
          </cell>
          <cell r="I326">
            <v>5760</v>
          </cell>
          <cell r="J326">
            <v>1600</v>
          </cell>
          <cell r="K326">
            <v>1000</v>
          </cell>
          <cell r="L326">
            <v>5000</v>
          </cell>
          <cell r="M326">
            <v>1600</v>
          </cell>
          <cell r="N326">
            <v>30</v>
          </cell>
          <cell r="O326">
            <v>32000.000000000004</v>
          </cell>
          <cell r="P326">
            <v>1</v>
          </cell>
          <cell r="Q326">
            <v>30</v>
          </cell>
          <cell r="R326">
            <v>133.33333333333334</v>
          </cell>
          <cell r="S326">
            <v>4000.0000000000005</v>
          </cell>
          <cell r="T326">
            <v>50960</v>
          </cell>
          <cell r="U326">
            <v>200</v>
          </cell>
          <cell r="V326">
            <v>3840</v>
          </cell>
          <cell r="W326">
            <v>5000</v>
          </cell>
          <cell r="X326">
            <v>9040</v>
          </cell>
          <cell r="Y326">
            <v>41920</v>
          </cell>
        </row>
        <row r="327">
          <cell r="A327" t="str">
            <v>EMP326</v>
          </cell>
          <cell r="B327" t="str">
            <v>Name 326</v>
          </cell>
          <cell r="C327" t="str">
            <v>Clerk</v>
          </cell>
          <cell r="D327">
            <v>56</v>
          </cell>
          <cell r="E327">
            <v>43844</v>
          </cell>
          <cell r="F327" t="str">
            <v>Day</v>
          </cell>
          <cell r="G327" t="str">
            <v>Name 326@gmail.com</v>
          </cell>
          <cell r="H327">
            <v>28000</v>
          </cell>
          <cell r="I327">
            <v>5040</v>
          </cell>
          <cell r="J327">
            <v>1400</v>
          </cell>
          <cell r="K327">
            <v>1000</v>
          </cell>
          <cell r="L327">
            <v>5000</v>
          </cell>
          <cell r="M327">
            <v>1600</v>
          </cell>
          <cell r="N327">
            <v>29</v>
          </cell>
          <cell r="O327">
            <v>27066.666666666668</v>
          </cell>
          <cell r="P327">
            <v>1</v>
          </cell>
          <cell r="Q327">
            <v>29</v>
          </cell>
          <cell r="R327">
            <v>116.66666666666667</v>
          </cell>
          <cell r="S327">
            <v>3383.3333333333335</v>
          </cell>
          <cell r="T327">
            <v>44490.000000000007</v>
          </cell>
          <cell r="U327">
            <v>200</v>
          </cell>
          <cell r="V327">
            <v>3360</v>
          </cell>
          <cell r="W327">
            <v>0</v>
          </cell>
          <cell r="X327">
            <v>3560</v>
          </cell>
          <cell r="Y327">
            <v>40930.000000000007</v>
          </cell>
        </row>
        <row r="328">
          <cell r="A328" t="str">
            <v>EMP327</v>
          </cell>
          <cell r="B328" t="str">
            <v>Name 327</v>
          </cell>
          <cell r="C328" t="str">
            <v>Accountant</v>
          </cell>
          <cell r="D328">
            <v>54</v>
          </cell>
          <cell r="E328">
            <v>43845</v>
          </cell>
          <cell r="F328" t="str">
            <v>Night</v>
          </cell>
          <cell r="G328" t="str">
            <v>Name 327@gmail.com</v>
          </cell>
          <cell r="H328">
            <v>44000</v>
          </cell>
          <cell r="I328">
            <v>7920</v>
          </cell>
          <cell r="J328">
            <v>2200</v>
          </cell>
          <cell r="K328">
            <v>1000</v>
          </cell>
          <cell r="L328">
            <v>5000</v>
          </cell>
          <cell r="M328">
            <v>1600</v>
          </cell>
          <cell r="N328">
            <v>28</v>
          </cell>
          <cell r="O328">
            <v>41066.666666666672</v>
          </cell>
          <cell r="P328">
            <v>1</v>
          </cell>
          <cell r="Q328">
            <v>28</v>
          </cell>
          <cell r="R328">
            <v>183.33333333333334</v>
          </cell>
          <cell r="S328">
            <v>5133.3333333333339</v>
          </cell>
          <cell r="T328">
            <v>63920.000000000007</v>
          </cell>
          <cell r="U328">
            <v>200</v>
          </cell>
          <cell r="V328">
            <v>5280</v>
          </cell>
          <cell r="W328">
            <v>0</v>
          </cell>
          <cell r="X328">
            <v>5480</v>
          </cell>
          <cell r="Y328">
            <v>58440.000000000007</v>
          </cell>
        </row>
        <row r="329">
          <cell r="A329" t="str">
            <v>EMP328</v>
          </cell>
          <cell r="B329" t="str">
            <v>Name 328</v>
          </cell>
          <cell r="C329" t="str">
            <v>Manager</v>
          </cell>
          <cell r="D329">
            <v>34</v>
          </cell>
          <cell r="E329">
            <v>43846</v>
          </cell>
          <cell r="F329" t="str">
            <v>Day</v>
          </cell>
          <cell r="G329" t="str">
            <v>Name 328@gmail.com</v>
          </cell>
          <cell r="H329">
            <v>25000</v>
          </cell>
          <cell r="I329">
            <v>4500</v>
          </cell>
          <cell r="J329">
            <v>1250</v>
          </cell>
          <cell r="K329">
            <v>1000</v>
          </cell>
          <cell r="L329">
            <v>5000</v>
          </cell>
          <cell r="M329">
            <v>1600</v>
          </cell>
          <cell r="N329">
            <v>27</v>
          </cell>
          <cell r="O329">
            <v>22500</v>
          </cell>
          <cell r="P329">
            <v>1</v>
          </cell>
          <cell r="Q329">
            <v>27</v>
          </cell>
          <cell r="R329">
            <v>104.16666666666667</v>
          </cell>
          <cell r="S329">
            <v>2812.5</v>
          </cell>
          <cell r="T329">
            <v>38662.5</v>
          </cell>
          <cell r="U329">
            <v>200</v>
          </cell>
          <cell r="V329">
            <v>3000</v>
          </cell>
          <cell r="W329">
            <v>0</v>
          </cell>
          <cell r="X329">
            <v>3200</v>
          </cell>
          <cell r="Y329">
            <v>35462.5</v>
          </cell>
        </row>
        <row r="330">
          <cell r="A330" t="str">
            <v>EMP329</v>
          </cell>
          <cell r="B330" t="str">
            <v>Name 329</v>
          </cell>
          <cell r="C330" t="str">
            <v>Accountant</v>
          </cell>
          <cell r="D330">
            <v>23</v>
          </cell>
          <cell r="E330">
            <v>43847</v>
          </cell>
          <cell r="F330" t="str">
            <v>Day</v>
          </cell>
          <cell r="G330" t="str">
            <v>Name 329@gmail.com</v>
          </cell>
          <cell r="H330">
            <v>50000</v>
          </cell>
          <cell r="I330">
            <v>9000</v>
          </cell>
          <cell r="J330">
            <v>2500</v>
          </cell>
          <cell r="K330">
            <v>1000</v>
          </cell>
          <cell r="L330">
            <v>5000</v>
          </cell>
          <cell r="M330">
            <v>1600</v>
          </cell>
          <cell r="N330">
            <v>27</v>
          </cell>
          <cell r="O330">
            <v>45000</v>
          </cell>
          <cell r="P330">
            <v>3</v>
          </cell>
          <cell r="Q330">
            <v>81</v>
          </cell>
          <cell r="R330">
            <v>208.33333333333334</v>
          </cell>
          <cell r="S330">
            <v>16875</v>
          </cell>
          <cell r="T330">
            <v>80975</v>
          </cell>
          <cell r="U330">
            <v>201</v>
          </cell>
          <cell r="V330">
            <v>6000</v>
          </cell>
          <cell r="W330">
            <v>0</v>
          </cell>
          <cell r="X330">
            <v>6201</v>
          </cell>
          <cell r="Y330">
            <v>74774</v>
          </cell>
        </row>
        <row r="331">
          <cell r="A331" t="str">
            <v>EMP330</v>
          </cell>
          <cell r="B331" t="str">
            <v>Name 330</v>
          </cell>
          <cell r="C331" t="str">
            <v>Accountant</v>
          </cell>
          <cell r="D331">
            <v>34</v>
          </cell>
          <cell r="E331">
            <v>43848</v>
          </cell>
          <cell r="F331" t="str">
            <v>Night</v>
          </cell>
          <cell r="G331" t="str">
            <v>Name 330@gmail.com</v>
          </cell>
          <cell r="H331">
            <v>70000</v>
          </cell>
          <cell r="I331">
            <v>12600</v>
          </cell>
          <cell r="J331">
            <v>3500</v>
          </cell>
          <cell r="K331">
            <v>1000</v>
          </cell>
          <cell r="L331">
            <v>0</v>
          </cell>
          <cell r="M331">
            <v>1600</v>
          </cell>
          <cell r="N331">
            <v>27</v>
          </cell>
          <cell r="O331">
            <v>63000.000000000007</v>
          </cell>
          <cell r="P331">
            <v>1</v>
          </cell>
          <cell r="Q331">
            <v>27</v>
          </cell>
          <cell r="R331">
            <v>291.66666666666669</v>
          </cell>
          <cell r="S331">
            <v>7875.0000000000009</v>
          </cell>
          <cell r="T331">
            <v>89575</v>
          </cell>
          <cell r="U331">
            <v>202</v>
          </cell>
          <cell r="V331">
            <v>8400</v>
          </cell>
          <cell r="W331">
            <v>0</v>
          </cell>
          <cell r="X331">
            <v>8602</v>
          </cell>
          <cell r="Y331">
            <v>80973</v>
          </cell>
        </row>
        <row r="332">
          <cell r="A332" t="str">
            <v>EMP331</v>
          </cell>
          <cell r="B332" t="str">
            <v>Name 331</v>
          </cell>
          <cell r="C332" t="str">
            <v>Accountant</v>
          </cell>
          <cell r="D332">
            <v>43</v>
          </cell>
          <cell r="E332">
            <v>43849</v>
          </cell>
          <cell r="F332" t="str">
            <v>Night</v>
          </cell>
          <cell r="G332" t="str">
            <v>Name 331@gmail.com</v>
          </cell>
          <cell r="H332">
            <v>34000</v>
          </cell>
          <cell r="I332">
            <v>6120</v>
          </cell>
          <cell r="J332">
            <v>1700</v>
          </cell>
          <cell r="K332">
            <v>1000</v>
          </cell>
          <cell r="L332">
            <v>2000</v>
          </cell>
          <cell r="M332">
            <v>1600</v>
          </cell>
          <cell r="N332">
            <v>30</v>
          </cell>
          <cell r="O332">
            <v>34000</v>
          </cell>
          <cell r="P332">
            <v>2</v>
          </cell>
          <cell r="Q332">
            <v>60</v>
          </cell>
          <cell r="R332">
            <v>141.66666666666666</v>
          </cell>
          <cell r="S332">
            <v>8500</v>
          </cell>
          <cell r="T332">
            <v>54920</v>
          </cell>
          <cell r="U332">
            <v>203</v>
          </cell>
          <cell r="V332">
            <v>4080</v>
          </cell>
          <cell r="W332">
            <v>0</v>
          </cell>
          <cell r="X332">
            <v>4283</v>
          </cell>
          <cell r="Y332">
            <v>50637</v>
          </cell>
        </row>
        <row r="333">
          <cell r="A333" t="str">
            <v>EMP332</v>
          </cell>
          <cell r="B333" t="str">
            <v>Name 332</v>
          </cell>
          <cell r="C333" t="str">
            <v>Accountant</v>
          </cell>
          <cell r="D333">
            <v>34</v>
          </cell>
          <cell r="E333">
            <v>43850</v>
          </cell>
          <cell r="F333" t="str">
            <v>Night</v>
          </cell>
          <cell r="G333" t="str">
            <v>Name 332@gmail.com</v>
          </cell>
          <cell r="H333">
            <v>45000</v>
          </cell>
          <cell r="I333">
            <v>8100</v>
          </cell>
          <cell r="J333">
            <v>2250</v>
          </cell>
          <cell r="K333">
            <v>1000</v>
          </cell>
          <cell r="L333">
            <v>5000</v>
          </cell>
          <cell r="M333">
            <v>1600</v>
          </cell>
          <cell r="N333">
            <v>30</v>
          </cell>
          <cell r="O333">
            <v>45000</v>
          </cell>
          <cell r="P333">
            <v>0</v>
          </cell>
          <cell r="Q333">
            <v>0</v>
          </cell>
          <cell r="R333">
            <v>187.5</v>
          </cell>
          <cell r="S333">
            <v>0</v>
          </cell>
          <cell r="T333">
            <v>62950</v>
          </cell>
          <cell r="U333">
            <v>204</v>
          </cell>
          <cell r="V333">
            <v>5400</v>
          </cell>
          <cell r="W333">
            <v>4000</v>
          </cell>
          <cell r="X333">
            <v>9604</v>
          </cell>
          <cell r="Y333">
            <v>53346</v>
          </cell>
        </row>
        <row r="334">
          <cell r="A334" t="str">
            <v>EMP333</v>
          </cell>
          <cell r="B334" t="str">
            <v>Name 333</v>
          </cell>
          <cell r="C334" t="str">
            <v>Accountant</v>
          </cell>
          <cell r="D334">
            <v>43</v>
          </cell>
          <cell r="E334">
            <v>43851</v>
          </cell>
          <cell r="F334" t="str">
            <v>Night</v>
          </cell>
          <cell r="G334" t="str">
            <v>Name 333@gmail.com</v>
          </cell>
          <cell r="H334">
            <v>55000</v>
          </cell>
          <cell r="I334">
            <v>9900</v>
          </cell>
          <cell r="J334">
            <v>2750</v>
          </cell>
          <cell r="K334">
            <v>1000</v>
          </cell>
          <cell r="L334">
            <v>0</v>
          </cell>
          <cell r="M334">
            <v>1600</v>
          </cell>
          <cell r="N334">
            <v>30</v>
          </cell>
          <cell r="O334">
            <v>55000</v>
          </cell>
          <cell r="P334">
            <v>1</v>
          </cell>
          <cell r="Q334">
            <v>30</v>
          </cell>
          <cell r="R334">
            <v>229.16666666666666</v>
          </cell>
          <cell r="S334">
            <v>6875</v>
          </cell>
          <cell r="T334">
            <v>77125</v>
          </cell>
          <cell r="U334">
            <v>205</v>
          </cell>
          <cell r="V334">
            <v>6600</v>
          </cell>
          <cell r="W334">
            <v>0</v>
          </cell>
          <cell r="X334">
            <v>6805</v>
          </cell>
          <cell r="Y334">
            <v>70320</v>
          </cell>
        </row>
        <row r="335">
          <cell r="A335" t="str">
            <v>EMP334</v>
          </cell>
          <cell r="B335" t="str">
            <v>Name 334</v>
          </cell>
          <cell r="C335" t="str">
            <v>Manager</v>
          </cell>
          <cell r="D335">
            <v>23</v>
          </cell>
          <cell r="E335">
            <v>43852</v>
          </cell>
          <cell r="F335" t="str">
            <v>Day</v>
          </cell>
          <cell r="G335" t="str">
            <v>Name 334@gmail.com</v>
          </cell>
          <cell r="H335">
            <v>43000</v>
          </cell>
          <cell r="I335">
            <v>7740</v>
          </cell>
          <cell r="J335">
            <v>2150</v>
          </cell>
          <cell r="K335">
            <v>1000</v>
          </cell>
          <cell r="L335">
            <v>0</v>
          </cell>
          <cell r="M335">
            <v>1600</v>
          </cell>
          <cell r="N335">
            <v>27</v>
          </cell>
          <cell r="O335">
            <v>38700</v>
          </cell>
          <cell r="P335">
            <v>1</v>
          </cell>
          <cell r="Q335">
            <v>27</v>
          </cell>
          <cell r="R335">
            <v>179.16666666666666</v>
          </cell>
          <cell r="S335">
            <v>4837.5</v>
          </cell>
          <cell r="T335">
            <v>56027.5</v>
          </cell>
          <cell r="U335">
            <v>200</v>
          </cell>
          <cell r="V335">
            <v>5160</v>
          </cell>
          <cell r="W335">
            <v>0</v>
          </cell>
          <cell r="X335">
            <v>5360</v>
          </cell>
          <cell r="Y335">
            <v>50667.5</v>
          </cell>
        </row>
        <row r="336">
          <cell r="A336" t="str">
            <v>EMP335</v>
          </cell>
          <cell r="B336" t="str">
            <v>Name 335</v>
          </cell>
          <cell r="C336" t="str">
            <v>Clerk</v>
          </cell>
          <cell r="D336">
            <v>34</v>
          </cell>
          <cell r="E336">
            <v>43853</v>
          </cell>
          <cell r="F336" t="str">
            <v>Day</v>
          </cell>
          <cell r="G336" t="str">
            <v>Name 335@gmail.com</v>
          </cell>
          <cell r="H336">
            <v>25000</v>
          </cell>
          <cell r="I336">
            <v>4500</v>
          </cell>
          <cell r="J336">
            <v>1250</v>
          </cell>
          <cell r="K336">
            <v>1000</v>
          </cell>
          <cell r="L336">
            <v>0</v>
          </cell>
          <cell r="M336">
            <v>1600</v>
          </cell>
          <cell r="N336">
            <v>30</v>
          </cell>
          <cell r="O336">
            <v>25000</v>
          </cell>
          <cell r="P336">
            <v>0</v>
          </cell>
          <cell r="Q336">
            <v>0</v>
          </cell>
          <cell r="R336">
            <v>104.16666666666667</v>
          </cell>
          <cell r="S336">
            <v>0</v>
          </cell>
          <cell r="T336">
            <v>33350</v>
          </cell>
          <cell r="U336">
            <v>200</v>
          </cell>
          <cell r="V336">
            <v>3000</v>
          </cell>
          <cell r="W336">
            <v>0</v>
          </cell>
          <cell r="X336">
            <v>3200</v>
          </cell>
          <cell r="Y336">
            <v>30150</v>
          </cell>
        </row>
        <row r="337">
          <cell r="A337" t="str">
            <v>EMP336</v>
          </cell>
          <cell r="B337" t="str">
            <v>Name 336</v>
          </cell>
          <cell r="C337" t="str">
            <v>Accountant</v>
          </cell>
          <cell r="D337">
            <v>23</v>
          </cell>
          <cell r="E337">
            <v>43854</v>
          </cell>
          <cell r="F337" t="str">
            <v>Day</v>
          </cell>
          <cell r="G337" t="str">
            <v>Name 336@gmail.com</v>
          </cell>
          <cell r="H337">
            <v>28000</v>
          </cell>
          <cell r="I337">
            <v>5040</v>
          </cell>
          <cell r="J337">
            <v>1400</v>
          </cell>
          <cell r="K337">
            <v>1000</v>
          </cell>
          <cell r="L337">
            <v>0</v>
          </cell>
          <cell r="M337">
            <v>1600</v>
          </cell>
          <cell r="N337">
            <v>20</v>
          </cell>
          <cell r="O337">
            <v>18666.666666666668</v>
          </cell>
          <cell r="P337">
            <v>0</v>
          </cell>
          <cell r="Q337">
            <v>0</v>
          </cell>
          <cell r="R337">
            <v>116.66666666666667</v>
          </cell>
          <cell r="S337">
            <v>0</v>
          </cell>
          <cell r="T337">
            <v>27706.666666666668</v>
          </cell>
          <cell r="U337">
            <v>200</v>
          </cell>
          <cell r="V337">
            <v>3360</v>
          </cell>
          <cell r="W337">
            <v>0</v>
          </cell>
          <cell r="X337">
            <v>3560</v>
          </cell>
          <cell r="Y337">
            <v>24146.666666666668</v>
          </cell>
        </row>
        <row r="338">
          <cell r="A338" t="str">
            <v>EMP337</v>
          </cell>
          <cell r="B338" t="str">
            <v>Name 337</v>
          </cell>
          <cell r="C338" t="str">
            <v>Manager</v>
          </cell>
          <cell r="D338">
            <v>34</v>
          </cell>
          <cell r="E338">
            <v>43831</v>
          </cell>
          <cell r="F338" t="str">
            <v>Day</v>
          </cell>
          <cell r="G338" t="str">
            <v>Name 337@gmail.com</v>
          </cell>
          <cell r="H338">
            <v>40000</v>
          </cell>
          <cell r="I338">
            <v>7200</v>
          </cell>
          <cell r="J338">
            <v>2000</v>
          </cell>
          <cell r="K338">
            <v>1000</v>
          </cell>
          <cell r="L338">
            <v>0</v>
          </cell>
          <cell r="M338">
            <v>1600</v>
          </cell>
          <cell r="N338">
            <v>28</v>
          </cell>
          <cell r="O338">
            <v>37333.333333333328</v>
          </cell>
          <cell r="P338">
            <v>2</v>
          </cell>
          <cell r="Q338">
            <v>56</v>
          </cell>
          <cell r="R338">
            <v>166.66666666666666</v>
          </cell>
          <cell r="S338">
            <v>9333.3333333333321</v>
          </cell>
          <cell r="T338">
            <v>58466.666666666657</v>
          </cell>
          <cell r="U338">
            <v>200</v>
          </cell>
          <cell r="V338">
            <v>4800</v>
          </cell>
          <cell r="W338">
            <v>0</v>
          </cell>
          <cell r="X338">
            <v>5000</v>
          </cell>
          <cell r="Y338">
            <v>53466.666666666657</v>
          </cell>
        </row>
        <row r="339">
          <cell r="A339" t="str">
            <v>EMP338</v>
          </cell>
          <cell r="B339" t="str">
            <v>Name 338</v>
          </cell>
          <cell r="C339" t="str">
            <v>Manager</v>
          </cell>
          <cell r="D339">
            <v>23</v>
          </cell>
          <cell r="E339">
            <v>43832</v>
          </cell>
          <cell r="F339" t="str">
            <v>Day</v>
          </cell>
          <cell r="G339" t="str">
            <v>Name 338@gmail.com</v>
          </cell>
          <cell r="H339">
            <v>32000</v>
          </cell>
          <cell r="I339">
            <v>5760</v>
          </cell>
          <cell r="J339">
            <v>1600</v>
          </cell>
          <cell r="K339">
            <v>1000</v>
          </cell>
          <cell r="L339">
            <v>0</v>
          </cell>
          <cell r="M339">
            <v>1600</v>
          </cell>
          <cell r="N339">
            <v>30</v>
          </cell>
          <cell r="O339">
            <v>32000.000000000004</v>
          </cell>
          <cell r="P339">
            <v>1</v>
          </cell>
          <cell r="Q339">
            <v>30</v>
          </cell>
          <cell r="R339">
            <v>133.33333333333334</v>
          </cell>
          <cell r="S339">
            <v>4000.0000000000005</v>
          </cell>
          <cell r="T339">
            <v>45960</v>
          </cell>
          <cell r="U339">
            <v>200</v>
          </cell>
          <cell r="V339">
            <v>3840</v>
          </cell>
          <cell r="W339">
            <v>5000</v>
          </cell>
          <cell r="X339">
            <v>9040</v>
          </cell>
          <cell r="Y339">
            <v>36920</v>
          </cell>
        </row>
        <row r="340">
          <cell r="A340" t="str">
            <v>EMP339</v>
          </cell>
          <cell r="B340" t="str">
            <v>Name 339</v>
          </cell>
          <cell r="C340" t="str">
            <v>Clerk</v>
          </cell>
          <cell r="D340">
            <v>34</v>
          </cell>
          <cell r="E340">
            <v>43833</v>
          </cell>
          <cell r="F340" t="str">
            <v>Day</v>
          </cell>
          <cell r="G340" t="str">
            <v>Name 339@gmail.com</v>
          </cell>
          <cell r="H340">
            <v>28000</v>
          </cell>
          <cell r="I340">
            <v>5040</v>
          </cell>
          <cell r="J340">
            <v>1400</v>
          </cell>
          <cell r="K340">
            <v>1000</v>
          </cell>
          <cell r="L340">
            <v>0</v>
          </cell>
          <cell r="M340">
            <v>1600</v>
          </cell>
          <cell r="N340">
            <v>29</v>
          </cell>
          <cell r="O340">
            <v>27066.666666666668</v>
          </cell>
          <cell r="P340">
            <v>1</v>
          </cell>
          <cell r="Q340">
            <v>29</v>
          </cell>
          <cell r="R340">
            <v>116.66666666666667</v>
          </cell>
          <cell r="S340">
            <v>3383.3333333333335</v>
          </cell>
          <cell r="T340">
            <v>39490.000000000007</v>
          </cell>
          <cell r="U340">
            <v>200</v>
          </cell>
          <cell r="V340">
            <v>3360</v>
          </cell>
          <cell r="W340">
            <v>0</v>
          </cell>
          <cell r="X340">
            <v>3560</v>
          </cell>
          <cell r="Y340">
            <v>35930.000000000007</v>
          </cell>
        </row>
        <row r="341">
          <cell r="A341" t="str">
            <v>EMP340</v>
          </cell>
          <cell r="B341" t="str">
            <v>Name 340</v>
          </cell>
          <cell r="C341" t="str">
            <v>Accountant</v>
          </cell>
          <cell r="D341">
            <v>45</v>
          </cell>
          <cell r="E341">
            <v>43834</v>
          </cell>
          <cell r="F341" t="str">
            <v>Night</v>
          </cell>
          <cell r="G341" t="str">
            <v>Name 340@gmail.com</v>
          </cell>
          <cell r="H341">
            <v>44000</v>
          </cell>
          <cell r="I341">
            <v>7920</v>
          </cell>
          <cell r="J341">
            <v>2200</v>
          </cell>
          <cell r="K341">
            <v>1000</v>
          </cell>
          <cell r="L341">
            <v>0</v>
          </cell>
          <cell r="M341">
            <v>1600</v>
          </cell>
          <cell r="N341">
            <v>28</v>
          </cell>
          <cell r="O341">
            <v>41066.666666666672</v>
          </cell>
          <cell r="P341">
            <v>1</v>
          </cell>
          <cell r="Q341">
            <v>28</v>
          </cell>
          <cell r="R341">
            <v>183.33333333333334</v>
          </cell>
          <cell r="S341">
            <v>5133.3333333333339</v>
          </cell>
          <cell r="T341">
            <v>58920.000000000007</v>
          </cell>
          <cell r="U341">
            <v>200</v>
          </cell>
          <cell r="V341">
            <v>5280</v>
          </cell>
          <cell r="W341">
            <v>0</v>
          </cell>
          <cell r="X341">
            <v>5480</v>
          </cell>
          <cell r="Y341">
            <v>53440.000000000007</v>
          </cell>
        </row>
        <row r="342">
          <cell r="A342" t="str">
            <v>EMP341</v>
          </cell>
          <cell r="B342" t="str">
            <v>Name 341</v>
          </cell>
          <cell r="C342" t="str">
            <v>Manager</v>
          </cell>
          <cell r="D342">
            <v>54</v>
          </cell>
          <cell r="E342">
            <v>43835</v>
          </cell>
          <cell r="F342" t="str">
            <v>Day</v>
          </cell>
          <cell r="G342" t="str">
            <v>Name 341@gmail.com</v>
          </cell>
          <cell r="H342">
            <v>25000</v>
          </cell>
          <cell r="I342">
            <v>4500</v>
          </cell>
          <cell r="J342">
            <v>1250</v>
          </cell>
          <cell r="K342">
            <v>1000</v>
          </cell>
          <cell r="L342">
            <v>0</v>
          </cell>
          <cell r="M342">
            <v>1600</v>
          </cell>
          <cell r="N342">
            <v>27</v>
          </cell>
          <cell r="O342">
            <v>22500</v>
          </cell>
          <cell r="P342">
            <v>1</v>
          </cell>
          <cell r="Q342">
            <v>27</v>
          </cell>
          <cell r="R342">
            <v>104.16666666666667</v>
          </cell>
          <cell r="S342">
            <v>2812.5</v>
          </cell>
          <cell r="T342">
            <v>33662.5</v>
          </cell>
          <cell r="U342">
            <v>200</v>
          </cell>
          <cell r="V342">
            <v>3000</v>
          </cell>
          <cell r="W342">
            <v>0</v>
          </cell>
          <cell r="X342">
            <v>3200</v>
          </cell>
          <cell r="Y342">
            <v>30462.5</v>
          </cell>
        </row>
        <row r="343">
          <cell r="A343" t="str">
            <v>EMP342</v>
          </cell>
          <cell r="B343" t="str">
            <v>Name 342</v>
          </cell>
          <cell r="C343" t="str">
            <v>Accountant</v>
          </cell>
          <cell r="D343">
            <v>56</v>
          </cell>
          <cell r="E343">
            <v>43836</v>
          </cell>
          <cell r="F343" t="str">
            <v>Day</v>
          </cell>
          <cell r="G343" t="str">
            <v>Name 342@gmail.com</v>
          </cell>
          <cell r="H343">
            <v>50000</v>
          </cell>
          <cell r="I343">
            <v>9000</v>
          </cell>
          <cell r="J343">
            <v>2500</v>
          </cell>
          <cell r="K343">
            <v>1000</v>
          </cell>
          <cell r="L343">
            <v>0</v>
          </cell>
          <cell r="M343">
            <v>1600</v>
          </cell>
          <cell r="N343">
            <v>27</v>
          </cell>
          <cell r="O343">
            <v>45000</v>
          </cell>
          <cell r="P343">
            <v>3</v>
          </cell>
          <cell r="Q343">
            <v>81</v>
          </cell>
          <cell r="R343">
            <v>208.33333333333334</v>
          </cell>
          <cell r="S343">
            <v>16875</v>
          </cell>
          <cell r="T343">
            <v>75975</v>
          </cell>
          <cell r="U343">
            <v>201</v>
          </cell>
          <cell r="V343">
            <v>6000</v>
          </cell>
          <cell r="W343">
            <v>0</v>
          </cell>
          <cell r="X343">
            <v>6201</v>
          </cell>
          <cell r="Y343">
            <v>69774</v>
          </cell>
        </row>
        <row r="344">
          <cell r="A344" t="str">
            <v>EMP343</v>
          </cell>
          <cell r="B344" t="str">
            <v>Name 343</v>
          </cell>
          <cell r="C344" t="str">
            <v>Accountant</v>
          </cell>
          <cell r="D344">
            <v>54</v>
          </cell>
          <cell r="E344">
            <v>43837</v>
          </cell>
          <cell r="F344" t="str">
            <v>Night</v>
          </cell>
          <cell r="G344" t="str">
            <v>Name 343@gmail.com</v>
          </cell>
          <cell r="H344">
            <v>70000</v>
          </cell>
          <cell r="I344">
            <v>12600</v>
          </cell>
          <cell r="J344">
            <v>3500</v>
          </cell>
          <cell r="K344">
            <v>1000</v>
          </cell>
          <cell r="L344">
            <v>0</v>
          </cell>
          <cell r="M344">
            <v>1600</v>
          </cell>
          <cell r="N344">
            <v>27</v>
          </cell>
          <cell r="O344">
            <v>63000.000000000007</v>
          </cell>
          <cell r="P344">
            <v>1</v>
          </cell>
          <cell r="Q344">
            <v>27</v>
          </cell>
          <cell r="R344">
            <v>291.66666666666669</v>
          </cell>
          <cell r="S344">
            <v>7875.0000000000009</v>
          </cell>
          <cell r="T344">
            <v>89575</v>
          </cell>
          <cell r="U344">
            <v>202</v>
          </cell>
          <cell r="V344">
            <v>8400</v>
          </cell>
          <cell r="W344">
            <v>0</v>
          </cell>
          <cell r="X344">
            <v>8602</v>
          </cell>
          <cell r="Y344">
            <v>80973</v>
          </cell>
        </row>
        <row r="345">
          <cell r="A345" t="str">
            <v>EMP344</v>
          </cell>
          <cell r="B345" t="str">
            <v>Name 344</v>
          </cell>
          <cell r="C345" t="str">
            <v>Accountant</v>
          </cell>
          <cell r="D345">
            <v>34</v>
          </cell>
          <cell r="E345">
            <v>43838</v>
          </cell>
          <cell r="F345" t="str">
            <v>Night</v>
          </cell>
          <cell r="G345" t="str">
            <v>Name 344@gmail.com</v>
          </cell>
          <cell r="H345">
            <v>34000</v>
          </cell>
          <cell r="I345">
            <v>6120</v>
          </cell>
          <cell r="J345">
            <v>1700</v>
          </cell>
          <cell r="K345">
            <v>1000</v>
          </cell>
          <cell r="L345">
            <v>2000</v>
          </cell>
          <cell r="M345">
            <v>1600</v>
          </cell>
          <cell r="N345">
            <v>30</v>
          </cell>
          <cell r="O345">
            <v>34000</v>
          </cell>
          <cell r="P345">
            <v>2</v>
          </cell>
          <cell r="Q345">
            <v>60</v>
          </cell>
          <cell r="R345">
            <v>141.66666666666666</v>
          </cell>
          <cell r="S345">
            <v>8500</v>
          </cell>
          <cell r="T345">
            <v>54920</v>
          </cell>
          <cell r="U345">
            <v>203</v>
          </cell>
          <cell r="V345">
            <v>4080</v>
          </cell>
          <cell r="W345">
            <v>0</v>
          </cell>
          <cell r="X345">
            <v>4283</v>
          </cell>
          <cell r="Y345">
            <v>50637</v>
          </cell>
        </row>
        <row r="346">
          <cell r="A346" t="str">
            <v>EMP345</v>
          </cell>
          <cell r="B346" t="str">
            <v>Name 345</v>
          </cell>
          <cell r="C346" t="str">
            <v>Accountant</v>
          </cell>
          <cell r="D346">
            <v>23</v>
          </cell>
          <cell r="E346">
            <v>43839</v>
          </cell>
          <cell r="F346" t="str">
            <v>Night</v>
          </cell>
          <cell r="G346" t="str">
            <v>Name 345@gmail.com</v>
          </cell>
          <cell r="H346">
            <v>45000</v>
          </cell>
          <cell r="I346">
            <v>8100</v>
          </cell>
          <cell r="J346">
            <v>2250</v>
          </cell>
          <cell r="K346">
            <v>1000</v>
          </cell>
          <cell r="L346">
            <v>5000</v>
          </cell>
          <cell r="M346">
            <v>1600</v>
          </cell>
          <cell r="N346">
            <v>30</v>
          </cell>
          <cell r="O346">
            <v>45000</v>
          </cell>
          <cell r="P346">
            <v>0</v>
          </cell>
          <cell r="Q346">
            <v>0</v>
          </cell>
          <cell r="R346">
            <v>187.5</v>
          </cell>
          <cell r="S346">
            <v>0</v>
          </cell>
          <cell r="T346">
            <v>62950</v>
          </cell>
          <cell r="U346">
            <v>204</v>
          </cell>
          <cell r="V346">
            <v>5400</v>
          </cell>
          <cell r="W346">
            <v>4000</v>
          </cell>
          <cell r="X346">
            <v>9604</v>
          </cell>
          <cell r="Y346">
            <v>53346</v>
          </cell>
        </row>
        <row r="347">
          <cell r="A347" t="str">
            <v>EMP346</v>
          </cell>
          <cell r="B347" t="str">
            <v>Name 346</v>
          </cell>
          <cell r="C347" t="str">
            <v>Accountant</v>
          </cell>
          <cell r="D347">
            <v>34</v>
          </cell>
          <cell r="E347">
            <v>43840</v>
          </cell>
          <cell r="F347" t="str">
            <v>Night</v>
          </cell>
          <cell r="G347" t="str">
            <v>Name 346@gmail.com</v>
          </cell>
          <cell r="H347">
            <v>55000</v>
          </cell>
          <cell r="I347">
            <v>9900</v>
          </cell>
          <cell r="J347">
            <v>2750</v>
          </cell>
          <cell r="K347">
            <v>1000</v>
          </cell>
          <cell r="L347">
            <v>0</v>
          </cell>
          <cell r="M347">
            <v>1600</v>
          </cell>
          <cell r="N347">
            <v>30</v>
          </cell>
          <cell r="O347">
            <v>55000</v>
          </cell>
          <cell r="P347">
            <v>1</v>
          </cell>
          <cell r="Q347">
            <v>30</v>
          </cell>
          <cell r="R347">
            <v>229.16666666666666</v>
          </cell>
          <cell r="S347">
            <v>6875</v>
          </cell>
          <cell r="T347">
            <v>77125</v>
          </cell>
          <cell r="U347">
            <v>205</v>
          </cell>
          <cell r="V347">
            <v>6600</v>
          </cell>
          <cell r="W347">
            <v>0</v>
          </cell>
          <cell r="X347">
            <v>6805</v>
          </cell>
          <cell r="Y347">
            <v>70320</v>
          </cell>
        </row>
        <row r="348">
          <cell r="A348" t="str">
            <v>EMP347</v>
          </cell>
          <cell r="B348" t="str">
            <v>Name 347</v>
          </cell>
          <cell r="C348" t="str">
            <v>Manager</v>
          </cell>
          <cell r="D348">
            <v>43</v>
          </cell>
          <cell r="E348">
            <v>43841</v>
          </cell>
          <cell r="F348" t="str">
            <v>Day</v>
          </cell>
          <cell r="G348" t="str">
            <v>Name 347@gmail.com</v>
          </cell>
          <cell r="H348">
            <v>43000</v>
          </cell>
          <cell r="I348">
            <v>7740</v>
          </cell>
          <cell r="J348">
            <v>2150</v>
          </cell>
          <cell r="K348">
            <v>1000</v>
          </cell>
          <cell r="L348">
            <v>0</v>
          </cell>
          <cell r="M348">
            <v>1600</v>
          </cell>
          <cell r="N348">
            <v>27</v>
          </cell>
          <cell r="O348">
            <v>38700</v>
          </cell>
          <cell r="P348">
            <v>1</v>
          </cell>
          <cell r="Q348">
            <v>27</v>
          </cell>
          <cell r="R348">
            <v>179.16666666666666</v>
          </cell>
          <cell r="S348">
            <v>4837.5</v>
          </cell>
          <cell r="T348">
            <v>56027.5</v>
          </cell>
          <cell r="U348">
            <v>200</v>
          </cell>
          <cell r="V348">
            <v>5160</v>
          </cell>
          <cell r="W348">
            <v>0</v>
          </cell>
          <cell r="X348">
            <v>5360</v>
          </cell>
          <cell r="Y348">
            <v>50667.5</v>
          </cell>
        </row>
        <row r="349">
          <cell r="A349" t="str">
            <v>EMP348</v>
          </cell>
          <cell r="B349" t="str">
            <v>Name 348</v>
          </cell>
          <cell r="C349" t="str">
            <v>Clerk</v>
          </cell>
          <cell r="D349">
            <v>34</v>
          </cell>
          <cell r="E349">
            <v>43842</v>
          </cell>
          <cell r="F349" t="str">
            <v>Day</v>
          </cell>
          <cell r="G349" t="str">
            <v>Name 348@gmail.com</v>
          </cell>
          <cell r="H349">
            <v>25000</v>
          </cell>
          <cell r="I349">
            <v>4500</v>
          </cell>
          <cell r="J349">
            <v>1250</v>
          </cell>
          <cell r="K349">
            <v>1000</v>
          </cell>
          <cell r="L349">
            <v>0</v>
          </cell>
          <cell r="M349">
            <v>1600</v>
          </cell>
          <cell r="N349">
            <v>30</v>
          </cell>
          <cell r="O349">
            <v>25000</v>
          </cell>
          <cell r="P349">
            <v>0</v>
          </cell>
          <cell r="Q349">
            <v>0</v>
          </cell>
          <cell r="R349">
            <v>104.16666666666667</v>
          </cell>
          <cell r="S349">
            <v>0</v>
          </cell>
          <cell r="T349">
            <v>33350</v>
          </cell>
          <cell r="U349">
            <v>200</v>
          </cell>
          <cell r="V349">
            <v>3000</v>
          </cell>
          <cell r="W349">
            <v>0</v>
          </cell>
          <cell r="X349">
            <v>3200</v>
          </cell>
          <cell r="Y349">
            <v>30150</v>
          </cell>
        </row>
        <row r="350">
          <cell r="A350" t="str">
            <v>EMP349</v>
          </cell>
          <cell r="B350" t="str">
            <v>Name 349</v>
          </cell>
          <cell r="C350" t="str">
            <v>Accountant</v>
          </cell>
          <cell r="D350">
            <v>43</v>
          </cell>
          <cell r="E350">
            <v>43843</v>
          </cell>
          <cell r="F350" t="str">
            <v>Day</v>
          </cell>
          <cell r="G350" t="str">
            <v>Name 349@gmail.com</v>
          </cell>
          <cell r="H350">
            <v>28000</v>
          </cell>
          <cell r="I350">
            <v>5040</v>
          </cell>
          <cell r="J350">
            <v>1400</v>
          </cell>
          <cell r="K350">
            <v>1000</v>
          </cell>
          <cell r="L350">
            <v>0</v>
          </cell>
          <cell r="M350">
            <v>1600</v>
          </cell>
          <cell r="N350">
            <v>20</v>
          </cell>
          <cell r="O350">
            <v>18666.666666666668</v>
          </cell>
          <cell r="P350">
            <v>0</v>
          </cell>
          <cell r="Q350">
            <v>0</v>
          </cell>
          <cell r="R350">
            <v>116.66666666666667</v>
          </cell>
          <cell r="S350">
            <v>0</v>
          </cell>
          <cell r="T350">
            <v>27706.666666666668</v>
          </cell>
          <cell r="U350">
            <v>200</v>
          </cell>
          <cell r="V350">
            <v>3360</v>
          </cell>
          <cell r="W350">
            <v>0</v>
          </cell>
          <cell r="X350">
            <v>3560</v>
          </cell>
          <cell r="Y350">
            <v>24146.666666666668</v>
          </cell>
        </row>
        <row r="351">
          <cell r="A351" t="str">
            <v>EMP350</v>
          </cell>
          <cell r="B351" t="str">
            <v>Name 350</v>
          </cell>
          <cell r="C351" t="str">
            <v>Manager</v>
          </cell>
          <cell r="D351">
            <v>23</v>
          </cell>
          <cell r="E351">
            <v>43844</v>
          </cell>
          <cell r="F351" t="str">
            <v>Day</v>
          </cell>
          <cell r="G351" t="str">
            <v>Name 350@gmail.com</v>
          </cell>
          <cell r="H351">
            <v>40000</v>
          </cell>
          <cell r="I351">
            <v>7200</v>
          </cell>
          <cell r="J351">
            <v>2000</v>
          </cell>
          <cell r="K351">
            <v>1000</v>
          </cell>
          <cell r="L351">
            <v>0</v>
          </cell>
          <cell r="M351">
            <v>1600</v>
          </cell>
          <cell r="N351">
            <v>28</v>
          </cell>
          <cell r="O351">
            <v>37333.333333333328</v>
          </cell>
          <cell r="P351">
            <v>2</v>
          </cell>
          <cell r="Q351">
            <v>56</v>
          </cell>
          <cell r="R351">
            <v>166.66666666666666</v>
          </cell>
          <cell r="S351">
            <v>9333.3333333333321</v>
          </cell>
          <cell r="T351">
            <v>58466.666666666657</v>
          </cell>
          <cell r="U351">
            <v>200</v>
          </cell>
          <cell r="V351">
            <v>4800</v>
          </cell>
          <cell r="W351">
            <v>0</v>
          </cell>
          <cell r="X351">
            <v>5000</v>
          </cell>
          <cell r="Y351">
            <v>53466.666666666657</v>
          </cell>
        </row>
        <row r="352">
          <cell r="A352" t="str">
            <v>EMP351</v>
          </cell>
          <cell r="B352" t="str">
            <v>Name 351</v>
          </cell>
          <cell r="C352" t="str">
            <v>Manager</v>
          </cell>
          <cell r="D352">
            <v>34</v>
          </cell>
          <cell r="E352">
            <v>43845</v>
          </cell>
          <cell r="F352" t="str">
            <v>Day</v>
          </cell>
          <cell r="G352" t="str">
            <v>Name 351@gmail.com</v>
          </cell>
          <cell r="H352">
            <v>32000</v>
          </cell>
          <cell r="I352">
            <v>5760</v>
          </cell>
          <cell r="J352">
            <v>1600</v>
          </cell>
          <cell r="K352">
            <v>1000</v>
          </cell>
          <cell r="L352">
            <v>0</v>
          </cell>
          <cell r="M352">
            <v>1600</v>
          </cell>
          <cell r="N352">
            <v>30</v>
          </cell>
          <cell r="O352">
            <v>32000.000000000004</v>
          </cell>
          <cell r="P352">
            <v>1</v>
          </cell>
          <cell r="Q352">
            <v>30</v>
          </cell>
          <cell r="R352">
            <v>133.33333333333334</v>
          </cell>
          <cell r="S352">
            <v>4000.0000000000005</v>
          </cell>
          <cell r="T352">
            <v>45960</v>
          </cell>
          <cell r="U352">
            <v>200</v>
          </cell>
          <cell r="V352">
            <v>3840</v>
          </cell>
          <cell r="W352">
            <v>5000</v>
          </cell>
          <cell r="X352">
            <v>9040</v>
          </cell>
          <cell r="Y352">
            <v>36920</v>
          </cell>
        </row>
        <row r="353">
          <cell r="A353" t="str">
            <v>EMP352</v>
          </cell>
          <cell r="B353" t="str">
            <v>Name 352</v>
          </cell>
          <cell r="C353" t="str">
            <v>Clerk</v>
          </cell>
          <cell r="D353">
            <v>23</v>
          </cell>
          <cell r="E353">
            <v>43846</v>
          </cell>
          <cell r="F353" t="str">
            <v>Day</v>
          </cell>
          <cell r="G353" t="str">
            <v>Name 352@gmail.com</v>
          </cell>
          <cell r="H353">
            <v>28000</v>
          </cell>
          <cell r="I353">
            <v>5040</v>
          </cell>
          <cell r="J353">
            <v>1400</v>
          </cell>
          <cell r="K353">
            <v>1000</v>
          </cell>
          <cell r="L353">
            <v>0</v>
          </cell>
          <cell r="M353">
            <v>1600</v>
          </cell>
          <cell r="N353">
            <v>29</v>
          </cell>
          <cell r="O353">
            <v>27066.666666666668</v>
          </cell>
          <cell r="P353">
            <v>1</v>
          </cell>
          <cell r="Q353">
            <v>29</v>
          </cell>
          <cell r="R353">
            <v>116.66666666666667</v>
          </cell>
          <cell r="S353">
            <v>3383.3333333333335</v>
          </cell>
          <cell r="T353">
            <v>39490.000000000007</v>
          </cell>
          <cell r="U353">
            <v>200</v>
          </cell>
          <cell r="V353">
            <v>3360</v>
          </cell>
          <cell r="W353">
            <v>0</v>
          </cell>
          <cell r="X353">
            <v>3560</v>
          </cell>
          <cell r="Y353">
            <v>35930.000000000007</v>
          </cell>
        </row>
        <row r="354">
          <cell r="A354" t="str">
            <v>EMP353</v>
          </cell>
          <cell r="B354" t="str">
            <v>Name 353</v>
          </cell>
          <cell r="C354" t="str">
            <v>Accountant</v>
          </cell>
          <cell r="D354">
            <v>34</v>
          </cell>
          <cell r="E354">
            <v>43847</v>
          </cell>
          <cell r="F354" t="str">
            <v>Night</v>
          </cell>
          <cell r="G354" t="str">
            <v>Name 353@gmail.com</v>
          </cell>
          <cell r="H354">
            <v>44000</v>
          </cell>
          <cell r="I354">
            <v>7920</v>
          </cell>
          <cell r="J354">
            <v>2200</v>
          </cell>
          <cell r="K354">
            <v>1000</v>
          </cell>
          <cell r="L354">
            <v>0</v>
          </cell>
          <cell r="M354">
            <v>1600</v>
          </cell>
          <cell r="N354">
            <v>28</v>
          </cell>
          <cell r="O354">
            <v>41066.666666666672</v>
          </cell>
          <cell r="P354">
            <v>1</v>
          </cell>
          <cell r="Q354">
            <v>28</v>
          </cell>
          <cell r="R354">
            <v>183.33333333333334</v>
          </cell>
          <cell r="S354">
            <v>5133.3333333333339</v>
          </cell>
          <cell r="T354">
            <v>58920.000000000007</v>
          </cell>
          <cell r="U354">
            <v>200</v>
          </cell>
          <cell r="V354">
            <v>5280</v>
          </cell>
          <cell r="W354">
            <v>0</v>
          </cell>
          <cell r="X354">
            <v>5480</v>
          </cell>
          <cell r="Y354">
            <v>53440.000000000007</v>
          </cell>
        </row>
        <row r="355">
          <cell r="A355" t="str">
            <v>EMP354</v>
          </cell>
          <cell r="B355" t="str">
            <v>Name 354</v>
          </cell>
          <cell r="C355" t="str">
            <v>Manager</v>
          </cell>
          <cell r="D355">
            <v>23</v>
          </cell>
          <cell r="E355">
            <v>43848</v>
          </cell>
          <cell r="F355" t="str">
            <v>Day</v>
          </cell>
          <cell r="G355" t="str">
            <v>Name 354@gmail.com</v>
          </cell>
          <cell r="H355">
            <v>25000</v>
          </cell>
          <cell r="I355">
            <v>4500</v>
          </cell>
          <cell r="J355">
            <v>1250</v>
          </cell>
          <cell r="K355">
            <v>1000</v>
          </cell>
          <cell r="L355">
            <v>0</v>
          </cell>
          <cell r="M355">
            <v>1600</v>
          </cell>
          <cell r="N355">
            <v>27</v>
          </cell>
          <cell r="O355">
            <v>22500</v>
          </cell>
          <cell r="P355">
            <v>1</v>
          </cell>
          <cell r="Q355">
            <v>27</v>
          </cell>
          <cell r="R355">
            <v>104.16666666666667</v>
          </cell>
          <cell r="S355">
            <v>2812.5</v>
          </cell>
          <cell r="T355">
            <v>33662.5</v>
          </cell>
          <cell r="U355">
            <v>200</v>
          </cell>
          <cell r="V355">
            <v>3000</v>
          </cell>
          <cell r="W355">
            <v>0</v>
          </cell>
          <cell r="X355">
            <v>3200</v>
          </cell>
          <cell r="Y355">
            <v>30462.5</v>
          </cell>
        </row>
        <row r="356">
          <cell r="A356" t="str">
            <v>EMP355</v>
          </cell>
          <cell r="B356" t="str">
            <v>Name 355</v>
          </cell>
          <cell r="C356" t="str">
            <v>Accountant</v>
          </cell>
          <cell r="D356">
            <v>34</v>
          </cell>
          <cell r="E356">
            <v>43849</v>
          </cell>
          <cell r="F356" t="str">
            <v>Day</v>
          </cell>
          <cell r="G356" t="str">
            <v>Name 355@gmail.com</v>
          </cell>
          <cell r="H356">
            <v>50000</v>
          </cell>
          <cell r="I356">
            <v>9000</v>
          </cell>
          <cell r="J356">
            <v>2500</v>
          </cell>
          <cell r="K356">
            <v>1000</v>
          </cell>
          <cell r="L356">
            <v>0</v>
          </cell>
          <cell r="M356">
            <v>1600</v>
          </cell>
          <cell r="N356">
            <v>27</v>
          </cell>
          <cell r="O356">
            <v>45000</v>
          </cell>
          <cell r="P356">
            <v>3</v>
          </cell>
          <cell r="Q356">
            <v>81</v>
          </cell>
          <cell r="R356">
            <v>208.33333333333334</v>
          </cell>
          <cell r="S356">
            <v>16875</v>
          </cell>
          <cell r="T356">
            <v>75975</v>
          </cell>
          <cell r="U356">
            <v>201</v>
          </cell>
          <cell r="V356">
            <v>6000</v>
          </cell>
          <cell r="W356">
            <v>0</v>
          </cell>
          <cell r="X356">
            <v>6201</v>
          </cell>
          <cell r="Y356">
            <v>69774</v>
          </cell>
        </row>
        <row r="357">
          <cell r="A357" t="str">
            <v>EMP356</v>
          </cell>
          <cell r="B357" t="str">
            <v>Name 356</v>
          </cell>
          <cell r="C357" t="str">
            <v>Accountant</v>
          </cell>
          <cell r="D357">
            <v>45</v>
          </cell>
          <cell r="E357">
            <v>43850</v>
          </cell>
          <cell r="F357" t="str">
            <v>Night</v>
          </cell>
          <cell r="G357" t="str">
            <v>Name 356@gmail.com</v>
          </cell>
          <cell r="H357">
            <v>70000</v>
          </cell>
          <cell r="I357">
            <v>12600</v>
          </cell>
          <cell r="J357">
            <v>3500</v>
          </cell>
          <cell r="K357">
            <v>1000</v>
          </cell>
          <cell r="L357">
            <v>0</v>
          </cell>
          <cell r="M357">
            <v>1600</v>
          </cell>
          <cell r="N357">
            <v>27</v>
          </cell>
          <cell r="O357">
            <v>63000.000000000007</v>
          </cell>
          <cell r="P357">
            <v>1</v>
          </cell>
          <cell r="Q357">
            <v>27</v>
          </cell>
          <cell r="R357">
            <v>291.66666666666669</v>
          </cell>
          <cell r="S357">
            <v>7875.0000000000009</v>
          </cell>
          <cell r="T357">
            <v>89575</v>
          </cell>
          <cell r="U357">
            <v>202</v>
          </cell>
          <cell r="V357">
            <v>8400</v>
          </cell>
          <cell r="W357">
            <v>0</v>
          </cell>
          <cell r="X357">
            <v>8602</v>
          </cell>
          <cell r="Y357">
            <v>80973</v>
          </cell>
        </row>
        <row r="358">
          <cell r="A358" t="str">
            <v>EMP357</v>
          </cell>
          <cell r="B358" t="str">
            <v>Name 357</v>
          </cell>
          <cell r="C358" t="str">
            <v>Accountant</v>
          </cell>
          <cell r="D358">
            <v>54</v>
          </cell>
          <cell r="E358">
            <v>43851</v>
          </cell>
          <cell r="F358" t="str">
            <v>Night</v>
          </cell>
          <cell r="G358" t="str">
            <v>Name 357@gmail.com</v>
          </cell>
          <cell r="H358">
            <v>34000</v>
          </cell>
          <cell r="I358">
            <v>6120</v>
          </cell>
          <cell r="J358">
            <v>1700</v>
          </cell>
          <cell r="K358">
            <v>1000</v>
          </cell>
          <cell r="L358">
            <v>2000</v>
          </cell>
          <cell r="M358">
            <v>1600</v>
          </cell>
          <cell r="N358">
            <v>30</v>
          </cell>
          <cell r="O358">
            <v>34000</v>
          </cell>
          <cell r="P358">
            <v>2</v>
          </cell>
          <cell r="Q358">
            <v>60</v>
          </cell>
          <cell r="R358">
            <v>141.66666666666666</v>
          </cell>
          <cell r="S358">
            <v>8500</v>
          </cell>
          <cell r="T358">
            <v>54920</v>
          </cell>
          <cell r="U358">
            <v>203</v>
          </cell>
          <cell r="V358">
            <v>4080</v>
          </cell>
          <cell r="W358">
            <v>0</v>
          </cell>
          <cell r="X358">
            <v>4283</v>
          </cell>
          <cell r="Y358">
            <v>50637</v>
          </cell>
        </row>
        <row r="359">
          <cell r="A359" t="str">
            <v>EMP358</v>
          </cell>
          <cell r="B359" t="str">
            <v>Name 358</v>
          </cell>
          <cell r="C359" t="str">
            <v>Accountant</v>
          </cell>
          <cell r="D359">
            <v>56</v>
          </cell>
          <cell r="E359">
            <v>43852</v>
          </cell>
          <cell r="F359" t="str">
            <v>Night</v>
          </cell>
          <cell r="G359" t="str">
            <v>Name 358@gmail.com</v>
          </cell>
          <cell r="H359">
            <v>45000</v>
          </cell>
          <cell r="I359">
            <v>8100</v>
          </cell>
          <cell r="J359">
            <v>2250</v>
          </cell>
          <cell r="K359">
            <v>1000</v>
          </cell>
          <cell r="L359">
            <v>5000</v>
          </cell>
          <cell r="M359">
            <v>1600</v>
          </cell>
          <cell r="N359">
            <v>30</v>
          </cell>
          <cell r="O359">
            <v>45000</v>
          </cell>
          <cell r="P359">
            <v>0</v>
          </cell>
          <cell r="Q359">
            <v>0</v>
          </cell>
          <cell r="R359">
            <v>187.5</v>
          </cell>
          <cell r="S359">
            <v>0</v>
          </cell>
          <cell r="T359">
            <v>62950</v>
          </cell>
          <cell r="U359">
            <v>204</v>
          </cell>
          <cell r="V359">
            <v>5400</v>
          </cell>
          <cell r="W359">
            <v>4000</v>
          </cell>
          <cell r="X359">
            <v>9604</v>
          </cell>
          <cell r="Y359">
            <v>53346</v>
          </cell>
        </row>
        <row r="360">
          <cell r="A360" t="str">
            <v>EMP359</v>
          </cell>
          <cell r="B360" t="str">
            <v>Name 359</v>
          </cell>
          <cell r="C360" t="str">
            <v>Accountant</v>
          </cell>
          <cell r="D360">
            <v>54</v>
          </cell>
          <cell r="E360">
            <v>43853</v>
          </cell>
          <cell r="F360" t="str">
            <v>Night</v>
          </cell>
          <cell r="G360" t="str">
            <v>Name 359@gmail.com</v>
          </cell>
          <cell r="H360">
            <v>55000</v>
          </cell>
          <cell r="I360">
            <v>9900</v>
          </cell>
          <cell r="J360">
            <v>2750</v>
          </cell>
          <cell r="K360">
            <v>1000</v>
          </cell>
          <cell r="L360">
            <v>0</v>
          </cell>
          <cell r="M360">
            <v>1600</v>
          </cell>
          <cell r="N360">
            <v>30</v>
          </cell>
          <cell r="O360">
            <v>55000</v>
          </cell>
          <cell r="P360">
            <v>1</v>
          </cell>
          <cell r="Q360">
            <v>30</v>
          </cell>
          <cell r="R360">
            <v>229.16666666666666</v>
          </cell>
          <cell r="S360">
            <v>6875</v>
          </cell>
          <cell r="T360">
            <v>77125</v>
          </cell>
          <cell r="U360">
            <v>205</v>
          </cell>
          <cell r="V360">
            <v>6600</v>
          </cell>
          <cell r="W360">
            <v>0</v>
          </cell>
          <cell r="X360">
            <v>6805</v>
          </cell>
          <cell r="Y360">
            <v>70320</v>
          </cell>
        </row>
        <row r="361">
          <cell r="A361" t="str">
            <v>EMP360</v>
          </cell>
          <cell r="B361" t="str">
            <v>Name 360</v>
          </cell>
          <cell r="C361" t="str">
            <v>Manager</v>
          </cell>
          <cell r="D361">
            <v>34</v>
          </cell>
          <cell r="E361">
            <v>43854</v>
          </cell>
          <cell r="F361" t="str">
            <v>Day</v>
          </cell>
          <cell r="G361" t="str">
            <v>Name 360@gmail.com</v>
          </cell>
          <cell r="H361">
            <v>43000</v>
          </cell>
          <cell r="I361">
            <v>7740</v>
          </cell>
          <cell r="J361">
            <v>2150</v>
          </cell>
          <cell r="K361">
            <v>1000</v>
          </cell>
          <cell r="L361">
            <v>0</v>
          </cell>
          <cell r="M361">
            <v>1600</v>
          </cell>
          <cell r="N361">
            <v>27</v>
          </cell>
          <cell r="O361">
            <v>38700</v>
          </cell>
          <cell r="P361">
            <v>1</v>
          </cell>
          <cell r="Q361">
            <v>27</v>
          </cell>
          <cell r="R361">
            <v>179.16666666666666</v>
          </cell>
          <cell r="S361">
            <v>4837.5</v>
          </cell>
          <cell r="T361">
            <v>56027.5</v>
          </cell>
          <cell r="U361">
            <v>200</v>
          </cell>
          <cell r="V361">
            <v>5160</v>
          </cell>
          <cell r="W361">
            <v>0</v>
          </cell>
          <cell r="X361">
            <v>5360</v>
          </cell>
          <cell r="Y361">
            <v>50667.5</v>
          </cell>
        </row>
        <row r="362">
          <cell r="A362" t="str">
            <v>EMP361</v>
          </cell>
          <cell r="B362" t="str">
            <v>Name 361</v>
          </cell>
          <cell r="C362" t="str">
            <v>Clerk</v>
          </cell>
          <cell r="D362">
            <v>23</v>
          </cell>
          <cell r="E362">
            <v>43831</v>
          </cell>
          <cell r="F362" t="str">
            <v>Day</v>
          </cell>
          <cell r="G362" t="str">
            <v>Name 361@gmail.com</v>
          </cell>
          <cell r="H362">
            <v>25000</v>
          </cell>
          <cell r="I362">
            <v>4500</v>
          </cell>
          <cell r="J362">
            <v>1250</v>
          </cell>
          <cell r="K362">
            <v>1000</v>
          </cell>
          <cell r="L362">
            <v>0</v>
          </cell>
          <cell r="M362">
            <v>1600</v>
          </cell>
          <cell r="N362">
            <v>30</v>
          </cell>
          <cell r="O362">
            <v>25000</v>
          </cell>
          <cell r="P362">
            <v>0</v>
          </cell>
          <cell r="Q362">
            <v>0</v>
          </cell>
          <cell r="R362">
            <v>104.16666666666667</v>
          </cell>
          <cell r="S362">
            <v>0</v>
          </cell>
          <cell r="T362">
            <v>33350</v>
          </cell>
          <cell r="U362">
            <v>200</v>
          </cell>
          <cell r="V362">
            <v>3000</v>
          </cell>
          <cell r="W362">
            <v>0</v>
          </cell>
          <cell r="X362">
            <v>3200</v>
          </cell>
          <cell r="Y362">
            <v>30150</v>
          </cell>
        </row>
        <row r="363">
          <cell r="A363" t="str">
            <v>EMP362</v>
          </cell>
          <cell r="B363" t="str">
            <v>Name 362</v>
          </cell>
          <cell r="C363" t="str">
            <v>Accountant</v>
          </cell>
          <cell r="D363">
            <v>34</v>
          </cell>
          <cell r="E363">
            <v>43832</v>
          </cell>
          <cell r="F363" t="str">
            <v>Day</v>
          </cell>
          <cell r="G363" t="str">
            <v>Name 362@gmail.com</v>
          </cell>
          <cell r="H363">
            <v>28000</v>
          </cell>
          <cell r="I363">
            <v>5040</v>
          </cell>
          <cell r="J363">
            <v>1400</v>
          </cell>
          <cell r="K363">
            <v>1000</v>
          </cell>
          <cell r="L363">
            <v>0</v>
          </cell>
          <cell r="M363">
            <v>1600</v>
          </cell>
          <cell r="N363">
            <v>20</v>
          </cell>
          <cell r="O363">
            <v>18666.666666666668</v>
          </cell>
          <cell r="P363">
            <v>0</v>
          </cell>
          <cell r="Q363">
            <v>0</v>
          </cell>
          <cell r="R363">
            <v>116.66666666666667</v>
          </cell>
          <cell r="S363">
            <v>0</v>
          </cell>
          <cell r="T363">
            <v>27706.666666666668</v>
          </cell>
          <cell r="U363">
            <v>200</v>
          </cell>
          <cell r="V363">
            <v>3360</v>
          </cell>
          <cell r="W363">
            <v>0</v>
          </cell>
          <cell r="X363">
            <v>3560</v>
          </cell>
          <cell r="Y363">
            <v>24146.666666666668</v>
          </cell>
        </row>
        <row r="364">
          <cell r="A364" t="str">
            <v>EMP363</v>
          </cell>
          <cell r="B364" t="str">
            <v>Name 363</v>
          </cell>
          <cell r="C364" t="str">
            <v>Manager</v>
          </cell>
          <cell r="D364">
            <v>43</v>
          </cell>
          <cell r="E364">
            <v>43833</v>
          </cell>
          <cell r="F364" t="str">
            <v>Day</v>
          </cell>
          <cell r="G364" t="str">
            <v>Name 363@gmail.com</v>
          </cell>
          <cell r="H364">
            <v>40000</v>
          </cell>
          <cell r="I364">
            <v>7200</v>
          </cell>
          <cell r="J364">
            <v>2000</v>
          </cell>
          <cell r="K364">
            <v>1000</v>
          </cell>
          <cell r="L364">
            <v>0</v>
          </cell>
          <cell r="M364">
            <v>1600</v>
          </cell>
          <cell r="N364">
            <v>28</v>
          </cell>
          <cell r="O364">
            <v>37333.333333333328</v>
          </cell>
          <cell r="P364">
            <v>2</v>
          </cell>
          <cell r="Q364">
            <v>56</v>
          </cell>
          <cell r="R364">
            <v>166.66666666666666</v>
          </cell>
          <cell r="S364">
            <v>9333.3333333333321</v>
          </cell>
          <cell r="T364">
            <v>58466.666666666657</v>
          </cell>
          <cell r="U364">
            <v>200</v>
          </cell>
          <cell r="V364">
            <v>4800</v>
          </cell>
          <cell r="W364">
            <v>0</v>
          </cell>
          <cell r="X364">
            <v>5000</v>
          </cell>
          <cell r="Y364">
            <v>53466.666666666657</v>
          </cell>
        </row>
        <row r="365">
          <cell r="A365" t="str">
            <v>EMP364</v>
          </cell>
          <cell r="B365" t="str">
            <v>Name 364</v>
          </cell>
          <cell r="C365" t="str">
            <v>Manager</v>
          </cell>
          <cell r="D365">
            <v>34</v>
          </cell>
          <cell r="E365">
            <v>43834</v>
          </cell>
          <cell r="F365" t="str">
            <v>Day</v>
          </cell>
          <cell r="G365" t="str">
            <v>Name 364@gmail.com</v>
          </cell>
          <cell r="H365">
            <v>32000</v>
          </cell>
          <cell r="I365">
            <v>5760</v>
          </cell>
          <cell r="J365">
            <v>1600</v>
          </cell>
          <cell r="K365">
            <v>1000</v>
          </cell>
          <cell r="L365">
            <v>0</v>
          </cell>
          <cell r="M365">
            <v>1600</v>
          </cell>
          <cell r="N365">
            <v>30</v>
          </cell>
          <cell r="O365">
            <v>32000.000000000004</v>
          </cell>
          <cell r="P365">
            <v>1</v>
          </cell>
          <cell r="Q365">
            <v>30</v>
          </cell>
          <cell r="R365">
            <v>133.33333333333334</v>
          </cell>
          <cell r="S365">
            <v>4000.0000000000005</v>
          </cell>
          <cell r="T365">
            <v>45960</v>
          </cell>
          <cell r="U365">
            <v>200</v>
          </cell>
          <cell r="V365">
            <v>3840</v>
          </cell>
          <cell r="W365">
            <v>5000</v>
          </cell>
          <cell r="X365">
            <v>9040</v>
          </cell>
          <cell r="Y365">
            <v>36920</v>
          </cell>
        </row>
        <row r="366">
          <cell r="A366" t="str">
            <v>EMP365</v>
          </cell>
          <cell r="B366" t="str">
            <v>Name 365</v>
          </cell>
          <cell r="C366" t="str">
            <v>Clerk</v>
          </cell>
          <cell r="D366">
            <v>43</v>
          </cell>
          <cell r="E366">
            <v>43835</v>
          </cell>
          <cell r="F366" t="str">
            <v>Day</v>
          </cell>
          <cell r="G366" t="str">
            <v>Name 365@gmail.com</v>
          </cell>
          <cell r="H366">
            <v>28000</v>
          </cell>
          <cell r="I366">
            <v>5040</v>
          </cell>
          <cell r="J366">
            <v>1400</v>
          </cell>
          <cell r="K366">
            <v>1000</v>
          </cell>
          <cell r="L366">
            <v>0</v>
          </cell>
          <cell r="M366">
            <v>1600</v>
          </cell>
          <cell r="N366">
            <v>29</v>
          </cell>
          <cell r="O366">
            <v>27066.666666666668</v>
          </cell>
          <cell r="P366">
            <v>1</v>
          </cell>
          <cell r="Q366">
            <v>29</v>
          </cell>
          <cell r="R366">
            <v>116.66666666666667</v>
          </cell>
          <cell r="S366">
            <v>3383.3333333333335</v>
          </cell>
          <cell r="T366">
            <v>39490.000000000007</v>
          </cell>
          <cell r="U366">
            <v>200</v>
          </cell>
          <cell r="V366">
            <v>3360</v>
          </cell>
          <cell r="W366">
            <v>0</v>
          </cell>
          <cell r="X366">
            <v>3560</v>
          </cell>
          <cell r="Y366">
            <v>35930.000000000007</v>
          </cell>
        </row>
        <row r="367">
          <cell r="A367" t="str">
            <v>EMP366</v>
          </cell>
          <cell r="B367" t="str">
            <v>Name 366</v>
          </cell>
          <cell r="C367" t="str">
            <v>Accountant</v>
          </cell>
          <cell r="D367">
            <v>23</v>
          </cell>
          <cell r="E367">
            <v>43836</v>
          </cell>
          <cell r="F367" t="str">
            <v>Night</v>
          </cell>
          <cell r="G367" t="str">
            <v>Name 366@gmail.com</v>
          </cell>
          <cell r="H367">
            <v>44000</v>
          </cell>
          <cell r="I367">
            <v>7920</v>
          </cell>
          <cell r="J367">
            <v>2200</v>
          </cell>
          <cell r="K367">
            <v>1000</v>
          </cell>
          <cell r="L367">
            <v>0</v>
          </cell>
          <cell r="M367">
            <v>1600</v>
          </cell>
          <cell r="N367">
            <v>28</v>
          </cell>
          <cell r="O367">
            <v>41066.666666666672</v>
          </cell>
          <cell r="P367">
            <v>1</v>
          </cell>
          <cell r="Q367">
            <v>28</v>
          </cell>
          <cell r="R367">
            <v>183.33333333333334</v>
          </cell>
          <cell r="S367">
            <v>5133.3333333333339</v>
          </cell>
          <cell r="T367">
            <v>58920.000000000007</v>
          </cell>
          <cell r="U367">
            <v>200</v>
          </cell>
          <cell r="V367">
            <v>5280</v>
          </cell>
          <cell r="W367">
            <v>0</v>
          </cell>
          <cell r="X367">
            <v>5480</v>
          </cell>
          <cell r="Y367">
            <v>53440.000000000007</v>
          </cell>
        </row>
        <row r="368">
          <cell r="A368" t="str">
            <v>EMP367</v>
          </cell>
          <cell r="B368" t="str">
            <v>Name 367</v>
          </cell>
          <cell r="C368" t="str">
            <v>Manager</v>
          </cell>
          <cell r="D368">
            <v>34</v>
          </cell>
          <cell r="E368">
            <v>43837</v>
          </cell>
          <cell r="F368" t="str">
            <v>Day</v>
          </cell>
          <cell r="G368" t="str">
            <v>Name 367@gmail.com</v>
          </cell>
          <cell r="H368">
            <v>25000</v>
          </cell>
          <cell r="I368">
            <v>4500</v>
          </cell>
          <cell r="J368">
            <v>1250</v>
          </cell>
          <cell r="K368">
            <v>1000</v>
          </cell>
          <cell r="L368">
            <v>0</v>
          </cell>
          <cell r="M368">
            <v>1600</v>
          </cell>
          <cell r="N368">
            <v>27</v>
          </cell>
          <cell r="O368">
            <v>22500</v>
          </cell>
          <cell r="P368">
            <v>1</v>
          </cell>
          <cell r="Q368">
            <v>27</v>
          </cell>
          <cell r="R368">
            <v>104.16666666666667</v>
          </cell>
          <cell r="S368">
            <v>2812.5</v>
          </cell>
          <cell r="T368">
            <v>33662.5</v>
          </cell>
          <cell r="U368">
            <v>200</v>
          </cell>
          <cell r="V368">
            <v>3000</v>
          </cell>
          <cell r="W368">
            <v>0</v>
          </cell>
          <cell r="X368">
            <v>3200</v>
          </cell>
          <cell r="Y368">
            <v>30462.5</v>
          </cell>
        </row>
        <row r="369">
          <cell r="A369" t="str">
            <v>EMP368</v>
          </cell>
          <cell r="B369" t="str">
            <v>Name 368</v>
          </cell>
          <cell r="C369" t="str">
            <v>Accountant</v>
          </cell>
          <cell r="D369">
            <v>23</v>
          </cell>
          <cell r="E369">
            <v>43838</v>
          </cell>
          <cell r="F369" t="str">
            <v>Day</v>
          </cell>
          <cell r="G369" t="str">
            <v>Name 368@gmail.com</v>
          </cell>
          <cell r="H369">
            <v>50000</v>
          </cell>
          <cell r="I369">
            <v>9000</v>
          </cell>
          <cell r="J369">
            <v>2500</v>
          </cell>
          <cell r="K369">
            <v>1000</v>
          </cell>
          <cell r="L369">
            <v>0</v>
          </cell>
          <cell r="M369">
            <v>1600</v>
          </cell>
          <cell r="N369">
            <v>27</v>
          </cell>
          <cell r="O369">
            <v>45000</v>
          </cell>
          <cell r="P369">
            <v>3</v>
          </cell>
          <cell r="Q369">
            <v>81</v>
          </cell>
          <cell r="R369">
            <v>208.33333333333334</v>
          </cell>
          <cell r="S369">
            <v>16875</v>
          </cell>
          <cell r="T369">
            <v>75975</v>
          </cell>
          <cell r="U369">
            <v>201</v>
          </cell>
          <cell r="V369">
            <v>6000</v>
          </cell>
          <cell r="W369">
            <v>0</v>
          </cell>
          <cell r="X369">
            <v>6201</v>
          </cell>
          <cell r="Y369">
            <v>69774</v>
          </cell>
        </row>
        <row r="370">
          <cell r="A370" t="str">
            <v>EMP369</v>
          </cell>
          <cell r="B370" t="str">
            <v>Name 369</v>
          </cell>
          <cell r="C370" t="str">
            <v>Accountant</v>
          </cell>
          <cell r="D370">
            <v>34</v>
          </cell>
          <cell r="E370">
            <v>43839</v>
          </cell>
          <cell r="F370" t="str">
            <v>Night</v>
          </cell>
          <cell r="G370" t="str">
            <v>Name 369@gmail.com</v>
          </cell>
          <cell r="H370">
            <v>70000</v>
          </cell>
          <cell r="I370">
            <v>12600</v>
          </cell>
          <cell r="J370">
            <v>3500</v>
          </cell>
          <cell r="K370">
            <v>1000</v>
          </cell>
          <cell r="L370">
            <v>0</v>
          </cell>
          <cell r="M370">
            <v>1600</v>
          </cell>
          <cell r="N370">
            <v>27</v>
          </cell>
          <cell r="O370">
            <v>63000.000000000007</v>
          </cell>
          <cell r="P370">
            <v>1</v>
          </cell>
          <cell r="Q370">
            <v>27</v>
          </cell>
          <cell r="R370">
            <v>291.66666666666669</v>
          </cell>
          <cell r="S370">
            <v>7875.0000000000009</v>
          </cell>
          <cell r="T370">
            <v>89575</v>
          </cell>
          <cell r="U370">
            <v>202</v>
          </cell>
          <cell r="V370">
            <v>8400</v>
          </cell>
          <cell r="W370">
            <v>0</v>
          </cell>
          <cell r="X370">
            <v>8602</v>
          </cell>
          <cell r="Y370">
            <v>80973</v>
          </cell>
        </row>
        <row r="371">
          <cell r="A371" t="str">
            <v>EMP370</v>
          </cell>
          <cell r="B371" t="str">
            <v>Name 370</v>
          </cell>
          <cell r="C371" t="str">
            <v>Accountant</v>
          </cell>
          <cell r="D371">
            <v>23</v>
          </cell>
          <cell r="E371">
            <v>43840</v>
          </cell>
          <cell r="F371" t="str">
            <v>Night</v>
          </cell>
          <cell r="G371" t="str">
            <v>Name 370@gmail.com</v>
          </cell>
          <cell r="H371">
            <v>34000</v>
          </cell>
          <cell r="I371">
            <v>6120</v>
          </cell>
          <cell r="J371">
            <v>1700</v>
          </cell>
          <cell r="K371">
            <v>1000</v>
          </cell>
          <cell r="L371">
            <v>2000</v>
          </cell>
          <cell r="M371">
            <v>1600</v>
          </cell>
          <cell r="N371">
            <v>30</v>
          </cell>
          <cell r="O371">
            <v>34000</v>
          </cell>
          <cell r="P371">
            <v>2</v>
          </cell>
          <cell r="Q371">
            <v>60</v>
          </cell>
          <cell r="R371">
            <v>141.66666666666666</v>
          </cell>
          <cell r="S371">
            <v>8500</v>
          </cell>
          <cell r="T371">
            <v>54920</v>
          </cell>
          <cell r="U371">
            <v>203</v>
          </cell>
          <cell r="V371">
            <v>4080</v>
          </cell>
          <cell r="W371">
            <v>0</v>
          </cell>
          <cell r="X371">
            <v>4283</v>
          </cell>
          <cell r="Y371">
            <v>50637</v>
          </cell>
        </row>
        <row r="372">
          <cell r="A372" t="str">
            <v>EMP371</v>
          </cell>
          <cell r="B372" t="str">
            <v>Name 371</v>
          </cell>
          <cell r="C372" t="str">
            <v>Accountant</v>
          </cell>
          <cell r="D372">
            <v>34</v>
          </cell>
          <cell r="E372">
            <v>43841</v>
          </cell>
          <cell r="F372" t="str">
            <v>Night</v>
          </cell>
          <cell r="G372" t="str">
            <v>Name 371@gmail.com</v>
          </cell>
          <cell r="H372">
            <v>45000</v>
          </cell>
          <cell r="I372">
            <v>8100</v>
          </cell>
          <cell r="J372">
            <v>2250</v>
          </cell>
          <cell r="K372">
            <v>1000</v>
          </cell>
          <cell r="L372">
            <v>5000</v>
          </cell>
          <cell r="M372">
            <v>1600</v>
          </cell>
          <cell r="N372">
            <v>30</v>
          </cell>
          <cell r="O372">
            <v>45000</v>
          </cell>
          <cell r="P372">
            <v>0</v>
          </cell>
          <cell r="Q372">
            <v>0</v>
          </cell>
          <cell r="R372">
            <v>187.5</v>
          </cell>
          <cell r="S372">
            <v>0</v>
          </cell>
          <cell r="T372">
            <v>62950</v>
          </cell>
          <cell r="U372">
            <v>204</v>
          </cell>
          <cell r="V372">
            <v>5400</v>
          </cell>
          <cell r="W372">
            <v>4000</v>
          </cell>
          <cell r="X372">
            <v>9604</v>
          </cell>
          <cell r="Y372">
            <v>53346</v>
          </cell>
        </row>
        <row r="373">
          <cell r="A373" t="str">
            <v>EMP372</v>
          </cell>
          <cell r="B373" t="str">
            <v>Name 372</v>
          </cell>
          <cell r="C373" t="str">
            <v>Accountant</v>
          </cell>
          <cell r="D373">
            <v>45</v>
          </cell>
          <cell r="E373">
            <v>43842</v>
          </cell>
          <cell r="F373" t="str">
            <v>Night</v>
          </cell>
          <cell r="G373" t="str">
            <v>Name 372@gmail.com</v>
          </cell>
          <cell r="H373">
            <v>55000</v>
          </cell>
          <cell r="I373">
            <v>9900</v>
          </cell>
          <cell r="J373">
            <v>2750</v>
          </cell>
          <cell r="K373">
            <v>1000</v>
          </cell>
          <cell r="L373">
            <v>0</v>
          </cell>
          <cell r="M373">
            <v>1600</v>
          </cell>
          <cell r="N373">
            <v>30</v>
          </cell>
          <cell r="O373">
            <v>55000</v>
          </cell>
          <cell r="P373">
            <v>1</v>
          </cell>
          <cell r="Q373">
            <v>30</v>
          </cell>
          <cell r="R373">
            <v>229.16666666666666</v>
          </cell>
          <cell r="S373">
            <v>6875</v>
          </cell>
          <cell r="T373">
            <v>77125</v>
          </cell>
          <cell r="U373">
            <v>205</v>
          </cell>
          <cell r="V373">
            <v>6600</v>
          </cell>
          <cell r="W373">
            <v>0</v>
          </cell>
          <cell r="X373">
            <v>6805</v>
          </cell>
          <cell r="Y373">
            <v>70320</v>
          </cell>
        </row>
        <row r="374">
          <cell r="A374" t="str">
            <v>EMP373</v>
          </cell>
          <cell r="B374" t="str">
            <v>Name 373</v>
          </cell>
          <cell r="C374" t="str">
            <v>Manager</v>
          </cell>
          <cell r="D374">
            <v>54</v>
          </cell>
          <cell r="E374">
            <v>43843</v>
          </cell>
          <cell r="F374" t="str">
            <v>Day</v>
          </cell>
          <cell r="G374" t="str">
            <v>Name 373@gmail.com</v>
          </cell>
          <cell r="H374">
            <v>43000</v>
          </cell>
          <cell r="I374">
            <v>7740</v>
          </cell>
          <cell r="J374">
            <v>2150</v>
          </cell>
          <cell r="K374">
            <v>1000</v>
          </cell>
          <cell r="L374">
            <v>0</v>
          </cell>
          <cell r="M374">
            <v>1600</v>
          </cell>
          <cell r="N374">
            <v>27</v>
          </cell>
          <cell r="O374">
            <v>38700</v>
          </cell>
          <cell r="P374">
            <v>1</v>
          </cell>
          <cell r="Q374">
            <v>27</v>
          </cell>
          <cell r="R374">
            <v>179.16666666666666</v>
          </cell>
          <cell r="S374">
            <v>4837.5</v>
          </cell>
          <cell r="T374">
            <v>56027.5</v>
          </cell>
          <cell r="U374">
            <v>200</v>
          </cell>
          <cell r="V374">
            <v>5160</v>
          </cell>
          <cell r="W374">
            <v>0</v>
          </cell>
          <cell r="X374">
            <v>5360</v>
          </cell>
          <cell r="Y374">
            <v>50667.5</v>
          </cell>
        </row>
        <row r="375">
          <cell r="A375" t="str">
            <v>EMP374</v>
          </cell>
          <cell r="B375" t="str">
            <v>Name 374</v>
          </cell>
          <cell r="C375" t="str">
            <v>Clerk</v>
          </cell>
          <cell r="D375">
            <v>56</v>
          </cell>
          <cell r="E375">
            <v>43844</v>
          </cell>
          <cell r="F375" t="str">
            <v>Day</v>
          </cell>
          <cell r="G375" t="str">
            <v>Name 374@gmail.com</v>
          </cell>
          <cell r="H375">
            <v>25000</v>
          </cell>
          <cell r="I375">
            <v>4500</v>
          </cell>
          <cell r="J375">
            <v>1250</v>
          </cell>
          <cell r="K375">
            <v>1000</v>
          </cell>
          <cell r="L375">
            <v>0</v>
          </cell>
          <cell r="M375">
            <v>1600</v>
          </cell>
          <cell r="N375">
            <v>30</v>
          </cell>
          <cell r="O375">
            <v>25000</v>
          </cell>
          <cell r="P375">
            <v>0</v>
          </cell>
          <cell r="Q375">
            <v>0</v>
          </cell>
          <cell r="R375">
            <v>104.16666666666667</v>
          </cell>
          <cell r="S375">
            <v>0</v>
          </cell>
          <cell r="T375">
            <v>33350</v>
          </cell>
          <cell r="U375">
            <v>200</v>
          </cell>
          <cell r="V375">
            <v>3000</v>
          </cell>
          <cell r="W375">
            <v>0</v>
          </cell>
          <cell r="X375">
            <v>3200</v>
          </cell>
          <cell r="Y375">
            <v>30150</v>
          </cell>
        </row>
        <row r="376">
          <cell r="A376" t="str">
            <v>EMP375</v>
          </cell>
          <cell r="B376" t="str">
            <v>Name 375</v>
          </cell>
          <cell r="C376" t="str">
            <v>Accountant</v>
          </cell>
          <cell r="D376">
            <v>54</v>
          </cell>
          <cell r="E376">
            <v>43845</v>
          </cell>
          <cell r="F376" t="str">
            <v>Day</v>
          </cell>
          <cell r="G376" t="str">
            <v>Name 375@gmail.com</v>
          </cell>
          <cell r="H376">
            <v>28000</v>
          </cell>
          <cell r="I376">
            <v>5040</v>
          </cell>
          <cell r="J376">
            <v>1400</v>
          </cell>
          <cell r="K376">
            <v>1000</v>
          </cell>
          <cell r="L376">
            <v>0</v>
          </cell>
          <cell r="M376">
            <v>1600</v>
          </cell>
          <cell r="N376">
            <v>20</v>
          </cell>
          <cell r="O376">
            <v>18666.666666666668</v>
          </cell>
          <cell r="P376">
            <v>0</v>
          </cell>
          <cell r="Q376">
            <v>0</v>
          </cell>
          <cell r="R376">
            <v>116.66666666666667</v>
          </cell>
          <cell r="S376">
            <v>0</v>
          </cell>
          <cell r="T376">
            <v>27706.666666666668</v>
          </cell>
          <cell r="U376">
            <v>200</v>
          </cell>
          <cell r="V376">
            <v>3360</v>
          </cell>
          <cell r="W376">
            <v>0</v>
          </cell>
          <cell r="X376">
            <v>3560</v>
          </cell>
          <cell r="Y376">
            <v>24146.666666666668</v>
          </cell>
        </row>
        <row r="377">
          <cell r="A377" t="str">
            <v>EMP376</v>
          </cell>
          <cell r="B377" t="str">
            <v>Name 376</v>
          </cell>
          <cell r="C377" t="str">
            <v>Manager</v>
          </cell>
          <cell r="D377">
            <v>34</v>
          </cell>
          <cell r="E377">
            <v>43846</v>
          </cell>
          <cell r="F377" t="str">
            <v>Day</v>
          </cell>
          <cell r="G377" t="str">
            <v>Name 376@gmail.com</v>
          </cell>
          <cell r="H377">
            <v>40000</v>
          </cell>
          <cell r="I377">
            <v>7200</v>
          </cell>
          <cell r="J377">
            <v>2000</v>
          </cell>
          <cell r="K377">
            <v>1000</v>
          </cell>
          <cell r="L377">
            <v>0</v>
          </cell>
          <cell r="M377">
            <v>1600</v>
          </cell>
          <cell r="N377">
            <v>28</v>
          </cell>
          <cell r="O377">
            <v>37333.333333333328</v>
          </cell>
          <cell r="P377">
            <v>2</v>
          </cell>
          <cell r="Q377">
            <v>56</v>
          </cell>
          <cell r="R377">
            <v>166.66666666666666</v>
          </cell>
          <cell r="S377">
            <v>9333.3333333333321</v>
          </cell>
          <cell r="T377">
            <v>58466.666666666657</v>
          </cell>
          <cell r="U377">
            <v>200</v>
          </cell>
          <cell r="V377">
            <v>4800</v>
          </cell>
          <cell r="W377">
            <v>0</v>
          </cell>
          <cell r="X377">
            <v>5000</v>
          </cell>
          <cell r="Y377">
            <v>53466.666666666657</v>
          </cell>
        </row>
        <row r="378">
          <cell r="A378" t="str">
            <v>EMP377</v>
          </cell>
          <cell r="B378" t="str">
            <v>Name 377</v>
          </cell>
          <cell r="C378" t="str">
            <v>Manager</v>
          </cell>
          <cell r="D378">
            <v>23</v>
          </cell>
          <cell r="E378">
            <v>43847</v>
          </cell>
          <cell r="F378" t="str">
            <v>Day</v>
          </cell>
          <cell r="G378" t="str">
            <v>Name 377@gmail.com</v>
          </cell>
          <cell r="H378">
            <v>32000</v>
          </cell>
          <cell r="I378">
            <v>5760</v>
          </cell>
          <cell r="J378">
            <v>1600</v>
          </cell>
          <cell r="K378">
            <v>1000</v>
          </cell>
          <cell r="L378">
            <v>0</v>
          </cell>
          <cell r="M378">
            <v>1600</v>
          </cell>
          <cell r="N378">
            <v>30</v>
          </cell>
          <cell r="O378">
            <v>32000.000000000004</v>
          </cell>
          <cell r="P378">
            <v>1</v>
          </cell>
          <cell r="Q378">
            <v>30</v>
          </cell>
          <cell r="R378">
            <v>133.33333333333334</v>
          </cell>
          <cell r="S378">
            <v>4000.0000000000005</v>
          </cell>
          <cell r="T378">
            <v>45960</v>
          </cell>
          <cell r="U378">
            <v>200</v>
          </cell>
          <cell r="V378">
            <v>3840</v>
          </cell>
          <cell r="W378">
            <v>5000</v>
          </cell>
          <cell r="X378">
            <v>9040</v>
          </cell>
          <cell r="Y378">
            <v>36920</v>
          </cell>
        </row>
        <row r="379">
          <cell r="A379" t="str">
            <v>EMP378</v>
          </cell>
          <cell r="B379" t="str">
            <v>Name 378</v>
          </cell>
          <cell r="C379" t="str">
            <v>Clerk</v>
          </cell>
          <cell r="D379">
            <v>34</v>
          </cell>
          <cell r="E379">
            <v>43848</v>
          </cell>
          <cell r="F379" t="str">
            <v>Day</v>
          </cell>
          <cell r="G379" t="str">
            <v>Name 378@gmail.com</v>
          </cell>
          <cell r="H379">
            <v>28000</v>
          </cell>
          <cell r="I379">
            <v>5040</v>
          </cell>
          <cell r="J379">
            <v>1400</v>
          </cell>
          <cell r="K379">
            <v>1000</v>
          </cell>
          <cell r="L379">
            <v>0</v>
          </cell>
          <cell r="M379">
            <v>1600</v>
          </cell>
          <cell r="N379">
            <v>29</v>
          </cell>
          <cell r="O379">
            <v>27066.666666666668</v>
          </cell>
          <cell r="P379">
            <v>1</v>
          </cell>
          <cell r="Q379">
            <v>29</v>
          </cell>
          <cell r="R379">
            <v>116.66666666666667</v>
          </cell>
          <cell r="S379">
            <v>3383.3333333333335</v>
          </cell>
          <cell r="T379">
            <v>39490.000000000007</v>
          </cell>
          <cell r="U379">
            <v>200</v>
          </cell>
          <cell r="V379">
            <v>3360</v>
          </cell>
          <cell r="W379">
            <v>0</v>
          </cell>
          <cell r="X379">
            <v>3560</v>
          </cell>
          <cell r="Y379">
            <v>35930.000000000007</v>
          </cell>
        </row>
        <row r="380">
          <cell r="A380" t="str">
            <v>EMP379</v>
          </cell>
          <cell r="B380" t="str">
            <v>Name 379</v>
          </cell>
          <cell r="C380" t="str">
            <v>Accountant</v>
          </cell>
          <cell r="D380">
            <v>43</v>
          </cell>
          <cell r="E380">
            <v>43849</v>
          </cell>
          <cell r="F380" t="str">
            <v>Night</v>
          </cell>
          <cell r="G380" t="str">
            <v>Name 379@gmail.com</v>
          </cell>
          <cell r="H380">
            <v>44000</v>
          </cell>
          <cell r="I380">
            <v>7920</v>
          </cell>
          <cell r="J380">
            <v>2200</v>
          </cell>
          <cell r="K380">
            <v>1000</v>
          </cell>
          <cell r="L380">
            <v>0</v>
          </cell>
          <cell r="M380">
            <v>1600</v>
          </cell>
          <cell r="N380">
            <v>28</v>
          </cell>
          <cell r="O380">
            <v>41066.666666666672</v>
          </cell>
          <cell r="P380">
            <v>1</v>
          </cell>
          <cell r="Q380">
            <v>28</v>
          </cell>
          <cell r="R380">
            <v>183.33333333333334</v>
          </cell>
          <cell r="S380">
            <v>5133.3333333333339</v>
          </cell>
          <cell r="T380">
            <v>58920.000000000007</v>
          </cell>
          <cell r="U380">
            <v>200</v>
          </cell>
          <cell r="V380">
            <v>5280</v>
          </cell>
          <cell r="W380">
            <v>0</v>
          </cell>
          <cell r="X380">
            <v>5480</v>
          </cell>
          <cell r="Y380">
            <v>53440.000000000007</v>
          </cell>
        </row>
        <row r="381">
          <cell r="A381" t="str">
            <v>EMP380</v>
          </cell>
          <cell r="B381" t="str">
            <v>Name 380</v>
          </cell>
          <cell r="C381" t="str">
            <v>Manager</v>
          </cell>
          <cell r="D381">
            <v>34</v>
          </cell>
          <cell r="E381">
            <v>43850</v>
          </cell>
          <cell r="F381" t="str">
            <v>Day</v>
          </cell>
          <cell r="G381" t="str">
            <v>Name 380@gmail.com</v>
          </cell>
          <cell r="H381">
            <v>25000</v>
          </cell>
          <cell r="I381">
            <v>4500</v>
          </cell>
          <cell r="J381">
            <v>1250</v>
          </cell>
          <cell r="K381">
            <v>1000</v>
          </cell>
          <cell r="L381">
            <v>0</v>
          </cell>
          <cell r="M381">
            <v>1600</v>
          </cell>
          <cell r="N381">
            <v>27</v>
          </cell>
          <cell r="O381">
            <v>22500</v>
          </cell>
          <cell r="P381">
            <v>1</v>
          </cell>
          <cell r="Q381">
            <v>27</v>
          </cell>
          <cell r="R381">
            <v>104.16666666666667</v>
          </cell>
          <cell r="S381">
            <v>2812.5</v>
          </cell>
          <cell r="T381">
            <v>33662.5</v>
          </cell>
          <cell r="U381">
            <v>200</v>
          </cell>
          <cell r="V381">
            <v>3000</v>
          </cell>
          <cell r="W381">
            <v>0</v>
          </cell>
          <cell r="X381">
            <v>3200</v>
          </cell>
          <cell r="Y381">
            <v>30462.5</v>
          </cell>
        </row>
        <row r="382">
          <cell r="A382" t="str">
            <v>EMP381</v>
          </cell>
          <cell r="B382" t="str">
            <v>Name 381</v>
          </cell>
          <cell r="C382" t="str">
            <v>Accountant</v>
          </cell>
          <cell r="D382">
            <v>43</v>
          </cell>
          <cell r="E382">
            <v>43851</v>
          </cell>
          <cell r="F382" t="str">
            <v>Day</v>
          </cell>
          <cell r="G382" t="str">
            <v>Name 381@gmail.com</v>
          </cell>
          <cell r="H382">
            <v>50000</v>
          </cell>
          <cell r="I382">
            <v>9000</v>
          </cell>
          <cell r="J382">
            <v>2500</v>
          </cell>
          <cell r="K382">
            <v>1000</v>
          </cell>
          <cell r="L382">
            <v>0</v>
          </cell>
          <cell r="M382">
            <v>1600</v>
          </cell>
          <cell r="N382">
            <v>27</v>
          </cell>
          <cell r="O382">
            <v>45000</v>
          </cell>
          <cell r="P382">
            <v>3</v>
          </cell>
          <cell r="Q382">
            <v>81</v>
          </cell>
          <cell r="R382">
            <v>208.33333333333334</v>
          </cell>
          <cell r="S382">
            <v>16875</v>
          </cell>
          <cell r="T382">
            <v>75975</v>
          </cell>
          <cell r="U382">
            <v>201</v>
          </cell>
          <cell r="V382">
            <v>6000</v>
          </cell>
          <cell r="W382">
            <v>0</v>
          </cell>
          <cell r="X382">
            <v>6201</v>
          </cell>
          <cell r="Y382">
            <v>69774</v>
          </cell>
        </row>
        <row r="383">
          <cell r="A383" t="str">
            <v>EMP382</v>
          </cell>
          <cell r="B383" t="str">
            <v>Name 382</v>
          </cell>
          <cell r="C383" t="str">
            <v>Accountant</v>
          </cell>
          <cell r="D383">
            <v>23</v>
          </cell>
          <cell r="E383">
            <v>43852</v>
          </cell>
          <cell r="F383" t="str">
            <v>Night</v>
          </cell>
          <cell r="G383" t="str">
            <v>Name 382@gmail.com</v>
          </cell>
          <cell r="H383">
            <v>70000</v>
          </cell>
          <cell r="I383">
            <v>12600</v>
          </cell>
          <cell r="J383">
            <v>3500</v>
          </cell>
          <cell r="K383">
            <v>1000</v>
          </cell>
          <cell r="L383">
            <v>0</v>
          </cell>
          <cell r="M383">
            <v>1600</v>
          </cell>
          <cell r="N383">
            <v>27</v>
          </cell>
          <cell r="O383">
            <v>63000.000000000007</v>
          </cell>
          <cell r="P383">
            <v>1</v>
          </cell>
          <cell r="Q383">
            <v>27</v>
          </cell>
          <cell r="R383">
            <v>291.66666666666669</v>
          </cell>
          <cell r="S383">
            <v>7875.0000000000009</v>
          </cell>
          <cell r="T383">
            <v>89575</v>
          </cell>
          <cell r="U383">
            <v>202</v>
          </cell>
          <cell r="V383">
            <v>8400</v>
          </cell>
          <cell r="W383">
            <v>0</v>
          </cell>
          <cell r="X383">
            <v>8602</v>
          </cell>
          <cell r="Y383">
            <v>80973</v>
          </cell>
        </row>
        <row r="384">
          <cell r="A384" t="str">
            <v>EMP383</v>
          </cell>
          <cell r="B384" t="str">
            <v>Name 383</v>
          </cell>
          <cell r="C384" t="str">
            <v>Accountant</v>
          </cell>
          <cell r="D384">
            <v>34</v>
          </cell>
          <cell r="E384">
            <v>43853</v>
          </cell>
          <cell r="F384" t="str">
            <v>Night</v>
          </cell>
          <cell r="G384" t="str">
            <v>Name 383@gmail.com</v>
          </cell>
          <cell r="H384">
            <v>34000</v>
          </cell>
          <cell r="I384">
            <v>6120</v>
          </cell>
          <cell r="J384">
            <v>1700</v>
          </cell>
          <cell r="K384">
            <v>1000</v>
          </cell>
          <cell r="L384">
            <v>2000</v>
          </cell>
          <cell r="M384">
            <v>1600</v>
          </cell>
          <cell r="N384">
            <v>30</v>
          </cell>
          <cell r="O384">
            <v>34000</v>
          </cell>
          <cell r="P384">
            <v>2</v>
          </cell>
          <cell r="Q384">
            <v>60</v>
          </cell>
          <cell r="R384">
            <v>141.66666666666666</v>
          </cell>
          <cell r="S384">
            <v>8500</v>
          </cell>
          <cell r="T384">
            <v>54920</v>
          </cell>
          <cell r="U384">
            <v>203</v>
          </cell>
          <cell r="V384">
            <v>4080</v>
          </cell>
          <cell r="W384">
            <v>0</v>
          </cell>
          <cell r="X384">
            <v>4283</v>
          </cell>
          <cell r="Y384">
            <v>50637</v>
          </cell>
        </row>
        <row r="385">
          <cell r="A385" t="str">
            <v>EMP384</v>
          </cell>
          <cell r="B385" t="str">
            <v>Name 384</v>
          </cell>
          <cell r="C385" t="str">
            <v>Accountant</v>
          </cell>
          <cell r="D385">
            <v>23</v>
          </cell>
          <cell r="E385">
            <v>43854</v>
          </cell>
          <cell r="F385" t="str">
            <v>Night</v>
          </cell>
          <cell r="G385" t="str">
            <v>Name 384@gmail.com</v>
          </cell>
          <cell r="H385">
            <v>45000</v>
          </cell>
          <cell r="I385">
            <v>8100</v>
          </cell>
          <cell r="J385">
            <v>2250</v>
          </cell>
          <cell r="K385">
            <v>1000</v>
          </cell>
          <cell r="L385">
            <v>5000</v>
          </cell>
          <cell r="M385">
            <v>1600</v>
          </cell>
          <cell r="N385">
            <v>30</v>
          </cell>
          <cell r="O385">
            <v>45000</v>
          </cell>
          <cell r="P385">
            <v>0</v>
          </cell>
          <cell r="Q385">
            <v>0</v>
          </cell>
          <cell r="R385">
            <v>187.5</v>
          </cell>
          <cell r="S385">
            <v>0</v>
          </cell>
          <cell r="T385">
            <v>62950</v>
          </cell>
          <cell r="U385">
            <v>204</v>
          </cell>
          <cell r="V385">
            <v>5400</v>
          </cell>
          <cell r="W385">
            <v>4000</v>
          </cell>
          <cell r="X385">
            <v>9604</v>
          </cell>
          <cell r="Y385">
            <v>53346</v>
          </cell>
        </row>
        <row r="386">
          <cell r="A386" t="str">
            <v>EMP385</v>
          </cell>
          <cell r="B386" t="str">
            <v>Name 385</v>
          </cell>
          <cell r="C386" t="str">
            <v>Accountant</v>
          </cell>
          <cell r="D386">
            <v>34</v>
          </cell>
          <cell r="E386">
            <v>43831</v>
          </cell>
          <cell r="F386" t="str">
            <v>Night</v>
          </cell>
          <cell r="G386" t="str">
            <v>Name 385@gmail.com</v>
          </cell>
          <cell r="H386">
            <v>55000</v>
          </cell>
          <cell r="I386">
            <v>9900</v>
          </cell>
          <cell r="J386">
            <v>2750</v>
          </cell>
          <cell r="K386">
            <v>1000</v>
          </cell>
          <cell r="L386">
            <v>0</v>
          </cell>
          <cell r="M386">
            <v>1600</v>
          </cell>
          <cell r="N386">
            <v>30</v>
          </cell>
          <cell r="O386">
            <v>55000</v>
          </cell>
          <cell r="P386">
            <v>1</v>
          </cell>
          <cell r="Q386">
            <v>30</v>
          </cell>
          <cell r="R386">
            <v>229.16666666666666</v>
          </cell>
          <cell r="S386">
            <v>6875</v>
          </cell>
          <cell r="T386">
            <v>77125</v>
          </cell>
          <cell r="U386">
            <v>205</v>
          </cell>
          <cell r="V386">
            <v>6600</v>
          </cell>
          <cell r="W386">
            <v>0</v>
          </cell>
          <cell r="X386">
            <v>6805</v>
          </cell>
          <cell r="Y386">
            <v>70320</v>
          </cell>
        </row>
        <row r="387">
          <cell r="A387" t="str">
            <v>EMP386</v>
          </cell>
          <cell r="B387" t="str">
            <v>Name 386</v>
          </cell>
          <cell r="C387" t="str">
            <v>Manager</v>
          </cell>
          <cell r="D387">
            <v>23</v>
          </cell>
          <cell r="E387">
            <v>43832</v>
          </cell>
          <cell r="F387" t="str">
            <v>Day</v>
          </cell>
          <cell r="G387" t="str">
            <v>Name 386@gmail.com</v>
          </cell>
          <cell r="H387">
            <v>43000</v>
          </cell>
          <cell r="I387">
            <v>7740</v>
          </cell>
          <cell r="J387">
            <v>2150</v>
          </cell>
          <cell r="K387">
            <v>1000</v>
          </cell>
          <cell r="L387">
            <v>0</v>
          </cell>
          <cell r="M387">
            <v>1600</v>
          </cell>
          <cell r="N387">
            <v>27</v>
          </cell>
          <cell r="O387">
            <v>38700</v>
          </cell>
          <cell r="P387">
            <v>1</v>
          </cell>
          <cell r="Q387">
            <v>27</v>
          </cell>
          <cell r="R387">
            <v>179.16666666666666</v>
          </cell>
          <cell r="S387">
            <v>4837.5</v>
          </cell>
          <cell r="T387">
            <v>56027.5</v>
          </cell>
          <cell r="U387">
            <v>200</v>
          </cell>
          <cell r="V387">
            <v>5160</v>
          </cell>
          <cell r="W387">
            <v>0</v>
          </cell>
          <cell r="X387">
            <v>5360</v>
          </cell>
          <cell r="Y387">
            <v>50667.5</v>
          </cell>
        </row>
        <row r="388">
          <cell r="A388" t="str">
            <v>EMP387</v>
          </cell>
          <cell r="B388" t="str">
            <v>Name 387</v>
          </cell>
          <cell r="C388" t="str">
            <v>Clerk</v>
          </cell>
          <cell r="D388">
            <v>34</v>
          </cell>
          <cell r="E388">
            <v>43833</v>
          </cell>
          <cell r="F388" t="str">
            <v>Day</v>
          </cell>
          <cell r="G388" t="str">
            <v>Name 387@gmail.com</v>
          </cell>
          <cell r="H388">
            <v>25000</v>
          </cell>
          <cell r="I388">
            <v>4500</v>
          </cell>
          <cell r="J388">
            <v>1250</v>
          </cell>
          <cell r="K388">
            <v>1000</v>
          </cell>
          <cell r="L388">
            <v>0</v>
          </cell>
          <cell r="M388">
            <v>1600</v>
          </cell>
          <cell r="N388">
            <v>30</v>
          </cell>
          <cell r="O388">
            <v>25000</v>
          </cell>
          <cell r="P388">
            <v>0</v>
          </cell>
          <cell r="Q388">
            <v>0</v>
          </cell>
          <cell r="R388">
            <v>104.16666666666667</v>
          </cell>
          <cell r="S388">
            <v>0</v>
          </cell>
          <cell r="T388">
            <v>33350</v>
          </cell>
          <cell r="U388">
            <v>200</v>
          </cell>
          <cell r="V388">
            <v>3000</v>
          </cell>
          <cell r="W388">
            <v>0</v>
          </cell>
          <cell r="X388">
            <v>3200</v>
          </cell>
          <cell r="Y388">
            <v>30150</v>
          </cell>
        </row>
        <row r="389">
          <cell r="A389" t="str">
            <v>EMP388</v>
          </cell>
          <cell r="B389" t="str">
            <v>Name 388</v>
          </cell>
          <cell r="C389" t="str">
            <v>Accountant</v>
          </cell>
          <cell r="D389">
            <v>45</v>
          </cell>
          <cell r="E389">
            <v>43834</v>
          </cell>
          <cell r="F389" t="str">
            <v>Day</v>
          </cell>
          <cell r="G389" t="str">
            <v>Name 388@gmail.com</v>
          </cell>
          <cell r="H389">
            <v>28000</v>
          </cell>
          <cell r="I389">
            <v>5040</v>
          </cell>
          <cell r="J389">
            <v>1400</v>
          </cell>
          <cell r="K389">
            <v>1000</v>
          </cell>
          <cell r="L389">
            <v>0</v>
          </cell>
          <cell r="M389">
            <v>1600</v>
          </cell>
          <cell r="N389">
            <v>20</v>
          </cell>
          <cell r="O389">
            <v>18666.666666666668</v>
          </cell>
          <cell r="P389">
            <v>0</v>
          </cell>
          <cell r="Q389">
            <v>0</v>
          </cell>
          <cell r="R389">
            <v>116.66666666666667</v>
          </cell>
          <cell r="S389">
            <v>0</v>
          </cell>
          <cell r="T389">
            <v>27706.666666666668</v>
          </cell>
          <cell r="U389">
            <v>200</v>
          </cell>
          <cell r="V389">
            <v>3360</v>
          </cell>
          <cell r="W389">
            <v>0</v>
          </cell>
          <cell r="X389">
            <v>3560</v>
          </cell>
          <cell r="Y389">
            <v>24146.666666666668</v>
          </cell>
        </row>
        <row r="390">
          <cell r="A390" t="str">
            <v>EMP389</v>
          </cell>
          <cell r="B390" t="str">
            <v>Name 389</v>
          </cell>
          <cell r="C390" t="str">
            <v>Manager</v>
          </cell>
          <cell r="D390">
            <v>54</v>
          </cell>
          <cell r="E390">
            <v>43835</v>
          </cell>
          <cell r="F390" t="str">
            <v>Day</v>
          </cell>
          <cell r="G390" t="str">
            <v>Name 389@gmail.com</v>
          </cell>
          <cell r="H390">
            <v>40000</v>
          </cell>
          <cell r="I390">
            <v>7200</v>
          </cell>
          <cell r="J390">
            <v>2000</v>
          </cell>
          <cell r="K390">
            <v>1000</v>
          </cell>
          <cell r="L390">
            <v>0</v>
          </cell>
          <cell r="M390">
            <v>1600</v>
          </cell>
          <cell r="N390">
            <v>28</v>
          </cell>
          <cell r="O390">
            <v>37333.333333333328</v>
          </cell>
          <cell r="P390">
            <v>2</v>
          </cell>
          <cell r="Q390">
            <v>56</v>
          </cell>
          <cell r="R390">
            <v>166.66666666666666</v>
          </cell>
          <cell r="S390">
            <v>9333.3333333333321</v>
          </cell>
          <cell r="T390">
            <v>58466.666666666657</v>
          </cell>
          <cell r="U390">
            <v>200</v>
          </cell>
          <cell r="V390">
            <v>4800</v>
          </cell>
          <cell r="W390">
            <v>0</v>
          </cell>
          <cell r="X390">
            <v>5000</v>
          </cell>
          <cell r="Y390">
            <v>53466.666666666657</v>
          </cell>
        </row>
        <row r="391">
          <cell r="A391" t="str">
            <v>EMP390</v>
          </cell>
          <cell r="B391" t="str">
            <v>Name 390</v>
          </cell>
          <cell r="C391" t="str">
            <v>Manager</v>
          </cell>
          <cell r="D391">
            <v>56</v>
          </cell>
          <cell r="E391">
            <v>43836</v>
          </cell>
          <cell r="F391" t="str">
            <v>Day</v>
          </cell>
          <cell r="G391" t="str">
            <v>Name 390@gmail.com</v>
          </cell>
          <cell r="H391">
            <v>32000</v>
          </cell>
          <cell r="I391">
            <v>5760</v>
          </cell>
          <cell r="J391">
            <v>1600</v>
          </cell>
          <cell r="K391">
            <v>1000</v>
          </cell>
          <cell r="L391">
            <v>0</v>
          </cell>
          <cell r="M391">
            <v>1600</v>
          </cell>
          <cell r="N391">
            <v>30</v>
          </cell>
          <cell r="O391">
            <v>32000.000000000004</v>
          </cell>
          <cell r="P391">
            <v>1</v>
          </cell>
          <cell r="Q391">
            <v>30</v>
          </cell>
          <cell r="R391">
            <v>133.33333333333334</v>
          </cell>
          <cell r="S391">
            <v>4000.0000000000005</v>
          </cell>
          <cell r="T391">
            <v>45960</v>
          </cell>
          <cell r="U391">
            <v>200</v>
          </cell>
          <cell r="V391">
            <v>3840</v>
          </cell>
          <cell r="W391">
            <v>5000</v>
          </cell>
          <cell r="X391">
            <v>9040</v>
          </cell>
          <cell r="Y391">
            <v>36920</v>
          </cell>
        </row>
        <row r="392">
          <cell r="A392" t="str">
            <v>EMP391</v>
          </cell>
          <cell r="B392" t="str">
            <v>Name 391</v>
          </cell>
          <cell r="C392" t="str">
            <v>Clerk</v>
          </cell>
          <cell r="D392">
            <v>54</v>
          </cell>
          <cell r="E392">
            <v>43837</v>
          </cell>
          <cell r="F392" t="str">
            <v>Day</v>
          </cell>
          <cell r="G392" t="str">
            <v>Name 391@gmail.com</v>
          </cell>
          <cell r="H392">
            <v>28000</v>
          </cell>
          <cell r="I392">
            <v>5040</v>
          </cell>
          <cell r="J392">
            <v>1400</v>
          </cell>
          <cell r="K392">
            <v>1000</v>
          </cell>
          <cell r="L392">
            <v>0</v>
          </cell>
          <cell r="M392">
            <v>1600</v>
          </cell>
          <cell r="N392">
            <v>29</v>
          </cell>
          <cell r="O392">
            <v>27066.666666666668</v>
          </cell>
          <cell r="P392">
            <v>1</v>
          </cell>
          <cell r="Q392">
            <v>29</v>
          </cell>
          <cell r="R392">
            <v>116.66666666666667</v>
          </cell>
          <cell r="S392">
            <v>3383.3333333333335</v>
          </cell>
          <cell r="T392">
            <v>39490.000000000007</v>
          </cell>
          <cell r="U392">
            <v>200</v>
          </cell>
          <cell r="V392">
            <v>3360</v>
          </cell>
          <cell r="W392">
            <v>0</v>
          </cell>
          <cell r="X392">
            <v>3560</v>
          </cell>
          <cell r="Y392">
            <v>35930.000000000007</v>
          </cell>
        </row>
        <row r="393">
          <cell r="A393" t="str">
            <v>EMP392</v>
          </cell>
          <cell r="B393" t="str">
            <v>Name 392</v>
          </cell>
          <cell r="C393" t="str">
            <v>Accountant</v>
          </cell>
          <cell r="D393">
            <v>34</v>
          </cell>
          <cell r="E393">
            <v>43838</v>
          </cell>
          <cell r="F393" t="str">
            <v>Night</v>
          </cell>
          <cell r="G393" t="str">
            <v>Name 392@gmail.com</v>
          </cell>
          <cell r="H393">
            <v>44000</v>
          </cell>
          <cell r="I393">
            <v>7920</v>
          </cell>
          <cell r="J393">
            <v>2200</v>
          </cell>
          <cell r="K393">
            <v>1000</v>
          </cell>
          <cell r="L393">
            <v>0</v>
          </cell>
          <cell r="M393">
            <v>1600</v>
          </cell>
          <cell r="N393">
            <v>28</v>
          </cell>
          <cell r="O393">
            <v>41066.666666666672</v>
          </cell>
          <cell r="P393">
            <v>1</v>
          </cell>
          <cell r="Q393">
            <v>28</v>
          </cell>
          <cell r="R393">
            <v>183.33333333333334</v>
          </cell>
          <cell r="S393">
            <v>5133.3333333333339</v>
          </cell>
          <cell r="T393">
            <v>58920.000000000007</v>
          </cell>
          <cell r="U393">
            <v>200</v>
          </cell>
          <cell r="V393">
            <v>5280</v>
          </cell>
          <cell r="W393">
            <v>0</v>
          </cell>
          <cell r="X393">
            <v>5480</v>
          </cell>
          <cell r="Y393">
            <v>53440.000000000007</v>
          </cell>
        </row>
        <row r="394">
          <cell r="A394" t="str">
            <v>EMP393</v>
          </cell>
          <cell r="B394" t="str">
            <v>Name 393</v>
          </cell>
          <cell r="C394" t="str">
            <v>Manager</v>
          </cell>
          <cell r="D394">
            <v>23</v>
          </cell>
          <cell r="E394">
            <v>43839</v>
          </cell>
          <cell r="F394" t="str">
            <v>Day</v>
          </cell>
          <cell r="G394" t="str">
            <v>Name 393@gmail.com</v>
          </cell>
          <cell r="H394">
            <v>25000</v>
          </cell>
          <cell r="I394">
            <v>4500</v>
          </cell>
          <cell r="J394">
            <v>1250</v>
          </cell>
          <cell r="K394">
            <v>1000</v>
          </cell>
          <cell r="L394">
            <v>0</v>
          </cell>
          <cell r="M394">
            <v>1600</v>
          </cell>
          <cell r="N394">
            <v>27</v>
          </cell>
          <cell r="O394">
            <v>22500</v>
          </cell>
          <cell r="P394">
            <v>1</v>
          </cell>
          <cell r="Q394">
            <v>27</v>
          </cell>
          <cell r="R394">
            <v>104.16666666666667</v>
          </cell>
          <cell r="S394">
            <v>2812.5</v>
          </cell>
          <cell r="T394">
            <v>33662.5</v>
          </cell>
          <cell r="U394">
            <v>200</v>
          </cell>
          <cell r="V394">
            <v>3000</v>
          </cell>
          <cell r="W394">
            <v>0</v>
          </cell>
          <cell r="X394">
            <v>3200</v>
          </cell>
          <cell r="Y394">
            <v>30462.5</v>
          </cell>
        </row>
        <row r="395">
          <cell r="A395" t="str">
            <v>EMP394</v>
          </cell>
          <cell r="B395" t="str">
            <v>Name 394</v>
          </cell>
          <cell r="C395" t="str">
            <v>Accountant</v>
          </cell>
          <cell r="D395">
            <v>34</v>
          </cell>
          <cell r="E395">
            <v>43840</v>
          </cell>
          <cell r="F395" t="str">
            <v>Day</v>
          </cell>
          <cell r="G395" t="str">
            <v>Name 394@gmail.com</v>
          </cell>
          <cell r="H395">
            <v>50000</v>
          </cell>
          <cell r="I395">
            <v>9000</v>
          </cell>
          <cell r="J395">
            <v>2500</v>
          </cell>
          <cell r="K395">
            <v>1000</v>
          </cell>
          <cell r="L395">
            <v>0</v>
          </cell>
          <cell r="M395">
            <v>1600</v>
          </cell>
          <cell r="N395">
            <v>27</v>
          </cell>
          <cell r="O395">
            <v>45000</v>
          </cell>
          <cell r="P395">
            <v>3</v>
          </cell>
          <cell r="Q395">
            <v>81</v>
          </cell>
          <cell r="R395">
            <v>208.33333333333334</v>
          </cell>
          <cell r="S395">
            <v>16875</v>
          </cell>
          <cell r="T395">
            <v>75975</v>
          </cell>
          <cell r="U395">
            <v>201</v>
          </cell>
          <cell r="V395">
            <v>6000</v>
          </cell>
          <cell r="W395">
            <v>0</v>
          </cell>
          <cell r="X395">
            <v>6201</v>
          </cell>
          <cell r="Y395">
            <v>69774</v>
          </cell>
        </row>
        <row r="396">
          <cell r="A396" t="str">
            <v>EMP395</v>
          </cell>
          <cell r="B396" t="str">
            <v>Name 395</v>
          </cell>
          <cell r="C396" t="str">
            <v>Accountant</v>
          </cell>
          <cell r="D396">
            <v>43</v>
          </cell>
          <cell r="E396">
            <v>43841</v>
          </cell>
          <cell r="F396" t="str">
            <v>Night</v>
          </cell>
          <cell r="G396" t="str">
            <v>Name 395@gmail.com</v>
          </cell>
          <cell r="H396">
            <v>70000</v>
          </cell>
          <cell r="I396">
            <v>12600</v>
          </cell>
          <cell r="J396">
            <v>3500</v>
          </cell>
          <cell r="K396">
            <v>1000</v>
          </cell>
          <cell r="L396">
            <v>0</v>
          </cell>
          <cell r="M396">
            <v>1600</v>
          </cell>
          <cell r="N396">
            <v>27</v>
          </cell>
          <cell r="O396">
            <v>63000.000000000007</v>
          </cell>
          <cell r="P396">
            <v>1</v>
          </cell>
          <cell r="Q396">
            <v>27</v>
          </cell>
          <cell r="R396">
            <v>291.66666666666669</v>
          </cell>
          <cell r="S396">
            <v>7875.0000000000009</v>
          </cell>
          <cell r="T396">
            <v>89575</v>
          </cell>
          <cell r="U396">
            <v>202</v>
          </cell>
          <cell r="V396">
            <v>8400</v>
          </cell>
          <cell r="W396">
            <v>0</v>
          </cell>
          <cell r="X396">
            <v>8602</v>
          </cell>
          <cell r="Y396">
            <v>80973</v>
          </cell>
        </row>
        <row r="397">
          <cell r="A397" t="str">
            <v>EMP396</v>
          </cell>
          <cell r="B397" t="str">
            <v>Name 396</v>
          </cell>
          <cell r="C397" t="str">
            <v>Accountant</v>
          </cell>
          <cell r="D397">
            <v>34</v>
          </cell>
          <cell r="E397">
            <v>43842</v>
          </cell>
          <cell r="F397" t="str">
            <v>Night</v>
          </cell>
          <cell r="G397" t="str">
            <v>Name 396@gmail.com</v>
          </cell>
          <cell r="H397">
            <v>34000</v>
          </cell>
          <cell r="I397">
            <v>6120</v>
          </cell>
          <cell r="J397">
            <v>1700</v>
          </cell>
          <cell r="K397">
            <v>1000</v>
          </cell>
          <cell r="L397">
            <v>2000</v>
          </cell>
          <cell r="M397">
            <v>1600</v>
          </cell>
          <cell r="N397">
            <v>30</v>
          </cell>
          <cell r="O397">
            <v>34000</v>
          </cell>
          <cell r="P397">
            <v>2</v>
          </cell>
          <cell r="Q397">
            <v>60</v>
          </cell>
          <cell r="R397">
            <v>141.66666666666666</v>
          </cell>
          <cell r="S397">
            <v>8500</v>
          </cell>
          <cell r="T397">
            <v>54920</v>
          </cell>
          <cell r="U397">
            <v>203</v>
          </cell>
          <cell r="V397">
            <v>4080</v>
          </cell>
          <cell r="W397">
            <v>0</v>
          </cell>
          <cell r="X397">
            <v>4283</v>
          </cell>
          <cell r="Y397">
            <v>50637</v>
          </cell>
        </row>
        <row r="398">
          <cell r="A398" t="str">
            <v>EMP397</v>
          </cell>
          <cell r="B398" t="str">
            <v>Name 397</v>
          </cell>
          <cell r="C398" t="str">
            <v>Accountant</v>
          </cell>
          <cell r="D398">
            <v>43</v>
          </cell>
          <cell r="E398">
            <v>43843</v>
          </cell>
          <cell r="F398" t="str">
            <v>Night</v>
          </cell>
          <cell r="G398" t="str">
            <v>Name 397@gmail.com</v>
          </cell>
          <cell r="H398">
            <v>45000</v>
          </cell>
          <cell r="I398">
            <v>8100</v>
          </cell>
          <cell r="J398">
            <v>2250</v>
          </cell>
          <cell r="K398">
            <v>1000</v>
          </cell>
          <cell r="L398">
            <v>5000</v>
          </cell>
          <cell r="M398">
            <v>1600</v>
          </cell>
          <cell r="N398">
            <v>30</v>
          </cell>
          <cell r="O398">
            <v>45000</v>
          </cell>
          <cell r="P398">
            <v>0</v>
          </cell>
          <cell r="Q398">
            <v>0</v>
          </cell>
          <cell r="R398">
            <v>187.5</v>
          </cell>
          <cell r="S398">
            <v>0</v>
          </cell>
          <cell r="T398">
            <v>62950</v>
          </cell>
          <cell r="U398">
            <v>204</v>
          </cell>
          <cell r="V398">
            <v>5400</v>
          </cell>
          <cell r="W398">
            <v>4000</v>
          </cell>
          <cell r="X398">
            <v>9604</v>
          </cell>
          <cell r="Y398">
            <v>53346</v>
          </cell>
        </row>
        <row r="399">
          <cell r="A399" t="str">
            <v>EMP398</v>
          </cell>
          <cell r="B399" t="str">
            <v>Name 398</v>
          </cell>
          <cell r="C399" t="str">
            <v>Accountant</v>
          </cell>
          <cell r="D399">
            <v>23</v>
          </cell>
          <cell r="E399">
            <v>43844</v>
          </cell>
          <cell r="F399" t="str">
            <v>Night</v>
          </cell>
          <cell r="G399" t="str">
            <v>Name 398@gmail.com</v>
          </cell>
          <cell r="H399">
            <v>55000</v>
          </cell>
          <cell r="I399">
            <v>9900</v>
          </cell>
          <cell r="J399">
            <v>2750</v>
          </cell>
          <cell r="K399">
            <v>1000</v>
          </cell>
          <cell r="L399">
            <v>0</v>
          </cell>
          <cell r="M399">
            <v>1600</v>
          </cell>
          <cell r="N399">
            <v>30</v>
          </cell>
          <cell r="O399">
            <v>55000</v>
          </cell>
          <cell r="P399">
            <v>1</v>
          </cell>
          <cell r="Q399">
            <v>30</v>
          </cell>
          <cell r="R399">
            <v>229.16666666666666</v>
          </cell>
          <cell r="S399">
            <v>6875</v>
          </cell>
          <cell r="T399">
            <v>77125</v>
          </cell>
          <cell r="U399">
            <v>205</v>
          </cell>
          <cell r="V399">
            <v>6600</v>
          </cell>
          <cell r="W399">
            <v>0</v>
          </cell>
          <cell r="X399">
            <v>6805</v>
          </cell>
          <cell r="Y399">
            <v>70320</v>
          </cell>
        </row>
        <row r="400">
          <cell r="A400" t="str">
            <v>EMP399</v>
          </cell>
          <cell r="B400" t="str">
            <v>Name 399</v>
          </cell>
          <cell r="C400" t="str">
            <v>Manager</v>
          </cell>
          <cell r="D400">
            <v>34</v>
          </cell>
          <cell r="E400">
            <v>43845</v>
          </cell>
          <cell r="F400" t="str">
            <v>Day</v>
          </cell>
          <cell r="G400" t="str">
            <v>Name 399@gmail.com</v>
          </cell>
          <cell r="H400">
            <v>43000</v>
          </cell>
          <cell r="I400">
            <v>7740</v>
          </cell>
          <cell r="J400">
            <v>2150</v>
          </cell>
          <cell r="K400">
            <v>1000</v>
          </cell>
          <cell r="L400">
            <v>0</v>
          </cell>
          <cell r="M400">
            <v>1600</v>
          </cell>
          <cell r="N400">
            <v>27</v>
          </cell>
          <cell r="O400">
            <v>38700</v>
          </cell>
          <cell r="P400">
            <v>1</v>
          </cell>
          <cell r="Q400">
            <v>27</v>
          </cell>
          <cell r="R400">
            <v>179.16666666666666</v>
          </cell>
          <cell r="S400">
            <v>4837.5</v>
          </cell>
          <cell r="T400">
            <v>56027.5</v>
          </cell>
          <cell r="U400">
            <v>200</v>
          </cell>
          <cell r="V400">
            <v>5160</v>
          </cell>
          <cell r="W400">
            <v>0</v>
          </cell>
          <cell r="X400">
            <v>5360</v>
          </cell>
          <cell r="Y400">
            <v>50667.5</v>
          </cell>
        </row>
        <row r="401">
          <cell r="A401" t="str">
            <v>EMP400</v>
          </cell>
          <cell r="B401" t="str">
            <v>Name 400</v>
          </cell>
          <cell r="C401" t="str">
            <v>Clerk</v>
          </cell>
          <cell r="D401">
            <v>23</v>
          </cell>
          <cell r="E401">
            <v>43846</v>
          </cell>
          <cell r="F401" t="str">
            <v>Day</v>
          </cell>
          <cell r="G401" t="str">
            <v>Name 400@gmail.com</v>
          </cell>
          <cell r="H401">
            <v>25000</v>
          </cell>
          <cell r="I401">
            <v>4500</v>
          </cell>
          <cell r="J401">
            <v>1250</v>
          </cell>
          <cell r="K401">
            <v>1000</v>
          </cell>
          <cell r="L401">
            <v>0</v>
          </cell>
          <cell r="M401">
            <v>1600</v>
          </cell>
          <cell r="N401">
            <v>30</v>
          </cell>
          <cell r="O401">
            <v>25000</v>
          </cell>
          <cell r="P401">
            <v>0</v>
          </cell>
          <cell r="Q401">
            <v>0</v>
          </cell>
          <cell r="R401">
            <v>104.16666666666667</v>
          </cell>
          <cell r="S401">
            <v>0</v>
          </cell>
          <cell r="T401">
            <v>33350</v>
          </cell>
          <cell r="U401">
            <v>200</v>
          </cell>
          <cell r="V401">
            <v>3000</v>
          </cell>
          <cell r="W401">
            <v>0</v>
          </cell>
          <cell r="X401">
            <v>3200</v>
          </cell>
          <cell r="Y401">
            <v>30150</v>
          </cell>
        </row>
        <row r="402">
          <cell r="A402" t="str">
            <v>EMP401</v>
          </cell>
          <cell r="B402" t="str">
            <v>Name 401</v>
          </cell>
          <cell r="C402" t="str">
            <v>Accountant</v>
          </cell>
          <cell r="D402">
            <v>34</v>
          </cell>
          <cell r="E402">
            <v>43847</v>
          </cell>
          <cell r="F402" t="str">
            <v>Day</v>
          </cell>
          <cell r="G402" t="str">
            <v>Name 401@gmail.com</v>
          </cell>
          <cell r="H402">
            <v>28000</v>
          </cell>
          <cell r="I402">
            <v>5040</v>
          </cell>
          <cell r="J402">
            <v>1400</v>
          </cell>
          <cell r="K402">
            <v>1000</v>
          </cell>
          <cell r="L402">
            <v>0</v>
          </cell>
          <cell r="M402">
            <v>1600</v>
          </cell>
          <cell r="N402">
            <v>20</v>
          </cell>
          <cell r="O402">
            <v>18666.666666666668</v>
          </cell>
          <cell r="P402">
            <v>0</v>
          </cell>
          <cell r="Q402">
            <v>0</v>
          </cell>
          <cell r="R402">
            <v>116.66666666666667</v>
          </cell>
          <cell r="S402">
            <v>0</v>
          </cell>
          <cell r="T402">
            <v>27706.666666666668</v>
          </cell>
          <cell r="U402">
            <v>200</v>
          </cell>
          <cell r="V402">
            <v>3360</v>
          </cell>
          <cell r="W402">
            <v>0</v>
          </cell>
          <cell r="X402">
            <v>3560</v>
          </cell>
          <cell r="Y402">
            <v>24146.666666666668</v>
          </cell>
        </row>
        <row r="403">
          <cell r="A403" t="str">
            <v>EMP402</v>
          </cell>
          <cell r="B403" t="str">
            <v>Name 402</v>
          </cell>
          <cell r="C403" t="str">
            <v>Manager</v>
          </cell>
          <cell r="D403">
            <v>23</v>
          </cell>
          <cell r="E403">
            <v>43848</v>
          </cell>
          <cell r="F403" t="str">
            <v>Day</v>
          </cell>
          <cell r="G403" t="str">
            <v>Name 402@gmail.com</v>
          </cell>
          <cell r="H403">
            <v>40000</v>
          </cell>
          <cell r="I403">
            <v>7200</v>
          </cell>
          <cell r="J403">
            <v>2000</v>
          </cell>
          <cell r="K403">
            <v>1000</v>
          </cell>
          <cell r="L403">
            <v>0</v>
          </cell>
          <cell r="M403">
            <v>1600</v>
          </cell>
          <cell r="N403">
            <v>28</v>
          </cell>
          <cell r="O403">
            <v>37333.333333333328</v>
          </cell>
          <cell r="P403">
            <v>2</v>
          </cell>
          <cell r="Q403">
            <v>56</v>
          </cell>
          <cell r="R403">
            <v>166.66666666666666</v>
          </cell>
          <cell r="S403">
            <v>9333.3333333333321</v>
          </cell>
          <cell r="T403">
            <v>58466.666666666657</v>
          </cell>
          <cell r="U403">
            <v>200</v>
          </cell>
          <cell r="V403">
            <v>4800</v>
          </cell>
          <cell r="W403">
            <v>0</v>
          </cell>
          <cell r="X403">
            <v>5000</v>
          </cell>
          <cell r="Y403">
            <v>53466.666666666657</v>
          </cell>
        </row>
        <row r="404">
          <cell r="A404" t="str">
            <v>EMP403</v>
          </cell>
          <cell r="B404" t="str">
            <v>Name 403</v>
          </cell>
          <cell r="C404" t="str">
            <v>Manager</v>
          </cell>
          <cell r="D404">
            <v>34</v>
          </cell>
          <cell r="E404">
            <v>43849</v>
          </cell>
          <cell r="F404" t="str">
            <v>Day</v>
          </cell>
          <cell r="G404" t="str">
            <v>Name 403@gmail.com</v>
          </cell>
          <cell r="H404">
            <v>32000</v>
          </cell>
          <cell r="I404">
            <v>5760</v>
          </cell>
          <cell r="J404">
            <v>1600</v>
          </cell>
          <cell r="K404">
            <v>1000</v>
          </cell>
          <cell r="L404">
            <v>0</v>
          </cell>
          <cell r="M404">
            <v>1600</v>
          </cell>
          <cell r="N404">
            <v>30</v>
          </cell>
          <cell r="O404">
            <v>32000.000000000004</v>
          </cell>
          <cell r="P404">
            <v>1</v>
          </cell>
          <cell r="Q404">
            <v>30</v>
          </cell>
          <cell r="R404">
            <v>133.33333333333334</v>
          </cell>
          <cell r="S404">
            <v>4000.0000000000005</v>
          </cell>
          <cell r="T404">
            <v>45960</v>
          </cell>
          <cell r="U404">
            <v>200</v>
          </cell>
          <cell r="V404">
            <v>3840</v>
          </cell>
          <cell r="W404">
            <v>5000</v>
          </cell>
          <cell r="X404">
            <v>9040</v>
          </cell>
          <cell r="Y404">
            <v>36920</v>
          </cell>
        </row>
        <row r="405">
          <cell r="A405" t="str">
            <v>EMP404</v>
          </cell>
          <cell r="B405" t="str">
            <v>Name 404</v>
          </cell>
          <cell r="C405" t="str">
            <v>Clerk</v>
          </cell>
          <cell r="D405">
            <v>45</v>
          </cell>
          <cell r="E405">
            <v>43850</v>
          </cell>
          <cell r="F405" t="str">
            <v>Day</v>
          </cell>
          <cell r="G405" t="str">
            <v>Name 404@gmail.com</v>
          </cell>
          <cell r="H405">
            <v>28000</v>
          </cell>
          <cell r="I405">
            <v>5040</v>
          </cell>
          <cell r="J405">
            <v>1400</v>
          </cell>
          <cell r="K405">
            <v>1000</v>
          </cell>
          <cell r="L405">
            <v>0</v>
          </cell>
          <cell r="M405">
            <v>1600</v>
          </cell>
          <cell r="N405">
            <v>29</v>
          </cell>
          <cell r="O405">
            <v>27066.666666666668</v>
          </cell>
          <cell r="P405">
            <v>1</v>
          </cell>
          <cell r="Q405">
            <v>29</v>
          </cell>
          <cell r="R405">
            <v>116.66666666666667</v>
          </cell>
          <cell r="S405">
            <v>3383.3333333333335</v>
          </cell>
          <cell r="T405">
            <v>39490.000000000007</v>
          </cell>
          <cell r="U405">
            <v>200</v>
          </cell>
          <cell r="V405">
            <v>3360</v>
          </cell>
          <cell r="W405">
            <v>0</v>
          </cell>
          <cell r="X405">
            <v>3560</v>
          </cell>
          <cell r="Y405">
            <v>35930.000000000007</v>
          </cell>
        </row>
        <row r="406">
          <cell r="A406" t="str">
            <v>EMP405</v>
          </cell>
          <cell r="B406" t="str">
            <v>Name 405</v>
          </cell>
          <cell r="C406" t="str">
            <v>Accountant</v>
          </cell>
          <cell r="D406">
            <v>54</v>
          </cell>
          <cell r="E406">
            <v>43851</v>
          </cell>
          <cell r="F406" t="str">
            <v>Night</v>
          </cell>
          <cell r="G406" t="str">
            <v>Name 405@gmail.com</v>
          </cell>
          <cell r="H406">
            <v>44000</v>
          </cell>
          <cell r="I406">
            <v>7920</v>
          </cell>
          <cell r="J406">
            <v>2200</v>
          </cell>
          <cell r="K406">
            <v>1000</v>
          </cell>
          <cell r="L406">
            <v>0</v>
          </cell>
          <cell r="M406">
            <v>1600</v>
          </cell>
          <cell r="N406">
            <v>28</v>
          </cell>
          <cell r="O406">
            <v>41066.666666666672</v>
          </cell>
          <cell r="P406">
            <v>1</v>
          </cell>
          <cell r="Q406">
            <v>28</v>
          </cell>
          <cell r="R406">
            <v>183.33333333333334</v>
          </cell>
          <cell r="S406">
            <v>5133.3333333333339</v>
          </cell>
          <cell r="T406">
            <v>58920.000000000007</v>
          </cell>
          <cell r="U406">
            <v>200</v>
          </cell>
          <cell r="V406">
            <v>5280</v>
          </cell>
          <cell r="W406">
            <v>0</v>
          </cell>
          <cell r="X406">
            <v>5480</v>
          </cell>
          <cell r="Y406">
            <v>53440.000000000007</v>
          </cell>
        </row>
        <row r="407">
          <cell r="A407" t="str">
            <v>EMP406</v>
          </cell>
          <cell r="B407" t="str">
            <v>Name 406</v>
          </cell>
          <cell r="C407" t="str">
            <v>Manager</v>
          </cell>
          <cell r="D407">
            <v>56</v>
          </cell>
          <cell r="E407">
            <v>43852</v>
          </cell>
          <cell r="F407" t="str">
            <v>Day</v>
          </cell>
          <cell r="G407" t="str">
            <v>Name 406@gmail.com</v>
          </cell>
          <cell r="H407">
            <v>25000</v>
          </cell>
          <cell r="I407">
            <v>4500</v>
          </cell>
          <cell r="J407">
            <v>1250</v>
          </cell>
          <cell r="K407">
            <v>1000</v>
          </cell>
          <cell r="L407">
            <v>0</v>
          </cell>
          <cell r="M407">
            <v>1600</v>
          </cell>
          <cell r="N407">
            <v>27</v>
          </cell>
          <cell r="O407">
            <v>22500</v>
          </cell>
          <cell r="P407">
            <v>1</v>
          </cell>
          <cell r="Q407">
            <v>27</v>
          </cell>
          <cell r="R407">
            <v>104.16666666666667</v>
          </cell>
          <cell r="S407">
            <v>2812.5</v>
          </cell>
          <cell r="T407">
            <v>33662.5</v>
          </cell>
          <cell r="U407">
            <v>200</v>
          </cell>
          <cell r="V407">
            <v>3000</v>
          </cell>
          <cell r="W407">
            <v>0</v>
          </cell>
          <cell r="X407">
            <v>3200</v>
          </cell>
          <cell r="Y407">
            <v>30462.5</v>
          </cell>
        </row>
        <row r="408">
          <cell r="A408" t="str">
            <v>EMP407</v>
          </cell>
          <cell r="B408" t="str">
            <v>Name 407</v>
          </cell>
          <cell r="C408" t="str">
            <v>Accountant</v>
          </cell>
          <cell r="D408">
            <v>54</v>
          </cell>
          <cell r="E408">
            <v>43853</v>
          </cell>
          <cell r="F408" t="str">
            <v>Day</v>
          </cell>
          <cell r="G408" t="str">
            <v>Name 407@gmail.com</v>
          </cell>
          <cell r="H408">
            <v>50000</v>
          </cell>
          <cell r="I408">
            <v>9000</v>
          </cell>
          <cell r="J408">
            <v>2500</v>
          </cell>
          <cell r="K408">
            <v>1000</v>
          </cell>
          <cell r="L408">
            <v>0</v>
          </cell>
          <cell r="M408">
            <v>1600</v>
          </cell>
          <cell r="N408">
            <v>27</v>
          </cell>
          <cell r="O408">
            <v>45000</v>
          </cell>
          <cell r="P408">
            <v>3</v>
          </cell>
          <cell r="Q408">
            <v>81</v>
          </cell>
          <cell r="R408">
            <v>208.33333333333334</v>
          </cell>
          <cell r="S408">
            <v>16875</v>
          </cell>
          <cell r="T408">
            <v>75975</v>
          </cell>
          <cell r="U408">
            <v>201</v>
          </cell>
          <cell r="V408">
            <v>6000</v>
          </cell>
          <cell r="W408">
            <v>0</v>
          </cell>
          <cell r="X408">
            <v>6201</v>
          </cell>
          <cell r="Y408">
            <v>69774</v>
          </cell>
        </row>
        <row r="409">
          <cell r="A409" t="str">
            <v>EMP408</v>
          </cell>
          <cell r="B409" t="str">
            <v>Name 408</v>
          </cell>
          <cell r="C409" t="str">
            <v>Accountant</v>
          </cell>
          <cell r="D409">
            <v>34</v>
          </cell>
          <cell r="E409">
            <v>43854</v>
          </cell>
          <cell r="F409" t="str">
            <v>Night</v>
          </cell>
          <cell r="G409" t="str">
            <v>Name 408@gmail.com</v>
          </cell>
          <cell r="H409">
            <v>70000</v>
          </cell>
          <cell r="I409">
            <v>12600</v>
          </cell>
          <cell r="J409">
            <v>3500</v>
          </cell>
          <cell r="K409">
            <v>1000</v>
          </cell>
          <cell r="L409">
            <v>0</v>
          </cell>
          <cell r="M409">
            <v>1600</v>
          </cell>
          <cell r="N409">
            <v>27</v>
          </cell>
          <cell r="O409">
            <v>63000.000000000007</v>
          </cell>
          <cell r="P409">
            <v>1</v>
          </cell>
          <cell r="Q409">
            <v>27</v>
          </cell>
          <cell r="R409">
            <v>291.66666666666669</v>
          </cell>
          <cell r="S409">
            <v>7875.0000000000009</v>
          </cell>
          <cell r="T409">
            <v>89575</v>
          </cell>
          <cell r="U409">
            <v>202</v>
          </cell>
          <cell r="V409">
            <v>8400</v>
          </cell>
          <cell r="W409">
            <v>0</v>
          </cell>
          <cell r="X409">
            <v>8602</v>
          </cell>
          <cell r="Y409">
            <v>80973</v>
          </cell>
        </row>
        <row r="410">
          <cell r="A410" t="str">
            <v>EMP409</v>
          </cell>
          <cell r="B410" t="str">
            <v>Name 409</v>
          </cell>
          <cell r="C410" t="str">
            <v>Accountant</v>
          </cell>
          <cell r="D410">
            <v>23</v>
          </cell>
          <cell r="E410">
            <v>43831</v>
          </cell>
          <cell r="F410" t="str">
            <v>Night</v>
          </cell>
          <cell r="G410" t="str">
            <v>Name 409@gmail.com</v>
          </cell>
          <cell r="H410">
            <v>34000</v>
          </cell>
          <cell r="I410">
            <v>6120</v>
          </cell>
          <cell r="J410">
            <v>1700</v>
          </cell>
          <cell r="K410">
            <v>1000</v>
          </cell>
          <cell r="L410">
            <v>2000</v>
          </cell>
          <cell r="M410">
            <v>1600</v>
          </cell>
          <cell r="N410">
            <v>30</v>
          </cell>
          <cell r="O410">
            <v>34000</v>
          </cell>
          <cell r="P410">
            <v>2</v>
          </cell>
          <cell r="Q410">
            <v>60</v>
          </cell>
          <cell r="R410">
            <v>141.66666666666666</v>
          </cell>
          <cell r="S410">
            <v>8500</v>
          </cell>
          <cell r="T410">
            <v>54920</v>
          </cell>
          <cell r="U410">
            <v>203</v>
          </cell>
          <cell r="V410">
            <v>4080</v>
          </cell>
          <cell r="W410">
            <v>0</v>
          </cell>
          <cell r="X410">
            <v>4283</v>
          </cell>
          <cell r="Y410">
            <v>50637</v>
          </cell>
        </row>
        <row r="411">
          <cell r="A411" t="str">
            <v>EMP410</v>
          </cell>
          <cell r="B411" t="str">
            <v>Name 410</v>
          </cell>
          <cell r="C411" t="str">
            <v>Accountant</v>
          </cell>
          <cell r="D411">
            <v>34</v>
          </cell>
          <cell r="E411">
            <v>43832</v>
          </cell>
          <cell r="F411" t="str">
            <v>Night</v>
          </cell>
          <cell r="G411" t="str">
            <v>Name 410@gmail.com</v>
          </cell>
          <cell r="H411">
            <v>45000</v>
          </cell>
          <cell r="I411">
            <v>8100</v>
          </cell>
          <cell r="J411">
            <v>2250</v>
          </cell>
          <cell r="K411">
            <v>1000</v>
          </cell>
          <cell r="L411">
            <v>5000</v>
          </cell>
          <cell r="M411">
            <v>1600</v>
          </cell>
          <cell r="N411">
            <v>30</v>
          </cell>
          <cell r="O411">
            <v>45000</v>
          </cell>
          <cell r="P411">
            <v>0</v>
          </cell>
          <cell r="Q411">
            <v>0</v>
          </cell>
          <cell r="R411">
            <v>187.5</v>
          </cell>
          <cell r="S411">
            <v>0</v>
          </cell>
          <cell r="T411">
            <v>62950</v>
          </cell>
          <cell r="U411">
            <v>204</v>
          </cell>
          <cell r="V411">
            <v>5400</v>
          </cell>
          <cell r="W411">
            <v>4000</v>
          </cell>
          <cell r="X411">
            <v>9604</v>
          </cell>
          <cell r="Y411">
            <v>53346</v>
          </cell>
        </row>
        <row r="412">
          <cell r="A412" t="str">
            <v>EMP411</v>
          </cell>
          <cell r="B412" t="str">
            <v>Name 411</v>
          </cell>
          <cell r="C412" t="str">
            <v>Accountant</v>
          </cell>
          <cell r="D412">
            <v>43</v>
          </cell>
          <cell r="E412">
            <v>43833</v>
          </cell>
          <cell r="F412" t="str">
            <v>Night</v>
          </cell>
          <cell r="G412" t="str">
            <v>Name 411@gmail.com</v>
          </cell>
          <cell r="H412">
            <v>55000</v>
          </cell>
          <cell r="I412">
            <v>9900</v>
          </cell>
          <cell r="J412">
            <v>2750</v>
          </cell>
          <cell r="K412">
            <v>1000</v>
          </cell>
          <cell r="L412">
            <v>5000</v>
          </cell>
          <cell r="M412">
            <v>1600</v>
          </cell>
          <cell r="N412">
            <v>30</v>
          </cell>
          <cell r="O412">
            <v>55000</v>
          </cell>
          <cell r="P412">
            <v>1</v>
          </cell>
          <cell r="Q412">
            <v>30</v>
          </cell>
          <cell r="R412">
            <v>229.16666666666666</v>
          </cell>
          <cell r="S412">
            <v>6875</v>
          </cell>
          <cell r="T412">
            <v>82125</v>
          </cell>
          <cell r="U412">
            <v>205</v>
          </cell>
          <cell r="V412">
            <v>6600</v>
          </cell>
          <cell r="W412">
            <v>0</v>
          </cell>
          <cell r="X412">
            <v>6805</v>
          </cell>
          <cell r="Y412">
            <v>75320</v>
          </cell>
        </row>
        <row r="413">
          <cell r="A413" t="str">
            <v>EMP412</v>
          </cell>
          <cell r="B413" t="str">
            <v>Name 412</v>
          </cell>
          <cell r="C413" t="str">
            <v>Manager</v>
          </cell>
          <cell r="D413">
            <v>34</v>
          </cell>
          <cell r="E413">
            <v>43834</v>
          </cell>
          <cell r="F413" t="str">
            <v>Day</v>
          </cell>
          <cell r="G413" t="str">
            <v>Name 412@gmail.com</v>
          </cell>
          <cell r="H413">
            <v>43000</v>
          </cell>
          <cell r="I413">
            <v>7740</v>
          </cell>
          <cell r="J413">
            <v>2150</v>
          </cell>
          <cell r="K413">
            <v>1000</v>
          </cell>
          <cell r="L413">
            <v>5000</v>
          </cell>
          <cell r="M413">
            <v>1600</v>
          </cell>
          <cell r="N413">
            <v>27</v>
          </cell>
          <cell r="O413">
            <v>38700</v>
          </cell>
          <cell r="P413">
            <v>1</v>
          </cell>
          <cell r="Q413">
            <v>27</v>
          </cell>
          <cell r="R413">
            <v>179.16666666666666</v>
          </cell>
          <cell r="S413">
            <v>4837.5</v>
          </cell>
          <cell r="T413">
            <v>61027.5</v>
          </cell>
          <cell r="U413">
            <v>200</v>
          </cell>
          <cell r="V413">
            <v>5160</v>
          </cell>
          <cell r="W413">
            <v>0</v>
          </cell>
          <cell r="X413">
            <v>5360</v>
          </cell>
          <cell r="Y413">
            <v>55667.5</v>
          </cell>
        </row>
        <row r="414">
          <cell r="A414" t="str">
            <v>EMP413</v>
          </cell>
          <cell r="B414" t="str">
            <v>Name 413</v>
          </cell>
          <cell r="C414" t="str">
            <v>Clerk</v>
          </cell>
          <cell r="D414">
            <v>43</v>
          </cell>
          <cell r="E414">
            <v>43835</v>
          </cell>
          <cell r="F414" t="str">
            <v>Day</v>
          </cell>
          <cell r="G414" t="str">
            <v>Name 413@gmail.com</v>
          </cell>
          <cell r="H414">
            <v>25000</v>
          </cell>
          <cell r="I414">
            <v>4500</v>
          </cell>
          <cell r="J414">
            <v>1250</v>
          </cell>
          <cell r="K414">
            <v>1000</v>
          </cell>
          <cell r="L414">
            <v>5000</v>
          </cell>
          <cell r="M414">
            <v>1600</v>
          </cell>
          <cell r="N414">
            <v>30</v>
          </cell>
          <cell r="O414">
            <v>25000</v>
          </cell>
          <cell r="P414">
            <v>0</v>
          </cell>
          <cell r="Q414">
            <v>0</v>
          </cell>
          <cell r="R414">
            <v>104.16666666666667</v>
          </cell>
          <cell r="S414">
            <v>0</v>
          </cell>
          <cell r="T414">
            <v>38350</v>
          </cell>
          <cell r="U414">
            <v>200</v>
          </cell>
          <cell r="V414">
            <v>3000</v>
          </cell>
          <cell r="W414">
            <v>0</v>
          </cell>
          <cell r="X414">
            <v>3200</v>
          </cell>
          <cell r="Y414">
            <v>35150</v>
          </cell>
        </row>
        <row r="415">
          <cell r="A415" t="str">
            <v>EMP414</v>
          </cell>
          <cell r="B415" t="str">
            <v>Name 414</v>
          </cell>
          <cell r="C415" t="str">
            <v>Accountant</v>
          </cell>
          <cell r="D415">
            <v>23</v>
          </cell>
          <cell r="E415">
            <v>43836</v>
          </cell>
          <cell r="F415" t="str">
            <v>Day</v>
          </cell>
          <cell r="G415" t="str">
            <v>Name 414@gmail.com</v>
          </cell>
          <cell r="H415">
            <v>28000</v>
          </cell>
          <cell r="I415">
            <v>5040</v>
          </cell>
          <cell r="J415">
            <v>1400</v>
          </cell>
          <cell r="K415">
            <v>1000</v>
          </cell>
          <cell r="L415">
            <v>5000</v>
          </cell>
          <cell r="M415">
            <v>1600</v>
          </cell>
          <cell r="N415">
            <v>20</v>
          </cell>
          <cell r="O415">
            <v>18666.666666666668</v>
          </cell>
          <cell r="P415">
            <v>0</v>
          </cell>
          <cell r="Q415">
            <v>0</v>
          </cell>
          <cell r="R415">
            <v>116.66666666666667</v>
          </cell>
          <cell r="S415">
            <v>0</v>
          </cell>
          <cell r="T415">
            <v>32706.666666666668</v>
          </cell>
          <cell r="U415">
            <v>200</v>
          </cell>
          <cell r="V415">
            <v>3360</v>
          </cell>
          <cell r="W415">
            <v>0</v>
          </cell>
          <cell r="X415">
            <v>3560</v>
          </cell>
          <cell r="Y415">
            <v>29146.666666666668</v>
          </cell>
        </row>
        <row r="416">
          <cell r="A416" t="str">
            <v>EMP415</v>
          </cell>
          <cell r="B416" t="str">
            <v>Name 415</v>
          </cell>
          <cell r="C416" t="str">
            <v>Manager</v>
          </cell>
          <cell r="D416">
            <v>34</v>
          </cell>
          <cell r="E416">
            <v>43837</v>
          </cell>
          <cell r="F416" t="str">
            <v>Day</v>
          </cell>
          <cell r="G416" t="str">
            <v>Name 415@gmail.com</v>
          </cell>
          <cell r="H416">
            <v>40000</v>
          </cell>
          <cell r="I416">
            <v>7200</v>
          </cell>
          <cell r="J416">
            <v>2000</v>
          </cell>
          <cell r="K416">
            <v>1000</v>
          </cell>
          <cell r="L416">
            <v>5000</v>
          </cell>
          <cell r="M416">
            <v>1600</v>
          </cell>
          <cell r="N416">
            <v>28</v>
          </cell>
          <cell r="O416">
            <v>37333.333333333328</v>
          </cell>
          <cell r="P416">
            <v>2</v>
          </cell>
          <cell r="Q416">
            <v>56</v>
          </cell>
          <cell r="R416">
            <v>166.66666666666666</v>
          </cell>
          <cell r="S416">
            <v>9333.3333333333321</v>
          </cell>
          <cell r="T416">
            <v>63466.666666666657</v>
          </cell>
          <cell r="U416">
            <v>200</v>
          </cell>
          <cell r="V416">
            <v>4800</v>
          </cell>
          <cell r="W416">
            <v>0</v>
          </cell>
          <cell r="X416">
            <v>5000</v>
          </cell>
          <cell r="Y416">
            <v>58466.666666666657</v>
          </cell>
        </row>
        <row r="417">
          <cell r="A417" t="str">
            <v>EMP416</v>
          </cell>
          <cell r="B417" t="str">
            <v>Name 416</v>
          </cell>
          <cell r="C417" t="str">
            <v>Manager</v>
          </cell>
          <cell r="D417">
            <v>23</v>
          </cell>
          <cell r="E417">
            <v>43838</v>
          </cell>
          <cell r="F417" t="str">
            <v>Day</v>
          </cell>
          <cell r="G417" t="str">
            <v>Name 416@gmail.com</v>
          </cell>
          <cell r="H417">
            <v>32000</v>
          </cell>
          <cell r="I417">
            <v>5760</v>
          </cell>
          <cell r="J417">
            <v>1600</v>
          </cell>
          <cell r="K417">
            <v>1000</v>
          </cell>
          <cell r="L417">
            <v>5000</v>
          </cell>
          <cell r="M417">
            <v>1600</v>
          </cell>
          <cell r="N417">
            <v>30</v>
          </cell>
          <cell r="O417">
            <v>32000.000000000004</v>
          </cell>
          <cell r="P417">
            <v>1</v>
          </cell>
          <cell r="Q417">
            <v>30</v>
          </cell>
          <cell r="R417">
            <v>133.33333333333334</v>
          </cell>
          <cell r="S417">
            <v>4000.0000000000005</v>
          </cell>
          <cell r="T417">
            <v>50960</v>
          </cell>
          <cell r="U417">
            <v>200</v>
          </cell>
          <cell r="V417">
            <v>3840</v>
          </cell>
          <cell r="W417">
            <v>5000</v>
          </cell>
          <cell r="X417">
            <v>9040</v>
          </cell>
          <cell r="Y417">
            <v>41920</v>
          </cell>
        </row>
        <row r="418">
          <cell r="A418" t="str">
            <v>EMP417</v>
          </cell>
          <cell r="B418" t="str">
            <v>Name 417</v>
          </cell>
          <cell r="C418" t="str">
            <v>Clerk</v>
          </cell>
          <cell r="D418">
            <v>34</v>
          </cell>
          <cell r="E418">
            <v>43839</v>
          </cell>
          <cell r="F418" t="str">
            <v>Day</v>
          </cell>
          <cell r="G418" t="str">
            <v>Name 417@gmail.com</v>
          </cell>
          <cell r="H418">
            <v>28000</v>
          </cell>
          <cell r="I418">
            <v>5040</v>
          </cell>
          <cell r="J418">
            <v>1400</v>
          </cell>
          <cell r="K418">
            <v>1000</v>
          </cell>
          <cell r="L418">
            <v>5000</v>
          </cell>
          <cell r="M418">
            <v>1600</v>
          </cell>
          <cell r="N418">
            <v>29</v>
          </cell>
          <cell r="O418">
            <v>27066.666666666668</v>
          </cell>
          <cell r="P418">
            <v>1</v>
          </cell>
          <cell r="Q418">
            <v>29</v>
          </cell>
          <cell r="R418">
            <v>116.66666666666667</v>
          </cell>
          <cell r="S418">
            <v>3383.3333333333335</v>
          </cell>
          <cell r="T418">
            <v>44490.000000000007</v>
          </cell>
          <cell r="U418">
            <v>200</v>
          </cell>
          <cell r="V418">
            <v>3360</v>
          </cell>
          <cell r="W418">
            <v>0</v>
          </cell>
          <cell r="X418">
            <v>3560</v>
          </cell>
          <cell r="Y418">
            <v>40930.000000000007</v>
          </cell>
        </row>
        <row r="419">
          <cell r="A419" t="str">
            <v>EMP418</v>
          </cell>
          <cell r="B419" t="str">
            <v>Name 418</v>
          </cell>
          <cell r="C419" t="str">
            <v>Accountant</v>
          </cell>
          <cell r="D419">
            <v>23</v>
          </cell>
          <cell r="E419">
            <v>43840</v>
          </cell>
          <cell r="F419" t="str">
            <v>Night</v>
          </cell>
          <cell r="G419" t="str">
            <v>Name 418@gmail.com</v>
          </cell>
          <cell r="H419">
            <v>44000</v>
          </cell>
          <cell r="I419">
            <v>7920</v>
          </cell>
          <cell r="J419">
            <v>2200</v>
          </cell>
          <cell r="K419">
            <v>1000</v>
          </cell>
          <cell r="L419">
            <v>5000</v>
          </cell>
          <cell r="M419">
            <v>1600</v>
          </cell>
          <cell r="N419">
            <v>28</v>
          </cell>
          <cell r="O419">
            <v>41066.666666666672</v>
          </cell>
          <cell r="P419">
            <v>1</v>
          </cell>
          <cell r="Q419">
            <v>28</v>
          </cell>
          <cell r="R419">
            <v>183.33333333333334</v>
          </cell>
          <cell r="S419">
            <v>5133.3333333333339</v>
          </cell>
          <cell r="T419">
            <v>63920.000000000007</v>
          </cell>
          <cell r="U419">
            <v>200</v>
          </cell>
          <cell r="V419">
            <v>5280</v>
          </cell>
          <cell r="W419">
            <v>0</v>
          </cell>
          <cell r="X419">
            <v>5480</v>
          </cell>
          <cell r="Y419">
            <v>58440.000000000007</v>
          </cell>
        </row>
        <row r="420">
          <cell r="A420" t="str">
            <v>EMP419</v>
          </cell>
          <cell r="B420" t="str">
            <v>Name 419</v>
          </cell>
          <cell r="C420" t="str">
            <v>Manager</v>
          </cell>
          <cell r="D420">
            <v>34</v>
          </cell>
          <cell r="E420">
            <v>43841</v>
          </cell>
          <cell r="F420" t="str">
            <v>Day</v>
          </cell>
          <cell r="G420" t="str">
            <v>Name 419@gmail.com</v>
          </cell>
          <cell r="H420">
            <v>25000</v>
          </cell>
          <cell r="I420">
            <v>4500</v>
          </cell>
          <cell r="J420">
            <v>1250</v>
          </cell>
          <cell r="K420">
            <v>1000</v>
          </cell>
          <cell r="L420">
            <v>0</v>
          </cell>
          <cell r="M420">
            <v>1600</v>
          </cell>
          <cell r="N420">
            <v>27</v>
          </cell>
          <cell r="O420">
            <v>22500</v>
          </cell>
          <cell r="P420">
            <v>1</v>
          </cell>
          <cell r="Q420">
            <v>27</v>
          </cell>
          <cell r="R420">
            <v>104.16666666666667</v>
          </cell>
          <cell r="S420">
            <v>2812.5</v>
          </cell>
          <cell r="T420">
            <v>33662.5</v>
          </cell>
          <cell r="U420">
            <v>200</v>
          </cell>
          <cell r="V420">
            <v>3000</v>
          </cell>
          <cell r="W420">
            <v>0</v>
          </cell>
          <cell r="X420">
            <v>3200</v>
          </cell>
          <cell r="Y420">
            <v>30462.5</v>
          </cell>
        </row>
        <row r="421">
          <cell r="A421" t="str">
            <v>EMP420</v>
          </cell>
          <cell r="B421" t="str">
            <v>Name 420</v>
          </cell>
          <cell r="C421" t="str">
            <v>Accountant</v>
          </cell>
          <cell r="D421">
            <v>45</v>
          </cell>
          <cell r="E421">
            <v>43842</v>
          </cell>
          <cell r="F421" t="str">
            <v>Day</v>
          </cell>
          <cell r="G421" t="str">
            <v>Name 420@gmail.com</v>
          </cell>
          <cell r="H421">
            <v>50000</v>
          </cell>
          <cell r="I421">
            <v>9000</v>
          </cell>
          <cell r="J421">
            <v>2500</v>
          </cell>
          <cell r="K421">
            <v>1000</v>
          </cell>
          <cell r="L421">
            <v>0</v>
          </cell>
          <cell r="M421">
            <v>1600</v>
          </cell>
          <cell r="N421">
            <v>27</v>
          </cell>
          <cell r="O421">
            <v>45000</v>
          </cell>
          <cell r="P421">
            <v>3</v>
          </cell>
          <cell r="Q421">
            <v>81</v>
          </cell>
          <cell r="R421">
            <v>208.33333333333334</v>
          </cell>
          <cell r="S421">
            <v>16875</v>
          </cell>
          <cell r="T421">
            <v>75975</v>
          </cell>
          <cell r="U421">
            <v>201</v>
          </cell>
          <cell r="V421">
            <v>6000</v>
          </cell>
          <cell r="W421">
            <v>0</v>
          </cell>
          <cell r="X421">
            <v>6201</v>
          </cell>
          <cell r="Y421">
            <v>69774</v>
          </cell>
        </row>
        <row r="422">
          <cell r="A422" t="str">
            <v>EMP421</v>
          </cell>
          <cell r="B422" t="str">
            <v>Name 421</v>
          </cell>
          <cell r="C422" t="str">
            <v>Accountant</v>
          </cell>
          <cell r="D422">
            <v>54</v>
          </cell>
          <cell r="E422">
            <v>43843</v>
          </cell>
          <cell r="F422" t="str">
            <v>Night</v>
          </cell>
          <cell r="G422" t="str">
            <v>Name 421@gmail.com</v>
          </cell>
          <cell r="H422">
            <v>70000</v>
          </cell>
          <cell r="I422">
            <v>12600</v>
          </cell>
          <cell r="J422">
            <v>3500</v>
          </cell>
          <cell r="K422">
            <v>1000</v>
          </cell>
          <cell r="L422">
            <v>0</v>
          </cell>
          <cell r="M422">
            <v>1600</v>
          </cell>
          <cell r="N422">
            <v>27</v>
          </cell>
          <cell r="O422">
            <v>63000.000000000007</v>
          </cell>
          <cell r="P422">
            <v>1</v>
          </cell>
          <cell r="Q422">
            <v>27</v>
          </cell>
          <cell r="R422">
            <v>291.66666666666669</v>
          </cell>
          <cell r="S422">
            <v>7875.0000000000009</v>
          </cell>
          <cell r="T422">
            <v>89575</v>
          </cell>
          <cell r="U422">
            <v>202</v>
          </cell>
          <cell r="V422">
            <v>8400</v>
          </cell>
          <cell r="W422">
            <v>0</v>
          </cell>
          <cell r="X422">
            <v>8602</v>
          </cell>
          <cell r="Y422">
            <v>80973</v>
          </cell>
        </row>
        <row r="423">
          <cell r="A423" t="str">
            <v>EMP422</v>
          </cell>
          <cell r="B423" t="str">
            <v>Name 422</v>
          </cell>
          <cell r="C423" t="str">
            <v>Accountant</v>
          </cell>
          <cell r="D423">
            <v>56</v>
          </cell>
          <cell r="E423">
            <v>43844</v>
          </cell>
          <cell r="F423" t="str">
            <v>Night</v>
          </cell>
          <cell r="G423" t="str">
            <v>Name 422@gmail.com</v>
          </cell>
          <cell r="H423">
            <v>34000</v>
          </cell>
          <cell r="I423">
            <v>6120</v>
          </cell>
          <cell r="J423">
            <v>1700</v>
          </cell>
          <cell r="K423">
            <v>1000</v>
          </cell>
          <cell r="L423">
            <v>2000</v>
          </cell>
          <cell r="M423">
            <v>1600</v>
          </cell>
          <cell r="N423">
            <v>30</v>
          </cell>
          <cell r="O423">
            <v>34000</v>
          </cell>
          <cell r="P423">
            <v>2</v>
          </cell>
          <cell r="Q423">
            <v>60</v>
          </cell>
          <cell r="R423">
            <v>141.66666666666666</v>
          </cell>
          <cell r="S423">
            <v>8500</v>
          </cell>
          <cell r="T423">
            <v>54920</v>
          </cell>
          <cell r="U423">
            <v>203</v>
          </cell>
          <cell r="V423">
            <v>4080</v>
          </cell>
          <cell r="W423">
            <v>0</v>
          </cell>
          <cell r="X423">
            <v>4283</v>
          </cell>
          <cell r="Y423">
            <v>50637</v>
          </cell>
        </row>
        <row r="424">
          <cell r="A424" t="str">
            <v>EMP423</v>
          </cell>
          <cell r="B424" t="str">
            <v>Name 423</v>
          </cell>
          <cell r="C424" t="str">
            <v>Accountant</v>
          </cell>
          <cell r="D424">
            <v>54</v>
          </cell>
          <cell r="E424">
            <v>43845</v>
          </cell>
          <cell r="F424" t="str">
            <v>Night</v>
          </cell>
          <cell r="G424" t="str">
            <v>Name 423@gmail.com</v>
          </cell>
          <cell r="H424">
            <v>45000</v>
          </cell>
          <cell r="I424">
            <v>8100</v>
          </cell>
          <cell r="J424">
            <v>2250</v>
          </cell>
          <cell r="K424">
            <v>1000</v>
          </cell>
          <cell r="L424">
            <v>5000</v>
          </cell>
          <cell r="M424">
            <v>1600</v>
          </cell>
          <cell r="N424">
            <v>30</v>
          </cell>
          <cell r="O424">
            <v>45000</v>
          </cell>
          <cell r="P424">
            <v>0</v>
          </cell>
          <cell r="Q424">
            <v>0</v>
          </cell>
          <cell r="R424">
            <v>187.5</v>
          </cell>
          <cell r="S424">
            <v>0</v>
          </cell>
          <cell r="T424">
            <v>62950</v>
          </cell>
          <cell r="U424">
            <v>204</v>
          </cell>
          <cell r="V424">
            <v>5400</v>
          </cell>
          <cell r="W424">
            <v>4000</v>
          </cell>
          <cell r="X424">
            <v>9604</v>
          </cell>
          <cell r="Y424">
            <v>53346</v>
          </cell>
        </row>
        <row r="425">
          <cell r="A425" t="str">
            <v>EMP424</v>
          </cell>
          <cell r="B425" t="str">
            <v>Name 424</v>
          </cell>
          <cell r="C425" t="str">
            <v>Accountant</v>
          </cell>
          <cell r="D425">
            <v>34</v>
          </cell>
          <cell r="E425">
            <v>43846</v>
          </cell>
          <cell r="F425" t="str">
            <v>Night</v>
          </cell>
          <cell r="G425" t="str">
            <v>Name 424@gmail.com</v>
          </cell>
          <cell r="H425">
            <v>55000</v>
          </cell>
          <cell r="I425">
            <v>9900</v>
          </cell>
          <cell r="J425">
            <v>2750</v>
          </cell>
          <cell r="K425">
            <v>1000</v>
          </cell>
          <cell r="L425">
            <v>0</v>
          </cell>
          <cell r="M425">
            <v>1600</v>
          </cell>
          <cell r="N425">
            <v>30</v>
          </cell>
          <cell r="O425">
            <v>55000</v>
          </cell>
          <cell r="P425">
            <v>1</v>
          </cell>
          <cell r="Q425">
            <v>30</v>
          </cell>
          <cell r="R425">
            <v>229.16666666666666</v>
          </cell>
          <cell r="S425">
            <v>6875</v>
          </cell>
          <cell r="T425">
            <v>77125</v>
          </cell>
          <cell r="U425">
            <v>205</v>
          </cell>
          <cell r="V425">
            <v>6600</v>
          </cell>
          <cell r="W425">
            <v>0</v>
          </cell>
          <cell r="X425">
            <v>6805</v>
          </cell>
          <cell r="Y425">
            <v>70320</v>
          </cell>
        </row>
        <row r="426">
          <cell r="A426" t="str">
            <v>EMP425</v>
          </cell>
          <cell r="B426" t="str">
            <v>Name 425</v>
          </cell>
          <cell r="C426" t="str">
            <v>Manager</v>
          </cell>
          <cell r="D426">
            <v>23</v>
          </cell>
          <cell r="E426">
            <v>43847</v>
          </cell>
          <cell r="F426" t="str">
            <v>Day</v>
          </cell>
          <cell r="G426" t="str">
            <v>Name 425@gmail.com</v>
          </cell>
          <cell r="H426">
            <v>43000</v>
          </cell>
          <cell r="I426">
            <v>7740</v>
          </cell>
          <cell r="J426">
            <v>2150</v>
          </cell>
          <cell r="K426">
            <v>1000</v>
          </cell>
          <cell r="L426">
            <v>0</v>
          </cell>
          <cell r="M426">
            <v>1600</v>
          </cell>
          <cell r="N426">
            <v>27</v>
          </cell>
          <cell r="O426">
            <v>38700</v>
          </cell>
          <cell r="P426">
            <v>1</v>
          </cell>
          <cell r="Q426">
            <v>27</v>
          </cell>
          <cell r="R426">
            <v>179.16666666666666</v>
          </cell>
          <cell r="S426">
            <v>4837.5</v>
          </cell>
          <cell r="T426">
            <v>56027.5</v>
          </cell>
          <cell r="U426">
            <v>200</v>
          </cell>
          <cell r="V426">
            <v>5160</v>
          </cell>
          <cell r="W426">
            <v>0</v>
          </cell>
          <cell r="X426">
            <v>5360</v>
          </cell>
          <cell r="Y426">
            <v>50667.5</v>
          </cell>
        </row>
        <row r="427">
          <cell r="A427" t="str">
            <v>EMP426</v>
          </cell>
          <cell r="B427" t="str">
            <v>Name 426</v>
          </cell>
          <cell r="C427" t="str">
            <v>Clerk</v>
          </cell>
          <cell r="D427">
            <v>34</v>
          </cell>
          <cell r="E427">
            <v>43848</v>
          </cell>
          <cell r="F427" t="str">
            <v>Day</v>
          </cell>
          <cell r="G427" t="str">
            <v>Name 426@gmail.com</v>
          </cell>
          <cell r="H427">
            <v>25000</v>
          </cell>
          <cell r="I427">
            <v>4500</v>
          </cell>
          <cell r="J427">
            <v>1250</v>
          </cell>
          <cell r="K427">
            <v>1000</v>
          </cell>
          <cell r="L427">
            <v>0</v>
          </cell>
          <cell r="M427">
            <v>1600</v>
          </cell>
          <cell r="N427">
            <v>30</v>
          </cell>
          <cell r="O427">
            <v>25000</v>
          </cell>
          <cell r="P427">
            <v>0</v>
          </cell>
          <cell r="Q427">
            <v>0</v>
          </cell>
          <cell r="R427">
            <v>104.16666666666667</v>
          </cell>
          <cell r="S427">
            <v>0</v>
          </cell>
          <cell r="T427">
            <v>33350</v>
          </cell>
          <cell r="U427">
            <v>200</v>
          </cell>
          <cell r="V427">
            <v>3000</v>
          </cell>
          <cell r="W427">
            <v>0</v>
          </cell>
          <cell r="X427">
            <v>3200</v>
          </cell>
          <cell r="Y427">
            <v>30150</v>
          </cell>
        </row>
        <row r="428">
          <cell r="A428" t="str">
            <v>EMP427</v>
          </cell>
          <cell r="B428" t="str">
            <v>Name 427</v>
          </cell>
          <cell r="C428" t="str">
            <v>Accountant</v>
          </cell>
          <cell r="D428">
            <v>43</v>
          </cell>
          <cell r="E428">
            <v>43849</v>
          </cell>
          <cell r="F428" t="str">
            <v>Day</v>
          </cell>
          <cell r="G428" t="str">
            <v>Name 427@gmail.com</v>
          </cell>
          <cell r="H428">
            <v>28000</v>
          </cell>
          <cell r="I428">
            <v>5040</v>
          </cell>
          <cell r="J428">
            <v>1400</v>
          </cell>
          <cell r="K428">
            <v>1000</v>
          </cell>
          <cell r="L428">
            <v>0</v>
          </cell>
          <cell r="M428">
            <v>1600</v>
          </cell>
          <cell r="N428">
            <v>20</v>
          </cell>
          <cell r="O428">
            <v>18666.666666666668</v>
          </cell>
          <cell r="P428">
            <v>0</v>
          </cell>
          <cell r="Q428">
            <v>0</v>
          </cell>
          <cell r="R428">
            <v>116.66666666666667</v>
          </cell>
          <cell r="S428">
            <v>0</v>
          </cell>
          <cell r="T428">
            <v>27706.666666666668</v>
          </cell>
          <cell r="U428">
            <v>200</v>
          </cell>
          <cell r="V428">
            <v>3360</v>
          </cell>
          <cell r="W428">
            <v>0</v>
          </cell>
          <cell r="X428">
            <v>3560</v>
          </cell>
          <cell r="Y428">
            <v>24146.666666666668</v>
          </cell>
        </row>
        <row r="429">
          <cell r="A429" t="str">
            <v>EMP428</v>
          </cell>
          <cell r="B429" t="str">
            <v>Name 428</v>
          </cell>
          <cell r="C429" t="str">
            <v>Manager</v>
          </cell>
          <cell r="D429">
            <v>34</v>
          </cell>
          <cell r="E429">
            <v>43850</v>
          </cell>
          <cell r="F429" t="str">
            <v>Day</v>
          </cell>
          <cell r="G429" t="str">
            <v>Name 428@gmail.com</v>
          </cell>
          <cell r="H429">
            <v>40000</v>
          </cell>
          <cell r="I429">
            <v>7200</v>
          </cell>
          <cell r="J429">
            <v>2000</v>
          </cell>
          <cell r="K429">
            <v>1000</v>
          </cell>
          <cell r="L429">
            <v>0</v>
          </cell>
          <cell r="M429">
            <v>1600</v>
          </cell>
          <cell r="N429">
            <v>28</v>
          </cell>
          <cell r="O429">
            <v>37333.333333333328</v>
          </cell>
          <cell r="P429">
            <v>2</v>
          </cell>
          <cell r="Q429">
            <v>56</v>
          </cell>
          <cell r="R429">
            <v>166.66666666666666</v>
          </cell>
          <cell r="S429">
            <v>9333.3333333333321</v>
          </cell>
          <cell r="T429">
            <v>58466.666666666657</v>
          </cell>
          <cell r="U429">
            <v>200</v>
          </cell>
          <cell r="V429">
            <v>4800</v>
          </cell>
          <cell r="W429">
            <v>0</v>
          </cell>
          <cell r="X429">
            <v>5000</v>
          </cell>
          <cell r="Y429">
            <v>53466.666666666657</v>
          </cell>
        </row>
        <row r="430">
          <cell r="A430" t="str">
            <v>EMP429</v>
          </cell>
          <cell r="B430" t="str">
            <v>Name 429</v>
          </cell>
          <cell r="C430" t="str">
            <v>Manager</v>
          </cell>
          <cell r="D430">
            <v>43</v>
          </cell>
          <cell r="E430">
            <v>43851</v>
          </cell>
          <cell r="F430" t="str">
            <v>Day</v>
          </cell>
          <cell r="G430" t="str">
            <v>Name 429@gmail.com</v>
          </cell>
          <cell r="H430">
            <v>32000</v>
          </cell>
          <cell r="I430">
            <v>5760</v>
          </cell>
          <cell r="J430">
            <v>1600</v>
          </cell>
          <cell r="K430">
            <v>1000</v>
          </cell>
          <cell r="L430">
            <v>0</v>
          </cell>
          <cell r="M430">
            <v>1600</v>
          </cell>
          <cell r="N430">
            <v>30</v>
          </cell>
          <cell r="O430">
            <v>32000.000000000004</v>
          </cell>
          <cell r="P430">
            <v>1</v>
          </cell>
          <cell r="Q430">
            <v>30</v>
          </cell>
          <cell r="R430">
            <v>133.33333333333334</v>
          </cell>
          <cell r="S430">
            <v>4000.0000000000005</v>
          </cell>
          <cell r="T430">
            <v>45960</v>
          </cell>
          <cell r="U430">
            <v>200</v>
          </cell>
          <cell r="V430">
            <v>3840</v>
          </cell>
          <cell r="W430">
            <v>5000</v>
          </cell>
          <cell r="X430">
            <v>9040</v>
          </cell>
          <cell r="Y430">
            <v>36920</v>
          </cell>
        </row>
        <row r="431">
          <cell r="A431" t="str">
            <v>EMP430</v>
          </cell>
          <cell r="B431" t="str">
            <v>Name 430</v>
          </cell>
          <cell r="C431" t="str">
            <v>Clerk</v>
          </cell>
          <cell r="D431">
            <v>23</v>
          </cell>
          <cell r="E431">
            <v>43852</v>
          </cell>
          <cell r="F431" t="str">
            <v>Day</v>
          </cell>
          <cell r="G431" t="str">
            <v>Name 430@gmail.com</v>
          </cell>
          <cell r="H431">
            <v>28000</v>
          </cell>
          <cell r="I431">
            <v>5040</v>
          </cell>
          <cell r="J431">
            <v>1400</v>
          </cell>
          <cell r="K431">
            <v>1000</v>
          </cell>
          <cell r="L431">
            <v>0</v>
          </cell>
          <cell r="M431">
            <v>1600</v>
          </cell>
          <cell r="N431">
            <v>29</v>
          </cell>
          <cell r="O431">
            <v>27066.666666666668</v>
          </cell>
          <cell r="P431">
            <v>1</v>
          </cell>
          <cell r="Q431">
            <v>29</v>
          </cell>
          <cell r="R431">
            <v>116.66666666666667</v>
          </cell>
          <cell r="S431">
            <v>3383.3333333333335</v>
          </cell>
          <cell r="T431">
            <v>39490.000000000007</v>
          </cell>
          <cell r="U431">
            <v>200</v>
          </cell>
          <cell r="V431">
            <v>3360</v>
          </cell>
          <cell r="W431">
            <v>0</v>
          </cell>
          <cell r="X431">
            <v>3560</v>
          </cell>
          <cell r="Y431">
            <v>35930.000000000007</v>
          </cell>
        </row>
        <row r="432">
          <cell r="A432" t="str">
            <v>EMP431</v>
          </cell>
          <cell r="B432" t="str">
            <v>Name 431</v>
          </cell>
          <cell r="C432" t="str">
            <v>Accountant</v>
          </cell>
          <cell r="D432">
            <v>34</v>
          </cell>
          <cell r="E432">
            <v>43853</v>
          </cell>
          <cell r="F432" t="str">
            <v>Night</v>
          </cell>
          <cell r="G432" t="str">
            <v>Name 431@gmail.com</v>
          </cell>
          <cell r="H432">
            <v>44000</v>
          </cell>
          <cell r="I432">
            <v>7920</v>
          </cell>
          <cell r="J432">
            <v>2200</v>
          </cell>
          <cell r="K432">
            <v>1000</v>
          </cell>
          <cell r="L432">
            <v>0</v>
          </cell>
          <cell r="M432">
            <v>1600</v>
          </cell>
          <cell r="N432">
            <v>28</v>
          </cell>
          <cell r="O432">
            <v>41066.666666666672</v>
          </cell>
          <cell r="P432">
            <v>1</v>
          </cell>
          <cell r="Q432">
            <v>28</v>
          </cell>
          <cell r="R432">
            <v>183.33333333333334</v>
          </cell>
          <cell r="S432">
            <v>5133.3333333333339</v>
          </cell>
          <cell r="T432">
            <v>58920.000000000007</v>
          </cell>
          <cell r="U432">
            <v>200</v>
          </cell>
          <cell r="V432">
            <v>5280</v>
          </cell>
          <cell r="W432">
            <v>0</v>
          </cell>
          <cell r="X432">
            <v>5480</v>
          </cell>
          <cell r="Y432">
            <v>53440.000000000007</v>
          </cell>
        </row>
        <row r="433">
          <cell r="A433" t="str">
            <v>EMP432</v>
          </cell>
          <cell r="B433" t="str">
            <v>Name 432</v>
          </cell>
          <cell r="C433" t="str">
            <v>Manager</v>
          </cell>
          <cell r="D433">
            <v>23</v>
          </cell>
          <cell r="E433">
            <v>43854</v>
          </cell>
          <cell r="F433" t="str">
            <v>Day</v>
          </cell>
          <cell r="G433" t="str">
            <v>Name 432@gmail.com</v>
          </cell>
          <cell r="H433">
            <v>25000</v>
          </cell>
          <cell r="I433">
            <v>4500</v>
          </cell>
          <cell r="J433">
            <v>1250</v>
          </cell>
          <cell r="K433">
            <v>1000</v>
          </cell>
          <cell r="L433">
            <v>0</v>
          </cell>
          <cell r="M433">
            <v>1600</v>
          </cell>
          <cell r="N433">
            <v>27</v>
          </cell>
          <cell r="O433">
            <v>22500</v>
          </cell>
          <cell r="P433">
            <v>1</v>
          </cell>
          <cell r="Q433">
            <v>27</v>
          </cell>
          <cell r="R433">
            <v>104.16666666666667</v>
          </cell>
          <cell r="S433">
            <v>2812.5</v>
          </cell>
          <cell r="T433">
            <v>33662.5</v>
          </cell>
          <cell r="U433">
            <v>200</v>
          </cell>
          <cell r="V433">
            <v>3000</v>
          </cell>
          <cell r="W433">
            <v>0</v>
          </cell>
          <cell r="X433">
            <v>3200</v>
          </cell>
          <cell r="Y433">
            <v>30462.5</v>
          </cell>
        </row>
        <row r="434">
          <cell r="A434" t="str">
            <v>EMP433</v>
          </cell>
          <cell r="B434" t="str">
            <v>Name 433</v>
          </cell>
          <cell r="C434" t="str">
            <v>Accountant</v>
          </cell>
          <cell r="D434">
            <v>34</v>
          </cell>
          <cell r="E434">
            <v>43831</v>
          </cell>
          <cell r="F434" t="str">
            <v>Day</v>
          </cell>
          <cell r="G434" t="str">
            <v>Name 433@gmail.com</v>
          </cell>
          <cell r="H434">
            <v>50000</v>
          </cell>
          <cell r="I434">
            <v>9000</v>
          </cell>
          <cell r="J434">
            <v>2500</v>
          </cell>
          <cell r="K434">
            <v>1000</v>
          </cell>
          <cell r="L434">
            <v>0</v>
          </cell>
          <cell r="M434">
            <v>1600</v>
          </cell>
          <cell r="N434">
            <v>27</v>
          </cell>
          <cell r="O434">
            <v>45000</v>
          </cell>
          <cell r="P434">
            <v>3</v>
          </cell>
          <cell r="Q434">
            <v>81</v>
          </cell>
          <cell r="R434">
            <v>208.33333333333334</v>
          </cell>
          <cell r="S434">
            <v>16875</v>
          </cell>
          <cell r="T434">
            <v>75975</v>
          </cell>
          <cell r="U434">
            <v>201</v>
          </cell>
          <cell r="V434">
            <v>6000</v>
          </cell>
          <cell r="W434">
            <v>0</v>
          </cell>
          <cell r="X434">
            <v>6201</v>
          </cell>
          <cell r="Y434">
            <v>69774</v>
          </cell>
        </row>
        <row r="435">
          <cell r="A435" t="str">
            <v>EMP434</v>
          </cell>
          <cell r="B435" t="str">
            <v>Name 434</v>
          </cell>
          <cell r="C435" t="str">
            <v>Accountant</v>
          </cell>
          <cell r="D435">
            <v>23</v>
          </cell>
          <cell r="E435">
            <v>43832</v>
          </cell>
          <cell r="F435" t="str">
            <v>Night</v>
          </cell>
          <cell r="G435" t="str">
            <v>Name 434@gmail.com</v>
          </cell>
          <cell r="H435">
            <v>70000</v>
          </cell>
          <cell r="I435">
            <v>12600</v>
          </cell>
          <cell r="J435">
            <v>3500</v>
          </cell>
          <cell r="K435">
            <v>1000</v>
          </cell>
          <cell r="L435">
            <v>0</v>
          </cell>
          <cell r="M435">
            <v>1600</v>
          </cell>
          <cell r="N435">
            <v>27</v>
          </cell>
          <cell r="O435">
            <v>63000.000000000007</v>
          </cell>
          <cell r="P435">
            <v>1</v>
          </cell>
          <cell r="Q435">
            <v>27</v>
          </cell>
          <cell r="R435">
            <v>291.66666666666669</v>
          </cell>
          <cell r="S435">
            <v>7875.0000000000009</v>
          </cell>
          <cell r="T435">
            <v>89575</v>
          </cell>
          <cell r="U435">
            <v>202</v>
          </cell>
          <cell r="V435">
            <v>8400</v>
          </cell>
          <cell r="W435">
            <v>0</v>
          </cell>
          <cell r="X435">
            <v>8602</v>
          </cell>
          <cell r="Y435">
            <v>80973</v>
          </cell>
        </row>
        <row r="436">
          <cell r="A436" t="str">
            <v>EMP435</v>
          </cell>
          <cell r="B436" t="str">
            <v>Name 435</v>
          </cell>
          <cell r="C436" t="str">
            <v>Accountant</v>
          </cell>
          <cell r="D436">
            <v>34</v>
          </cell>
          <cell r="E436">
            <v>43833</v>
          </cell>
          <cell r="F436" t="str">
            <v>Night</v>
          </cell>
          <cell r="G436" t="str">
            <v>Name 435@gmail.com</v>
          </cell>
          <cell r="H436">
            <v>34000</v>
          </cell>
          <cell r="I436">
            <v>6120</v>
          </cell>
          <cell r="J436">
            <v>1700</v>
          </cell>
          <cell r="K436">
            <v>1000</v>
          </cell>
          <cell r="L436">
            <v>2000</v>
          </cell>
          <cell r="M436">
            <v>1600</v>
          </cell>
          <cell r="N436">
            <v>30</v>
          </cell>
          <cell r="O436">
            <v>34000</v>
          </cell>
          <cell r="P436">
            <v>2</v>
          </cell>
          <cell r="Q436">
            <v>60</v>
          </cell>
          <cell r="R436">
            <v>141.66666666666666</v>
          </cell>
          <cell r="S436">
            <v>8500</v>
          </cell>
          <cell r="T436">
            <v>54920</v>
          </cell>
          <cell r="U436">
            <v>203</v>
          </cell>
          <cell r="V436">
            <v>4080</v>
          </cell>
          <cell r="W436">
            <v>0</v>
          </cell>
          <cell r="X436">
            <v>4283</v>
          </cell>
          <cell r="Y436">
            <v>50637</v>
          </cell>
        </row>
        <row r="437">
          <cell r="A437" t="str">
            <v>EMP436</v>
          </cell>
          <cell r="B437" t="str">
            <v>Name 436</v>
          </cell>
          <cell r="C437" t="str">
            <v>Accountant</v>
          </cell>
          <cell r="D437">
            <v>45</v>
          </cell>
          <cell r="E437">
            <v>43834</v>
          </cell>
          <cell r="F437" t="str">
            <v>Night</v>
          </cell>
          <cell r="G437" t="str">
            <v>Name 436@gmail.com</v>
          </cell>
          <cell r="H437">
            <v>45000</v>
          </cell>
          <cell r="I437">
            <v>8100</v>
          </cell>
          <cell r="J437">
            <v>2250</v>
          </cell>
          <cell r="K437">
            <v>1000</v>
          </cell>
          <cell r="L437">
            <v>5000</v>
          </cell>
          <cell r="M437">
            <v>1600</v>
          </cell>
          <cell r="N437">
            <v>30</v>
          </cell>
          <cell r="O437">
            <v>45000</v>
          </cell>
          <cell r="P437">
            <v>0</v>
          </cell>
          <cell r="Q437">
            <v>0</v>
          </cell>
          <cell r="R437">
            <v>187.5</v>
          </cell>
          <cell r="S437">
            <v>0</v>
          </cell>
          <cell r="T437">
            <v>62950</v>
          </cell>
          <cell r="U437">
            <v>204</v>
          </cell>
          <cell r="V437">
            <v>5400</v>
          </cell>
          <cell r="W437">
            <v>4000</v>
          </cell>
          <cell r="X437">
            <v>9604</v>
          </cell>
          <cell r="Y437">
            <v>53346</v>
          </cell>
        </row>
        <row r="438">
          <cell r="A438" t="str">
            <v>EMP437</v>
          </cell>
          <cell r="B438" t="str">
            <v>Name 437</v>
          </cell>
          <cell r="C438" t="str">
            <v>Accountant</v>
          </cell>
          <cell r="D438">
            <v>54</v>
          </cell>
          <cell r="E438">
            <v>43835</v>
          </cell>
          <cell r="F438" t="str">
            <v>Night</v>
          </cell>
          <cell r="G438" t="str">
            <v>Name 437@gmail.com</v>
          </cell>
          <cell r="H438">
            <v>55000</v>
          </cell>
          <cell r="I438">
            <v>9900</v>
          </cell>
          <cell r="J438">
            <v>2750</v>
          </cell>
          <cell r="K438">
            <v>1000</v>
          </cell>
          <cell r="L438">
            <v>0</v>
          </cell>
          <cell r="M438">
            <v>1600</v>
          </cell>
          <cell r="N438">
            <v>30</v>
          </cell>
          <cell r="O438">
            <v>55000</v>
          </cell>
          <cell r="P438">
            <v>1</v>
          </cell>
          <cell r="Q438">
            <v>30</v>
          </cell>
          <cell r="R438">
            <v>229.16666666666666</v>
          </cell>
          <cell r="S438">
            <v>6875</v>
          </cell>
          <cell r="T438">
            <v>77125</v>
          </cell>
          <cell r="U438">
            <v>205</v>
          </cell>
          <cell r="V438">
            <v>6600</v>
          </cell>
          <cell r="W438">
            <v>0</v>
          </cell>
          <cell r="X438">
            <v>6805</v>
          </cell>
          <cell r="Y438">
            <v>70320</v>
          </cell>
        </row>
        <row r="439">
          <cell r="A439" t="str">
            <v>EMP438</v>
          </cell>
          <cell r="B439" t="str">
            <v>Name 438</v>
          </cell>
          <cell r="C439" t="str">
            <v>Manager</v>
          </cell>
          <cell r="D439">
            <v>56</v>
          </cell>
          <cell r="E439">
            <v>43836</v>
          </cell>
          <cell r="F439" t="str">
            <v>Day</v>
          </cell>
          <cell r="G439" t="str">
            <v>Name 438@gmail.com</v>
          </cell>
          <cell r="H439">
            <v>43000</v>
          </cell>
          <cell r="I439">
            <v>7740</v>
          </cell>
          <cell r="J439">
            <v>2150</v>
          </cell>
          <cell r="K439">
            <v>1000</v>
          </cell>
          <cell r="L439">
            <v>0</v>
          </cell>
          <cell r="M439">
            <v>1600</v>
          </cell>
          <cell r="N439">
            <v>27</v>
          </cell>
          <cell r="O439">
            <v>38700</v>
          </cell>
          <cell r="P439">
            <v>1</v>
          </cell>
          <cell r="Q439">
            <v>27</v>
          </cell>
          <cell r="R439">
            <v>179.16666666666666</v>
          </cell>
          <cell r="S439">
            <v>4837.5</v>
          </cell>
          <cell r="T439">
            <v>56027.5</v>
          </cell>
          <cell r="U439">
            <v>200</v>
          </cell>
          <cell r="V439">
            <v>5160</v>
          </cell>
          <cell r="W439">
            <v>0</v>
          </cell>
          <cell r="X439">
            <v>5360</v>
          </cell>
          <cell r="Y439">
            <v>50667.5</v>
          </cell>
        </row>
        <row r="440">
          <cell r="A440" t="str">
            <v>EMP439</v>
          </cell>
          <cell r="B440" t="str">
            <v>Name 439</v>
          </cell>
          <cell r="C440" t="str">
            <v>Clerk</v>
          </cell>
          <cell r="D440">
            <v>54</v>
          </cell>
          <cell r="E440">
            <v>43837</v>
          </cell>
          <cell r="F440" t="str">
            <v>Day</v>
          </cell>
          <cell r="G440" t="str">
            <v>Name 439@gmail.com</v>
          </cell>
          <cell r="H440">
            <v>25000</v>
          </cell>
          <cell r="I440">
            <v>4500</v>
          </cell>
          <cell r="J440">
            <v>1250</v>
          </cell>
          <cell r="K440">
            <v>1000</v>
          </cell>
          <cell r="L440">
            <v>0</v>
          </cell>
          <cell r="M440">
            <v>1600</v>
          </cell>
          <cell r="N440">
            <v>30</v>
          </cell>
          <cell r="O440">
            <v>25000</v>
          </cell>
          <cell r="P440">
            <v>0</v>
          </cell>
          <cell r="Q440">
            <v>0</v>
          </cell>
          <cell r="R440">
            <v>104.16666666666667</v>
          </cell>
          <cell r="S440">
            <v>0</v>
          </cell>
          <cell r="T440">
            <v>33350</v>
          </cell>
          <cell r="U440">
            <v>200</v>
          </cell>
          <cell r="V440">
            <v>3000</v>
          </cell>
          <cell r="W440">
            <v>0</v>
          </cell>
          <cell r="X440">
            <v>3200</v>
          </cell>
          <cell r="Y440">
            <v>30150</v>
          </cell>
        </row>
        <row r="441">
          <cell r="A441" t="str">
            <v>EMP440</v>
          </cell>
          <cell r="B441" t="str">
            <v>Name 440</v>
          </cell>
          <cell r="C441" t="str">
            <v>Accountant</v>
          </cell>
          <cell r="D441">
            <v>34</v>
          </cell>
          <cell r="E441">
            <v>43838</v>
          </cell>
          <cell r="F441" t="str">
            <v>Day</v>
          </cell>
          <cell r="G441" t="str">
            <v>Name 440@gmail.com</v>
          </cell>
          <cell r="H441">
            <v>28000</v>
          </cell>
          <cell r="I441">
            <v>5040</v>
          </cell>
          <cell r="J441">
            <v>1400</v>
          </cell>
          <cell r="K441">
            <v>1000</v>
          </cell>
          <cell r="L441">
            <v>0</v>
          </cell>
          <cell r="M441">
            <v>1600</v>
          </cell>
          <cell r="N441">
            <v>20</v>
          </cell>
          <cell r="O441">
            <v>18666.666666666668</v>
          </cell>
          <cell r="P441">
            <v>0</v>
          </cell>
          <cell r="Q441">
            <v>0</v>
          </cell>
          <cell r="R441">
            <v>116.66666666666667</v>
          </cell>
          <cell r="S441">
            <v>0</v>
          </cell>
          <cell r="T441">
            <v>27706.666666666668</v>
          </cell>
          <cell r="U441">
            <v>200</v>
          </cell>
          <cell r="V441">
            <v>3360</v>
          </cell>
          <cell r="W441">
            <v>0</v>
          </cell>
          <cell r="X441">
            <v>3560</v>
          </cell>
          <cell r="Y441">
            <v>24146.666666666668</v>
          </cell>
        </row>
        <row r="442">
          <cell r="A442" t="str">
            <v>EMP441</v>
          </cell>
          <cell r="B442" t="str">
            <v>Name 441</v>
          </cell>
          <cell r="C442" t="str">
            <v>Manager</v>
          </cell>
          <cell r="D442">
            <v>23</v>
          </cell>
          <cell r="E442">
            <v>43839</v>
          </cell>
          <cell r="F442" t="str">
            <v>Day</v>
          </cell>
          <cell r="G442" t="str">
            <v>Name 441@gmail.com</v>
          </cell>
          <cell r="H442">
            <v>40000</v>
          </cell>
          <cell r="I442">
            <v>7200</v>
          </cell>
          <cell r="J442">
            <v>2000</v>
          </cell>
          <cell r="K442">
            <v>1000</v>
          </cell>
          <cell r="L442">
            <v>0</v>
          </cell>
          <cell r="M442">
            <v>1600</v>
          </cell>
          <cell r="N442">
            <v>28</v>
          </cell>
          <cell r="O442">
            <v>37333.333333333328</v>
          </cell>
          <cell r="P442">
            <v>2</v>
          </cell>
          <cell r="Q442">
            <v>56</v>
          </cell>
          <cell r="R442">
            <v>166.66666666666666</v>
          </cell>
          <cell r="S442">
            <v>9333.3333333333321</v>
          </cell>
          <cell r="T442">
            <v>58466.666666666657</v>
          </cell>
          <cell r="U442">
            <v>200</v>
          </cell>
          <cell r="V442">
            <v>4800</v>
          </cell>
          <cell r="W442">
            <v>0</v>
          </cell>
          <cell r="X442">
            <v>5000</v>
          </cell>
          <cell r="Y442">
            <v>53466.666666666657</v>
          </cell>
        </row>
        <row r="443">
          <cell r="A443" t="str">
            <v>EMP442</v>
          </cell>
          <cell r="B443" t="str">
            <v>Name 442</v>
          </cell>
          <cell r="C443" t="str">
            <v>Manager</v>
          </cell>
          <cell r="D443">
            <v>34</v>
          </cell>
          <cell r="E443">
            <v>43840</v>
          </cell>
          <cell r="F443" t="str">
            <v>Day</v>
          </cell>
          <cell r="G443" t="str">
            <v>Name 442@gmail.com</v>
          </cell>
          <cell r="H443">
            <v>32000</v>
          </cell>
          <cell r="I443">
            <v>5760</v>
          </cell>
          <cell r="J443">
            <v>1600</v>
          </cell>
          <cell r="K443">
            <v>1000</v>
          </cell>
          <cell r="L443">
            <v>0</v>
          </cell>
          <cell r="M443">
            <v>1600</v>
          </cell>
          <cell r="N443">
            <v>30</v>
          </cell>
          <cell r="O443">
            <v>32000.000000000004</v>
          </cell>
          <cell r="P443">
            <v>1</v>
          </cell>
          <cell r="Q443">
            <v>30</v>
          </cell>
          <cell r="R443">
            <v>133.33333333333334</v>
          </cell>
          <cell r="S443">
            <v>4000.0000000000005</v>
          </cell>
          <cell r="T443">
            <v>45960</v>
          </cell>
          <cell r="U443">
            <v>200</v>
          </cell>
          <cell r="V443">
            <v>3840</v>
          </cell>
          <cell r="W443">
            <v>5000</v>
          </cell>
          <cell r="X443">
            <v>9040</v>
          </cell>
          <cell r="Y443">
            <v>36920</v>
          </cell>
        </row>
        <row r="444">
          <cell r="A444" t="str">
            <v>EMP443</v>
          </cell>
          <cell r="B444" t="str">
            <v>Name 443</v>
          </cell>
          <cell r="C444" t="str">
            <v>Clerk</v>
          </cell>
          <cell r="D444">
            <v>43</v>
          </cell>
          <cell r="E444">
            <v>43841</v>
          </cell>
          <cell r="F444" t="str">
            <v>Day</v>
          </cell>
          <cell r="G444" t="str">
            <v>Name 443@gmail.com</v>
          </cell>
          <cell r="H444">
            <v>28000</v>
          </cell>
          <cell r="I444">
            <v>5040</v>
          </cell>
          <cell r="J444">
            <v>1400</v>
          </cell>
          <cell r="K444">
            <v>1000</v>
          </cell>
          <cell r="L444">
            <v>0</v>
          </cell>
          <cell r="M444">
            <v>1600</v>
          </cell>
          <cell r="N444">
            <v>29</v>
          </cell>
          <cell r="O444">
            <v>27066.666666666668</v>
          </cell>
          <cell r="P444">
            <v>1</v>
          </cell>
          <cell r="Q444">
            <v>29</v>
          </cell>
          <cell r="R444">
            <v>116.66666666666667</v>
          </cell>
          <cell r="S444">
            <v>3383.3333333333335</v>
          </cell>
          <cell r="T444">
            <v>39490.000000000007</v>
          </cell>
          <cell r="U444">
            <v>200</v>
          </cell>
          <cell r="V444">
            <v>3360</v>
          </cell>
          <cell r="W444">
            <v>0</v>
          </cell>
          <cell r="X444">
            <v>3560</v>
          </cell>
          <cell r="Y444">
            <v>35930.000000000007</v>
          </cell>
        </row>
        <row r="445">
          <cell r="A445" t="str">
            <v>EMP444</v>
          </cell>
          <cell r="B445" t="str">
            <v>Name 444</v>
          </cell>
          <cell r="C445" t="str">
            <v>Accountant</v>
          </cell>
          <cell r="D445">
            <v>34</v>
          </cell>
          <cell r="E445">
            <v>43842</v>
          </cell>
          <cell r="F445" t="str">
            <v>Night</v>
          </cell>
          <cell r="G445" t="str">
            <v>Name 444@gmail.com</v>
          </cell>
          <cell r="H445">
            <v>44000</v>
          </cell>
          <cell r="I445">
            <v>7920</v>
          </cell>
          <cell r="J445">
            <v>2200</v>
          </cell>
          <cell r="K445">
            <v>1000</v>
          </cell>
          <cell r="L445">
            <v>0</v>
          </cell>
          <cell r="M445">
            <v>1600</v>
          </cell>
          <cell r="N445">
            <v>28</v>
          </cell>
          <cell r="O445">
            <v>41066.666666666672</v>
          </cell>
          <cell r="P445">
            <v>1</v>
          </cell>
          <cell r="Q445">
            <v>28</v>
          </cell>
          <cell r="R445">
            <v>183.33333333333334</v>
          </cell>
          <cell r="S445">
            <v>5133.3333333333339</v>
          </cell>
          <cell r="T445">
            <v>58920.000000000007</v>
          </cell>
          <cell r="U445">
            <v>200</v>
          </cell>
          <cell r="V445">
            <v>5280</v>
          </cell>
          <cell r="W445">
            <v>0</v>
          </cell>
          <cell r="X445">
            <v>5480</v>
          </cell>
          <cell r="Y445">
            <v>53440.000000000007</v>
          </cell>
        </row>
        <row r="446">
          <cell r="A446" t="str">
            <v>EMP445</v>
          </cell>
          <cell r="B446" t="str">
            <v>Name 445</v>
          </cell>
          <cell r="C446" t="str">
            <v>Manager</v>
          </cell>
          <cell r="D446">
            <v>43</v>
          </cell>
          <cell r="E446">
            <v>43843</v>
          </cell>
          <cell r="F446" t="str">
            <v>Day</v>
          </cell>
          <cell r="G446" t="str">
            <v>Name 445@gmail.com</v>
          </cell>
          <cell r="H446">
            <v>25000</v>
          </cell>
          <cell r="I446">
            <v>4500</v>
          </cell>
          <cell r="J446">
            <v>1250</v>
          </cell>
          <cell r="K446">
            <v>1000</v>
          </cell>
          <cell r="L446">
            <v>0</v>
          </cell>
          <cell r="M446">
            <v>1600</v>
          </cell>
          <cell r="N446">
            <v>27</v>
          </cell>
          <cell r="O446">
            <v>22500</v>
          </cell>
          <cell r="P446">
            <v>1</v>
          </cell>
          <cell r="Q446">
            <v>27</v>
          </cell>
          <cell r="R446">
            <v>104.16666666666667</v>
          </cell>
          <cell r="S446">
            <v>2812.5</v>
          </cell>
          <cell r="T446">
            <v>33662.5</v>
          </cell>
          <cell r="U446">
            <v>200</v>
          </cell>
          <cell r="V446">
            <v>3000</v>
          </cell>
          <cell r="W446">
            <v>0</v>
          </cell>
          <cell r="X446">
            <v>3200</v>
          </cell>
          <cell r="Y446">
            <v>30462.5</v>
          </cell>
        </row>
        <row r="447">
          <cell r="A447" t="str">
            <v>EMP446</v>
          </cell>
          <cell r="B447" t="str">
            <v>Name 446</v>
          </cell>
          <cell r="C447" t="str">
            <v>Accountant</v>
          </cell>
          <cell r="D447">
            <v>23</v>
          </cell>
          <cell r="E447">
            <v>43844</v>
          </cell>
          <cell r="F447" t="str">
            <v>Day</v>
          </cell>
          <cell r="G447" t="str">
            <v>Name 446@gmail.com</v>
          </cell>
          <cell r="H447">
            <v>50000</v>
          </cell>
          <cell r="I447">
            <v>9000</v>
          </cell>
          <cell r="J447">
            <v>2500</v>
          </cell>
          <cell r="K447">
            <v>1000</v>
          </cell>
          <cell r="L447">
            <v>0</v>
          </cell>
          <cell r="M447">
            <v>1600</v>
          </cell>
          <cell r="N447">
            <v>27</v>
          </cell>
          <cell r="O447">
            <v>45000</v>
          </cell>
          <cell r="P447">
            <v>3</v>
          </cell>
          <cell r="Q447">
            <v>81</v>
          </cell>
          <cell r="R447">
            <v>208.33333333333334</v>
          </cell>
          <cell r="S447">
            <v>16875</v>
          </cell>
          <cell r="T447">
            <v>75975</v>
          </cell>
          <cell r="U447">
            <v>201</v>
          </cell>
          <cell r="V447">
            <v>6000</v>
          </cell>
          <cell r="W447">
            <v>0</v>
          </cell>
          <cell r="X447">
            <v>6201</v>
          </cell>
          <cell r="Y447">
            <v>69774</v>
          </cell>
        </row>
        <row r="448">
          <cell r="A448" t="str">
            <v>EMP447</v>
          </cell>
          <cell r="B448" t="str">
            <v>Name 447</v>
          </cell>
          <cell r="C448" t="str">
            <v>Accountant</v>
          </cell>
          <cell r="D448">
            <v>34</v>
          </cell>
          <cell r="E448">
            <v>43845</v>
          </cell>
          <cell r="F448" t="str">
            <v>Night</v>
          </cell>
          <cell r="G448" t="str">
            <v>Name 447@gmail.com</v>
          </cell>
          <cell r="H448">
            <v>70000</v>
          </cell>
          <cell r="I448">
            <v>12600</v>
          </cell>
          <cell r="J448">
            <v>3500</v>
          </cell>
          <cell r="K448">
            <v>1000</v>
          </cell>
          <cell r="L448">
            <v>0</v>
          </cell>
          <cell r="M448">
            <v>1600</v>
          </cell>
          <cell r="N448">
            <v>27</v>
          </cell>
          <cell r="O448">
            <v>63000.000000000007</v>
          </cell>
          <cell r="P448">
            <v>1</v>
          </cell>
          <cell r="Q448">
            <v>27</v>
          </cell>
          <cell r="R448">
            <v>291.66666666666669</v>
          </cell>
          <cell r="S448">
            <v>7875.0000000000009</v>
          </cell>
          <cell r="T448">
            <v>89575</v>
          </cell>
          <cell r="U448">
            <v>202</v>
          </cell>
          <cell r="V448">
            <v>8400</v>
          </cell>
          <cell r="W448">
            <v>0</v>
          </cell>
          <cell r="X448">
            <v>8602</v>
          </cell>
          <cell r="Y448">
            <v>80973</v>
          </cell>
        </row>
        <row r="449">
          <cell r="A449" t="str">
            <v>EMP448</v>
          </cell>
          <cell r="B449" t="str">
            <v>Name 448</v>
          </cell>
          <cell r="C449" t="str">
            <v>Accountant</v>
          </cell>
          <cell r="D449">
            <v>23</v>
          </cell>
          <cell r="E449">
            <v>43846</v>
          </cell>
          <cell r="F449" t="str">
            <v>Night</v>
          </cell>
          <cell r="G449" t="str">
            <v>Name 448@gmail.com</v>
          </cell>
          <cell r="H449">
            <v>34000</v>
          </cell>
          <cell r="I449">
            <v>6120</v>
          </cell>
          <cell r="J449">
            <v>1700</v>
          </cell>
          <cell r="K449">
            <v>1000</v>
          </cell>
          <cell r="L449">
            <v>2000</v>
          </cell>
          <cell r="M449">
            <v>1600</v>
          </cell>
          <cell r="N449">
            <v>30</v>
          </cell>
          <cell r="O449">
            <v>34000</v>
          </cell>
          <cell r="P449">
            <v>2</v>
          </cell>
          <cell r="Q449">
            <v>60</v>
          </cell>
          <cell r="R449">
            <v>141.66666666666666</v>
          </cell>
          <cell r="S449">
            <v>8500</v>
          </cell>
          <cell r="T449">
            <v>54920</v>
          </cell>
          <cell r="U449">
            <v>203</v>
          </cell>
          <cell r="V449">
            <v>4080</v>
          </cell>
          <cell r="W449">
            <v>0</v>
          </cell>
          <cell r="X449">
            <v>4283</v>
          </cell>
          <cell r="Y449">
            <v>50637</v>
          </cell>
        </row>
        <row r="450">
          <cell r="A450" t="str">
            <v>EMP449</v>
          </cell>
          <cell r="B450" t="str">
            <v>Name 449</v>
          </cell>
          <cell r="C450" t="str">
            <v>Accountant</v>
          </cell>
          <cell r="D450">
            <v>34</v>
          </cell>
          <cell r="E450">
            <v>43847</v>
          </cell>
          <cell r="F450" t="str">
            <v>Night</v>
          </cell>
          <cell r="G450" t="str">
            <v>Name 449@gmail.com</v>
          </cell>
          <cell r="H450">
            <v>45000</v>
          </cell>
          <cell r="I450">
            <v>8100</v>
          </cell>
          <cell r="J450">
            <v>2250</v>
          </cell>
          <cell r="K450">
            <v>1000</v>
          </cell>
          <cell r="L450">
            <v>5000</v>
          </cell>
          <cell r="M450">
            <v>1600</v>
          </cell>
          <cell r="N450">
            <v>30</v>
          </cell>
          <cell r="O450">
            <v>45000</v>
          </cell>
          <cell r="P450">
            <v>0</v>
          </cell>
          <cell r="Q450">
            <v>0</v>
          </cell>
          <cell r="R450">
            <v>187.5</v>
          </cell>
          <cell r="S450">
            <v>0</v>
          </cell>
          <cell r="T450">
            <v>62950</v>
          </cell>
          <cell r="U450">
            <v>204</v>
          </cell>
          <cell r="V450">
            <v>5400</v>
          </cell>
          <cell r="W450">
            <v>4000</v>
          </cell>
          <cell r="X450">
            <v>9604</v>
          </cell>
          <cell r="Y450">
            <v>53346</v>
          </cell>
        </row>
        <row r="451">
          <cell r="A451" t="str">
            <v>EMP450</v>
          </cell>
          <cell r="B451" t="str">
            <v>Name 450</v>
          </cell>
          <cell r="C451" t="str">
            <v>Accountant</v>
          </cell>
          <cell r="D451">
            <v>23</v>
          </cell>
          <cell r="E451">
            <v>43848</v>
          </cell>
          <cell r="F451" t="str">
            <v>Night</v>
          </cell>
          <cell r="G451" t="str">
            <v>Name 450@gmail.com</v>
          </cell>
          <cell r="H451">
            <v>55000</v>
          </cell>
          <cell r="I451">
            <v>9900</v>
          </cell>
          <cell r="J451">
            <v>2750</v>
          </cell>
          <cell r="K451">
            <v>1000</v>
          </cell>
          <cell r="L451">
            <v>0</v>
          </cell>
          <cell r="M451">
            <v>1600</v>
          </cell>
          <cell r="N451">
            <v>30</v>
          </cell>
          <cell r="O451">
            <v>55000</v>
          </cell>
          <cell r="P451">
            <v>1</v>
          </cell>
          <cell r="Q451">
            <v>30</v>
          </cell>
          <cell r="R451">
            <v>229.16666666666666</v>
          </cell>
          <cell r="S451">
            <v>6875</v>
          </cell>
          <cell r="T451">
            <v>77125</v>
          </cell>
          <cell r="U451">
            <v>205</v>
          </cell>
          <cell r="V451">
            <v>6600</v>
          </cell>
          <cell r="W451">
            <v>0</v>
          </cell>
          <cell r="X451">
            <v>6805</v>
          </cell>
          <cell r="Y451">
            <v>70320</v>
          </cell>
        </row>
        <row r="452">
          <cell r="A452" t="str">
            <v>EMP451</v>
          </cell>
          <cell r="B452" t="str">
            <v>Name 451</v>
          </cell>
          <cell r="C452" t="str">
            <v>Manager</v>
          </cell>
          <cell r="D452">
            <v>34</v>
          </cell>
          <cell r="E452">
            <v>43849</v>
          </cell>
          <cell r="F452" t="str">
            <v>Day</v>
          </cell>
          <cell r="G452" t="str">
            <v>Name 451@gmail.com</v>
          </cell>
          <cell r="H452">
            <v>43000</v>
          </cell>
          <cell r="I452">
            <v>7740</v>
          </cell>
          <cell r="J452">
            <v>2150</v>
          </cell>
          <cell r="K452">
            <v>1000</v>
          </cell>
          <cell r="L452">
            <v>0</v>
          </cell>
          <cell r="M452">
            <v>1600</v>
          </cell>
          <cell r="N452">
            <v>27</v>
          </cell>
          <cell r="O452">
            <v>38700</v>
          </cell>
          <cell r="P452">
            <v>1</v>
          </cell>
          <cell r="Q452">
            <v>27</v>
          </cell>
          <cell r="R452">
            <v>179.16666666666666</v>
          </cell>
          <cell r="S452">
            <v>4837.5</v>
          </cell>
          <cell r="T452">
            <v>56027.5</v>
          </cell>
          <cell r="U452">
            <v>200</v>
          </cell>
          <cell r="V452">
            <v>5160</v>
          </cell>
          <cell r="W452">
            <v>0</v>
          </cell>
          <cell r="X452">
            <v>5360</v>
          </cell>
          <cell r="Y452">
            <v>50667.5</v>
          </cell>
        </row>
        <row r="453">
          <cell r="A453" t="str">
            <v>EMP452</v>
          </cell>
          <cell r="B453" t="str">
            <v>Name 452</v>
          </cell>
          <cell r="C453" t="str">
            <v>Clerk</v>
          </cell>
          <cell r="D453">
            <v>45</v>
          </cell>
          <cell r="E453">
            <v>43850</v>
          </cell>
          <cell r="F453" t="str">
            <v>Day</v>
          </cell>
          <cell r="G453" t="str">
            <v>Name 452@gmail.com</v>
          </cell>
          <cell r="H453">
            <v>25000</v>
          </cell>
          <cell r="I453">
            <v>4500</v>
          </cell>
          <cell r="J453">
            <v>1250</v>
          </cell>
          <cell r="K453">
            <v>1000</v>
          </cell>
          <cell r="L453">
            <v>0</v>
          </cell>
          <cell r="M453">
            <v>1600</v>
          </cell>
          <cell r="N453">
            <v>30</v>
          </cell>
          <cell r="O453">
            <v>25000</v>
          </cell>
          <cell r="P453">
            <v>0</v>
          </cell>
          <cell r="Q453">
            <v>0</v>
          </cell>
          <cell r="R453">
            <v>104.16666666666667</v>
          </cell>
          <cell r="S453">
            <v>0</v>
          </cell>
          <cell r="T453">
            <v>33350</v>
          </cell>
          <cell r="U453">
            <v>200</v>
          </cell>
          <cell r="V453">
            <v>3000</v>
          </cell>
          <cell r="W453">
            <v>0</v>
          </cell>
          <cell r="X453">
            <v>3200</v>
          </cell>
          <cell r="Y453">
            <v>30150</v>
          </cell>
        </row>
        <row r="454">
          <cell r="A454" t="str">
            <v>EMP453</v>
          </cell>
          <cell r="B454" t="str">
            <v>Name 453</v>
          </cell>
          <cell r="C454" t="str">
            <v>Accountant</v>
          </cell>
          <cell r="D454">
            <v>54</v>
          </cell>
          <cell r="E454">
            <v>43851</v>
          </cell>
          <cell r="F454" t="str">
            <v>Day</v>
          </cell>
          <cell r="G454" t="str">
            <v>Name 453@gmail.com</v>
          </cell>
          <cell r="H454">
            <v>28000</v>
          </cell>
          <cell r="I454">
            <v>5040</v>
          </cell>
          <cell r="J454">
            <v>1400</v>
          </cell>
          <cell r="K454">
            <v>1000</v>
          </cell>
          <cell r="L454">
            <v>0</v>
          </cell>
          <cell r="M454">
            <v>1600</v>
          </cell>
          <cell r="N454">
            <v>20</v>
          </cell>
          <cell r="O454">
            <v>18666.666666666668</v>
          </cell>
          <cell r="P454">
            <v>0</v>
          </cell>
          <cell r="Q454">
            <v>0</v>
          </cell>
          <cell r="R454">
            <v>116.66666666666667</v>
          </cell>
          <cell r="S454">
            <v>0</v>
          </cell>
          <cell r="T454">
            <v>27706.666666666668</v>
          </cell>
          <cell r="U454">
            <v>200</v>
          </cell>
          <cell r="V454">
            <v>3360</v>
          </cell>
          <cell r="W454">
            <v>0</v>
          </cell>
          <cell r="X454">
            <v>3560</v>
          </cell>
          <cell r="Y454">
            <v>24146.666666666668</v>
          </cell>
        </row>
        <row r="455">
          <cell r="A455" t="str">
            <v>EMP454</v>
          </cell>
          <cell r="B455" t="str">
            <v>Name 454</v>
          </cell>
          <cell r="C455" t="str">
            <v>Manager</v>
          </cell>
          <cell r="D455">
            <v>56</v>
          </cell>
          <cell r="E455">
            <v>43852</v>
          </cell>
          <cell r="F455" t="str">
            <v>Day</v>
          </cell>
          <cell r="G455" t="str">
            <v>Name 454@gmail.com</v>
          </cell>
          <cell r="H455">
            <v>40000</v>
          </cell>
          <cell r="I455">
            <v>7200</v>
          </cell>
          <cell r="J455">
            <v>2000</v>
          </cell>
          <cell r="K455">
            <v>1000</v>
          </cell>
          <cell r="L455">
            <v>0</v>
          </cell>
          <cell r="M455">
            <v>1600</v>
          </cell>
          <cell r="N455">
            <v>28</v>
          </cell>
          <cell r="O455">
            <v>37333.333333333328</v>
          </cell>
          <cell r="P455">
            <v>2</v>
          </cell>
          <cell r="Q455">
            <v>56</v>
          </cell>
          <cell r="R455">
            <v>166.66666666666666</v>
          </cell>
          <cell r="S455">
            <v>9333.3333333333321</v>
          </cell>
          <cell r="T455">
            <v>58466.666666666657</v>
          </cell>
          <cell r="U455">
            <v>200</v>
          </cell>
          <cell r="V455">
            <v>4800</v>
          </cell>
          <cell r="W455">
            <v>0</v>
          </cell>
          <cell r="X455">
            <v>5000</v>
          </cell>
          <cell r="Y455">
            <v>53466.666666666657</v>
          </cell>
        </row>
        <row r="456">
          <cell r="A456" t="str">
            <v>EMP455</v>
          </cell>
          <cell r="B456" t="str">
            <v>Name 455</v>
          </cell>
          <cell r="C456" t="str">
            <v>Manager</v>
          </cell>
          <cell r="D456">
            <v>54</v>
          </cell>
          <cell r="E456">
            <v>43853</v>
          </cell>
          <cell r="F456" t="str">
            <v>Day</v>
          </cell>
          <cell r="G456" t="str">
            <v>Name 455@gmail.com</v>
          </cell>
          <cell r="H456">
            <v>32000</v>
          </cell>
          <cell r="I456">
            <v>5760</v>
          </cell>
          <cell r="J456">
            <v>1600</v>
          </cell>
          <cell r="K456">
            <v>1000</v>
          </cell>
          <cell r="L456">
            <v>0</v>
          </cell>
          <cell r="M456">
            <v>1600</v>
          </cell>
          <cell r="N456">
            <v>30</v>
          </cell>
          <cell r="O456">
            <v>32000.000000000004</v>
          </cell>
          <cell r="P456">
            <v>1</v>
          </cell>
          <cell r="Q456">
            <v>30</v>
          </cell>
          <cell r="R456">
            <v>133.33333333333334</v>
          </cell>
          <cell r="S456">
            <v>4000.0000000000005</v>
          </cell>
          <cell r="T456">
            <v>45960</v>
          </cell>
          <cell r="U456">
            <v>200</v>
          </cell>
          <cell r="V456">
            <v>3840</v>
          </cell>
          <cell r="W456">
            <v>5000</v>
          </cell>
          <cell r="X456">
            <v>9040</v>
          </cell>
          <cell r="Y456">
            <v>36920</v>
          </cell>
        </row>
        <row r="457">
          <cell r="A457" t="str">
            <v>EMP456</v>
          </cell>
          <cell r="B457" t="str">
            <v>Name 456</v>
          </cell>
          <cell r="C457" t="str">
            <v>Clerk</v>
          </cell>
          <cell r="D457">
            <v>34</v>
          </cell>
          <cell r="E457">
            <v>43854</v>
          </cell>
          <cell r="F457" t="str">
            <v>Day</v>
          </cell>
          <cell r="G457" t="str">
            <v>Name 456@gmail.com</v>
          </cell>
          <cell r="H457">
            <v>28000</v>
          </cell>
          <cell r="I457">
            <v>5040</v>
          </cell>
          <cell r="J457">
            <v>1400</v>
          </cell>
          <cell r="K457">
            <v>1000</v>
          </cell>
          <cell r="L457">
            <v>0</v>
          </cell>
          <cell r="M457">
            <v>1600</v>
          </cell>
          <cell r="N457">
            <v>29</v>
          </cell>
          <cell r="O457">
            <v>27066.666666666668</v>
          </cell>
          <cell r="P457">
            <v>1</v>
          </cell>
          <cell r="Q457">
            <v>29</v>
          </cell>
          <cell r="R457">
            <v>116.66666666666667</v>
          </cell>
          <cell r="S457">
            <v>3383.3333333333335</v>
          </cell>
          <cell r="T457">
            <v>39490.000000000007</v>
          </cell>
          <cell r="U457">
            <v>200</v>
          </cell>
          <cell r="V457">
            <v>3360</v>
          </cell>
          <cell r="W457">
            <v>0</v>
          </cell>
          <cell r="X457">
            <v>3560</v>
          </cell>
          <cell r="Y457">
            <v>35930.000000000007</v>
          </cell>
        </row>
        <row r="458">
          <cell r="A458" t="str">
            <v>EMP457</v>
          </cell>
          <cell r="B458" t="str">
            <v>Name 457</v>
          </cell>
          <cell r="C458" t="str">
            <v>Accountant</v>
          </cell>
          <cell r="D458">
            <v>23</v>
          </cell>
          <cell r="E458">
            <v>43831</v>
          </cell>
          <cell r="F458" t="str">
            <v>Night</v>
          </cell>
          <cell r="G458" t="str">
            <v>Name 457@gmail.com</v>
          </cell>
          <cell r="H458">
            <v>44000</v>
          </cell>
          <cell r="I458">
            <v>7920</v>
          </cell>
          <cell r="J458">
            <v>2200</v>
          </cell>
          <cell r="K458">
            <v>1000</v>
          </cell>
          <cell r="L458">
            <v>0</v>
          </cell>
          <cell r="M458">
            <v>1600</v>
          </cell>
          <cell r="N458">
            <v>28</v>
          </cell>
          <cell r="O458">
            <v>41066.666666666672</v>
          </cell>
          <cell r="P458">
            <v>1</v>
          </cell>
          <cell r="Q458">
            <v>28</v>
          </cell>
          <cell r="R458">
            <v>183.33333333333334</v>
          </cell>
          <cell r="S458">
            <v>5133.3333333333339</v>
          </cell>
          <cell r="T458">
            <v>58920.000000000007</v>
          </cell>
          <cell r="U458">
            <v>200</v>
          </cell>
          <cell r="V458">
            <v>5280</v>
          </cell>
          <cell r="W458">
            <v>0</v>
          </cell>
          <cell r="X458">
            <v>5480</v>
          </cell>
          <cell r="Y458">
            <v>53440.000000000007</v>
          </cell>
        </row>
        <row r="459">
          <cell r="A459" t="str">
            <v>EMP458</v>
          </cell>
          <cell r="B459" t="str">
            <v>Name 458</v>
          </cell>
          <cell r="C459" t="str">
            <v>Manager</v>
          </cell>
          <cell r="D459">
            <v>34</v>
          </cell>
          <cell r="E459">
            <v>43832</v>
          </cell>
          <cell r="F459" t="str">
            <v>Day</v>
          </cell>
          <cell r="G459" t="str">
            <v>Name 458@gmail.com</v>
          </cell>
          <cell r="H459">
            <v>25000</v>
          </cell>
          <cell r="I459">
            <v>4500</v>
          </cell>
          <cell r="J459">
            <v>1250</v>
          </cell>
          <cell r="K459">
            <v>1000</v>
          </cell>
          <cell r="L459">
            <v>0</v>
          </cell>
          <cell r="M459">
            <v>1600</v>
          </cell>
          <cell r="N459">
            <v>27</v>
          </cell>
          <cell r="O459">
            <v>22500</v>
          </cell>
          <cell r="P459">
            <v>1</v>
          </cell>
          <cell r="Q459">
            <v>27</v>
          </cell>
          <cell r="R459">
            <v>104.16666666666667</v>
          </cell>
          <cell r="S459">
            <v>2812.5</v>
          </cell>
          <cell r="T459">
            <v>33662.5</v>
          </cell>
          <cell r="U459">
            <v>200</v>
          </cell>
          <cell r="V459">
            <v>3000</v>
          </cell>
          <cell r="W459">
            <v>0</v>
          </cell>
          <cell r="X459">
            <v>3200</v>
          </cell>
          <cell r="Y459">
            <v>30462.5</v>
          </cell>
        </row>
        <row r="460">
          <cell r="A460" t="str">
            <v>EMP459</v>
          </cell>
          <cell r="B460" t="str">
            <v>Name 459</v>
          </cell>
          <cell r="C460" t="str">
            <v>Accountant</v>
          </cell>
          <cell r="D460">
            <v>43</v>
          </cell>
          <cell r="E460">
            <v>43833</v>
          </cell>
          <cell r="F460" t="str">
            <v>Day</v>
          </cell>
          <cell r="G460" t="str">
            <v>Name 459@gmail.com</v>
          </cell>
          <cell r="H460">
            <v>50000</v>
          </cell>
          <cell r="I460">
            <v>9000</v>
          </cell>
          <cell r="J460">
            <v>2500</v>
          </cell>
          <cell r="K460">
            <v>1000</v>
          </cell>
          <cell r="L460">
            <v>0</v>
          </cell>
          <cell r="M460">
            <v>1600</v>
          </cell>
          <cell r="N460">
            <v>27</v>
          </cell>
          <cell r="O460">
            <v>45000</v>
          </cell>
          <cell r="P460">
            <v>3</v>
          </cell>
          <cell r="Q460">
            <v>81</v>
          </cell>
          <cell r="R460">
            <v>208.33333333333334</v>
          </cell>
          <cell r="S460">
            <v>16875</v>
          </cell>
          <cell r="T460">
            <v>75975</v>
          </cell>
          <cell r="U460">
            <v>201</v>
          </cell>
          <cell r="V460">
            <v>6000</v>
          </cell>
          <cell r="W460">
            <v>0</v>
          </cell>
          <cell r="X460">
            <v>6201</v>
          </cell>
          <cell r="Y460">
            <v>69774</v>
          </cell>
        </row>
        <row r="461">
          <cell r="A461" t="str">
            <v>EMP460</v>
          </cell>
          <cell r="B461" t="str">
            <v>Name 460</v>
          </cell>
          <cell r="C461" t="str">
            <v>Accountant</v>
          </cell>
          <cell r="D461">
            <v>34</v>
          </cell>
          <cell r="E461">
            <v>43834</v>
          </cell>
          <cell r="F461" t="str">
            <v>Night</v>
          </cell>
          <cell r="G461" t="str">
            <v>Name 460@gmail.com</v>
          </cell>
          <cell r="H461">
            <v>70000</v>
          </cell>
          <cell r="I461">
            <v>12600</v>
          </cell>
          <cell r="J461">
            <v>3500</v>
          </cell>
          <cell r="K461">
            <v>1000</v>
          </cell>
          <cell r="L461">
            <v>0</v>
          </cell>
          <cell r="M461">
            <v>1600</v>
          </cell>
          <cell r="N461">
            <v>27</v>
          </cell>
          <cell r="O461">
            <v>63000.000000000007</v>
          </cell>
          <cell r="P461">
            <v>1</v>
          </cell>
          <cell r="Q461">
            <v>27</v>
          </cell>
          <cell r="R461">
            <v>291.66666666666669</v>
          </cell>
          <cell r="S461">
            <v>7875.0000000000009</v>
          </cell>
          <cell r="T461">
            <v>89575</v>
          </cell>
          <cell r="U461">
            <v>202</v>
          </cell>
          <cell r="V461">
            <v>8400</v>
          </cell>
          <cell r="W461">
            <v>0</v>
          </cell>
          <cell r="X461">
            <v>8602</v>
          </cell>
          <cell r="Y461">
            <v>80973</v>
          </cell>
        </row>
        <row r="462">
          <cell r="A462" t="str">
            <v>EMP461</v>
          </cell>
          <cell r="B462" t="str">
            <v>Name 461</v>
          </cell>
          <cell r="C462" t="str">
            <v>Accountant</v>
          </cell>
          <cell r="D462">
            <v>43</v>
          </cell>
          <cell r="E462">
            <v>43835</v>
          </cell>
          <cell r="F462" t="str">
            <v>Night</v>
          </cell>
          <cell r="G462" t="str">
            <v>Name 461@gmail.com</v>
          </cell>
          <cell r="H462">
            <v>34000</v>
          </cell>
          <cell r="I462">
            <v>6120</v>
          </cell>
          <cell r="J462">
            <v>1700</v>
          </cell>
          <cell r="K462">
            <v>1000</v>
          </cell>
          <cell r="L462">
            <v>2000</v>
          </cell>
          <cell r="M462">
            <v>1600</v>
          </cell>
          <cell r="N462">
            <v>30</v>
          </cell>
          <cell r="O462">
            <v>34000</v>
          </cell>
          <cell r="P462">
            <v>2</v>
          </cell>
          <cell r="Q462">
            <v>60</v>
          </cell>
          <cell r="R462">
            <v>141.66666666666666</v>
          </cell>
          <cell r="S462">
            <v>8500</v>
          </cell>
          <cell r="T462">
            <v>54920</v>
          </cell>
          <cell r="U462">
            <v>203</v>
          </cell>
          <cell r="V462">
            <v>4080</v>
          </cell>
          <cell r="W462">
            <v>0</v>
          </cell>
          <cell r="X462">
            <v>4283</v>
          </cell>
          <cell r="Y462">
            <v>50637</v>
          </cell>
        </row>
        <row r="463">
          <cell r="A463" t="str">
            <v>EMP462</v>
          </cell>
          <cell r="B463" t="str">
            <v>Name 462</v>
          </cell>
          <cell r="C463" t="str">
            <v>Accountant</v>
          </cell>
          <cell r="D463">
            <v>23</v>
          </cell>
          <cell r="E463">
            <v>43836</v>
          </cell>
          <cell r="F463" t="str">
            <v>Night</v>
          </cell>
          <cell r="G463" t="str">
            <v>Name 462@gmail.com</v>
          </cell>
          <cell r="H463">
            <v>45000</v>
          </cell>
          <cell r="I463">
            <v>8100</v>
          </cell>
          <cell r="J463">
            <v>2250</v>
          </cell>
          <cell r="K463">
            <v>1000</v>
          </cell>
          <cell r="L463">
            <v>5000</v>
          </cell>
          <cell r="M463">
            <v>1600</v>
          </cell>
          <cell r="N463">
            <v>30</v>
          </cell>
          <cell r="O463">
            <v>45000</v>
          </cell>
          <cell r="P463">
            <v>0</v>
          </cell>
          <cell r="Q463">
            <v>0</v>
          </cell>
          <cell r="R463">
            <v>187.5</v>
          </cell>
          <cell r="S463">
            <v>0</v>
          </cell>
          <cell r="T463">
            <v>62950</v>
          </cell>
          <cell r="U463">
            <v>204</v>
          </cell>
          <cell r="V463">
            <v>5400</v>
          </cell>
          <cell r="W463">
            <v>4000</v>
          </cell>
          <cell r="X463">
            <v>9604</v>
          </cell>
          <cell r="Y463">
            <v>53346</v>
          </cell>
        </row>
        <row r="464">
          <cell r="A464" t="str">
            <v>EMP463</v>
          </cell>
          <cell r="B464" t="str">
            <v>Name 463</v>
          </cell>
          <cell r="C464" t="str">
            <v>Accountant</v>
          </cell>
          <cell r="D464">
            <v>34</v>
          </cell>
          <cell r="E464">
            <v>43837</v>
          </cell>
          <cell r="F464" t="str">
            <v>Night</v>
          </cell>
          <cell r="G464" t="str">
            <v>Name 463@gmail.com</v>
          </cell>
          <cell r="H464">
            <v>55000</v>
          </cell>
          <cell r="I464">
            <v>9900</v>
          </cell>
          <cell r="J464">
            <v>2750</v>
          </cell>
          <cell r="K464">
            <v>1000</v>
          </cell>
          <cell r="L464">
            <v>5000</v>
          </cell>
          <cell r="M464">
            <v>1600</v>
          </cell>
          <cell r="N464">
            <v>30</v>
          </cell>
          <cell r="O464">
            <v>55000</v>
          </cell>
          <cell r="P464">
            <v>1</v>
          </cell>
          <cell r="Q464">
            <v>30</v>
          </cell>
          <cell r="R464">
            <v>229.16666666666666</v>
          </cell>
          <cell r="S464">
            <v>6875</v>
          </cell>
          <cell r="T464">
            <v>82125</v>
          </cell>
          <cell r="U464">
            <v>205</v>
          </cell>
          <cell r="V464">
            <v>6600</v>
          </cell>
          <cell r="W464">
            <v>0</v>
          </cell>
          <cell r="X464">
            <v>6805</v>
          </cell>
          <cell r="Y464">
            <v>75320</v>
          </cell>
        </row>
        <row r="465">
          <cell r="A465" t="str">
            <v>EMP464</v>
          </cell>
          <cell r="B465" t="str">
            <v>Name 464</v>
          </cell>
          <cell r="C465" t="str">
            <v>Manager</v>
          </cell>
          <cell r="D465">
            <v>23</v>
          </cell>
          <cell r="E465">
            <v>43838</v>
          </cell>
          <cell r="F465" t="str">
            <v>Day</v>
          </cell>
          <cell r="G465" t="str">
            <v>Name 464@gmail.com</v>
          </cell>
          <cell r="H465">
            <v>43000</v>
          </cell>
          <cell r="I465">
            <v>7740</v>
          </cell>
          <cell r="J465">
            <v>2150</v>
          </cell>
          <cell r="K465">
            <v>1000</v>
          </cell>
          <cell r="L465">
            <v>5000</v>
          </cell>
          <cell r="M465">
            <v>1600</v>
          </cell>
          <cell r="N465">
            <v>27</v>
          </cell>
          <cell r="O465">
            <v>38700</v>
          </cell>
          <cell r="P465">
            <v>1</v>
          </cell>
          <cell r="Q465">
            <v>27</v>
          </cell>
          <cell r="R465">
            <v>179.16666666666666</v>
          </cell>
          <cell r="S465">
            <v>4837.5</v>
          </cell>
          <cell r="T465">
            <v>61027.5</v>
          </cell>
          <cell r="U465">
            <v>200</v>
          </cell>
          <cell r="V465">
            <v>5160</v>
          </cell>
          <cell r="W465">
            <v>0</v>
          </cell>
          <cell r="X465">
            <v>5360</v>
          </cell>
          <cell r="Y465">
            <v>55667.5</v>
          </cell>
        </row>
        <row r="466">
          <cell r="A466" t="str">
            <v>EMP465</v>
          </cell>
          <cell r="B466" t="str">
            <v>Name 465</v>
          </cell>
          <cell r="C466" t="str">
            <v>Clerk</v>
          </cell>
          <cell r="D466">
            <v>34</v>
          </cell>
          <cell r="E466">
            <v>43839</v>
          </cell>
          <cell r="F466" t="str">
            <v>Day</v>
          </cell>
          <cell r="G466" t="str">
            <v>Name 465@gmail.com</v>
          </cell>
          <cell r="H466">
            <v>25000</v>
          </cell>
          <cell r="I466">
            <v>4500</v>
          </cell>
          <cell r="J466">
            <v>1250</v>
          </cell>
          <cell r="K466">
            <v>1000</v>
          </cell>
          <cell r="L466">
            <v>5000</v>
          </cell>
          <cell r="M466">
            <v>1600</v>
          </cell>
          <cell r="N466">
            <v>30</v>
          </cell>
          <cell r="O466">
            <v>25000</v>
          </cell>
          <cell r="P466">
            <v>0</v>
          </cell>
          <cell r="Q466">
            <v>0</v>
          </cell>
          <cell r="R466">
            <v>104.16666666666667</v>
          </cell>
          <cell r="S466">
            <v>0</v>
          </cell>
          <cell r="T466">
            <v>38350</v>
          </cell>
          <cell r="U466">
            <v>200</v>
          </cell>
          <cell r="V466">
            <v>3000</v>
          </cell>
          <cell r="W466">
            <v>0</v>
          </cell>
          <cell r="X466">
            <v>3200</v>
          </cell>
          <cell r="Y466">
            <v>35150</v>
          </cell>
        </row>
        <row r="467">
          <cell r="A467" t="str">
            <v>EMP466</v>
          </cell>
          <cell r="B467" t="str">
            <v>Name 466</v>
          </cell>
          <cell r="C467" t="str">
            <v>Accountant</v>
          </cell>
          <cell r="D467">
            <v>23</v>
          </cell>
          <cell r="E467">
            <v>43840</v>
          </cell>
          <cell r="F467" t="str">
            <v>Day</v>
          </cell>
          <cell r="G467" t="str">
            <v>Name 466@gmail.com</v>
          </cell>
          <cell r="H467">
            <v>28000</v>
          </cell>
          <cell r="I467">
            <v>5040</v>
          </cell>
          <cell r="J467">
            <v>1400</v>
          </cell>
          <cell r="K467">
            <v>1000</v>
          </cell>
          <cell r="L467">
            <v>5000</v>
          </cell>
          <cell r="M467">
            <v>1600</v>
          </cell>
          <cell r="N467">
            <v>20</v>
          </cell>
          <cell r="O467">
            <v>18666.666666666668</v>
          </cell>
          <cell r="P467">
            <v>0</v>
          </cell>
          <cell r="Q467">
            <v>0</v>
          </cell>
          <cell r="R467">
            <v>116.66666666666667</v>
          </cell>
          <cell r="S467">
            <v>0</v>
          </cell>
          <cell r="T467">
            <v>32706.666666666668</v>
          </cell>
          <cell r="U467">
            <v>200</v>
          </cell>
          <cell r="V467">
            <v>3360</v>
          </cell>
          <cell r="W467">
            <v>0</v>
          </cell>
          <cell r="X467">
            <v>3560</v>
          </cell>
          <cell r="Y467">
            <v>29146.666666666668</v>
          </cell>
        </row>
        <row r="468">
          <cell r="A468" t="str">
            <v>EMP467</v>
          </cell>
          <cell r="B468" t="str">
            <v>Name 467</v>
          </cell>
          <cell r="C468" t="str">
            <v>Manager</v>
          </cell>
          <cell r="D468">
            <v>34</v>
          </cell>
          <cell r="E468">
            <v>43841</v>
          </cell>
          <cell r="F468" t="str">
            <v>Day</v>
          </cell>
          <cell r="G468" t="str">
            <v>Name 467@gmail.com</v>
          </cell>
          <cell r="H468">
            <v>40000</v>
          </cell>
          <cell r="I468">
            <v>7200</v>
          </cell>
          <cell r="J468">
            <v>2000</v>
          </cell>
          <cell r="K468">
            <v>1000</v>
          </cell>
          <cell r="L468">
            <v>5000</v>
          </cell>
          <cell r="M468">
            <v>1600</v>
          </cell>
          <cell r="N468">
            <v>28</v>
          </cell>
          <cell r="O468">
            <v>37333.333333333328</v>
          </cell>
          <cell r="P468">
            <v>2</v>
          </cell>
          <cell r="Q468">
            <v>56</v>
          </cell>
          <cell r="R468">
            <v>166.66666666666666</v>
          </cell>
          <cell r="S468">
            <v>9333.3333333333321</v>
          </cell>
          <cell r="T468">
            <v>63466.666666666657</v>
          </cell>
          <cell r="U468">
            <v>200</v>
          </cell>
          <cell r="V468">
            <v>4800</v>
          </cell>
          <cell r="W468">
            <v>0</v>
          </cell>
          <cell r="X468">
            <v>5000</v>
          </cell>
          <cell r="Y468">
            <v>58466.666666666657</v>
          </cell>
        </row>
        <row r="469">
          <cell r="A469" t="str">
            <v>EMP468</v>
          </cell>
          <cell r="B469" t="str">
            <v>Name 468</v>
          </cell>
          <cell r="C469" t="str">
            <v>Manager</v>
          </cell>
          <cell r="D469">
            <v>45</v>
          </cell>
          <cell r="E469">
            <v>43842</v>
          </cell>
          <cell r="F469" t="str">
            <v>Day</v>
          </cell>
          <cell r="G469" t="str">
            <v>Name 468@gmail.com</v>
          </cell>
          <cell r="H469">
            <v>32000</v>
          </cell>
          <cell r="I469">
            <v>5760</v>
          </cell>
          <cell r="J469">
            <v>1600</v>
          </cell>
          <cell r="K469">
            <v>1000</v>
          </cell>
          <cell r="L469">
            <v>5000</v>
          </cell>
          <cell r="M469">
            <v>1600</v>
          </cell>
          <cell r="N469">
            <v>30</v>
          </cell>
          <cell r="O469">
            <v>32000.000000000004</v>
          </cell>
          <cell r="P469">
            <v>1</v>
          </cell>
          <cell r="Q469">
            <v>30</v>
          </cell>
          <cell r="R469">
            <v>133.33333333333334</v>
          </cell>
          <cell r="S469">
            <v>4000.0000000000005</v>
          </cell>
          <cell r="T469">
            <v>50960</v>
          </cell>
          <cell r="U469">
            <v>200</v>
          </cell>
          <cell r="V469">
            <v>3840</v>
          </cell>
          <cell r="W469">
            <v>5000</v>
          </cell>
          <cell r="X469">
            <v>9040</v>
          </cell>
          <cell r="Y469">
            <v>41920</v>
          </cell>
        </row>
        <row r="470">
          <cell r="A470" t="str">
            <v>EMP469</v>
          </cell>
          <cell r="B470" t="str">
            <v>Name 469</v>
          </cell>
          <cell r="C470" t="str">
            <v>Clerk</v>
          </cell>
          <cell r="D470">
            <v>54</v>
          </cell>
          <cell r="E470">
            <v>43843</v>
          </cell>
          <cell r="F470" t="str">
            <v>Day</v>
          </cell>
          <cell r="G470" t="str">
            <v>Name 469@gmail.com</v>
          </cell>
          <cell r="H470">
            <v>28000</v>
          </cell>
          <cell r="I470">
            <v>5040</v>
          </cell>
          <cell r="J470">
            <v>1400</v>
          </cell>
          <cell r="K470">
            <v>1000</v>
          </cell>
          <cell r="L470">
            <v>5000</v>
          </cell>
          <cell r="M470">
            <v>1600</v>
          </cell>
          <cell r="N470">
            <v>29</v>
          </cell>
          <cell r="O470">
            <v>27066.666666666668</v>
          </cell>
          <cell r="P470">
            <v>1</v>
          </cell>
          <cell r="Q470">
            <v>29</v>
          </cell>
          <cell r="R470">
            <v>116.66666666666667</v>
          </cell>
          <cell r="S470">
            <v>3383.3333333333335</v>
          </cell>
          <cell r="T470">
            <v>44490.000000000007</v>
          </cell>
          <cell r="U470">
            <v>200</v>
          </cell>
          <cell r="V470">
            <v>3360</v>
          </cell>
          <cell r="W470">
            <v>0</v>
          </cell>
          <cell r="X470">
            <v>3560</v>
          </cell>
          <cell r="Y470">
            <v>40930.000000000007</v>
          </cell>
        </row>
        <row r="471">
          <cell r="A471" t="str">
            <v>EMP470</v>
          </cell>
          <cell r="B471" t="str">
            <v>Name 470</v>
          </cell>
          <cell r="C471" t="str">
            <v>Accountant</v>
          </cell>
          <cell r="D471">
            <v>56</v>
          </cell>
          <cell r="E471">
            <v>43844</v>
          </cell>
          <cell r="F471" t="str">
            <v>Night</v>
          </cell>
          <cell r="G471" t="str">
            <v>Name 470@gmail.com</v>
          </cell>
          <cell r="H471">
            <v>44000</v>
          </cell>
          <cell r="I471">
            <v>7920</v>
          </cell>
          <cell r="J471">
            <v>2200</v>
          </cell>
          <cell r="K471">
            <v>1000</v>
          </cell>
          <cell r="L471">
            <v>5000</v>
          </cell>
          <cell r="M471">
            <v>1600</v>
          </cell>
          <cell r="N471">
            <v>28</v>
          </cell>
          <cell r="O471">
            <v>41066.666666666672</v>
          </cell>
          <cell r="P471">
            <v>1</v>
          </cell>
          <cell r="Q471">
            <v>28</v>
          </cell>
          <cell r="R471">
            <v>183.33333333333334</v>
          </cell>
          <cell r="S471">
            <v>5133.3333333333339</v>
          </cell>
          <cell r="T471">
            <v>63920.000000000007</v>
          </cell>
          <cell r="U471">
            <v>200</v>
          </cell>
          <cell r="V471">
            <v>5280</v>
          </cell>
          <cell r="W471">
            <v>0</v>
          </cell>
          <cell r="X471">
            <v>5480</v>
          </cell>
          <cell r="Y471">
            <v>58440.000000000007</v>
          </cell>
        </row>
        <row r="472">
          <cell r="A472" t="str">
            <v>EMP471</v>
          </cell>
          <cell r="B472" t="str">
            <v>Name 471</v>
          </cell>
          <cell r="C472" t="str">
            <v>Manager</v>
          </cell>
          <cell r="D472">
            <v>54</v>
          </cell>
          <cell r="E472">
            <v>43845</v>
          </cell>
          <cell r="F472" t="str">
            <v>Day</v>
          </cell>
          <cell r="G472" t="str">
            <v>Name 471@gmail.com</v>
          </cell>
          <cell r="H472">
            <v>25000</v>
          </cell>
          <cell r="I472">
            <v>4500</v>
          </cell>
          <cell r="J472">
            <v>1250</v>
          </cell>
          <cell r="K472">
            <v>1000</v>
          </cell>
          <cell r="L472">
            <v>0</v>
          </cell>
          <cell r="M472">
            <v>1600</v>
          </cell>
          <cell r="N472">
            <v>27</v>
          </cell>
          <cell r="O472">
            <v>22500</v>
          </cell>
          <cell r="P472">
            <v>1</v>
          </cell>
          <cell r="Q472">
            <v>27</v>
          </cell>
          <cell r="R472">
            <v>104.16666666666667</v>
          </cell>
          <cell r="S472">
            <v>2812.5</v>
          </cell>
          <cell r="T472">
            <v>33662.5</v>
          </cell>
          <cell r="U472">
            <v>200</v>
          </cell>
          <cell r="V472">
            <v>3000</v>
          </cell>
          <cell r="W472">
            <v>0</v>
          </cell>
          <cell r="X472">
            <v>3200</v>
          </cell>
          <cell r="Y472">
            <v>30462.5</v>
          </cell>
        </row>
        <row r="473">
          <cell r="A473" t="str">
            <v>EMP472</v>
          </cell>
          <cell r="B473" t="str">
            <v>Name 472</v>
          </cell>
          <cell r="C473" t="str">
            <v>Accountant</v>
          </cell>
          <cell r="D473">
            <v>34</v>
          </cell>
          <cell r="E473">
            <v>43846</v>
          </cell>
          <cell r="F473" t="str">
            <v>Day</v>
          </cell>
          <cell r="G473" t="str">
            <v>Name 472@gmail.com</v>
          </cell>
          <cell r="H473">
            <v>50000</v>
          </cell>
          <cell r="I473">
            <v>9000</v>
          </cell>
          <cell r="J473">
            <v>2500</v>
          </cell>
          <cell r="K473">
            <v>1000</v>
          </cell>
          <cell r="L473">
            <v>0</v>
          </cell>
          <cell r="M473">
            <v>1600</v>
          </cell>
          <cell r="N473">
            <v>27</v>
          </cell>
          <cell r="O473">
            <v>45000</v>
          </cell>
          <cell r="P473">
            <v>3</v>
          </cell>
          <cell r="Q473">
            <v>81</v>
          </cell>
          <cell r="R473">
            <v>208.33333333333334</v>
          </cell>
          <cell r="S473">
            <v>16875</v>
          </cell>
          <cell r="T473">
            <v>75975</v>
          </cell>
          <cell r="U473">
            <v>201</v>
          </cell>
          <cell r="V473">
            <v>6000</v>
          </cell>
          <cell r="W473">
            <v>0</v>
          </cell>
          <cell r="X473">
            <v>6201</v>
          </cell>
          <cell r="Y473">
            <v>69774</v>
          </cell>
        </row>
        <row r="474">
          <cell r="A474" t="str">
            <v>EMP473</v>
          </cell>
          <cell r="B474" t="str">
            <v>Name 473</v>
          </cell>
          <cell r="C474" t="str">
            <v>Accountant</v>
          </cell>
          <cell r="D474">
            <v>23</v>
          </cell>
          <cell r="E474">
            <v>43847</v>
          </cell>
          <cell r="F474" t="str">
            <v>Night</v>
          </cell>
          <cell r="G474" t="str">
            <v>Name 473@gmail.com</v>
          </cell>
          <cell r="H474">
            <v>70000</v>
          </cell>
          <cell r="I474">
            <v>12600</v>
          </cell>
          <cell r="J474">
            <v>3500</v>
          </cell>
          <cell r="K474">
            <v>1000</v>
          </cell>
          <cell r="L474">
            <v>0</v>
          </cell>
          <cell r="M474">
            <v>1600</v>
          </cell>
          <cell r="N474">
            <v>27</v>
          </cell>
          <cell r="O474">
            <v>63000.000000000007</v>
          </cell>
          <cell r="P474">
            <v>1</v>
          </cell>
          <cell r="Q474">
            <v>27</v>
          </cell>
          <cell r="R474">
            <v>291.66666666666669</v>
          </cell>
          <cell r="S474">
            <v>7875.0000000000009</v>
          </cell>
          <cell r="T474">
            <v>89575</v>
          </cell>
          <cell r="U474">
            <v>202</v>
          </cell>
          <cell r="V474">
            <v>8400</v>
          </cell>
          <cell r="W474">
            <v>0</v>
          </cell>
          <cell r="X474">
            <v>8602</v>
          </cell>
          <cell r="Y474">
            <v>80973</v>
          </cell>
        </row>
        <row r="475">
          <cell r="A475" t="str">
            <v>EMP474</v>
          </cell>
          <cell r="B475" t="str">
            <v>Name 474</v>
          </cell>
          <cell r="C475" t="str">
            <v>Accountant</v>
          </cell>
          <cell r="D475">
            <v>34</v>
          </cell>
          <cell r="E475">
            <v>43848</v>
          </cell>
          <cell r="F475" t="str">
            <v>Night</v>
          </cell>
          <cell r="G475" t="str">
            <v>Name 474@gmail.com</v>
          </cell>
          <cell r="H475">
            <v>34000</v>
          </cell>
          <cell r="I475">
            <v>6120</v>
          </cell>
          <cell r="J475">
            <v>1700</v>
          </cell>
          <cell r="K475">
            <v>1000</v>
          </cell>
          <cell r="L475">
            <v>2000</v>
          </cell>
          <cell r="M475">
            <v>1600</v>
          </cell>
          <cell r="N475">
            <v>30</v>
          </cell>
          <cell r="O475">
            <v>34000</v>
          </cell>
          <cell r="P475">
            <v>2</v>
          </cell>
          <cell r="Q475">
            <v>60</v>
          </cell>
          <cell r="R475">
            <v>141.66666666666666</v>
          </cell>
          <cell r="S475">
            <v>8500</v>
          </cell>
          <cell r="T475">
            <v>54920</v>
          </cell>
          <cell r="U475">
            <v>203</v>
          </cell>
          <cell r="V475">
            <v>4080</v>
          </cell>
          <cell r="W475">
            <v>0</v>
          </cell>
          <cell r="X475">
            <v>4283</v>
          </cell>
          <cell r="Y475">
            <v>50637</v>
          </cell>
        </row>
        <row r="476">
          <cell r="A476" t="str">
            <v>EMP475</v>
          </cell>
          <cell r="B476" t="str">
            <v>Name 475</v>
          </cell>
          <cell r="C476" t="str">
            <v>Accountant</v>
          </cell>
          <cell r="D476">
            <v>43</v>
          </cell>
          <cell r="E476">
            <v>43849</v>
          </cell>
          <cell r="F476" t="str">
            <v>Night</v>
          </cell>
          <cell r="G476" t="str">
            <v>Name 475@gmail.com</v>
          </cell>
          <cell r="H476">
            <v>45000</v>
          </cell>
          <cell r="I476">
            <v>8100</v>
          </cell>
          <cell r="J476">
            <v>2250</v>
          </cell>
          <cell r="K476">
            <v>1000</v>
          </cell>
          <cell r="L476">
            <v>5000</v>
          </cell>
          <cell r="M476">
            <v>1600</v>
          </cell>
          <cell r="N476">
            <v>30</v>
          </cell>
          <cell r="O476">
            <v>45000</v>
          </cell>
          <cell r="P476">
            <v>0</v>
          </cell>
          <cell r="Q476">
            <v>0</v>
          </cell>
          <cell r="R476">
            <v>187.5</v>
          </cell>
          <cell r="S476">
            <v>0</v>
          </cell>
          <cell r="T476">
            <v>62950</v>
          </cell>
          <cell r="U476">
            <v>204</v>
          </cell>
          <cell r="V476">
            <v>5400</v>
          </cell>
          <cell r="W476">
            <v>4000</v>
          </cell>
          <cell r="X476">
            <v>9604</v>
          </cell>
          <cell r="Y476">
            <v>53346</v>
          </cell>
        </row>
        <row r="477">
          <cell r="A477" t="str">
            <v>EMP476</v>
          </cell>
          <cell r="B477" t="str">
            <v>Name 476</v>
          </cell>
          <cell r="C477" t="str">
            <v>Accountant</v>
          </cell>
          <cell r="D477">
            <v>34</v>
          </cell>
          <cell r="E477">
            <v>43850</v>
          </cell>
          <cell r="F477" t="str">
            <v>Night</v>
          </cell>
          <cell r="G477" t="str">
            <v>Name 476@gmail.com</v>
          </cell>
          <cell r="H477">
            <v>55000</v>
          </cell>
          <cell r="I477">
            <v>9900</v>
          </cell>
          <cell r="J477">
            <v>2750</v>
          </cell>
          <cell r="K477">
            <v>1000</v>
          </cell>
          <cell r="L477">
            <v>0</v>
          </cell>
          <cell r="M477">
            <v>1600</v>
          </cell>
          <cell r="N477">
            <v>30</v>
          </cell>
          <cell r="O477">
            <v>55000</v>
          </cell>
          <cell r="P477">
            <v>1</v>
          </cell>
          <cell r="Q477">
            <v>30</v>
          </cell>
          <cell r="R477">
            <v>229.16666666666666</v>
          </cell>
          <cell r="S477">
            <v>6875</v>
          </cell>
          <cell r="T477">
            <v>77125</v>
          </cell>
          <cell r="U477">
            <v>205</v>
          </cell>
          <cell r="V477">
            <v>6600</v>
          </cell>
          <cell r="W477">
            <v>0</v>
          </cell>
          <cell r="X477">
            <v>6805</v>
          </cell>
          <cell r="Y477">
            <v>70320</v>
          </cell>
        </row>
        <row r="478">
          <cell r="A478" t="str">
            <v>EMP477</v>
          </cell>
          <cell r="B478" t="str">
            <v>Name 477</v>
          </cell>
          <cell r="C478" t="str">
            <v>Manager</v>
          </cell>
          <cell r="D478">
            <v>43</v>
          </cell>
          <cell r="E478">
            <v>43851</v>
          </cell>
          <cell r="F478" t="str">
            <v>Day</v>
          </cell>
          <cell r="G478" t="str">
            <v>Name 477@gmail.com</v>
          </cell>
          <cell r="H478">
            <v>43000</v>
          </cell>
          <cell r="I478">
            <v>7740</v>
          </cell>
          <cell r="J478">
            <v>2150</v>
          </cell>
          <cell r="K478">
            <v>1000</v>
          </cell>
          <cell r="L478">
            <v>0</v>
          </cell>
          <cell r="M478">
            <v>1600</v>
          </cell>
          <cell r="N478">
            <v>27</v>
          </cell>
          <cell r="O478">
            <v>38700</v>
          </cell>
          <cell r="P478">
            <v>1</v>
          </cell>
          <cell r="Q478">
            <v>27</v>
          </cell>
          <cell r="R478">
            <v>179.16666666666666</v>
          </cell>
          <cell r="S478">
            <v>4837.5</v>
          </cell>
          <cell r="T478">
            <v>56027.5</v>
          </cell>
          <cell r="U478">
            <v>200</v>
          </cell>
          <cell r="V478">
            <v>5160</v>
          </cell>
          <cell r="W478">
            <v>0</v>
          </cell>
          <cell r="X478">
            <v>5360</v>
          </cell>
          <cell r="Y478">
            <v>50667.5</v>
          </cell>
        </row>
        <row r="479">
          <cell r="A479" t="str">
            <v>EMP478</v>
          </cell>
          <cell r="B479" t="str">
            <v>Name 478</v>
          </cell>
          <cell r="C479" t="str">
            <v>Clerk</v>
          </cell>
          <cell r="D479">
            <v>23</v>
          </cell>
          <cell r="E479">
            <v>43852</v>
          </cell>
          <cell r="F479" t="str">
            <v>Day</v>
          </cell>
          <cell r="G479" t="str">
            <v>Name 478@gmail.com</v>
          </cell>
          <cell r="H479">
            <v>25000</v>
          </cell>
          <cell r="I479">
            <v>4500</v>
          </cell>
          <cell r="J479">
            <v>1250</v>
          </cell>
          <cell r="K479">
            <v>1000</v>
          </cell>
          <cell r="L479">
            <v>0</v>
          </cell>
          <cell r="M479">
            <v>1600</v>
          </cell>
          <cell r="N479">
            <v>30</v>
          </cell>
          <cell r="O479">
            <v>25000</v>
          </cell>
          <cell r="P479">
            <v>0</v>
          </cell>
          <cell r="Q479">
            <v>0</v>
          </cell>
          <cell r="R479">
            <v>104.16666666666667</v>
          </cell>
          <cell r="S479">
            <v>0</v>
          </cell>
          <cell r="T479">
            <v>33350</v>
          </cell>
          <cell r="U479">
            <v>200</v>
          </cell>
          <cell r="V479">
            <v>3000</v>
          </cell>
          <cell r="W479">
            <v>0</v>
          </cell>
          <cell r="X479">
            <v>3200</v>
          </cell>
          <cell r="Y479">
            <v>30150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3FA55-133E-4758-BD25-DAF62593F3CE}" name="Table2" displayName="Table2" ref="B3:H12" totalsRowShown="0" headerRowDxfId="17" dataDxfId="15" headerRowBorderDxfId="16" tableBorderDxfId="14" totalsRowBorderDxfId="13">
  <autoFilter ref="B3:H12" xr:uid="{A2E3FA55-133E-4758-BD25-DAF62593F3CE}"/>
  <tableColumns count="7">
    <tableColumn id="1" xr3:uid="{3000AA77-FDB6-4142-BAB0-2817CF5ABC08}" name="Order ID" dataDxfId="12"/>
    <tableColumn id="2" xr3:uid="{B86F412A-5316-403D-8B8C-40A0A9FE3C8E}" name="Customer Name" dataDxfId="11"/>
    <tableColumn id="3" xr3:uid="{B5C1C265-455F-4F90-B37A-78D851961273}" name="Cust ID" dataDxfId="10"/>
    <tableColumn id="4" xr3:uid="{D5FBD03A-23F8-4ECC-8F5E-8448DE1D154C}" name="Product Name" dataDxfId="9"/>
    <tableColumn id="5" xr3:uid="{D6C0AD5E-F03F-43DB-85C8-3599DAD74151}" name="Qty" dataDxfId="8"/>
    <tableColumn id="6" xr3:uid="{9E48F603-DE21-4F95-B1AC-3FDF446D50EF}" name="Unit Price" dataDxfId="7"/>
    <tableColumn id="7" xr3:uid="{21772DC5-623E-4115-B197-C1E49CBA7935}" name="Total Sale" dataDxfId="6">
      <calculatedColumnFormula>G4*F4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6CB33-DBB8-4013-8767-4815ADEF547E}" name="Table1" displayName="Table1" ref="G10:I25" totalsRowShown="0">
  <autoFilter ref="G10:I25" xr:uid="{ACD6CB33-DBB8-4013-8767-4815ADEF547E}"/>
  <tableColumns count="3">
    <tableColumn id="1" xr3:uid="{F9F2E792-7409-472B-AC27-D97DE14095F1}" name="Employee" dataDxfId="5"/>
    <tableColumn id="2" xr3:uid="{9961AFFA-F588-4AAE-9837-EA733C260330}" name="Revenue" dataDxfId="4" dataCellStyle="Comma"/>
    <tableColumn id="3" xr3:uid="{2B2EC6AB-6944-4BF8-B151-88FC1F5BD730}" name="Bonus" dataDxfId="3">
      <calculatedColumnFormula>_xlfn.XLOOKUP(Table1[[#This Row],[Revenue]],Table24[Revenue],Table24[Bonus],0,-1)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413B5-9EDA-4F2A-A6DA-B1B66891036B}" name="Table24" displayName="Table24" ref="I2:J6" totalsRowShown="0" headerRowDxfId="2">
  <autoFilter ref="I2:J6" xr:uid="{437413B5-9EDA-4F2A-A6DA-B1B66891036B}"/>
  <tableColumns count="2">
    <tableColumn id="1" xr3:uid="{B549B0AD-9527-4EBC-B292-42EC0FD7714F}" name="Revenue" dataDxfId="1" dataCellStyle="Comma"/>
    <tableColumn id="2" xr3:uid="{C13375C6-5156-4C94-803A-340943B54FE5}" name="Bon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8F2C-96B5-465B-B144-4D5714A0AD50}">
  <dimension ref="B1:I20"/>
  <sheetViews>
    <sheetView zoomScale="60" zoomScaleNormal="60" workbookViewId="0">
      <selection activeCell="C19" sqref="C19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  <col min="9" max="9" width="13.17578125" customWidth="1"/>
  </cols>
  <sheetData>
    <row r="1" spans="2:9" s="13" customFormat="1" ht="47.4" x14ac:dyDescent="0.9">
      <c r="B1" s="12" t="s">
        <v>56</v>
      </c>
    </row>
    <row r="3" spans="2:9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9" x14ac:dyDescent="0.5">
      <c r="B4" s="1" t="s">
        <v>7</v>
      </c>
      <c r="C4" s="1" t="s">
        <v>64</v>
      </c>
      <c r="D4" s="2" t="s">
        <v>8</v>
      </c>
      <c r="E4" s="1" t="s">
        <v>9</v>
      </c>
      <c r="F4" s="1">
        <v>2</v>
      </c>
      <c r="G4" s="3">
        <v>2500</v>
      </c>
      <c r="H4" s="3">
        <f>G4*F4</f>
        <v>5000</v>
      </c>
    </row>
    <row r="5" spans="2:9" x14ac:dyDescent="0.5">
      <c r="B5" s="1" t="s">
        <v>10</v>
      </c>
      <c r="C5" s="1" t="s">
        <v>65</v>
      </c>
      <c r="D5" s="2" t="s">
        <v>11</v>
      </c>
      <c r="E5" s="1" t="s">
        <v>12</v>
      </c>
      <c r="F5" s="1">
        <v>2</v>
      </c>
      <c r="G5" s="3">
        <v>6000</v>
      </c>
      <c r="H5" s="3">
        <f t="shared" ref="H5:H12" si="0">G5*F5</f>
        <v>12000</v>
      </c>
    </row>
    <row r="6" spans="2:9" x14ac:dyDescent="0.5">
      <c r="B6" s="1" t="s">
        <v>13</v>
      </c>
      <c r="C6" s="1" t="s">
        <v>66</v>
      </c>
      <c r="D6" s="2" t="s">
        <v>14</v>
      </c>
      <c r="E6" s="1" t="s">
        <v>15</v>
      </c>
      <c r="F6" s="1">
        <v>1</v>
      </c>
      <c r="G6" s="3">
        <v>15000</v>
      </c>
      <c r="H6" s="3">
        <f t="shared" si="0"/>
        <v>15000</v>
      </c>
    </row>
    <row r="7" spans="2:9" x14ac:dyDescent="0.5">
      <c r="B7" s="1" t="s">
        <v>13</v>
      </c>
      <c r="C7" s="1" t="s">
        <v>67</v>
      </c>
      <c r="D7" s="2" t="s">
        <v>16</v>
      </c>
      <c r="E7" s="1" t="s">
        <v>17</v>
      </c>
      <c r="F7" s="1">
        <v>2</v>
      </c>
      <c r="G7" s="3">
        <v>150</v>
      </c>
      <c r="H7" s="3">
        <f t="shared" si="0"/>
        <v>300</v>
      </c>
    </row>
    <row r="8" spans="2:9" x14ac:dyDescent="0.5">
      <c r="B8" s="1" t="s">
        <v>18</v>
      </c>
      <c r="C8" s="1" t="s">
        <v>68</v>
      </c>
      <c r="D8" s="2" t="s">
        <v>19</v>
      </c>
      <c r="E8" s="1" t="s">
        <v>20</v>
      </c>
      <c r="F8" s="1">
        <v>3</v>
      </c>
      <c r="G8" s="3">
        <v>500</v>
      </c>
      <c r="H8" s="3">
        <f t="shared" si="0"/>
        <v>1500</v>
      </c>
    </row>
    <row r="9" spans="2:9" x14ac:dyDescent="0.5">
      <c r="B9" s="1" t="s">
        <v>21</v>
      </c>
      <c r="C9" s="1" t="s">
        <v>69</v>
      </c>
      <c r="D9" s="2" t="s">
        <v>22</v>
      </c>
      <c r="E9" s="1" t="s">
        <v>9</v>
      </c>
      <c r="F9" s="1">
        <v>4</v>
      </c>
      <c r="G9" s="3">
        <v>2500</v>
      </c>
      <c r="H9" s="3">
        <f t="shared" si="0"/>
        <v>10000</v>
      </c>
    </row>
    <row r="10" spans="2:9" x14ac:dyDescent="0.5">
      <c r="B10" s="1" t="s">
        <v>23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20000</v>
      </c>
      <c r="H10" s="3">
        <f t="shared" si="0"/>
        <v>80000</v>
      </c>
    </row>
    <row r="11" spans="2:9" x14ac:dyDescent="0.5">
      <c r="B11" s="1" t="s">
        <v>26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1500</v>
      </c>
      <c r="H11" s="3">
        <f t="shared" si="0"/>
        <v>1500</v>
      </c>
    </row>
    <row r="12" spans="2:9" x14ac:dyDescent="0.5">
      <c r="B12" s="1" t="s">
        <v>29</v>
      </c>
      <c r="C12" s="1" t="s">
        <v>72</v>
      </c>
      <c r="D12" s="2" t="s">
        <v>30</v>
      </c>
      <c r="E12" s="1" t="s">
        <v>20</v>
      </c>
      <c r="F12" s="1">
        <v>1</v>
      </c>
      <c r="G12" s="3">
        <v>500</v>
      </c>
      <c r="H12" s="3">
        <f t="shared" si="0"/>
        <v>500</v>
      </c>
    </row>
    <row r="14" spans="2:9" x14ac:dyDescent="0.5">
      <c r="B14" s="27" t="s">
        <v>0</v>
      </c>
      <c r="C14" s="27" t="s">
        <v>6</v>
      </c>
      <c r="E14" s="27" t="s">
        <v>1</v>
      </c>
      <c r="F14" s="27" t="s">
        <v>2</v>
      </c>
      <c r="H14" s="27" t="s">
        <v>1</v>
      </c>
      <c r="I14" s="27" t="s">
        <v>3</v>
      </c>
    </row>
    <row r="15" spans="2:9" x14ac:dyDescent="0.5">
      <c r="B15" s="1" t="s">
        <v>26</v>
      </c>
      <c r="C15" s="1">
        <f>_xlfn.XLOOKUP(B15,$B$4:$B$12,$H$4:$H$12,0)</f>
        <v>1500</v>
      </c>
      <c r="E15" s="2" t="s">
        <v>14</v>
      </c>
      <c r="F15" s="1" t="str">
        <f>_xlfn.XLOOKUP(E15,$D$4:$D$12,$C$4:$C$12,"")</f>
        <v>Salma Akter</v>
      </c>
      <c r="H15" s="2" t="s">
        <v>24</v>
      </c>
      <c r="I15" s="1" t="str">
        <f>_xlfn.XLOOKUP(H15,$D$4:$D$12,$E$4:$E$12,0)</f>
        <v>Tablet</v>
      </c>
    </row>
    <row r="16" spans="2:9" x14ac:dyDescent="0.5">
      <c r="B16" s="14" t="s">
        <v>13</v>
      </c>
      <c r="C16" s="1">
        <f t="shared" ref="C16:C20" si="1">_xlfn.XLOOKUP(B16,$B$4:$B$12,$H$4:$H$12,0)</f>
        <v>15000</v>
      </c>
      <c r="E16" s="2" t="s">
        <v>16</v>
      </c>
      <c r="F16" s="1" t="str">
        <f t="shared" ref="F16:F20" si="2">_xlfn.XLOOKUP(E16,$D$4:$D$12,$C$4:$C$12,"")</f>
        <v>Anika Begum</v>
      </c>
      <c r="H16" s="2" t="s">
        <v>16</v>
      </c>
      <c r="I16" s="1" t="str">
        <f t="shared" ref="I16:I20" si="3">_xlfn.XLOOKUP(H16,$D$4:$D$12,$E$4:$E$12,0)</f>
        <v>USB Cable</v>
      </c>
    </row>
    <row r="17" spans="2:9" x14ac:dyDescent="0.5">
      <c r="B17" s="18" t="s">
        <v>13</v>
      </c>
      <c r="C17" s="1">
        <f t="shared" si="1"/>
        <v>15000</v>
      </c>
      <c r="E17" s="2" t="s">
        <v>19</v>
      </c>
      <c r="F17" s="1" t="str">
        <f t="shared" si="2"/>
        <v>Tariq Khan</v>
      </c>
      <c r="H17" s="2" t="s">
        <v>19</v>
      </c>
      <c r="I17" s="1" t="str">
        <f t="shared" si="3"/>
        <v>Charger</v>
      </c>
    </row>
    <row r="18" spans="2:9" x14ac:dyDescent="0.5">
      <c r="B18" s="18" t="s">
        <v>18</v>
      </c>
      <c r="C18" s="1">
        <f t="shared" si="1"/>
        <v>1500</v>
      </c>
      <c r="E18" s="2" t="s">
        <v>22</v>
      </c>
      <c r="F18" s="1" t="str">
        <f t="shared" si="2"/>
        <v>Farhan Ahmed</v>
      </c>
      <c r="H18" s="2" t="s">
        <v>22</v>
      </c>
      <c r="I18" s="1" t="str">
        <f t="shared" si="3"/>
        <v>Headphones</v>
      </c>
    </row>
    <row r="19" spans="2:9" x14ac:dyDescent="0.5">
      <c r="B19" s="18" t="s">
        <v>21</v>
      </c>
      <c r="C19" s="1">
        <f t="shared" si="1"/>
        <v>10000</v>
      </c>
      <c r="E19" s="2" t="s">
        <v>27</v>
      </c>
      <c r="F19" s="1" t="str">
        <f t="shared" si="2"/>
        <v>Rafiq Islam</v>
      </c>
      <c r="H19" s="2" t="s">
        <v>27</v>
      </c>
      <c r="I19" s="1" t="str">
        <f t="shared" si="3"/>
        <v>Power Bank</v>
      </c>
    </row>
    <row r="20" spans="2:9" x14ac:dyDescent="0.5">
      <c r="B20" s="18" t="s">
        <v>23</v>
      </c>
      <c r="C20" s="1">
        <f t="shared" si="1"/>
        <v>80000</v>
      </c>
      <c r="E20" s="2" t="s">
        <v>30</v>
      </c>
      <c r="F20" s="1" t="str">
        <f t="shared" si="2"/>
        <v>Sabina Yasmin</v>
      </c>
      <c r="H20" s="2" t="s">
        <v>30</v>
      </c>
      <c r="I20" s="1" t="str">
        <f t="shared" si="3"/>
        <v>Charger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95BF-4CF7-4235-BCBE-F9717C0576B1}">
  <dimension ref="B1:O20"/>
  <sheetViews>
    <sheetView topLeftCell="A2" zoomScale="70" zoomScaleNormal="70" workbookViewId="0">
      <selection activeCell="C17" sqref="C17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2:15" s="13" customFormat="1" ht="47.4" x14ac:dyDescent="0.9">
      <c r="B1" s="12" t="s">
        <v>57</v>
      </c>
    </row>
    <row r="3" spans="2:15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15" x14ac:dyDescent="0.5">
      <c r="B4" s="1" t="s">
        <v>7</v>
      </c>
      <c r="C4" s="1" t="s">
        <v>64</v>
      </c>
      <c r="D4" s="2" t="s">
        <v>8</v>
      </c>
      <c r="E4" s="1" t="s">
        <v>9</v>
      </c>
      <c r="F4" s="1">
        <v>2</v>
      </c>
      <c r="G4" s="3">
        <v>2500</v>
      </c>
      <c r="H4" s="3">
        <v>5000</v>
      </c>
    </row>
    <row r="5" spans="2:15" x14ac:dyDescent="0.5">
      <c r="B5" s="1" t="s">
        <v>10</v>
      </c>
      <c r="C5" s="1" t="s">
        <v>65</v>
      </c>
      <c r="D5" s="2" t="s">
        <v>11</v>
      </c>
      <c r="E5" s="1" t="s">
        <v>12</v>
      </c>
      <c r="F5" s="1">
        <v>2</v>
      </c>
      <c r="G5" s="3">
        <v>6000</v>
      </c>
      <c r="H5" s="3">
        <v>12000</v>
      </c>
    </row>
    <row r="6" spans="2:15" x14ac:dyDescent="0.5">
      <c r="B6" s="1" t="s">
        <v>13</v>
      </c>
      <c r="C6" s="1" t="s">
        <v>66</v>
      </c>
      <c r="D6" s="2" t="s">
        <v>14</v>
      </c>
      <c r="E6" s="1" t="s">
        <v>15</v>
      </c>
      <c r="F6" s="1">
        <v>1</v>
      </c>
      <c r="G6" s="3">
        <v>15000</v>
      </c>
      <c r="H6" s="3">
        <v>15000</v>
      </c>
    </row>
    <row r="7" spans="2:15" x14ac:dyDescent="0.5">
      <c r="B7" s="1" t="s">
        <v>52</v>
      </c>
      <c r="C7" s="1" t="s">
        <v>67</v>
      </c>
      <c r="D7" s="2" t="s">
        <v>16</v>
      </c>
      <c r="E7" s="1" t="s">
        <v>17</v>
      </c>
      <c r="F7" s="1">
        <v>2</v>
      </c>
      <c r="G7" s="3">
        <v>150</v>
      </c>
      <c r="H7" s="3">
        <v>300</v>
      </c>
    </row>
    <row r="8" spans="2:15" x14ac:dyDescent="0.5">
      <c r="B8" s="1" t="s">
        <v>18</v>
      </c>
      <c r="C8" s="1" t="s">
        <v>68</v>
      </c>
      <c r="D8" s="2" t="s">
        <v>19</v>
      </c>
      <c r="E8" s="1" t="s">
        <v>20</v>
      </c>
      <c r="F8" s="1">
        <v>3</v>
      </c>
      <c r="G8" s="3">
        <v>500</v>
      </c>
      <c r="H8" s="3">
        <v>1500</v>
      </c>
    </row>
    <row r="9" spans="2:15" x14ac:dyDescent="0.5">
      <c r="B9" s="1" t="s">
        <v>21</v>
      </c>
      <c r="C9" s="1" t="s">
        <v>69</v>
      </c>
      <c r="D9" s="2" t="s">
        <v>22</v>
      </c>
      <c r="E9" s="1" t="s">
        <v>9</v>
      </c>
      <c r="F9" s="1">
        <v>4</v>
      </c>
      <c r="G9" s="3">
        <v>2500</v>
      </c>
      <c r="H9" s="3">
        <v>10000</v>
      </c>
    </row>
    <row r="10" spans="2:15" x14ac:dyDescent="0.5">
      <c r="B10" s="1" t="s">
        <v>23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20000</v>
      </c>
      <c r="H10" s="3">
        <v>80000</v>
      </c>
    </row>
    <row r="11" spans="2:15" x14ac:dyDescent="0.5">
      <c r="B11" s="1" t="s">
        <v>26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1500</v>
      </c>
      <c r="H11" s="3">
        <v>1500</v>
      </c>
    </row>
    <row r="12" spans="2:15" x14ac:dyDescent="0.5">
      <c r="B12" s="1" t="s">
        <v>29</v>
      </c>
      <c r="C12" s="1" t="s">
        <v>72</v>
      </c>
      <c r="D12" s="2" t="s">
        <v>30</v>
      </c>
      <c r="E12" s="1" t="s">
        <v>20</v>
      </c>
      <c r="F12" s="1">
        <v>1</v>
      </c>
      <c r="G12" s="3">
        <v>500</v>
      </c>
      <c r="H12" s="3">
        <v>500</v>
      </c>
    </row>
    <row r="13" spans="2:15" x14ac:dyDescent="0.5">
      <c r="D13" s="4"/>
      <c r="G13" s="5"/>
      <c r="H13" s="5"/>
    </row>
    <row r="15" spans="2:15" x14ac:dyDescent="0.5">
      <c r="B15" s="27" t="s">
        <v>0</v>
      </c>
      <c r="C15" s="27" t="s">
        <v>2</v>
      </c>
      <c r="D15" s="27" t="s">
        <v>1</v>
      </c>
      <c r="E15" s="27" t="s">
        <v>3</v>
      </c>
      <c r="F15" s="27" t="s">
        <v>4</v>
      </c>
      <c r="G15" s="27" t="s">
        <v>5</v>
      </c>
      <c r="H15" s="27" t="s">
        <v>6</v>
      </c>
      <c r="K15" s="27" t="s">
        <v>1</v>
      </c>
      <c r="L15" s="27" t="s">
        <v>3</v>
      </c>
      <c r="M15" s="27" t="s">
        <v>4</v>
      </c>
      <c r="N15" s="27" t="s">
        <v>5</v>
      </c>
      <c r="O15" s="27" t="s">
        <v>6</v>
      </c>
    </row>
    <row r="16" spans="2:15" x14ac:dyDescent="0.5">
      <c r="B16" s="1" t="s">
        <v>18</v>
      </c>
      <c r="C16" s="1" t="str" cm="1">
        <f t="array" ref="C16:H16">_xlfn.XLOOKUP(B16,$B$4:$B$12,$C$4:$H$12)</f>
        <v>Tariq Khan</v>
      </c>
      <c r="D16" s="1" t="str">
        <v>CU05</v>
      </c>
      <c r="E16" s="1" t="str">
        <v>Charger</v>
      </c>
      <c r="F16" s="1">
        <v>3</v>
      </c>
      <c r="G16" s="1">
        <v>500</v>
      </c>
      <c r="H16" s="1">
        <v>1500</v>
      </c>
      <c r="K16" s="2" t="s">
        <v>19</v>
      </c>
      <c r="L16" s="1" t="str" cm="1">
        <f t="array" ref="L16:O16">_xlfn.XLOOKUP(K16,D3:D12,E3:H12)</f>
        <v>Charger</v>
      </c>
      <c r="M16" s="1">
        <v>3</v>
      </c>
      <c r="N16" s="1">
        <v>500</v>
      </c>
      <c r="O16" s="1">
        <v>1500</v>
      </c>
    </row>
    <row r="17" spans="2:8" x14ac:dyDescent="0.5">
      <c r="B17" s="1" t="s">
        <v>29</v>
      </c>
      <c r="C17" s="1" t="str" cm="1">
        <f t="array" ref="C17:H17">_xlfn.XLOOKUP(B17,$B$4:$B$12,$C$4:$H$12)</f>
        <v>Sabina Yasmin</v>
      </c>
      <c r="D17" s="1" t="str">
        <v>CU09</v>
      </c>
      <c r="E17" s="1" t="str">
        <v>Charger</v>
      </c>
      <c r="F17" s="1">
        <v>1</v>
      </c>
      <c r="G17" s="1">
        <v>500</v>
      </c>
      <c r="H17" s="1">
        <v>500</v>
      </c>
    </row>
    <row r="18" spans="2:8" x14ac:dyDescent="0.5">
      <c r="B18" s="1"/>
      <c r="C18" s="1"/>
      <c r="D18" s="1"/>
      <c r="E18" s="1"/>
      <c r="F18" s="1"/>
      <c r="G18" s="1"/>
      <c r="H18" s="1"/>
    </row>
    <row r="19" spans="2:8" x14ac:dyDescent="0.5">
      <c r="B19" s="1"/>
      <c r="C19" s="1"/>
      <c r="D19" s="1"/>
      <c r="E19" s="1"/>
      <c r="F19" s="1"/>
      <c r="G19" s="1"/>
      <c r="H19" s="1"/>
    </row>
    <row r="20" spans="2:8" x14ac:dyDescent="0.5">
      <c r="B20" s="1"/>
      <c r="C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3A8C-D9B8-45FC-B956-E02F643E72A5}">
  <dimension ref="B1:K19"/>
  <sheetViews>
    <sheetView zoomScale="70" zoomScaleNormal="70" workbookViewId="0">
      <selection activeCell="L19" sqref="L19"/>
    </sheetView>
  </sheetViews>
  <sheetFormatPr defaultRowHeight="25.8" x14ac:dyDescent="0.5"/>
  <cols>
    <col min="1" max="1" width="3.234375" customWidth="1"/>
    <col min="2" max="2" width="9.64453125" customWidth="1"/>
    <col min="3" max="3" width="14.41015625" customWidth="1"/>
    <col min="4" max="4" width="8.3515625" customWidth="1"/>
    <col min="5" max="5" width="12.64453125" customWidth="1"/>
    <col min="6" max="6" width="5.41015625" customWidth="1"/>
    <col min="7" max="8" width="8.9375" customWidth="1"/>
    <col min="9" max="9" width="3.1171875" customWidth="1"/>
    <col min="10" max="10" width="15" customWidth="1"/>
    <col min="11" max="11" width="12.3515625" customWidth="1"/>
    <col min="13" max="13" width="17.41015625" customWidth="1"/>
    <col min="14" max="14" width="13.64453125" customWidth="1"/>
  </cols>
  <sheetData>
    <row r="1" spans="2:11" s="13" customFormat="1" ht="47.4" x14ac:dyDescent="0.9">
      <c r="B1" s="12" t="s">
        <v>55</v>
      </c>
    </row>
    <row r="3" spans="2:11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  <c r="J3" s="27" t="s">
        <v>0</v>
      </c>
      <c r="K3" s="11" t="s">
        <v>23</v>
      </c>
    </row>
    <row r="4" spans="2:11" x14ac:dyDescent="0.5">
      <c r="B4" s="1" t="s">
        <v>7</v>
      </c>
      <c r="C4" s="1" t="s">
        <v>64</v>
      </c>
      <c r="D4" s="2" t="s">
        <v>8</v>
      </c>
      <c r="E4" s="1" t="s">
        <v>9</v>
      </c>
      <c r="F4" s="1">
        <v>2</v>
      </c>
      <c r="G4" s="3">
        <v>1380</v>
      </c>
      <c r="H4" s="3">
        <v>2760</v>
      </c>
      <c r="J4" s="27" t="s">
        <v>2</v>
      </c>
      <c r="K4" s="11" t="str" cm="1">
        <f t="array" ref="K4:K9">TRANSPOSE(_xlfn.XLOOKUP(K3,B3:B19,C3:H19))</f>
        <v>Nabila Rahman</v>
      </c>
    </row>
    <row r="5" spans="2:11" x14ac:dyDescent="0.5">
      <c r="B5" s="1" t="s">
        <v>10</v>
      </c>
      <c r="C5" s="1" t="s">
        <v>65</v>
      </c>
      <c r="D5" s="2" t="s">
        <v>11</v>
      </c>
      <c r="E5" s="1" t="s">
        <v>12</v>
      </c>
      <c r="F5" s="1">
        <v>2</v>
      </c>
      <c r="G5" s="3">
        <v>5848</v>
      </c>
      <c r="H5" s="3">
        <v>11697</v>
      </c>
      <c r="J5" s="27" t="s">
        <v>1</v>
      </c>
      <c r="K5" s="11" t="str">
        <v>CU07</v>
      </c>
    </row>
    <row r="6" spans="2:11" x14ac:dyDescent="0.5">
      <c r="B6" s="1" t="s">
        <v>13</v>
      </c>
      <c r="C6" s="1" t="s">
        <v>66</v>
      </c>
      <c r="D6" s="2" t="s">
        <v>14</v>
      </c>
      <c r="E6" s="1" t="s">
        <v>15</v>
      </c>
      <c r="F6" s="1">
        <v>1</v>
      </c>
      <c r="G6" s="3">
        <v>15208</v>
      </c>
      <c r="H6" s="3">
        <v>15208</v>
      </c>
      <c r="J6" s="27" t="s">
        <v>3</v>
      </c>
      <c r="K6" s="11" t="str">
        <v>Tablet</v>
      </c>
    </row>
    <row r="7" spans="2:11" x14ac:dyDescent="0.5">
      <c r="B7" s="1" t="s">
        <v>52</v>
      </c>
      <c r="C7" s="1" t="s">
        <v>67</v>
      </c>
      <c r="D7" s="2" t="s">
        <v>16</v>
      </c>
      <c r="E7" s="1" t="s">
        <v>17</v>
      </c>
      <c r="F7" s="1">
        <v>2</v>
      </c>
      <c r="G7" s="3">
        <v>156</v>
      </c>
      <c r="H7" s="3">
        <v>313</v>
      </c>
      <c r="J7" s="27" t="s">
        <v>4</v>
      </c>
      <c r="K7" s="11">
        <v>4</v>
      </c>
    </row>
    <row r="8" spans="2:11" x14ac:dyDescent="0.5">
      <c r="B8" s="1" t="s">
        <v>18</v>
      </c>
      <c r="C8" s="1" t="s">
        <v>68</v>
      </c>
      <c r="D8" s="2" t="s">
        <v>19</v>
      </c>
      <c r="E8" s="1" t="s">
        <v>20</v>
      </c>
      <c r="F8" s="1">
        <v>3</v>
      </c>
      <c r="G8" s="3">
        <v>280</v>
      </c>
      <c r="H8" s="3">
        <v>840</v>
      </c>
      <c r="J8" s="27" t="s">
        <v>5</v>
      </c>
      <c r="K8" s="11">
        <v>27025</v>
      </c>
    </row>
    <row r="9" spans="2:11" x14ac:dyDescent="0.5">
      <c r="B9" s="1" t="s">
        <v>21</v>
      </c>
      <c r="C9" s="1" t="s">
        <v>69</v>
      </c>
      <c r="D9" s="2" t="s">
        <v>22</v>
      </c>
      <c r="E9" s="1" t="s">
        <v>9</v>
      </c>
      <c r="F9" s="1">
        <v>4</v>
      </c>
      <c r="G9" s="3">
        <v>1380</v>
      </c>
      <c r="H9" s="3">
        <v>5520</v>
      </c>
      <c r="J9" s="27" t="s">
        <v>6</v>
      </c>
      <c r="K9" s="11">
        <v>108100</v>
      </c>
    </row>
    <row r="10" spans="2:11" x14ac:dyDescent="0.5">
      <c r="B10" s="1" t="s">
        <v>23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27025</v>
      </c>
      <c r="H10" s="3">
        <v>108100</v>
      </c>
    </row>
    <row r="11" spans="2:11" x14ac:dyDescent="0.5">
      <c r="B11" s="1" t="s">
        <v>26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1400</v>
      </c>
      <c r="H11" s="3">
        <v>1400</v>
      </c>
    </row>
    <row r="12" spans="2:11" x14ac:dyDescent="0.5">
      <c r="B12" s="1" t="s">
        <v>29</v>
      </c>
      <c r="C12" s="1" t="s">
        <v>72</v>
      </c>
      <c r="D12" s="2" t="s">
        <v>30</v>
      </c>
      <c r="E12" s="1" t="s">
        <v>20</v>
      </c>
      <c r="F12" s="1">
        <v>1</v>
      </c>
      <c r="G12" s="3">
        <v>280</v>
      </c>
      <c r="H12" s="3">
        <v>280</v>
      </c>
    </row>
    <row r="13" spans="2:11" x14ac:dyDescent="0.5">
      <c r="B13" s="1" t="s">
        <v>31</v>
      </c>
      <c r="C13" s="1" t="s">
        <v>73</v>
      </c>
      <c r="D13" s="2" t="s">
        <v>32</v>
      </c>
      <c r="E13" s="1" t="s">
        <v>9</v>
      </c>
      <c r="F13" s="1">
        <v>1</v>
      </c>
      <c r="G13" s="3">
        <v>15208</v>
      </c>
      <c r="H13" s="3">
        <v>15208</v>
      </c>
    </row>
    <row r="14" spans="2:11" x14ac:dyDescent="0.5">
      <c r="B14" s="1" t="s">
        <v>33</v>
      </c>
      <c r="C14" s="1" t="s">
        <v>74</v>
      </c>
      <c r="D14" s="2" t="s">
        <v>34</v>
      </c>
      <c r="E14" s="1" t="s">
        <v>12</v>
      </c>
      <c r="F14" s="1">
        <v>2</v>
      </c>
      <c r="G14" s="3">
        <v>156</v>
      </c>
      <c r="H14" s="3">
        <v>313</v>
      </c>
    </row>
    <row r="15" spans="2:11" x14ac:dyDescent="0.5">
      <c r="B15" s="1" t="s">
        <v>35</v>
      </c>
      <c r="C15" s="1" t="s">
        <v>75</v>
      </c>
      <c r="D15" s="2" t="s">
        <v>36</v>
      </c>
      <c r="E15" s="1" t="s">
        <v>15</v>
      </c>
      <c r="F15" s="1">
        <v>3</v>
      </c>
      <c r="G15" s="3">
        <v>280</v>
      </c>
      <c r="H15" s="3">
        <v>840</v>
      </c>
    </row>
    <row r="16" spans="2:11" x14ac:dyDescent="0.5">
      <c r="B16" s="1" t="s">
        <v>37</v>
      </c>
      <c r="C16" s="1" t="s">
        <v>76</v>
      </c>
      <c r="D16" s="2" t="s">
        <v>38</v>
      </c>
      <c r="E16" s="1" t="s">
        <v>17</v>
      </c>
      <c r="F16" s="1">
        <v>4</v>
      </c>
      <c r="G16" s="3">
        <v>1380</v>
      </c>
      <c r="H16" s="3">
        <v>5520</v>
      </c>
    </row>
    <row r="17" spans="2:8" x14ac:dyDescent="0.5">
      <c r="B17" s="1" t="s">
        <v>39</v>
      </c>
      <c r="C17" s="1" t="s">
        <v>77</v>
      </c>
      <c r="D17" s="2" t="s">
        <v>40</v>
      </c>
      <c r="E17" s="1" t="s">
        <v>20</v>
      </c>
      <c r="F17" s="1">
        <v>4</v>
      </c>
      <c r="G17" s="3">
        <v>27025</v>
      </c>
      <c r="H17" s="3">
        <v>108100</v>
      </c>
    </row>
    <row r="18" spans="2:8" x14ac:dyDescent="0.5">
      <c r="B18" s="1" t="s">
        <v>43</v>
      </c>
      <c r="C18" s="1" t="s">
        <v>78</v>
      </c>
      <c r="D18" s="2" t="s">
        <v>41</v>
      </c>
      <c r="E18" s="1" t="s">
        <v>9</v>
      </c>
      <c r="F18" s="1">
        <v>1</v>
      </c>
      <c r="G18" s="3">
        <v>1400</v>
      </c>
      <c r="H18" s="3">
        <v>1400</v>
      </c>
    </row>
    <row r="19" spans="2:8" x14ac:dyDescent="0.5">
      <c r="B19" s="1" t="s">
        <v>44</v>
      </c>
      <c r="C19" s="1" t="s">
        <v>79</v>
      </c>
      <c r="D19" s="2" t="s">
        <v>42</v>
      </c>
      <c r="E19" s="1" t="s">
        <v>25</v>
      </c>
      <c r="F19" s="1">
        <v>1</v>
      </c>
      <c r="G19" s="3">
        <v>280</v>
      </c>
      <c r="H19" s="3">
        <v>280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DAC7-2692-4232-A009-FC25A76DC9F9}">
  <dimension ref="B1:H29"/>
  <sheetViews>
    <sheetView zoomScale="70" zoomScaleNormal="70" workbookViewId="0">
      <selection activeCell="C19" sqref="C19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2:8" s="13" customFormat="1" ht="47.4" x14ac:dyDescent="0.9">
      <c r="B1" s="12" t="s">
        <v>58</v>
      </c>
    </row>
    <row r="3" spans="2:8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8" x14ac:dyDescent="0.5">
      <c r="B4" s="1" t="s">
        <v>7</v>
      </c>
      <c r="C4" s="14" t="s">
        <v>64</v>
      </c>
      <c r="D4" s="15" t="s">
        <v>8</v>
      </c>
      <c r="E4" s="16" t="s">
        <v>9</v>
      </c>
      <c r="F4" s="16">
        <v>2</v>
      </c>
      <c r="G4" s="17">
        <v>2500</v>
      </c>
      <c r="H4" s="17">
        <v>5000</v>
      </c>
    </row>
    <row r="5" spans="2:8" x14ac:dyDescent="0.5">
      <c r="B5" s="1" t="s">
        <v>10</v>
      </c>
      <c r="C5" s="18" t="s">
        <v>65</v>
      </c>
      <c r="D5" s="19" t="s">
        <v>11</v>
      </c>
      <c r="E5" s="20" t="s">
        <v>12</v>
      </c>
      <c r="F5" s="20">
        <v>2</v>
      </c>
      <c r="G5" s="21">
        <v>6000</v>
      </c>
      <c r="H5" s="21">
        <v>12000</v>
      </c>
    </row>
    <row r="6" spans="2:8" x14ac:dyDescent="0.5">
      <c r="B6" s="1" t="s">
        <v>13</v>
      </c>
      <c r="C6" s="18" t="s">
        <v>66</v>
      </c>
      <c r="D6" s="19" t="s">
        <v>14</v>
      </c>
      <c r="E6" s="20" t="s">
        <v>15</v>
      </c>
      <c r="F6" s="20">
        <v>1</v>
      </c>
      <c r="G6" s="21">
        <v>15000</v>
      </c>
      <c r="H6" s="21">
        <v>15000</v>
      </c>
    </row>
    <row r="7" spans="2:8" x14ac:dyDescent="0.5">
      <c r="B7" s="1" t="s">
        <v>13</v>
      </c>
      <c r="C7" s="18" t="s">
        <v>67</v>
      </c>
      <c r="D7" s="19" t="s">
        <v>16</v>
      </c>
      <c r="E7" s="20" t="s">
        <v>17</v>
      </c>
      <c r="F7" s="20">
        <v>2</v>
      </c>
      <c r="G7" s="21">
        <v>150</v>
      </c>
      <c r="H7" s="21">
        <v>300</v>
      </c>
    </row>
    <row r="8" spans="2:8" x14ac:dyDescent="0.5">
      <c r="B8" s="1" t="s">
        <v>18</v>
      </c>
      <c r="C8" s="18" t="s">
        <v>68</v>
      </c>
      <c r="D8" s="19" t="s">
        <v>19</v>
      </c>
      <c r="E8" s="20" t="s">
        <v>20</v>
      </c>
      <c r="F8" s="20">
        <v>3</v>
      </c>
      <c r="G8" s="21">
        <v>500</v>
      </c>
      <c r="H8" s="21">
        <v>1500</v>
      </c>
    </row>
    <row r="9" spans="2:8" x14ac:dyDescent="0.5">
      <c r="B9" s="1" t="s">
        <v>21</v>
      </c>
      <c r="C9" s="18" t="s">
        <v>69</v>
      </c>
      <c r="D9" s="19" t="s">
        <v>22</v>
      </c>
      <c r="E9" s="20" t="s">
        <v>9</v>
      </c>
      <c r="F9" s="20">
        <v>4</v>
      </c>
      <c r="G9" s="21">
        <v>2500</v>
      </c>
      <c r="H9" s="21">
        <v>10000</v>
      </c>
    </row>
    <row r="10" spans="2:8" x14ac:dyDescent="0.5">
      <c r="B10" s="1" t="s">
        <v>23</v>
      </c>
      <c r="C10" s="18" t="s">
        <v>70</v>
      </c>
      <c r="D10" s="19" t="s">
        <v>24</v>
      </c>
      <c r="E10" s="20" t="s">
        <v>25</v>
      </c>
      <c r="F10" s="20">
        <v>4</v>
      </c>
      <c r="G10" s="21">
        <v>20000</v>
      </c>
      <c r="H10" s="21">
        <v>80000</v>
      </c>
    </row>
    <row r="11" spans="2:8" x14ac:dyDescent="0.5">
      <c r="B11" s="1" t="s">
        <v>26</v>
      </c>
      <c r="C11" s="18" t="s">
        <v>71</v>
      </c>
      <c r="D11" s="19" t="s">
        <v>27</v>
      </c>
      <c r="E11" s="20" t="s">
        <v>28</v>
      </c>
      <c r="F11" s="20">
        <v>1</v>
      </c>
      <c r="G11" s="21">
        <v>1500</v>
      </c>
      <c r="H11" s="21">
        <v>1500</v>
      </c>
    </row>
    <row r="12" spans="2:8" x14ac:dyDescent="0.5">
      <c r="B12" s="1" t="s">
        <v>29</v>
      </c>
      <c r="C12" s="18" t="s">
        <v>72</v>
      </c>
      <c r="D12" s="19" t="s">
        <v>30</v>
      </c>
      <c r="E12" s="20" t="s">
        <v>20</v>
      </c>
      <c r="F12" s="20">
        <v>1</v>
      </c>
      <c r="G12" s="21">
        <v>500</v>
      </c>
      <c r="H12" s="21">
        <v>500</v>
      </c>
    </row>
    <row r="13" spans="2:8" x14ac:dyDescent="0.5">
      <c r="D13" s="4"/>
      <c r="G13" s="5"/>
      <c r="H13" s="5"/>
    </row>
    <row r="15" spans="2:8" x14ac:dyDescent="0.5">
      <c r="B15" s="27" t="s">
        <v>0</v>
      </c>
      <c r="C15" s="27" t="s">
        <v>2</v>
      </c>
      <c r="D15" s="27" t="s">
        <v>3</v>
      </c>
      <c r="E15" s="27" t="s">
        <v>6</v>
      </c>
    </row>
    <row r="16" spans="2:8" x14ac:dyDescent="0.5">
      <c r="B16" s="1" t="s">
        <v>21</v>
      </c>
      <c r="C16" s="1" t="str" cm="1">
        <f t="array" ref="C16:E16">_xlfn.XLOOKUP(B16,B3:B12,CHOOSE({1,2,3},C3:C12,E3:E12,H3:H12))</f>
        <v>Farhan Ahmed</v>
      </c>
      <c r="D16" s="1" t="str">
        <v>Headphones</v>
      </c>
      <c r="E16" s="1">
        <v>10000</v>
      </c>
    </row>
    <row r="18" spans="2:5" x14ac:dyDescent="0.5">
      <c r="B18" s="27" t="s">
        <v>0</v>
      </c>
      <c r="C18" s="27" t="s">
        <v>2</v>
      </c>
      <c r="D18" s="27" t="s">
        <v>3</v>
      </c>
      <c r="E18" s="27" t="s">
        <v>6</v>
      </c>
    </row>
    <row r="19" spans="2:5" x14ac:dyDescent="0.5">
      <c r="B19" s="1" t="s">
        <v>18</v>
      </c>
      <c r="C19" t="str" cm="1">
        <f t="array" ref="C19:E19">_xlfn.XLOOKUP(B19,B3:B12,CHOOSE({1,2,3},C3:C12,E3:E12,H3:H12))</f>
        <v>Tariq Khan</v>
      </c>
      <c r="D19" t="str">
        <v>Charger</v>
      </c>
      <c r="E19">
        <v>1500</v>
      </c>
    </row>
    <row r="28" spans="2:5" x14ac:dyDescent="0.5">
      <c r="C28" s="2" t="s">
        <v>27</v>
      </c>
    </row>
    <row r="29" spans="2:5" x14ac:dyDescent="0.5">
      <c r="C29" s="2" t="s">
        <v>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EE21-CAE6-4D65-A7C7-EDFF87ABA3D7}">
  <dimension ref="B1:H19"/>
  <sheetViews>
    <sheetView zoomScale="70" zoomScaleNormal="70" workbookViewId="0">
      <selection activeCell="G15" sqref="G15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2:8" s="13" customFormat="1" ht="47.4" x14ac:dyDescent="0.9">
      <c r="B1" s="12" t="s">
        <v>59</v>
      </c>
    </row>
    <row r="3" spans="2:8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8" x14ac:dyDescent="0.5">
      <c r="B4" s="1" t="s">
        <v>7</v>
      </c>
      <c r="C4" s="14" t="s">
        <v>64</v>
      </c>
      <c r="D4" s="15" t="s">
        <v>8</v>
      </c>
      <c r="E4" s="16" t="s">
        <v>9</v>
      </c>
      <c r="F4" s="16">
        <v>2</v>
      </c>
      <c r="G4" s="17">
        <v>2500</v>
      </c>
      <c r="H4" s="17">
        <v>5000</v>
      </c>
    </row>
    <row r="5" spans="2:8" x14ac:dyDescent="0.5">
      <c r="B5" s="1" t="s">
        <v>10</v>
      </c>
      <c r="C5" s="18" t="s">
        <v>65</v>
      </c>
      <c r="D5" s="19" t="s">
        <v>11</v>
      </c>
      <c r="E5" s="20" t="s">
        <v>12</v>
      </c>
      <c r="F5" s="20">
        <v>2</v>
      </c>
      <c r="G5" s="21">
        <v>6000</v>
      </c>
      <c r="H5" s="21">
        <v>12000</v>
      </c>
    </row>
    <row r="6" spans="2:8" x14ac:dyDescent="0.5">
      <c r="B6" s="1" t="s">
        <v>13</v>
      </c>
      <c r="C6" s="18" t="s">
        <v>66</v>
      </c>
      <c r="D6" s="19" t="s">
        <v>14</v>
      </c>
      <c r="E6" s="20" t="s">
        <v>15</v>
      </c>
      <c r="F6" s="20">
        <v>1</v>
      </c>
      <c r="G6" s="21">
        <v>15000</v>
      </c>
      <c r="H6" s="21">
        <v>15000</v>
      </c>
    </row>
    <row r="7" spans="2:8" x14ac:dyDescent="0.5">
      <c r="B7" s="1" t="s">
        <v>13</v>
      </c>
      <c r="C7" s="18" t="s">
        <v>67</v>
      </c>
      <c r="D7" s="19" t="s">
        <v>16</v>
      </c>
      <c r="E7" s="20" t="s">
        <v>17</v>
      </c>
      <c r="F7" s="20">
        <v>2</v>
      </c>
      <c r="G7" s="21">
        <v>150</v>
      </c>
      <c r="H7" s="21">
        <v>300</v>
      </c>
    </row>
    <row r="8" spans="2:8" x14ac:dyDescent="0.5">
      <c r="B8" s="1" t="s">
        <v>18</v>
      </c>
      <c r="C8" s="18" t="s">
        <v>68</v>
      </c>
      <c r="D8" s="19" t="s">
        <v>19</v>
      </c>
      <c r="E8" s="20" t="s">
        <v>20</v>
      </c>
      <c r="F8" s="20">
        <v>3</v>
      </c>
      <c r="G8" s="21">
        <v>500</v>
      </c>
      <c r="H8" s="21">
        <v>1500</v>
      </c>
    </row>
    <row r="9" spans="2:8" x14ac:dyDescent="0.5">
      <c r="B9" s="1" t="s">
        <v>21</v>
      </c>
      <c r="C9" s="18" t="s">
        <v>69</v>
      </c>
      <c r="D9" s="19" t="s">
        <v>22</v>
      </c>
      <c r="E9" s="20" t="s">
        <v>9</v>
      </c>
      <c r="F9" s="20">
        <v>4</v>
      </c>
      <c r="G9" s="21">
        <v>2500</v>
      </c>
      <c r="H9" s="21">
        <v>10000</v>
      </c>
    </row>
    <row r="10" spans="2:8" x14ac:dyDescent="0.5">
      <c r="B10" s="1" t="s">
        <v>23</v>
      </c>
      <c r="C10" s="18" t="s">
        <v>70</v>
      </c>
      <c r="D10" s="19" t="s">
        <v>24</v>
      </c>
      <c r="E10" s="20" t="s">
        <v>25</v>
      </c>
      <c r="F10" s="20">
        <v>4</v>
      </c>
      <c r="G10" s="21">
        <v>20000</v>
      </c>
      <c r="H10" s="21">
        <v>80000</v>
      </c>
    </row>
    <row r="11" spans="2:8" x14ac:dyDescent="0.5">
      <c r="B11" s="1" t="s">
        <v>26</v>
      </c>
      <c r="C11" s="18" t="s">
        <v>71</v>
      </c>
      <c r="D11" s="19" t="s">
        <v>27</v>
      </c>
      <c r="E11" s="20" t="s">
        <v>28</v>
      </c>
      <c r="F11" s="20">
        <v>1</v>
      </c>
      <c r="G11" s="21">
        <v>1500</v>
      </c>
      <c r="H11" s="21">
        <v>1500</v>
      </c>
    </row>
    <row r="12" spans="2:8" x14ac:dyDescent="0.5">
      <c r="B12" s="1" t="s">
        <v>29</v>
      </c>
      <c r="C12" s="18" t="s">
        <v>72</v>
      </c>
      <c r="D12" s="19" t="s">
        <v>30</v>
      </c>
      <c r="E12" s="20" t="s">
        <v>20</v>
      </c>
      <c r="F12" s="20">
        <v>1</v>
      </c>
      <c r="G12" s="21">
        <v>500</v>
      </c>
      <c r="H12" s="21">
        <v>500</v>
      </c>
    </row>
    <row r="13" spans="2:8" x14ac:dyDescent="0.5">
      <c r="D13" s="4"/>
      <c r="G13" s="5"/>
      <c r="H13" s="5"/>
    </row>
    <row r="18" spans="2:5" x14ac:dyDescent="0.5">
      <c r="B18" s="27" t="s">
        <v>1</v>
      </c>
      <c r="C18" s="27" t="s">
        <v>2</v>
      </c>
      <c r="D18" s="27" t="s">
        <v>3</v>
      </c>
      <c r="E18" s="27" t="s">
        <v>6</v>
      </c>
    </row>
    <row r="19" spans="2:5" x14ac:dyDescent="0.5">
      <c r="B19" s="2" t="s">
        <v>14</v>
      </c>
      <c r="C19" s="2" t="str" cm="1">
        <f t="array" ref="C19:E19">_xlfn.CHOOSECOLS(_xlfn.XLOOKUP(B19,D3:D12,C3:H12),1,3,6)</f>
        <v>Salma Akter</v>
      </c>
      <c r="D19" s="2" t="str">
        <v>Table</v>
      </c>
      <c r="E19" s="1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A98D-ACEF-47C1-82E8-A93FD97AB9D7}">
  <dimension ref="B1:H29"/>
  <sheetViews>
    <sheetView zoomScale="70" zoomScaleNormal="70" workbookViewId="0">
      <selection activeCell="F16" sqref="F16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2:8" s="13" customFormat="1" ht="47.4" x14ac:dyDescent="0.9">
      <c r="B1" s="12" t="s">
        <v>60</v>
      </c>
    </row>
    <row r="3" spans="2:8" x14ac:dyDescent="0.5">
      <c r="B3" s="26" t="s">
        <v>45</v>
      </c>
      <c r="C3" s="26" t="s">
        <v>2</v>
      </c>
      <c r="D3" s="26" t="s">
        <v>80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8" x14ac:dyDescent="0.5">
      <c r="B4" s="1" t="s">
        <v>46</v>
      </c>
      <c r="C4" s="1" t="s">
        <v>70</v>
      </c>
      <c r="D4" s="2" t="s">
        <v>8</v>
      </c>
      <c r="E4" s="1" t="s">
        <v>9</v>
      </c>
      <c r="F4" s="1">
        <v>2</v>
      </c>
      <c r="G4" s="3">
        <v>1380</v>
      </c>
      <c r="H4" s="3">
        <v>2760</v>
      </c>
    </row>
    <row r="5" spans="2:8" x14ac:dyDescent="0.5">
      <c r="B5" s="1" t="s">
        <v>47</v>
      </c>
      <c r="C5" s="1" t="s">
        <v>68</v>
      </c>
      <c r="D5" s="2" t="s">
        <v>11</v>
      </c>
      <c r="E5" s="1" t="s">
        <v>12</v>
      </c>
      <c r="F5" s="1">
        <v>2</v>
      </c>
      <c r="G5" s="3">
        <v>5848</v>
      </c>
      <c r="H5" s="3">
        <v>11697</v>
      </c>
    </row>
    <row r="6" spans="2:8" x14ac:dyDescent="0.5">
      <c r="B6" s="1" t="s">
        <v>48</v>
      </c>
      <c r="C6" s="1" t="s">
        <v>66</v>
      </c>
      <c r="D6" s="2" t="s">
        <v>14</v>
      </c>
      <c r="E6" s="1" t="s">
        <v>15</v>
      </c>
      <c r="F6" s="1">
        <v>1</v>
      </c>
      <c r="G6" s="3">
        <v>15208</v>
      </c>
      <c r="H6" s="3">
        <v>15208</v>
      </c>
    </row>
    <row r="7" spans="2:8" x14ac:dyDescent="0.5">
      <c r="B7" s="1" t="s">
        <v>49</v>
      </c>
      <c r="C7" s="1" t="s">
        <v>66</v>
      </c>
      <c r="D7" s="2" t="s">
        <v>16</v>
      </c>
      <c r="E7" s="1" t="s">
        <v>17</v>
      </c>
      <c r="F7" s="1">
        <v>2</v>
      </c>
      <c r="G7" s="3">
        <v>156</v>
      </c>
      <c r="H7" s="3">
        <v>313</v>
      </c>
    </row>
    <row r="8" spans="2:8" x14ac:dyDescent="0.5">
      <c r="B8" s="1" t="s">
        <v>46</v>
      </c>
      <c r="C8" s="1" t="s">
        <v>70</v>
      </c>
      <c r="D8" s="2" t="s">
        <v>19</v>
      </c>
      <c r="E8" s="1" t="s">
        <v>20</v>
      </c>
      <c r="F8" s="1">
        <v>3</v>
      </c>
      <c r="G8" s="3">
        <v>280</v>
      </c>
      <c r="H8" s="3">
        <v>840</v>
      </c>
    </row>
    <row r="9" spans="2:8" x14ac:dyDescent="0.5">
      <c r="B9" s="1" t="s">
        <v>47</v>
      </c>
      <c r="C9" s="1" t="s">
        <v>68</v>
      </c>
      <c r="D9" s="2" t="s">
        <v>22</v>
      </c>
      <c r="E9" s="1" t="s">
        <v>9</v>
      </c>
      <c r="F9" s="1">
        <v>4</v>
      </c>
      <c r="G9" s="3">
        <v>1380</v>
      </c>
      <c r="H9" s="3">
        <v>5520</v>
      </c>
    </row>
    <row r="10" spans="2:8" x14ac:dyDescent="0.5">
      <c r="B10" s="1" t="s">
        <v>46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27025</v>
      </c>
      <c r="H10" s="3">
        <v>108100</v>
      </c>
    </row>
    <row r="11" spans="2:8" x14ac:dyDescent="0.5">
      <c r="B11" s="1" t="s">
        <v>51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1400</v>
      </c>
      <c r="H11" s="3">
        <v>1400</v>
      </c>
    </row>
    <row r="12" spans="2:8" x14ac:dyDescent="0.5">
      <c r="B12" s="1" t="s">
        <v>50</v>
      </c>
      <c r="C12" s="1" t="s">
        <v>70</v>
      </c>
      <c r="D12" s="2" t="s">
        <v>30</v>
      </c>
      <c r="E12" s="1" t="s">
        <v>20</v>
      </c>
      <c r="F12" s="1">
        <v>1</v>
      </c>
      <c r="G12" s="3">
        <v>280</v>
      </c>
      <c r="H12" s="3">
        <v>280</v>
      </c>
    </row>
    <row r="13" spans="2:8" x14ac:dyDescent="0.5">
      <c r="G13" s="5"/>
      <c r="H13" s="5"/>
    </row>
    <row r="15" spans="2:8" x14ac:dyDescent="0.5">
      <c r="B15" s="27" t="s">
        <v>45</v>
      </c>
      <c r="C15" s="27" t="s">
        <v>2</v>
      </c>
      <c r="D15" s="27" t="s">
        <v>1</v>
      </c>
      <c r="E15" s="27" t="s">
        <v>3</v>
      </c>
      <c r="F15" s="27" t="s">
        <v>4</v>
      </c>
      <c r="G15" s="27" t="s">
        <v>5</v>
      </c>
      <c r="H15" s="27" t="s">
        <v>6</v>
      </c>
    </row>
    <row r="16" spans="2:8" x14ac:dyDescent="0.5">
      <c r="B16" s="1" t="s">
        <v>50</v>
      </c>
      <c r="C16" s="1" t="s">
        <v>70</v>
      </c>
      <c r="D16" s="1" t="str" cm="1">
        <f t="array" ref="D16:H16">_xlfn.XLOOKUP(B16&amp;C16,B3:B12&amp;C3:C12,D3:H12)</f>
        <v>CU09</v>
      </c>
      <c r="E16" s="1" t="str">
        <v>Charger</v>
      </c>
      <c r="F16" s="1">
        <v>1</v>
      </c>
      <c r="G16" s="1">
        <v>280</v>
      </c>
      <c r="H16" s="1">
        <v>280</v>
      </c>
    </row>
    <row r="28" spans="3:3" x14ac:dyDescent="0.5">
      <c r="C28" s="2" t="s">
        <v>27</v>
      </c>
    </row>
    <row r="29" spans="3:3" x14ac:dyDescent="0.5">
      <c r="C29" s="2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2F0A-E388-4FAF-AC22-AC360DBC9CE4}">
  <dimension ref="B1:H15"/>
  <sheetViews>
    <sheetView zoomScale="80" zoomScaleNormal="80" workbookViewId="0">
      <selection activeCell="D15" sqref="D15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  <col min="9" max="9" width="14.87890625" customWidth="1"/>
  </cols>
  <sheetData>
    <row r="1" spans="2:8" s="13" customFormat="1" ht="47.4" x14ac:dyDescent="0.9">
      <c r="B1" s="12" t="s">
        <v>61</v>
      </c>
    </row>
    <row r="3" spans="2:8" x14ac:dyDescent="0.5">
      <c r="B3" s="26" t="s">
        <v>0</v>
      </c>
      <c r="C3" s="26" t="s">
        <v>2</v>
      </c>
      <c r="D3" s="26" t="s">
        <v>1</v>
      </c>
      <c r="E3" s="26" t="s">
        <v>3</v>
      </c>
      <c r="F3" s="26" t="s">
        <v>4</v>
      </c>
      <c r="G3" s="26" t="s">
        <v>5</v>
      </c>
      <c r="H3" s="26" t="s">
        <v>6</v>
      </c>
    </row>
    <row r="4" spans="2:8" x14ac:dyDescent="0.5">
      <c r="B4" s="1" t="s">
        <v>7</v>
      </c>
      <c r="C4" s="1" t="s">
        <v>64</v>
      </c>
      <c r="D4" s="2" t="s">
        <v>8</v>
      </c>
      <c r="E4" s="1" t="s">
        <v>9</v>
      </c>
      <c r="F4" s="1">
        <v>2</v>
      </c>
      <c r="G4" s="3">
        <v>2500</v>
      </c>
      <c r="H4" s="3">
        <f>G4*F4</f>
        <v>5000</v>
      </c>
    </row>
    <row r="5" spans="2:8" x14ac:dyDescent="0.5">
      <c r="B5" s="1" t="s">
        <v>10</v>
      </c>
      <c r="C5" s="1" t="s">
        <v>65</v>
      </c>
      <c r="D5" s="2" t="s">
        <v>11</v>
      </c>
      <c r="E5" s="1" t="s">
        <v>12</v>
      </c>
      <c r="F5" s="1">
        <v>2</v>
      </c>
      <c r="G5" s="3">
        <v>6000</v>
      </c>
      <c r="H5" s="3">
        <f t="shared" ref="H5:H12" si="0">G5*F5</f>
        <v>12000</v>
      </c>
    </row>
    <row r="6" spans="2:8" x14ac:dyDescent="0.5">
      <c r="B6" s="1" t="s">
        <v>13</v>
      </c>
      <c r="C6" s="1" t="s">
        <v>66</v>
      </c>
      <c r="D6" s="2" t="s">
        <v>14</v>
      </c>
      <c r="E6" s="1" t="s">
        <v>15</v>
      </c>
      <c r="F6" s="1">
        <v>1</v>
      </c>
      <c r="G6" s="3">
        <v>15000</v>
      </c>
      <c r="H6" s="3">
        <f t="shared" si="0"/>
        <v>15000</v>
      </c>
    </row>
    <row r="7" spans="2:8" x14ac:dyDescent="0.5">
      <c r="B7" s="1" t="s">
        <v>13</v>
      </c>
      <c r="C7" s="1" t="s">
        <v>67</v>
      </c>
      <c r="D7" s="2" t="s">
        <v>16</v>
      </c>
      <c r="E7" s="1" t="s">
        <v>17</v>
      </c>
      <c r="F7" s="1">
        <v>2</v>
      </c>
      <c r="G7" s="3">
        <v>150</v>
      </c>
      <c r="H7" s="3">
        <f t="shared" si="0"/>
        <v>300</v>
      </c>
    </row>
    <row r="8" spans="2:8" x14ac:dyDescent="0.5">
      <c r="B8" s="1" t="s">
        <v>18</v>
      </c>
      <c r="C8" s="1" t="s">
        <v>68</v>
      </c>
      <c r="D8" s="2" t="s">
        <v>19</v>
      </c>
      <c r="E8" s="1" t="s">
        <v>20</v>
      </c>
      <c r="F8" s="1">
        <v>3</v>
      </c>
      <c r="G8" s="3">
        <v>500</v>
      </c>
      <c r="H8" s="3">
        <f t="shared" si="0"/>
        <v>1500</v>
      </c>
    </row>
    <row r="9" spans="2:8" x14ac:dyDescent="0.5">
      <c r="B9" s="1" t="s">
        <v>21</v>
      </c>
      <c r="C9" s="1" t="s">
        <v>69</v>
      </c>
      <c r="D9" s="2" t="s">
        <v>22</v>
      </c>
      <c r="E9" s="1" t="s">
        <v>9</v>
      </c>
      <c r="F9" s="1">
        <v>4</v>
      </c>
      <c r="G9" s="3">
        <v>2500</v>
      </c>
      <c r="H9" s="3">
        <f t="shared" si="0"/>
        <v>10000</v>
      </c>
    </row>
    <row r="10" spans="2:8" x14ac:dyDescent="0.5">
      <c r="B10" s="1" t="s">
        <v>23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20000</v>
      </c>
      <c r="H10" s="3">
        <f t="shared" si="0"/>
        <v>80000</v>
      </c>
    </row>
    <row r="11" spans="2:8" x14ac:dyDescent="0.5">
      <c r="B11" s="1" t="s">
        <v>26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1500</v>
      </c>
      <c r="H11" s="3">
        <f t="shared" si="0"/>
        <v>1500</v>
      </c>
    </row>
    <row r="12" spans="2:8" x14ac:dyDescent="0.5">
      <c r="B12" s="1" t="s">
        <v>29</v>
      </c>
      <c r="C12" s="1" t="s">
        <v>72</v>
      </c>
      <c r="D12" s="2" t="s">
        <v>30</v>
      </c>
      <c r="E12" s="1" t="s">
        <v>20</v>
      </c>
      <c r="F12" s="1">
        <v>1</v>
      </c>
      <c r="G12" s="3">
        <v>500</v>
      </c>
      <c r="H12" s="3">
        <f t="shared" si="0"/>
        <v>500</v>
      </c>
    </row>
    <row r="13" spans="2:8" x14ac:dyDescent="0.5">
      <c r="D13" s="4"/>
      <c r="G13" s="5"/>
      <c r="H13" s="5"/>
    </row>
    <row r="14" spans="2:8" x14ac:dyDescent="0.5">
      <c r="B14" s="27" t="s">
        <v>0</v>
      </c>
      <c r="C14" s="44" t="s">
        <v>3</v>
      </c>
      <c r="G14" s="5"/>
      <c r="H14" s="5"/>
    </row>
    <row r="15" spans="2:8" x14ac:dyDescent="0.5">
      <c r="B15" s="1" t="s">
        <v>10</v>
      </c>
      <c r="C15" s="1" t="str" cm="1">
        <f t="array" ref="C15">_xlfn.XLOOKUP(B15,B3:B12,_xlfn.XLOOKUP(C14,B3:H3,B3:H12))</f>
        <v>Chair</v>
      </c>
      <c r="G15" s="5"/>
      <c r="H15" s="5"/>
    </row>
  </sheetData>
  <dataValidations count="1">
    <dataValidation type="list" allowBlank="1" showInputMessage="1" showErrorMessage="1" sqref="C14" xr:uid="{B9D62BED-E663-406D-8D17-2DE193649107}">
      <formula1>$C$3:$H$3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07B9-165E-499A-BB77-BD3316B80505}">
  <dimension ref="B1:H25"/>
  <sheetViews>
    <sheetView topLeftCell="A13" zoomScale="80" zoomScaleNormal="80" workbookViewId="0">
      <selection activeCell="C21" sqref="C21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2:8" s="13" customFormat="1" ht="47.4" x14ac:dyDescent="0.9">
      <c r="B1" s="12" t="s">
        <v>62</v>
      </c>
    </row>
    <row r="2" spans="2:8" ht="11.4" customHeight="1" x14ac:dyDescent="0.5"/>
    <row r="3" spans="2:8" x14ac:dyDescent="0.5">
      <c r="B3" s="28" t="s">
        <v>0</v>
      </c>
      <c r="C3" s="28" t="s">
        <v>2</v>
      </c>
      <c r="D3" s="28" t="s">
        <v>1</v>
      </c>
      <c r="E3" s="28" t="s">
        <v>3</v>
      </c>
      <c r="F3" s="33" t="s">
        <v>4</v>
      </c>
      <c r="G3" s="33" t="s">
        <v>5</v>
      </c>
      <c r="H3" s="33" t="s">
        <v>6</v>
      </c>
    </row>
    <row r="4" spans="2:8" x14ac:dyDescent="0.5">
      <c r="B4" s="29" t="s">
        <v>7</v>
      </c>
      <c r="C4" s="29" t="s">
        <v>64</v>
      </c>
      <c r="D4" s="30" t="s">
        <v>8</v>
      </c>
      <c r="E4" s="29" t="s">
        <v>9</v>
      </c>
      <c r="F4" s="11">
        <v>2</v>
      </c>
      <c r="G4" s="34">
        <v>1380</v>
      </c>
      <c r="H4" s="34">
        <v>2760</v>
      </c>
    </row>
    <row r="5" spans="2:8" x14ac:dyDescent="0.5">
      <c r="B5" s="29" t="s">
        <v>10</v>
      </c>
      <c r="C5" s="29" t="s">
        <v>65</v>
      </c>
      <c r="D5" s="30" t="s">
        <v>11</v>
      </c>
      <c r="E5" s="29" t="s">
        <v>12</v>
      </c>
      <c r="F5" s="11">
        <v>2</v>
      </c>
      <c r="G5" s="34">
        <v>5848</v>
      </c>
      <c r="H5" s="34">
        <v>11697</v>
      </c>
    </row>
    <row r="6" spans="2:8" x14ac:dyDescent="0.5">
      <c r="B6" s="29" t="s">
        <v>13</v>
      </c>
      <c r="C6" s="29" t="s">
        <v>66</v>
      </c>
      <c r="D6" s="30" t="s">
        <v>14</v>
      </c>
      <c r="E6" s="29" t="s">
        <v>15</v>
      </c>
      <c r="F6" s="11">
        <v>1</v>
      </c>
      <c r="G6" s="34">
        <v>15208</v>
      </c>
      <c r="H6" s="34">
        <v>15208</v>
      </c>
    </row>
    <row r="7" spans="2:8" x14ac:dyDescent="0.5">
      <c r="B7" s="29" t="s">
        <v>52</v>
      </c>
      <c r="C7" s="29" t="s">
        <v>67</v>
      </c>
      <c r="D7" s="30" t="s">
        <v>16</v>
      </c>
      <c r="E7" s="29" t="s">
        <v>17</v>
      </c>
      <c r="F7" s="11">
        <v>2</v>
      </c>
      <c r="G7" s="34">
        <v>156</v>
      </c>
      <c r="H7" s="34">
        <v>313</v>
      </c>
    </row>
    <row r="8" spans="2:8" ht="11.4" customHeight="1" x14ac:dyDescent="0.5">
      <c r="B8" s="31"/>
      <c r="C8" s="31"/>
      <c r="D8" s="31"/>
      <c r="E8" s="31"/>
      <c r="F8" s="35"/>
      <c r="G8" s="35"/>
      <c r="H8" s="35"/>
    </row>
    <row r="9" spans="2:8" x14ac:dyDescent="0.5">
      <c r="B9" s="28" t="s">
        <v>0</v>
      </c>
      <c r="C9" s="28" t="s">
        <v>2</v>
      </c>
      <c r="D9" s="28" t="s">
        <v>1</v>
      </c>
      <c r="E9" s="28" t="s">
        <v>3</v>
      </c>
      <c r="F9" s="33" t="s">
        <v>4</v>
      </c>
      <c r="G9" s="33" t="s">
        <v>5</v>
      </c>
      <c r="H9" s="33" t="s">
        <v>6</v>
      </c>
    </row>
    <row r="10" spans="2:8" x14ac:dyDescent="0.5">
      <c r="B10" s="29" t="s">
        <v>18</v>
      </c>
      <c r="C10" s="29" t="s">
        <v>68</v>
      </c>
      <c r="D10" s="30" t="s">
        <v>19</v>
      </c>
      <c r="E10" s="29" t="s">
        <v>20</v>
      </c>
      <c r="F10" s="11">
        <v>3</v>
      </c>
      <c r="G10" s="34">
        <v>280</v>
      </c>
      <c r="H10" s="34">
        <v>840</v>
      </c>
    </row>
    <row r="11" spans="2:8" x14ac:dyDescent="0.5">
      <c r="B11" s="29" t="s">
        <v>21</v>
      </c>
      <c r="C11" s="29" t="s">
        <v>69</v>
      </c>
      <c r="D11" s="30" t="s">
        <v>22</v>
      </c>
      <c r="E11" s="29" t="s">
        <v>9</v>
      </c>
      <c r="F11" s="11">
        <v>4</v>
      </c>
      <c r="G11" s="34">
        <v>1380</v>
      </c>
      <c r="H11" s="34">
        <v>5520</v>
      </c>
    </row>
    <row r="12" spans="2:8" x14ac:dyDescent="0.5">
      <c r="B12" s="29" t="s">
        <v>23</v>
      </c>
      <c r="C12" s="29" t="s">
        <v>70</v>
      </c>
      <c r="D12" s="30" t="s">
        <v>24</v>
      </c>
      <c r="E12" s="29" t="s">
        <v>25</v>
      </c>
      <c r="F12" s="11">
        <v>4</v>
      </c>
      <c r="G12" s="34">
        <v>27025</v>
      </c>
      <c r="H12" s="34">
        <v>108100</v>
      </c>
    </row>
    <row r="13" spans="2:8" x14ac:dyDescent="0.5">
      <c r="B13" s="29" t="s">
        <v>26</v>
      </c>
      <c r="C13" s="29" t="s">
        <v>71</v>
      </c>
      <c r="D13" s="30" t="s">
        <v>27</v>
      </c>
      <c r="E13" s="29" t="s">
        <v>28</v>
      </c>
      <c r="F13" s="11">
        <v>1</v>
      </c>
      <c r="G13" s="34">
        <v>1400</v>
      </c>
      <c r="H13" s="34">
        <v>1400</v>
      </c>
    </row>
    <row r="14" spans="2:8" ht="11.4" customHeight="1" x14ac:dyDescent="0.5">
      <c r="B14" s="31"/>
      <c r="C14" s="31"/>
      <c r="D14" s="32"/>
      <c r="E14" s="31"/>
      <c r="F14" s="35"/>
      <c r="G14" s="36"/>
      <c r="H14" s="36"/>
    </row>
    <row r="15" spans="2:8" x14ac:dyDescent="0.5">
      <c r="B15" s="28" t="s">
        <v>0</v>
      </c>
      <c r="C15" s="28" t="s">
        <v>2</v>
      </c>
      <c r="D15" s="28" t="s">
        <v>1</v>
      </c>
      <c r="E15" s="28" t="s">
        <v>3</v>
      </c>
      <c r="F15" s="33" t="s">
        <v>4</v>
      </c>
      <c r="G15" s="33" t="s">
        <v>5</v>
      </c>
      <c r="H15" s="33" t="s">
        <v>6</v>
      </c>
    </row>
    <row r="16" spans="2:8" x14ac:dyDescent="0.5">
      <c r="B16" s="29" t="s">
        <v>29</v>
      </c>
      <c r="C16" s="29" t="s">
        <v>72</v>
      </c>
      <c r="D16" s="30" t="s">
        <v>30</v>
      </c>
      <c r="E16" s="29" t="s">
        <v>20</v>
      </c>
      <c r="F16" s="11">
        <v>1</v>
      </c>
      <c r="G16" s="34">
        <v>280</v>
      </c>
      <c r="H16" s="34">
        <v>280</v>
      </c>
    </row>
    <row r="17" spans="2:8" x14ac:dyDescent="0.5">
      <c r="B17" s="29" t="s">
        <v>53</v>
      </c>
      <c r="C17" s="29" t="s">
        <v>73</v>
      </c>
      <c r="D17" s="30" t="s">
        <v>32</v>
      </c>
      <c r="E17" s="29" t="s">
        <v>9</v>
      </c>
      <c r="F17" s="11">
        <v>1</v>
      </c>
      <c r="G17" s="34">
        <v>15208</v>
      </c>
      <c r="H17" s="34">
        <v>15208</v>
      </c>
    </row>
    <row r="18" spans="2:8" x14ac:dyDescent="0.5">
      <c r="B18" s="29" t="s">
        <v>54</v>
      </c>
      <c r="C18" s="29" t="s">
        <v>74</v>
      </c>
      <c r="D18" s="30" t="s">
        <v>34</v>
      </c>
      <c r="E18" s="29" t="s">
        <v>12</v>
      </c>
      <c r="F18" s="11">
        <v>2</v>
      </c>
      <c r="G18" s="34">
        <v>156</v>
      </c>
      <c r="H18" s="34">
        <v>313</v>
      </c>
    </row>
    <row r="19" spans="2:8" ht="11.4" customHeight="1" x14ac:dyDescent="0.5">
      <c r="F19" s="35"/>
      <c r="G19" s="35"/>
      <c r="H19" s="35"/>
    </row>
    <row r="20" spans="2:8" x14ac:dyDescent="0.5">
      <c r="B20" s="22" t="s">
        <v>0</v>
      </c>
      <c r="C20" s="22" t="s">
        <v>2</v>
      </c>
      <c r="D20" s="22" t="s">
        <v>1</v>
      </c>
      <c r="E20" s="22" t="s">
        <v>3</v>
      </c>
      <c r="F20" s="37" t="s">
        <v>4</v>
      </c>
      <c r="G20" s="37" t="s">
        <v>5</v>
      </c>
      <c r="H20" s="37" t="s">
        <v>6</v>
      </c>
    </row>
    <row r="21" spans="2:8" x14ac:dyDescent="0.5">
      <c r="B21" s="1" t="s">
        <v>54</v>
      </c>
      <c r="C21" s="1" t="str" cm="1">
        <f t="array" ref="C21:H21">_xlfn.XLOOKUP(B21,B4:B7,C4:H7,_xlfn.XLOOKUP(B21,B10:B13,C10:H13,_xlfn.XLOOKUP(B21,B16:B18,C16:H18)))</f>
        <v>Anwar Hossain</v>
      </c>
      <c r="D21" s="1" t="str">
        <v>CU11</v>
      </c>
      <c r="E21" s="1" t="str">
        <v>Chair</v>
      </c>
      <c r="F21" s="11">
        <v>2</v>
      </c>
      <c r="G21" s="11">
        <v>156</v>
      </c>
      <c r="H21" s="11">
        <v>313</v>
      </c>
    </row>
    <row r="24" spans="2:8" x14ac:dyDescent="0.5">
      <c r="B24" s="22" t="s">
        <v>0</v>
      </c>
      <c r="C24" s="22" t="s">
        <v>2</v>
      </c>
      <c r="D24" s="22" t="s">
        <v>1</v>
      </c>
      <c r="E24" s="22" t="s">
        <v>3</v>
      </c>
      <c r="F24" s="37" t="s">
        <v>4</v>
      </c>
      <c r="G24" s="37" t="s">
        <v>5</v>
      </c>
      <c r="H24" s="37" t="s">
        <v>6</v>
      </c>
    </row>
    <row r="25" spans="2:8" x14ac:dyDescent="0.5">
      <c r="B25" s="29" t="s">
        <v>54</v>
      </c>
      <c r="C25" t="str" cm="1">
        <f t="array" ref="C25:H25">_xlfn.XLOOKUP(B25,B4:B7,C4:H7,_xlfn.XLOOKUP(B25,B10:B13,C10:H13,_xlfn.XLOOKUP(B25,B16:B18,C16:H18,"",0)))</f>
        <v>Anwar Hossain</v>
      </c>
      <c r="D25" t="str">
        <v>CU11</v>
      </c>
      <c r="E25" t="str">
        <v>Chair</v>
      </c>
      <c r="F25">
        <v>2</v>
      </c>
      <c r="G25">
        <v>156</v>
      </c>
      <c r="H25">
        <v>313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5E1E-E007-4F2A-BF34-3FC9F32C2284}">
  <dimension ref="B1:H18"/>
  <sheetViews>
    <sheetView topLeftCell="A6" zoomScale="90" zoomScaleNormal="90" workbookViewId="0">
      <selection activeCell="C18" sqref="C18"/>
    </sheetView>
  </sheetViews>
  <sheetFormatPr defaultRowHeight="25.8" x14ac:dyDescent="0.5"/>
  <cols>
    <col min="1" max="1" width="3.234375" customWidth="1"/>
    <col min="2" max="2" width="12.1171875" customWidth="1"/>
    <col min="3" max="3" width="15.76171875" bestFit="1" customWidth="1"/>
    <col min="4" max="5" width="13.87890625" customWidth="1"/>
    <col min="6" max="7" width="9.3515625" customWidth="1"/>
    <col min="8" max="8" width="10.41015625" bestFit="1" customWidth="1"/>
  </cols>
  <sheetData>
    <row r="1" spans="2:8" s="13" customFormat="1" ht="47.4" x14ac:dyDescent="0.9">
      <c r="B1" s="12" t="s">
        <v>63</v>
      </c>
    </row>
    <row r="3" spans="2:8" x14ac:dyDescent="0.5">
      <c r="B3" s="7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9" t="s">
        <v>5</v>
      </c>
      <c r="H3" s="8" t="s">
        <v>6</v>
      </c>
    </row>
    <row r="4" spans="2:8" x14ac:dyDescent="0.5">
      <c r="B4" s="6" t="s">
        <v>7</v>
      </c>
      <c r="C4" s="1" t="s">
        <v>64</v>
      </c>
      <c r="D4" s="2" t="s">
        <v>8</v>
      </c>
      <c r="E4" s="1" t="s">
        <v>9</v>
      </c>
      <c r="F4" s="1">
        <v>2</v>
      </c>
      <c r="G4" s="3">
        <v>2500</v>
      </c>
      <c r="H4" s="23">
        <f t="shared" ref="H4:H12" si="0">G4*F4</f>
        <v>5000</v>
      </c>
    </row>
    <row r="5" spans="2:8" x14ac:dyDescent="0.5">
      <c r="B5" s="6" t="s">
        <v>10</v>
      </c>
      <c r="C5" s="1" t="s">
        <v>65</v>
      </c>
      <c r="D5" s="2" t="s">
        <v>11</v>
      </c>
      <c r="E5" s="1" t="s">
        <v>12</v>
      </c>
      <c r="F5" s="1">
        <v>2</v>
      </c>
      <c r="G5" s="3">
        <v>6000</v>
      </c>
      <c r="H5" s="3">
        <f t="shared" si="0"/>
        <v>12000</v>
      </c>
    </row>
    <row r="6" spans="2:8" x14ac:dyDescent="0.5">
      <c r="B6" s="6" t="s">
        <v>13</v>
      </c>
      <c r="C6" s="1" t="s">
        <v>66</v>
      </c>
      <c r="D6" s="2" t="s">
        <v>14</v>
      </c>
      <c r="E6" s="1" t="s">
        <v>15</v>
      </c>
      <c r="F6" s="1">
        <v>1</v>
      </c>
      <c r="G6" s="3">
        <v>15000</v>
      </c>
      <c r="H6" s="3">
        <f t="shared" si="0"/>
        <v>15000</v>
      </c>
    </row>
    <row r="7" spans="2:8" x14ac:dyDescent="0.5">
      <c r="B7" s="6" t="s">
        <v>52</v>
      </c>
      <c r="C7" s="1" t="s">
        <v>67</v>
      </c>
      <c r="D7" s="2" t="s">
        <v>16</v>
      </c>
      <c r="E7" s="1" t="s">
        <v>17</v>
      </c>
      <c r="F7" s="1">
        <v>2</v>
      </c>
      <c r="G7" s="3">
        <v>150</v>
      </c>
      <c r="H7" s="3">
        <f t="shared" si="0"/>
        <v>300</v>
      </c>
    </row>
    <row r="8" spans="2:8" x14ac:dyDescent="0.5">
      <c r="B8" s="6" t="s">
        <v>18</v>
      </c>
      <c r="C8" s="1" t="s">
        <v>68</v>
      </c>
      <c r="D8" s="2" t="s">
        <v>19</v>
      </c>
      <c r="E8" s="1" t="s">
        <v>20</v>
      </c>
      <c r="F8" s="1">
        <v>3</v>
      </c>
      <c r="G8" s="3">
        <v>500</v>
      </c>
      <c r="H8" s="3">
        <f t="shared" si="0"/>
        <v>1500</v>
      </c>
    </row>
    <row r="9" spans="2:8" x14ac:dyDescent="0.5">
      <c r="B9" s="6" t="s">
        <v>21</v>
      </c>
      <c r="C9" s="1" t="s">
        <v>69</v>
      </c>
      <c r="D9" s="2" t="s">
        <v>22</v>
      </c>
      <c r="E9" s="1" t="s">
        <v>9</v>
      </c>
      <c r="F9" s="1">
        <v>4</v>
      </c>
      <c r="G9" s="3">
        <v>2500</v>
      </c>
      <c r="H9" s="3">
        <f t="shared" si="0"/>
        <v>10000</v>
      </c>
    </row>
    <row r="10" spans="2:8" x14ac:dyDescent="0.5">
      <c r="B10" s="6" t="s">
        <v>23</v>
      </c>
      <c r="C10" s="1" t="s">
        <v>70</v>
      </c>
      <c r="D10" s="2" t="s">
        <v>24</v>
      </c>
      <c r="E10" s="1" t="s">
        <v>25</v>
      </c>
      <c r="F10" s="1">
        <v>4</v>
      </c>
      <c r="G10" s="3">
        <v>20000</v>
      </c>
      <c r="H10" s="3">
        <f t="shared" si="0"/>
        <v>80000</v>
      </c>
    </row>
    <row r="11" spans="2:8" x14ac:dyDescent="0.5">
      <c r="B11" s="6" t="s">
        <v>26</v>
      </c>
      <c r="C11" s="1" t="s">
        <v>71</v>
      </c>
      <c r="D11" s="2" t="s">
        <v>27</v>
      </c>
      <c r="E11" s="1" t="s">
        <v>28</v>
      </c>
      <c r="F11" s="1">
        <v>1</v>
      </c>
      <c r="G11" s="3">
        <v>1500</v>
      </c>
      <c r="H11" s="3">
        <f t="shared" si="0"/>
        <v>1500</v>
      </c>
    </row>
    <row r="12" spans="2:8" x14ac:dyDescent="0.5">
      <c r="B12" s="10" t="s">
        <v>29</v>
      </c>
      <c r="C12" s="1" t="s">
        <v>72</v>
      </c>
      <c r="D12" s="2" t="s">
        <v>30</v>
      </c>
      <c r="E12" s="1" t="s">
        <v>20</v>
      </c>
      <c r="F12" s="1">
        <v>1</v>
      </c>
      <c r="G12" s="3">
        <v>500</v>
      </c>
      <c r="H12" s="3">
        <f t="shared" si="0"/>
        <v>500</v>
      </c>
    </row>
    <row r="17" spans="2:8" x14ac:dyDescent="0.5">
      <c r="B17" s="24" t="s">
        <v>0</v>
      </c>
      <c r="C17" s="24" t="s">
        <v>2</v>
      </c>
      <c r="D17" s="24" t="s">
        <v>1</v>
      </c>
      <c r="E17" s="24" t="s">
        <v>3</v>
      </c>
      <c r="F17" s="24" t="s">
        <v>4</v>
      </c>
      <c r="G17" s="24" t="s">
        <v>5</v>
      </c>
      <c r="H17" s="24" t="s">
        <v>6</v>
      </c>
    </row>
    <row r="18" spans="2:8" x14ac:dyDescent="0.5">
      <c r="B18" s="25" t="s">
        <v>23</v>
      </c>
      <c r="C18" s="1" t="str" cm="1">
        <f t="array" ref="C18:H18">_xlfn.XLOOKUP(B18,Table2[[#All],[Order ID]],Table2[[#All],[Customer Name]:[Total Sale]])</f>
        <v>Nabila Rahman</v>
      </c>
      <c r="D18" s="1" t="str">
        <v>CU07</v>
      </c>
      <c r="E18" s="1" t="str">
        <v>Tablet</v>
      </c>
      <c r="F18" s="1">
        <v>4</v>
      </c>
      <c r="G18" s="1">
        <v>20000</v>
      </c>
      <c r="H18" s="1">
        <v>80000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60FE-260D-48DD-A369-EEFD95528221}">
  <dimension ref="A1:I45"/>
  <sheetViews>
    <sheetView zoomScale="70" zoomScaleNormal="70" workbookViewId="0">
      <selection activeCell="C26" sqref="C26"/>
    </sheetView>
  </sheetViews>
  <sheetFormatPr defaultColWidth="6.3515625" defaultRowHeight="25.8" x14ac:dyDescent="0.5"/>
  <cols>
    <col min="1" max="2" width="15.87890625" bestFit="1" customWidth="1"/>
    <col min="3" max="3" width="7.41015625" bestFit="1" customWidth="1"/>
    <col min="4" max="4" width="10" bestFit="1" customWidth="1"/>
    <col min="5" max="5" width="12" bestFit="1" customWidth="1"/>
    <col min="6" max="6" width="12.87890625" bestFit="1" customWidth="1"/>
    <col min="7" max="7" width="10.5859375" bestFit="1" customWidth="1"/>
    <col min="8" max="8" width="10.703125" bestFit="1" customWidth="1"/>
    <col min="9" max="9" width="13.87890625" bestFit="1" customWidth="1"/>
  </cols>
  <sheetData>
    <row r="1" spans="1:9" x14ac:dyDescent="0.5">
      <c r="A1" s="39" t="s">
        <v>81</v>
      </c>
      <c r="B1" s="39" t="s">
        <v>82</v>
      </c>
      <c r="C1" s="39" t="s">
        <v>83</v>
      </c>
      <c r="D1" s="40" t="s">
        <v>84</v>
      </c>
      <c r="E1" s="39" t="s">
        <v>85</v>
      </c>
      <c r="F1" s="39" t="s">
        <v>86</v>
      </c>
      <c r="G1" s="39" t="s">
        <v>87</v>
      </c>
      <c r="H1" s="40" t="s">
        <v>88</v>
      </c>
      <c r="I1" s="39" t="s">
        <v>89</v>
      </c>
    </row>
    <row r="2" spans="1:9" x14ac:dyDescent="0.5">
      <c r="A2" s="1" t="s">
        <v>90</v>
      </c>
      <c r="B2" s="1" t="s">
        <v>64</v>
      </c>
      <c r="C2" s="1" t="s">
        <v>91</v>
      </c>
      <c r="D2" s="38">
        <v>28667</v>
      </c>
      <c r="E2" s="1">
        <v>1</v>
      </c>
      <c r="F2" s="1" t="s">
        <v>92</v>
      </c>
      <c r="G2" s="1" t="s">
        <v>93</v>
      </c>
      <c r="H2" s="38">
        <v>43958</v>
      </c>
      <c r="I2" s="1" t="s">
        <v>94</v>
      </c>
    </row>
    <row r="3" spans="1:9" x14ac:dyDescent="0.5">
      <c r="A3" s="1" t="s">
        <v>95</v>
      </c>
      <c r="B3" s="1" t="s">
        <v>65</v>
      </c>
      <c r="C3" s="1" t="s">
        <v>91</v>
      </c>
      <c r="D3" s="38">
        <v>26842</v>
      </c>
      <c r="E3" s="1">
        <v>3</v>
      </c>
      <c r="F3" s="1" t="s">
        <v>96</v>
      </c>
      <c r="G3" s="1" t="s">
        <v>97</v>
      </c>
      <c r="H3" s="38">
        <v>44037</v>
      </c>
      <c r="I3" s="1" t="s">
        <v>98</v>
      </c>
    </row>
    <row r="4" spans="1:9" x14ac:dyDescent="0.5">
      <c r="A4" s="1" t="s">
        <v>99</v>
      </c>
      <c r="B4" s="1" t="s">
        <v>66</v>
      </c>
      <c r="C4" s="1" t="s">
        <v>100</v>
      </c>
      <c r="D4" s="38">
        <v>37427</v>
      </c>
      <c r="E4" s="1">
        <v>5</v>
      </c>
      <c r="F4" s="1" t="s">
        <v>101</v>
      </c>
      <c r="G4" s="1" t="s">
        <v>102</v>
      </c>
      <c r="H4" s="38">
        <v>44130</v>
      </c>
      <c r="I4" s="1" t="s">
        <v>103</v>
      </c>
    </row>
    <row r="5" spans="1:9" x14ac:dyDescent="0.5">
      <c r="A5" s="1" t="s">
        <v>104</v>
      </c>
      <c r="B5" s="1" t="s">
        <v>67</v>
      </c>
      <c r="C5" s="1" t="s">
        <v>91</v>
      </c>
      <c r="D5" s="38">
        <v>31587</v>
      </c>
      <c r="E5" s="1">
        <v>4</v>
      </c>
      <c r="F5" s="1" t="s">
        <v>105</v>
      </c>
      <c r="G5" s="1" t="s">
        <v>106</v>
      </c>
      <c r="H5" s="38">
        <v>45259</v>
      </c>
      <c r="I5" s="1" t="s">
        <v>107</v>
      </c>
    </row>
    <row r="6" spans="1:9" x14ac:dyDescent="0.5">
      <c r="A6" s="1" t="s">
        <v>108</v>
      </c>
      <c r="B6" s="1" t="s">
        <v>68</v>
      </c>
      <c r="C6" s="1" t="s">
        <v>91</v>
      </c>
      <c r="D6" s="38">
        <v>29762</v>
      </c>
      <c r="E6" s="1">
        <v>1</v>
      </c>
      <c r="F6" s="1" t="s">
        <v>109</v>
      </c>
      <c r="G6" s="1" t="s">
        <v>110</v>
      </c>
      <c r="H6" s="38">
        <v>44279</v>
      </c>
      <c r="I6" s="1" t="s">
        <v>111</v>
      </c>
    </row>
    <row r="7" spans="1:9" x14ac:dyDescent="0.5">
      <c r="A7" s="1" t="s">
        <v>112</v>
      </c>
      <c r="B7" s="1" t="s">
        <v>69</v>
      </c>
      <c r="C7" s="1" t="s">
        <v>91</v>
      </c>
      <c r="D7" s="38">
        <v>32317</v>
      </c>
      <c r="E7" s="1">
        <v>3</v>
      </c>
      <c r="F7" s="1" t="s">
        <v>113</v>
      </c>
      <c r="G7" s="1" t="s">
        <v>102</v>
      </c>
      <c r="H7" s="38">
        <v>43923</v>
      </c>
      <c r="I7" s="1" t="s">
        <v>114</v>
      </c>
    </row>
    <row r="8" spans="1:9" x14ac:dyDescent="0.5">
      <c r="A8" s="1" t="s">
        <v>115</v>
      </c>
      <c r="B8" s="1" t="s">
        <v>70</v>
      </c>
      <c r="C8" s="1" t="s">
        <v>91</v>
      </c>
      <c r="D8" s="38">
        <v>25382</v>
      </c>
      <c r="E8" s="1">
        <v>5</v>
      </c>
      <c r="F8" s="1" t="s">
        <v>109</v>
      </c>
      <c r="G8" s="1" t="s">
        <v>110</v>
      </c>
      <c r="H8" s="38">
        <v>45006</v>
      </c>
      <c r="I8" s="1" t="s">
        <v>116</v>
      </c>
    </row>
    <row r="9" spans="1:9" x14ac:dyDescent="0.5">
      <c r="A9" s="1" t="s">
        <v>117</v>
      </c>
      <c r="B9" s="1" t="s">
        <v>71</v>
      </c>
      <c r="C9" s="1" t="s">
        <v>91</v>
      </c>
      <c r="D9" s="38">
        <v>25017</v>
      </c>
      <c r="E9" s="1">
        <v>3</v>
      </c>
      <c r="F9" s="1" t="s">
        <v>118</v>
      </c>
      <c r="G9" s="1" t="s">
        <v>119</v>
      </c>
      <c r="H9" s="38">
        <v>45129</v>
      </c>
      <c r="I9" s="1" t="s">
        <v>120</v>
      </c>
    </row>
    <row r="10" spans="1:9" x14ac:dyDescent="0.5">
      <c r="A10" s="1" t="s">
        <v>121</v>
      </c>
      <c r="B10" s="1" t="s">
        <v>72</v>
      </c>
      <c r="C10" s="1" t="s">
        <v>91</v>
      </c>
      <c r="D10" s="38">
        <v>34872</v>
      </c>
      <c r="E10" s="1">
        <v>6</v>
      </c>
      <c r="F10" s="1" t="s">
        <v>105</v>
      </c>
      <c r="G10" s="1" t="s">
        <v>106</v>
      </c>
      <c r="H10" s="38">
        <v>44925</v>
      </c>
      <c r="I10" s="1" t="s">
        <v>122</v>
      </c>
    </row>
    <row r="11" spans="1:9" x14ac:dyDescent="0.5">
      <c r="A11" s="1" t="s">
        <v>123</v>
      </c>
      <c r="B11" s="1" t="s">
        <v>73</v>
      </c>
      <c r="C11" s="1" t="s">
        <v>100</v>
      </c>
      <c r="D11" s="38">
        <v>26842</v>
      </c>
      <c r="E11" s="1">
        <v>1</v>
      </c>
      <c r="F11" s="1" t="s">
        <v>124</v>
      </c>
      <c r="G11" s="1" t="s">
        <v>125</v>
      </c>
      <c r="H11" s="38">
        <v>45064</v>
      </c>
      <c r="I11" s="1" t="s">
        <v>126</v>
      </c>
    </row>
    <row r="12" spans="1:9" x14ac:dyDescent="0.5">
      <c r="A12" s="1" t="s">
        <v>127</v>
      </c>
      <c r="B12" s="1" t="s">
        <v>74</v>
      </c>
      <c r="C12" s="1" t="s">
        <v>100</v>
      </c>
      <c r="D12" s="38">
        <v>28667</v>
      </c>
      <c r="E12" s="1">
        <v>5</v>
      </c>
      <c r="F12" s="1" t="s">
        <v>128</v>
      </c>
      <c r="G12" s="1" t="s">
        <v>129</v>
      </c>
      <c r="H12" s="38">
        <v>45224</v>
      </c>
      <c r="I12" s="1" t="s">
        <v>130</v>
      </c>
    </row>
    <row r="13" spans="1:9" x14ac:dyDescent="0.5">
      <c r="A13" s="1" t="s">
        <v>131</v>
      </c>
      <c r="B13" s="1" t="s">
        <v>75</v>
      </c>
      <c r="C13" s="1" t="s">
        <v>91</v>
      </c>
      <c r="D13" s="38">
        <v>29397</v>
      </c>
      <c r="E13" s="1">
        <v>3</v>
      </c>
      <c r="F13" s="1" t="s">
        <v>128</v>
      </c>
      <c r="G13" s="1" t="s">
        <v>129</v>
      </c>
      <c r="H13" s="38">
        <v>43982</v>
      </c>
      <c r="I13" s="1" t="s">
        <v>132</v>
      </c>
    </row>
    <row r="14" spans="1:9" x14ac:dyDescent="0.5">
      <c r="A14" s="1" t="s">
        <v>133</v>
      </c>
      <c r="B14" s="1" t="s">
        <v>76</v>
      </c>
      <c r="C14" s="1" t="s">
        <v>100</v>
      </c>
      <c r="D14" s="38">
        <v>27572</v>
      </c>
      <c r="E14" s="1">
        <v>5</v>
      </c>
      <c r="F14" s="1" t="s">
        <v>134</v>
      </c>
      <c r="G14" s="1" t="s">
        <v>110</v>
      </c>
      <c r="H14" s="38">
        <v>43885</v>
      </c>
      <c r="I14" s="1" t="s">
        <v>135</v>
      </c>
    </row>
    <row r="15" spans="1:9" x14ac:dyDescent="0.5">
      <c r="A15" s="1" t="s">
        <v>136</v>
      </c>
      <c r="B15" s="1" t="s">
        <v>77</v>
      </c>
      <c r="C15" s="1" t="s">
        <v>100</v>
      </c>
      <c r="D15" s="38">
        <v>33777</v>
      </c>
      <c r="E15" s="1">
        <v>2</v>
      </c>
      <c r="F15" s="1" t="s">
        <v>109</v>
      </c>
      <c r="G15" s="1" t="s">
        <v>110</v>
      </c>
      <c r="H15" s="38">
        <v>44085</v>
      </c>
      <c r="I15" s="1" t="s">
        <v>137</v>
      </c>
    </row>
    <row r="16" spans="1:9" x14ac:dyDescent="0.5">
      <c r="A16" s="1" t="s">
        <v>138</v>
      </c>
      <c r="B16" s="1" t="s">
        <v>78</v>
      </c>
      <c r="C16" s="1" t="s">
        <v>91</v>
      </c>
      <c r="D16" s="38">
        <v>38522</v>
      </c>
      <c r="E16" s="1">
        <v>5</v>
      </c>
      <c r="F16" s="1" t="s">
        <v>118</v>
      </c>
      <c r="G16" s="1" t="s">
        <v>119</v>
      </c>
      <c r="H16" s="38">
        <v>45131</v>
      </c>
      <c r="I16" s="1" t="s">
        <v>139</v>
      </c>
    </row>
    <row r="17" spans="1:9" x14ac:dyDescent="0.5">
      <c r="A17" s="1" t="s">
        <v>140</v>
      </c>
      <c r="B17" s="1" t="s">
        <v>79</v>
      </c>
      <c r="C17" s="1" t="s">
        <v>100</v>
      </c>
      <c r="D17" s="38">
        <v>26842</v>
      </c>
      <c r="E17" s="1">
        <v>5</v>
      </c>
      <c r="F17" s="1" t="s">
        <v>128</v>
      </c>
      <c r="G17" s="1" t="s">
        <v>129</v>
      </c>
      <c r="H17" s="38">
        <v>44217</v>
      </c>
      <c r="I17" s="1" t="s">
        <v>141</v>
      </c>
    </row>
    <row r="18" spans="1:9" x14ac:dyDescent="0.5">
      <c r="A18" s="1" t="s">
        <v>142</v>
      </c>
      <c r="B18" s="1" t="s">
        <v>143</v>
      </c>
      <c r="C18" s="1" t="s">
        <v>91</v>
      </c>
      <c r="D18" s="38">
        <v>39617</v>
      </c>
      <c r="E18" s="1">
        <v>5</v>
      </c>
      <c r="F18" s="1" t="s">
        <v>144</v>
      </c>
      <c r="G18" s="1" t="s">
        <v>93</v>
      </c>
      <c r="H18" s="38">
        <v>45072</v>
      </c>
      <c r="I18" s="1" t="s">
        <v>145</v>
      </c>
    </row>
    <row r="19" spans="1:9" x14ac:dyDescent="0.5">
      <c r="A19" s="1" t="s">
        <v>146</v>
      </c>
      <c r="B19" s="1" t="s">
        <v>147</v>
      </c>
      <c r="C19" s="1" t="s">
        <v>100</v>
      </c>
      <c r="D19" s="38">
        <v>37792</v>
      </c>
      <c r="E19" s="1">
        <v>3</v>
      </c>
      <c r="F19" s="1" t="s">
        <v>148</v>
      </c>
      <c r="G19" s="1" t="s">
        <v>106</v>
      </c>
      <c r="H19" s="38">
        <v>45010</v>
      </c>
      <c r="I19" s="1" t="s">
        <v>149</v>
      </c>
    </row>
    <row r="20" spans="1:9" x14ac:dyDescent="0.5">
      <c r="A20" s="1" t="s">
        <v>150</v>
      </c>
      <c r="B20" s="1" t="s">
        <v>151</v>
      </c>
      <c r="C20" s="1" t="s">
        <v>100</v>
      </c>
      <c r="D20" s="38">
        <v>22827</v>
      </c>
      <c r="E20" s="1">
        <v>4</v>
      </c>
      <c r="F20" s="1" t="s">
        <v>152</v>
      </c>
      <c r="G20" s="1" t="s">
        <v>102</v>
      </c>
      <c r="H20" s="38">
        <v>44076</v>
      </c>
      <c r="I20" s="1" t="s">
        <v>153</v>
      </c>
    </row>
    <row r="21" spans="1:9" x14ac:dyDescent="0.5">
      <c r="A21" s="1" t="s">
        <v>154</v>
      </c>
      <c r="B21" s="1" t="s">
        <v>155</v>
      </c>
      <c r="C21" s="1" t="s">
        <v>91</v>
      </c>
      <c r="D21" s="38">
        <v>30492</v>
      </c>
      <c r="E21" s="1">
        <v>1</v>
      </c>
      <c r="F21" s="1" t="s">
        <v>101</v>
      </c>
      <c r="G21" s="1" t="s">
        <v>102</v>
      </c>
      <c r="H21" s="38">
        <v>44632</v>
      </c>
      <c r="I21" s="1" t="s">
        <v>156</v>
      </c>
    </row>
    <row r="25" spans="1:9" x14ac:dyDescent="0.5">
      <c r="A25" s="42" t="s">
        <v>82</v>
      </c>
      <c r="B25" s="41" t="s">
        <v>157</v>
      </c>
      <c r="C25" s="42" t="s">
        <v>83</v>
      </c>
      <c r="D25" s="43" t="s">
        <v>84</v>
      </c>
      <c r="E25" s="42" t="s">
        <v>85</v>
      </c>
      <c r="F25" s="42" t="s">
        <v>86</v>
      </c>
      <c r="G25" s="42" t="s">
        <v>87</v>
      </c>
      <c r="H25" s="43" t="s">
        <v>88</v>
      </c>
    </row>
    <row r="26" spans="1:9" x14ac:dyDescent="0.5">
      <c r="A26" s="1" t="s">
        <v>64</v>
      </c>
      <c r="B26" s="1" t="s">
        <v>158</v>
      </c>
      <c r="C26" t="str" cm="1">
        <f t="array" ref="C26:H26">_xlfn.XLOOKUP(RIGHT(B26,9),RIGHT($I$2:$I$21,9),$C$2:$H$21)</f>
        <v>Female</v>
      </c>
      <c r="D26">
        <v>28667</v>
      </c>
      <c r="E26">
        <v>1</v>
      </c>
      <c r="F26" t="str">
        <v>Rangpur Sadar</v>
      </c>
      <c r="G26" t="str">
        <v>Rangpur</v>
      </c>
      <c r="H26">
        <v>43958</v>
      </c>
    </row>
    <row r="27" spans="1:9" x14ac:dyDescent="0.5">
      <c r="A27" s="1" t="s">
        <v>65</v>
      </c>
      <c r="B27" s="1" t="s">
        <v>159</v>
      </c>
      <c r="C27" t="str" cm="1">
        <f t="array" ref="C27:H27">_xlfn.XLOOKUP(RIGHT(B27,9),RIGHT($I$2:$I$21,9),$C$2:$H$21)</f>
        <v>Female</v>
      </c>
      <c r="D27">
        <v>26842</v>
      </c>
      <c r="E27">
        <v>3</v>
      </c>
      <c r="F27" t="str">
        <v>Subidbazar</v>
      </c>
      <c r="G27" t="str">
        <v>Sylhet</v>
      </c>
      <c r="H27">
        <v>44037</v>
      </c>
    </row>
    <row r="28" spans="1:9" x14ac:dyDescent="0.5">
      <c r="A28" s="1" t="s">
        <v>66</v>
      </c>
      <c r="B28" s="1" t="s">
        <v>160</v>
      </c>
      <c r="C28" t="str" cm="1">
        <f t="array" ref="C28:H28">_xlfn.XLOOKUP(RIGHT(B28,9),RIGHT($I$2:$I$21,9),$C$2:$H$21)</f>
        <v>Male</v>
      </c>
      <c r="D28">
        <v>37427</v>
      </c>
      <c r="E28">
        <v>5</v>
      </c>
      <c r="F28" t="str">
        <v>Shah Makhdum</v>
      </c>
      <c r="G28" t="str">
        <v>Rajshahi</v>
      </c>
      <c r="H28">
        <v>44130</v>
      </c>
    </row>
    <row r="29" spans="1:9" x14ac:dyDescent="0.5">
      <c r="A29" s="1" t="s">
        <v>67</v>
      </c>
      <c r="B29" s="1" t="s">
        <v>161</v>
      </c>
      <c r="C29" t="str" cm="1">
        <f t="array" ref="C29:H29">_xlfn.XLOOKUP(RIGHT(B29,9),RIGHT($I$2:$I$21,9),$C$2:$H$21)</f>
        <v>Female</v>
      </c>
      <c r="D29">
        <v>31587</v>
      </c>
      <c r="E29">
        <v>4</v>
      </c>
      <c r="F29" t="str">
        <v>Kawran Bazar</v>
      </c>
      <c r="G29" t="str">
        <v>Barishal</v>
      </c>
      <c r="H29">
        <v>45259</v>
      </c>
    </row>
    <row r="30" spans="1:9" x14ac:dyDescent="0.5">
      <c r="A30" s="1" t="s">
        <v>68</v>
      </c>
      <c r="B30" s="1" t="s">
        <v>162</v>
      </c>
      <c r="C30" t="str" cm="1">
        <f t="array" ref="C30:H30">_xlfn.XLOOKUP(RIGHT(B30,9),RIGHT($I$2:$I$21,9),$C$2:$H$21)</f>
        <v>Female</v>
      </c>
      <c r="D30">
        <v>29762</v>
      </c>
      <c r="E30">
        <v>1</v>
      </c>
      <c r="F30" t="str">
        <v>Gollamari</v>
      </c>
      <c r="G30" t="str">
        <v>Khulna</v>
      </c>
      <c r="H30">
        <v>44279</v>
      </c>
    </row>
    <row r="31" spans="1:9" x14ac:dyDescent="0.5">
      <c r="A31" s="1" t="s">
        <v>69</v>
      </c>
      <c r="B31" s="1" t="s">
        <v>163</v>
      </c>
      <c r="C31" t="str" cm="1">
        <f t="array" ref="C31:H31">_xlfn.XLOOKUP(RIGHT(B31,9),RIGHT($I$2:$I$21,9),$C$2:$H$21)</f>
        <v>Female</v>
      </c>
      <c r="D31">
        <v>32317</v>
      </c>
      <c r="E31">
        <v>3</v>
      </c>
      <c r="F31" t="str">
        <v>Boalia</v>
      </c>
      <c r="G31" t="str">
        <v>Rajshahi</v>
      </c>
      <c r="H31">
        <v>43923</v>
      </c>
    </row>
    <row r="32" spans="1:9" x14ac:dyDescent="0.5">
      <c r="A32" s="1" t="s">
        <v>70</v>
      </c>
      <c r="B32" s="1" t="s">
        <v>164</v>
      </c>
      <c r="C32" t="str" cm="1">
        <f t="array" ref="C32:H32">_xlfn.XLOOKUP(RIGHT(B32,9),RIGHT($I$2:$I$21,9),$C$2:$H$21)</f>
        <v>Female</v>
      </c>
      <c r="D32">
        <v>25382</v>
      </c>
      <c r="E32">
        <v>5</v>
      </c>
      <c r="F32" t="str">
        <v>Gollamari</v>
      </c>
      <c r="G32" t="str">
        <v>Khulna</v>
      </c>
      <c r="H32">
        <v>45006</v>
      </c>
    </row>
    <row r="33" spans="1:8" x14ac:dyDescent="0.5">
      <c r="A33" s="1" t="s">
        <v>71</v>
      </c>
      <c r="B33" s="1" t="s">
        <v>165</v>
      </c>
      <c r="C33" t="str" cm="1">
        <f t="array" ref="C33:H33">_xlfn.XLOOKUP(RIGHT(B33,9),RIGHT($I$2:$I$21,9),$C$2:$H$21)</f>
        <v>Female</v>
      </c>
      <c r="D33">
        <v>25017</v>
      </c>
      <c r="E33">
        <v>3</v>
      </c>
      <c r="F33" t="str">
        <v>Dhanmondi</v>
      </c>
      <c r="G33" t="str">
        <v>Dhaka</v>
      </c>
      <c r="H33">
        <v>45129</v>
      </c>
    </row>
    <row r="34" spans="1:8" x14ac:dyDescent="0.5">
      <c r="A34" s="1" t="s">
        <v>72</v>
      </c>
      <c r="B34" s="1" t="s">
        <v>166</v>
      </c>
      <c r="C34" t="str" cm="1">
        <f t="array" ref="C34:H34">_xlfn.XLOOKUP(RIGHT(B34,9),RIGHT($I$2:$I$21,9),$C$2:$H$21)</f>
        <v>Female</v>
      </c>
      <c r="D34">
        <v>34872</v>
      </c>
      <c r="E34">
        <v>6</v>
      </c>
      <c r="F34" t="str">
        <v>Kawran Bazar</v>
      </c>
      <c r="G34" t="str">
        <v>Barishal</v>
      </c>
      <c r="H34">
        <v>44925</v>
      </c>
    </row>
    <row r="35" spans="1:8" x14ac:dyDescent="0.5">
      <c r="A35" s="1" t="s">
        <v>73</v>
      </c>
      <c r="B35" s="1" t="s">
        <v>167</v>
      </c>
      <c r="C35" t="str" cm="1">
        <f t="array" ref="C35:H35">_xlfn.XLOOKUP(RIGHT(B35,9),RIGHT($I$2:$I$21,9),$C$2:$H$21)</f>
        <v>Male</v>
      </c>
      <c r="D35">
        <v>26842</v>
      </c>
      <c r="E35">
        <v>1</v>
      </c>
      <c r="F35" t="str">
        <v>Muktagachha</v>
      </c>
      <c r="G35" t="str">
        <v>Mymensingh</v>
      </c>
      <c r="H35">
        <v>45064</v>
      </c>
    </row>
    <row r="36" spans="1:8" x14ac:dyDescent="0.5">
      <c r="A36" s="1" t="s">
        <v>74</v>
      </c>
      <c r="B36" s="1" t="s">
        <v>168</v>
      </c>
      <c r="C36" t="str" cm="1">
        <f t="array" ref="C36:H36">_xlfn.XLOOKUP(RIGHT(B36,9),RIGHT($I$2:$I$21,9),$C$2:$H$21)</f>
        <v>Male</v>
      </c>
      <c r="D36">
        <v>28667</v>
      </c>
      <c r="E36">
        <v>5</v>
      </c>
      <c r="F36" t="str">
        <v>Panchlaish</v>
      </c>
      <c r="G36" t="str">
        <v>Chattogram</v>
      </c>
      <c r="H36">
        <v>45224</v>
      </c>
    </row>
    <row r="37" spans="1:8" x14ac:dyDescent="0.5">
      <c r="A37" s="1" t="s">
        <v>75</v>
      </c>
      <c r="B37" s="1" t="s">
        <v>169</v>
      </c>
      <c r="C37" t="str" cm="1">
        <f t="array" ref="C37:H37">_xlfn.XLOOKUP(RIGHT(B37,9),RIGHT($I$2:$I$21,9),$C$2:$H$21)</f>
        <v>Female</v>
      </c>
      <c r="D37">
        <v>29397</v>
      </c>
      <c r="E37">
        <v>3</v>
      </c>
      <c r="F37" t="str">
        <v>Panchlaish</v>
      </c>
      <c r="G37" t="str">
        <v>Chattogram</v>
      </c>
      <c r="H37">
        <v>43982</v>
      </c>
    </row>
    <row r="38" spans="1:8" x14ac:dyDescent="0.5">
      <c r="A38" s="1" t="s">
        <v>76</v>
      </c>
      <c r="B38" s="1" t="s">
        <v>170</v>
      </c>
      <c r="C38" t="str" cm="1">
        <f t="array" ref="C38:H38">_xlfn.XLOOKUP(RIGHT(B38,9),RIGHT($I$2:$I$21,9),$C$2:$H$21)</f>
        <v>Male</v>
      </c>
      <c r="D38">
        <v>27572</v>
      </c>
      <c r="E38">
        <v>5</v>
      </c>
      <c r="F38" t="str">
        <v>Sonadanga</v>
      </c>
      <c r="G38" t="str">
        <v>Khulna</v>
      </c>
      <c r="H38">
        <v>43885</v>
      </c>
    </row>
    <row r="39" spans="1:8" x14ac:dyDescent="0.5">
      <c r="A39" s="1" t="s">
        <v>77</v>
      </c>
      <c r="B39" s="1" t="s">
        <v>171</v>
      </c>
      <c r="C39" t="str" cm="1">
        <f t="array" ref="C39:H39">_xlfn.XLOOKUP(RIGHT(B39,9),RIGHT($I$2:$I$21,9),$C$2:$H$21)</f>
        <v>Male</v>
      </c>
      <c r="D39">
        <v>33777</v>
      </c>
      <c r="E39">
        <v>2</v>
      </c>
      <c r="F39" t="str">
        <v>Gollamari</v>
      </c>
      <c r="G39" t="str">
        <v>Khulna</v>
      </c>
      <c r="H39">
        <v>44085</v>
      </c>
    </row>
    <row r="40" spans="1:8" x14ac:dyDescent="0.5">
      <c r="A40" s="1" t="s">
        <v>78</v>
      </c>
      <c r="B40" s="1" t="s">
        <v>172</v>
      </c>
      <c r="C40" t="str" cm="1">
        <f t="array" ref="C40:H40">_xlfn.XLOOKUP(RIGHT(B40,9),RIGHT($I$2:$I$21,9),$C$2:$H$21)</f>
        <v>Female</v>
      </c>
      <c r="D40">
        <v>38522</v>
      </c>
      <c r="E40">
        <v>5</v>
      </c>
      <c r="F40" t="str">
        <v>Dhanmondi</v>
      </c>
      <c r="G40" t="str">
        <v>Dhaka</v>
      </c>
      <c r="H40">
        <v>45131</v>
      </c>
    </row>
    <row r="41" spans="1:8" x14ac:dyDescent="0.5">
      <c r="A41" s="1" t="s">
        <v>79</v>
      </c>
      <c r="B41" s="1" t="s">
        <v>173</v>
      </c>
      <c r="C41" t="str" cm="1">
        <f t="array" ref="C41:H41">_xlfn.XLOOKUP(RIGHT(B41,9),RIGHT($I$2:$I$21,9),$C$2:$H$21)</f>
        <v>Male</v>
      </c>
      <c r="D41">
        <v>26842</v>
      </c>
      <c r="E41">
        <v>5</v>
      </c>
      <c r="F41" t="str">
        <v>Panchlaish</v>
      </c>
      <c r="G41" t="str">
        <v>Chattogram</v>
      </c>
      <c r="H41">
        <v>44217</v>
      </c>
    </row>
    <row r="42" spans="1:8" x14ac:dyDescent="0.5">
      <c r="A42" s="1" t="s">
        <v>143</v>
      </c>
      <c r="B42" s="1" t="s">
        <v>174</v>
      </c>
      <c r="C42" t="str" cm="1">
        <f t="array" ref="C42:H42">_xlfn.XLOOKUP(RIGHT(B42,9),RIGHT($I$2:$I$21,9),$C$2:$H$21)</f>
        <v>Female</v>
      </c>
      <c r="D42">
        <v>39617</v>
      </c>
      <c r="E42">
        <v>5</v>
      </c>
      <c r="F42" t="str">
        <v>Kaunia</v>
      </c>
      <c r="G42" t="str">
        <v>Rangpur</v>
      </c>
      <c r="H42">
        <v>45072</v>
      </c>
    </row>
    <row r="43" spans="1:8" x14ac:dyDescent="0.5">
      <c r="A43" s="1" t="s">
        <v>147</v>
      </c>
      <c r="B43" s="1" t="s">
        <v>175</v>
      </c>
      <c r="C43" t="str" cm="1">
        <f t="array" ref="C43:H43">_xlfn.XLOOKUP(RIGHT(B43,9),RIGHT($I$2:$I$21,9),$C$2:$H$21)</f>
        <v>Male</v>
      </c>
      <c r="D43">
        <v>37792</v>
      </c>
      <c r="E43">
        <v>3</v>
      </c>
      <c r="F43" t="str">
        <v>Bakerganj</v>
      </c>
      <c r="G43" t="str">
        <v>Barishal</v>
      </c>
      <c r="H43">
        <v>45010</v>
      </c>
    </row>
    <row r="44" spans="1:8" x14ac:dyDescent="0.5">
      <c r="A44" s="1" t="s">
        <v>151</v>
      </c>
      <c r="B44" s="1" t="s">
        <v>176</v>
      </c>
      <c r="C44" t="str" cm="1">
        <f t="array" ref="C44:H44">_xlfn.XLOOKUP(RIGHT(B44,9),RIGHT($I$2:$I$21,9),$C$2:$H$21)</f>
        <v>Male</v>
      </c>
      <c r="D44">
        <v>22827</v>
      </c>
      <c r="E44">
        <v>4</v>
      </c>
      <c r="F44" t="str">
        <v>Godagari</v>
      </c>
      <c r="G44" t="str">
        <v>Rajshahi</v>
      </c>
      <c r="H44">
        <v>44076</v>
      </c>
    </row>
    <row r="45" spans="1:8" x14ac:dyDescent="0.5">
      <c r="A45" s="1" t="s">
        <v>155</v>
      </c>
      <c r="B45" s="1" t="s">
        <v>177</v>
      </c>
      <c r="C45" t="str" cm="1">
        <f t="array" ref="C45:H45">_xlfn.XLOOKUP(RIGHT(B45,9),RIGHT($I$2:$I$21,9),$C$2:$H$21)</f>
        <v>Female</v>
      </c>
      <c r="D45">
        <v>30492</v>
      </c>
      <c r="E45">
        <v>1</v>
      </c>
      <c r="F45" t="str">
        <v>Shah Makhdum</v>
      </c>
      <c r="G45" t="str">
        <v>Rajshahi</v>
      </c>
      <c r="H45">
        <v>44632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D497-8DF3-4402-8162-C3C7AA7013C2}">
  <dimension ref="A1"/>
  <sheetViews>
    <sheetView workbookViewId="0"/>
  </sheetViews>
  <sheetFormatPr defaultRowHeight="25.8" x14ac:dyDescent="0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483B-5C4F-42E6-BFD9-34C81778C102}">
  <dimension ref="B1:H17"/>
  <sheetViews>
    <sheetView zoomScaleNormal="100" workbookViewId="0">
      <selection activeCell="F3" sqref="F3"/>
    </sheetView>
  </sheetViews>
  <sheetFormatPr defaultColWidth="6.52734375" defaultRowHeight="15.6" x14ac:dyDescent="0.3"/>
  <cols>
    <col min="1" max="1" width="2.05859375" style="58" customWidth="1"/>
    <col min="2" max="2" width="9.17578125" style="58" bestFit="1" customWidth="1"/>
    <col min="3" max="3" width="5.3515625" style="58" customWidth="1"/>
    <col min="4" max="4" width="4.64453125" style="58" customWidth="1"/>
    <col min="5" max="5" width="6.52734375" style="58"/>
    <col min="6" max="6" width="9.05859375" style="58" bestFit="1" customWidth="1"/>
    <col min="7" max="7" width="7.5859375" style="58" customWidth="1"/>
    <col min="8" max="16384" width="6.52734375" style="58"/>
  </cols>
  <sheetData>
    <row r="1" spans="2:8" ht="8.1" customHeight="1" x14ac:dyDescent="0.3"/>
    <row r="2" spans="2:8" s="47" customFormat="1" x14ac:dyDescent="0.3">
      <c r="B2" s="51" t="s">
        <v>199</v>
      </c>
      <c r="C2" s="50" t="s">
        <v>198</v>
      </c>
      <c r="E2" s="60" t="s">
        <v>197</v>
      </c>
      <c r="F2" s="49" t="s">
        <v>196</v>
      </c>
      <c r="G2" s="47" t="s">
        <v>195</v>
      </c>
      <c r="H2" s="48" t="s">
        <v>194</v>
      </c>
    </row>
    <row r="3" spans="2:8" x14ac:dyDescent="0.3">
      <c r="B3" s="58" t="s">
        <v>193</v>
      </c>
      <c r="C3" s="62">
        <v>8151.24812152702</v>
      </c>
      <c r="E3" s="60" t="s">
        <v>192</v>
      </c>
      <c r="F3" s="46">
        <f>_xlfn.XLOOKUP(F2&amp;"*",B3:B17,C3:C17,,2,-1)</f>
        <v>3435.2681701390152</v>
      </c>
    </row>
    <row r="4" spans="2:8" x14ac:dyDescent="0.3">
      <c r="B4" s="58" t="s">
        <v>191</v>
      </c>
      <c r="C4" s="62">
        <v>7755.4709019399825</v>
      </c>
    </row>
    <row r="5" spans="2:8" x14ac:dyDescent="0.3">
      <c r="B5" s="58" t="s">
        <v>190</v>
      </c>
      <c r="C5" s="62">
        <v>2092.3283139276195</v>
      </c>
    </row>
    <row r="6" spans="2:8" x14ac:dyDescent="0.3">
      <c r="B6" s="58" t="s">
        <v>189</v>
      </c>
      <c r="C6" s="62">
        <v>3380.1466125541278</v>
      </c>
    </row>
    <row r="7" spans="2:8" x14ac:dyDescent="0.3">
      <c r="B7" s="58" t="s">
        <v>188</v>
      </c>
      <c r="C7" s="62">
        <v>6964.0561728480398</v>
      </c>
      <c r="F7" s="58" t="str" cm="1">
        <f t="array" ref="F7:G8">_xlfn._xlws.FILTER(B2:C17,ISNUMBER(SEARCH(F2,$B$2:$B$17)))</f>
        <v>Saiful Islam Sagor</v>
      </c>
      <c r="G7" s="58">
        <v>9916.1225399862142</v>
      </c>
    </row>
    <row r="8" spans="2:8" x14ac:dyDescent="0.3">
      <c r="B8" s="58" t="s">
        <v>187</v>
      </c>
      <c r="C8" s="62">
        <v>5012.6200229350716</v>
      </c>
      <c r="F8" s="58" t="str">
        <v>Saiful Islam</v>
      </c>
      <c r="G8" s="58">
        <v>3435.2681701390152</v>
      </c>
    </row>
    <row r="9" spans="2:8" x14ac:dyDescent="0.3">
      <c r="B9" s="58" t="s">
        <v>186</v>
      </c>
      <c r="C9" s="62">
        <v>6993.37653924595</v>
      </c>
    </row>
    <row r="10" spans="2:8" x14ac:dyDescent="0.3">
      <c r="B10" s="58" t="s">
        <v>185</v>
      </c>
      <c r="C10" s="62">
        <v>9916.1225399862142</v>
      </c>
    </row>
    <row r="11" spans="2:8" x14ac:dyDescent="0.3">
      <c r="B11" s="58" t="s">
        <v>184</v>
      </c>
      <c r="C11" s="62">
        <v>9982.7607672833492</v>
      </c>
    </row>
    <row r="12" spans="2:8" x14ac:dyDescent="0.3">
      <c r="B12" s="58" t="s">
        <v>183</v>
      </c>
      <c r="C12" s="62">
        <v>9110.2743930674405</v>
      </c>
    </row>
    <row r="13" spans="2:8" x14ac:dyDescent="0.3">
      <c r="B13" s="58" t="s">
        <v>182</v>
      </c>
      <c r="C13" s="62">
        <v>3222.9027070160741</v>
      </c>
    </row>
    <row r="14" spans="2:8" x14ac:dyDescent="0.3">
      <c r="B14" s="58" t="s">
        <v>181</v>
      </c>
      <c r="C14" s="62">
        <v>3435.2681701390152</v>
      </c>
    </row>
    <row r="15" spans="2:8" x14ac:dyDescent="0.3">
      <c r="B15" s="58" t="s">
        <v>180</v>
      </c>
      <c r="C15" s="62">
        <v>6016.4213975740586</v>
      </c>
    </row>
    <row r="16" spans="2:8" x14ac:dyDescent="0.3">
      <c r="B16" s="58" t="s">
        <v>179</v>
      </c>
      <c r="C16" s="62">
        <v>1734.5840260811419</v>
      </c>
    </row>
    <row r="17" spans="2:3" x14ac:dyDescent="0.3">
      <c r="B17" s="58" t="s">
        <v>178</v>
      </c>
      <c r="C17" s="62">
        <v>4726.9219681522554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411E-EE0B-460A-AFFC-EF22096B3F3F}">
  <dimension ref="B1:I17"/>
  <sheetViews>
    <sheetView zoomScale="110" zoomScaleNormal="110" workbookViewId="0">
      <selection activeCell="I4" sqref="I4"/>
    </sheetView>
  </sheetViews>
  <sheetFormatPr defaultColWidth="6.52734375" defaultRowHeight="15.6" x14ac:dyDescent="0.3"/>
  <cols>
    <col min="1" max="1" width="2.05859375" style="58" customWidth="1"/>
    <col min="2" max="2" width="9.17578125" style="58" bestFit="1" customWidth="1"/>
    <col min="3" max="6" width="5.5859375" style="59" customWidth="1"/>
    <col min="7" max="7" width="4.41015625" style="58" customWidth="1"/>
    <col min="8" max="8" width="6.52734375" style="58"/>
    <col min="9" max="9" width="10.29296875" style="58" customWidth="1"/>
    <col min="10" max="16384" width="6.52734375" style="58"/>
  </cols>
  <sheetData>
    <row r="1" spans="2:9" ht="8.1" customHeight="1" x14ac:dyDescent="0.3"/>
    <row r="2" spans="2:9" s="47" customFormat="1" x14ac:dyDescent="0.3">
      <c r="B2" s="51" t="s">
        <v>199</v>
      </c>
      <c r="C2" s="53" t="s">
        <v>205</v>
      </c>
      <c r="D2" s="53" t="s">
        <v>201</v>
      </c>
      <c r="E2" s="53" t="s">
        <v>204</v>
      </c>
      <c r="F2" s="53" t="s">
        <v>203</v>
      </c>
      <c r="H2" s="60" t="s">
        <v>197</v>
      </c>
      <c r="I2" s="61" t="s">
        <v>191</v>
      </c>
    </row>
    <row r="3" spans="2:9" x14ac:dyDescent="0.3">
      <c r="B3" s="58" t="s">
        <v>193</v>
      </c>
      <c r="C3" s="62">
        <v>8151.24812152702</v>
      </c>
      <c r="D3" s="62">
        <v>1216.6072035870845</v>
      </c>
      <c r="E3" s="62">
        <v>3232.9894725803101</v>
      </c>
      <c r="F3" s="62">
        <v>5380.8634254774952</v>
      </c>
      <c r="H3" s="60" t="s">
        <v>202</v>
      </c>
      <c r="I3" s="61" t="s">
        <v>201</v>
      </c>
    </row>
    <row r="4" spans="2:9" x14ac:dyDescent="0.3">
      <c r="B4" s="58" t="s">
        <v>191</v>
      </c>
      <c r="C4" s="62">
        <v>7755.4709019399825</v>
      </c>
      <c r="D4" s="62">
        <v>2384.7294473981196</v>
      </c>
      <c r="E4" s="62">
        <v>4805.3778620719804</v>
      </c>
      <c r="F4" s="62">
        <v>6333.7341275748604</v>
      </c>
      <c r="H4" s="60" t="s">
        <v>192</v>
      </c>
      <c r="I4" s="52" cm="1">
        <f t="array" ref="I4">_xlfn.XLOOKUP(I2,B3:B17,_xlfn.XLOOKUP(I3,C2:F2,C3:F17))</f>
        <v>2384.7294473981196</v>
      </c>
    </row>
    <row r="5" spans="2:9" x14ac:dyDescent="0.3">
      <c r="B5" s="58" t="s">
        <v>190</v>
      </c>
      <c r="C5" s="62">
        <v>2092.3283139276195</v>
      </c>
      <c r="D5" s="62">
        <v>7391.9017104370232</v>
      </c>
      <c r="E5" s="62">
        <v>1297.9565400229365</v>
      </c>
      <c r="F5" s="62">
        <v>724.3282139385077</v>
      </c>
    </row>
    <row r="6" spans="2:9" x14ac:dyDescent="0.3">
      <c r="B6" s="58" t="s">
        <v>189</v>
      </c>
      <c r="C6" s="62">
        <v>3380.1466125541278</v>
      </c>
      <c r="D6" s="62">
        <v>2741.0723461438702</v>
      </c>
      <c r="E6" s="62">
        <v>9401.240773345764</v>
      </c>
      <c r="F6" s="62">
        <v>7294.3161773734246</v>
      </c>
    </row>
    <row r="7" spans="2:9" x14ac:dyDescent="0.3">
      <c r="B7" s="58" t="s">
        <v>188</v>
      </c>
      <c r="C7" s="62">
        <v>6964.0561728480398</v>
      </c>
      <c r="D7" s="62">
        <v>5353.707416439911</v>
      </c>
      <c r="E7" s="62">
        <v>9221.9693332982861</v>
      </c>
      <c r="F7" s="62">
        <v>289.48880144307634</v>
      </c>
    </row>
    <row r="8" spans="2:9" x14ac:dyDescent="0.3">
      <c r="B8" s="58" t="s">
        <v>187</v>
      </c>
      <c r="C8" s="62">
        <v>5012.6200229350716</v>
      </c>
      <c r="D8" s="62">
        <v>3079.3355004363152</v>
      </c>
      <c r="E8" s="62">
        <v>8185.3064399079985</v>
      </c>
      <c r="F8" s="62">
        <v>8223.9815426312798</v>
      </c>
    </row>
    <row r="9" spans="2:9" x14ac:dyDescent="0.3">
      <c r="B9" s="58" t="s">
        <v>186</v>
      </c>
      <c r="C9" s="62">
        <v>6993.37653924595</v>
      </c>
      <c r="D9" s="62">
        <v>5686.8171505752525</v>
      </c>
      <c r="E9" s="62">
        <v>4128.5136777492053</v>
      </c>
      <c r="F9" s="62">
        <v>7291.779390855012</v>
      </c>
    </row>
    <row r="10" spans="2:9" x14ac:dyDescent="0.3">
      <c r="B10" s="58" t="s">
        <v>185</v>
      </c>
      <c r="C10" s="62">
        <v>9916.1225399862142</v>
      </c>
      <c r="D10" s="62">
        <v>9333.0756394258642</v>
      </c>
      <c r="E10" s="62">
        <v>7049.8906377318808</v>
      </c>
      <c r="F10" s="62">
        <v>4977.9417754671913</v>
      </c>
    </row>
    <row r="11" spans="2:9" x14ac:dyDescent="0.3">
      <c r="B11" s="58" t="s">
        <v>184</v>
      </c>
      <c r="C11" s="62">
        <v>9982.7607672833492</v>
      </c>
      <c r="D11" s="62">
        <v>8909.8190657786599</v>
      </c>
      <c r="E11" s="62">
        <v>7605.8241325880426</v>
      </c>
      <c r="F11" s="62">
        <v>6120.0647296657771</v>
      </c>
    </row>
    <row r="12" spans="2:9" x14ac:dyDescent="0.3">
      <c r="B12" s="58" t="s">
        <v>183</v>
      </c>
      <c r="C12" s="62">
        <v>9110.2743930674405</v>
      </c>
      <c r="D12" s="62">
        <v>9868.2307560574609</v>
      </c>
      <c r="E12" s="62">
        <v>9236.3452516168691</v>
      </c>
      <c r="F12" s="62">
        <v>1328.2772405269661</v>
      </c>
    </row>
    <row r="13" spans="2:9" x14ac:dyDescent="0.3">
      <c r="B13" s="58" t="s">
        <v>182</v>
      </c>
      <c r="C13" s="62">
        <v>3222.9027070160741</v>
      </c>
      <c r="D13" s="62">
        <v>9582.9475714898672</v>
      </c>
      <c r="E13" s="62">
        <v>7866.7235603216905</v>
      </c>
      <c r="F13" s="62">
        <v>9731.3946654753363</v>
      </c>
    </row>
    <row r="14" spans="2:9" x14ac:dyDescent="0.3">
      <c r="B14" s="58" t="s">
        <v>200</v>
      </c>
      <c r="C14" s="62">
        <v>3435.2681701390152</v>
      </c>
      <c r="D14" s="62">
        <v>3609.4416521855164</v>
      </c>
      <c r="E14" s="62">
        <v>1145.8116680593378</v>
      </c>
      <c r="F14" s="62">
        <v>8727.8209641810063</v>
      </c>
    </row>
    <row r="15" spans="2:9" x14ac:dyDescent="0.3">
      <c r="B15" s="58" t="s">
        <v>180</v>
      </c>
      <c r="C15" s="62">
        <v>6016.4213975740586</v>
      </c>
      <c r="D15" s="62">
        <v>836.68295826708766</v>
      </c>
      <c r="E15" s="62">
        <v>4937.7752811356768</v>
      </c>
      <c r="F15" s="62">
        <v>4262.4870958279216</v>
      </c>
    </row>
    <row r="16" spans="2:9" x14ac:dyDescent="0.3">
      <c r="B16" s="58" t="s">
        <v>179</v>
      </c>
      <c r="C16" s="62">
        <v>1734.5840260811419</v>
      </c>
      <c r="D16" s="62">
        <v>9137.3220289000819</v>
      </c>
      <c r="E16" s="62">
        <v>4203.7648770856304</v>
      </c>
      <c r="F16" s="62">
        <v>8395.1671654812762</v>
      </c>
    </row>
    <row r="17" spans="2:6" x14ac:dyDescent="0.3">
      <c r="B17" s="58" t="s">
        <v>178</v>
      </c>
      <c r="C17" s="62">
        <v>4726.9219681522554</v>
      </c>
      <c r="D17" s="62">
        <v>4637.0943877827849</v>
      </c>
      <c r="E17" s="62">
        <v>5662.3454488109019</v>
      </c>
      <c r="F17" s="62">
        <v>8487.4514250723241</v>
      </c>
    </row>
  </sheetData>
  <dataValidations count="2">
    <dataValidation type="list" allowBlank="1" showInputMessage="1" showErrorMessage="1" sqref="I2" xr:uid="{599B2EF2-2886-4399-9C48-1CFE27C5945D}">
      <formula1>$B$3:$B$17</formula1>
    </dataValidation>
    <dataValidation type="list" allowBlank="1" showInputMessage="1" showErrorMessage="1" sqref="I3" xr:uid="{3D7262A5-8D1C-4448-A721-E7B3DA90C79B}">
      <formula1>$C$2:$F$2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F615-9230-40DF-8EF9-16AA521CD91D}">
  <dimension ref="A1:Y479"/>
  <sheetViews>
    <sheetView topLeftCell="I2" zoomScale="70" zoomScaleNormal="70" workbookViewId="0">
      <selection activeCell="W37" sqref="W36:W37"/>
    </sheetView>
  </sheetViews>
  <sheetFormatPr defaultRowHeight="15.6" x14ac:dyDescent="0.3"/>
  <cols>
    <col min="1" max="4" width="8.9375" style="45"/>
    <col min="5" max="5" width="6.17578125" style="45" bestFit="1" customWidth="1"/>
    <col min="6" max="16384" width="8.9375" style="45"/>
  </cols>
  <sheetData>
    <row r="1" spans="1:25" x14ac:dyDescent="0.3">
      <c r="A1" s="63" t="s">
        <v>1191</v>
      </c>
      <c r="B1" s="64" t="s">
        <v>1190</v>
      </c>
      <c r="C1" s="64" t="s">
        <v>1189</v>
      </c>
      <c r="D1" s="63" t="s">
        <v>1188</v>
      </c>
      <c r="E1" s="63" t="s">
        <v>1187</v>
      </c>
      <c r="F1" s="64" t="s">
        <v>1186</v>
      </c>
      <c r="G1" s="64" t="s">
        <v>1185</v>
      </c>
      <c r="H1" s="64" t="s">
        <v>1184</v>
      </c>
      <c r="I1" s="64" t="s">
        <v>1183</v>
      </c>
      <c r="J1" s="64" t="s">
        <v>1182</v>
      </c>
      <c r="K1" s="64" t="s">
        <v>1181</v>
      </c>
      <c r="L1" s="64" t="s">
        <v>1180</v>
      </c>
      <c r="M1" s="64" t="s">
        <v>1179</v>
      </c>
      <c r="N1" s="64" t="s">
        <v>1178</v>
      </c>
      <c r="O1" s="64" t="s">
        <v>1177</v>
      </c>
      <c r="P1" s="64" t="s">
        <v>1176</v>
      </c>
      <c r="Q1" s="64" t="s">
        <v>1175</v>
      </c>
      <c r="R1" s="64" t="s">
        <v>1174</v>
      </c>
      <c r="S1" s="64" t="s">
        <v>1173</v>
      </c>
      <c r="T1" s="64" t="s">
        <v>1172</v>
      </c>
      <c r="U1" s="64" t="s">
        <v>1171</v>
      </c>
      <c r="V1" s="64" t="s">
        <v>1170</v>
      </c>
      <c r="W1" s="64" t="s">
        <v>1169</v>
      </c>
      <c r="X1" s="64" t="s">
        <v>1168</v>
      </c>
      <c r="Y1" s="64" t="s">
        <v>1167</v>
      </c>
    </row>
    <row r="2" spans="1:25" x14ac:dyDescent="0.3">
      <c r="A2" s="65" t="s">
        <v>1166</v>
      </c>
      <c r="B2" s="66" t="s">
        <v>1165</v>
      </c>
      <c r="C2" s="66" t="s">
        <v>207</v>
      </c>
      <c r="D2" s="67">
        <v>34</v>
      </c>
      <c r="E2" s="68">
        <v>43831</v>
      </c>
      <c r="F2" s="69" t="s">
        <v>206</v>
      </c>
      <c r="G2" s="69" t="str">
        <f>B2&amp;"@gmail.com"</f>
        <v>Name 1@gmail.com</v>
      </c>
      <c r="H2" s="70">
        <v>25000</v>
      </c>
      <c r="I2" s="71">
        <f>H2*18%</f>
        <v>4500</v>
      </c>
      <c r="J2" s="71">
        <f>H2*5%</f>
        <v>1250</v>
      </c>
      <c r="K2" s="71">
        <v>1000</v>
      </c>
      <c r="L2" s="71">
        <v>0</v>
      </c>
      <c r="M2" s="71">
        <v>1600</v>
      </c>
      <c r="N2" s="71">
        <v>25</v>
      </c>
      <c r="O2" s="71">
        <f>(H2/30)*N2</f>
        <v>20833.333333333336</v>
      </c>
      <c r="P2" s="72">
        <v>2</v>
      </c>
      <c r="Q2" s="72">
        <f>N2*P2</f>
        <v>50</v>
      </c>
      <c r="R2" s="71">
        <f>(H2/30)/8</f>
        <v>104.16666666666667</v>
      </c>
      <c r="S2" s="71">
        <f>Q2*R2</f>
        <v>5208.3333333333339</v>
      </c>
      <c r="T2" s="73">
        <f>I2+J2+K2+L2+M2+O2+S2</f>
        <v>34391.666666666672</v>
      </c>
      <c r="U2" s="73">
        <v>200</v>
      </c>
      <c r="V2" s="73">
        <f>H2*12%</f>
        <v>3000</v>
      </c>
      <c r="W2" s="73">
        <v>5000</v>
      </c>
      <c r="X2" s="73">
        <f>SUM(U2:W2)</f>
        <v>8200</v>
      </c>
      <c r="Y2" s="73">
        <f>T2-X2</f>
        <v>26191.666666666672</v>
      </c>
    </row>
    <row r="3" spans="1:25" x14ac:dyDescent="0.3">
      <c r="A3" s="65" t="s">
        <v>1164</v>
      </c>
      <c r="B3" s="66" t="s">
        <v>1163</v>
      </c>
      <c r="C3" s="66" t="s">
        <v>214</v>
      </c>
      <c r="D3" s="67">
        <v>23</v>
      </c>
      <c r="E3" s="68">
        <v>43832</v>
      </c>
      <c r="F3" s="69" t="s">
        <v>213</v>
      </c>
      <c r="G3" s="69" t="str">
        <f>B3&amp;"@gmail.com"</f>
        <v>Name 2@gmail.com</v>
      </c>
      <c r="H3" s="70">
        <v>28000</v>
      </c>
      <c r="I3" s="71">
        <f>H3*18%</f>
        <v>5040</v>
      </c>
      <c r="J3" s="71">
        <f>H3*5%</f>
        <v>1400</v>
      </c>
      <c r="K3" s="71">
        <v>1000</v>
      </c>
      <c r="L3" s="71">
        <v>0</v>
      </c>
      <c r="M3" s="71">
        <v>1600</v>
      </c>
      <c r="N3" s="71">
        <v>26</v>
      </c>
      <c r="O3" s="71">
        <f>(H3/30)*N3</f>
        <v>24266.666666666668</v>
      </c>
      <c r="P3" s="72">
        <v>1</v>
      </c>
      <c r="Q3" s="72">
        <f>N3*P3</f>
        <v>26</v>
      </c>
      <c r="R3" s="71">
        <f>(H3/30)/8</f>
        <v>116.66666666666667</v>
      </c>
      <c r="S3" s="71">
        <f>Q3*R3</f>
        <v>3033.3333333333335</v>
      </c>
      <c r="T3" s="73">
        <f>I3+J3+K3+L3+M3+O3+S3</f>
        <v>36340.000000000007</v>
      </c>
      <c r="U3" s="73">
        <v>200</v>
      </c>
      <c r="V3" s="73">
        <f>H3*12%</f>
        <v>3360</v>
      </c>
      <c r="W3" s="73"/>
      <c r="X3" s="73">
        <f>SUM(U3:W3)</f>
        <v>3560</v>
      </c>
      <c r="Y3" s="73">
        <f>T3-X3</f>
        <v>32780.000000000007</v>
      </c>
    </row>
    <row r="4" spans="1:25" x14ac:dyDescent="0.3">
      <c r="A4" s="65" t="s">
        <v>1162</v>
      </c>
      <c r="B4" s="66" t="s">
        <v>1161</v>
      </c>
      <c r="C4" s="66" t="s">
        <v>210</v>
      </c>
      <c r="D4" s="67">
        <v>34</v>
      </c>
      <c r="E4" s="68">
        <v>43833</v>
      </c>
      <c r="F4" s="69" t="s">
        <v>206</v>
      </c>
      <c r="G4" s="69" t="str">
        <f>B4&amp;"@gmail.com"</f>
        <v>Name 3@gmail.com</v>
      </c>
      <c r="H4" s="70">
        <v>40000</v>
      </c>
      <c r="I4" s="71">
        <f>H4*18%</f>
        <v>7200</v>
      </c>
      <c r="J4" s="71">
        <f>H4*5%</f>
        <v>2000</v>
      </c>
      <c r="K4" s="71">
        <v>1000</v>
      </c>
      <c r="L4" s="71">
        <v>2100</v>
      </c>
      <c r="M4" s="71">
        <v>1600</v>
      </c>
      <c r="N4" s="71">
        <v>30</v>
      </c>
      <c r="O4" s="71">
        <f>(H4/30)*N4</f>
        <v>40000</v>
      </c>
      <c r="P4" s="72">
        <v>1</v>
      </c>
      <c r="Q4" s="72">
        <f>N4*P4</f>
        <v>30</v>
      </c>
      <c r="R4" s="71">
        <f>(H4/30)/8</f>
        <v>166.66666666666666</v>
      </c>
      <c r="S4" s="71">
        <f>Q4*R4</f>
        <v>5000</v>
      </c>
      <c r="T4" s="73">
        <f>I4+J4+K4+L4+M4+O4+S4</f>
        <v>58900</v>
      </c>
      <c r="U4" s="73">
        <v>200</v>
      </c>
      <c r="V4" s="73">
        <f>H4*12%</f>
        <v>4800</v>
      </c>
      <c r="W4" s="73">
        <v>0</v>
      </c>
      <c r="X4" s="73">
        <f>SUM(U4:W4)</f>
        <v>5000</v>
      </c>
      <c r="Y4" s="73">
        <f>T4-X4</f>
        <v>53900</v>
      </c>
    </row>
    <row r="5" spans="1:25" x14ac:dyDescent="0.3">
      <c r="A5" s="65" t="s">
        <v>1160</v>
      </c>
      <c r="B5" s="66" t="s">
        <v>1159</v>
      </c>
      <c r="C5" s="66" t="s">
        <v>207</v>
      </c>
      <c r="D5" s="67">
        <v>45</v>
      </c>
      <c r="E5" s="68">
        <v>43834</v>
      </c>
      <c r="F5" s="69" t="s">
        <v>206</v>
      </c>
      <c r="G5" s="69" t="str">
        <f>B5&amp;"@gmail.com"</f>
        <v>Name 4@gmail.com</v>
      </c>
      <c r="H5" s="70">
        <v>23000</v>
      </c>
      <c r="I5" s="71">
        <f>H5*18%</f>
        <v>4140</v>
      </c>
      <c r="J5" s="71">
        <f>H5*5%</f>
        <v>1150</v>
      </c>
      <c r="K5" s="71">
        <v>1000</v>
      </c>
      <c r="L5" s="71">
        <v>2100</v>
      </c>
      <c r="M5" s="71">
        <v>1600</v>
      </c>
      <c r="N5" s="71">
        <v>30</v>
      </c>
      <c r="O5" s="71">
        <f>(H5/30)*N5</f>
        <v>23000</v>
      </c>
      <c r="P5" s="72">
        <v>1</v>
      </c>
      <c r="Q5" s="72">
        <f>N5*P5</f>
        <v>30</v>
      </c>
      <c r="R5" s="71">
        <f>(H5/30)/8</f>
        <v>95.833333333333329</v>
      </c>
      <c r="S5" s="71">
        <f>Q5*R5</f>
        <v>2875</v>
      </c>
      <c r="T5" s="73">
        <f>I5+J5+K5+L5+M5+O5+S5</f>
        <v>35865</v>
      </c>
      <c r="U5" s="73">
        <v>200</v>
      </c>
      <c r="V5" s="73">
        <f>H5*12%</f>
        <v>2760</v>
      </c>
      <c r="W5" s="73">
        <v>0</v>
      </c>
      <c r="X5" s="73">
        <f>SUM(U5:W5)</f>
        <v>2960</v>
      </c>
      <c r="Y5" s="73">
        <f>T5-X5</f>
        <v>32905</v>
      </c>
    </row>
    <row r="6" spans="1:25" x14ac:dyDescent="0.3">
      <c r="A6" s="65" t="s">
        <v>1158</v>
      </c>
      <c r="B6" s="66" t="s">
        <v>1157</v>
      </c>
      <c r="C6" s="66" t="s">
        <v>214</v>
      </c>
      <c r="D6" s="67">
        <v>54</v>
      </c>
      <c r="E6" s="68">
        <v>43835</v>
      </c>
      <c r="F6" s="69" t="s">
        <v>213</v>
      </c>
      <c r="G6" s="69" t="str">
        <f>B6&amp;"@gmail.com"</f>
        <v>Name 5@gmail.com</v>
      </c>
      <c r="H6" s="70">
        <v>28000</v>
      </c>
      <c r="I6" s="71">
        <f>H6*18%</f>
        <v>5040</v>
      </c>
      <c r="J6" s="71">
        <f>H6*5%</f>
        <v>1400</v>
      </c>
      <c r="K6" s="71">
        <v>1000</v>
      </c>
      <c r="L6" s="71">
        <v>2100</v>
      </c>
      <c r="M6" s="71">
        <v>1600</v>
      </c>
      <c r="N6" s="71">
        <v>30</v>
      </c>
      <c r="O6" s="71">
        <f>(H6/30)*N6</f>
        <v>28000</v>
      </c>
      <c r="P6" s="72">
        <v>1</v>
      </c>
      <c r="Q6" s="72">
        <f>N6*P6</f>
        <v>30</v>
      </c>
      <c r="R6" s="71">
        <f>(H6/30)/8</f>
        <v>116.66666666666667</v>
      </c>
      <c r="S6" s="71">
        <f>Q6*R6</f>
        <v>3500</v>
      </c>
      <c r="T6" s="73">
        <f>I6+J6+K6+L6+M6+O6+S6</f>
        <v>42640</v>
      </c>
      <c r="U6" s="73">
        <v>200</v>
      </c>
      <c r="V6" s="73">
        <f>H6*12%</f>
        <v>3360</v>
      </c>
      <c r="W6" s="73">
        <v>0</v>
      </c>
      <c r="X6" s="73">
        <f>SUM(U6:W6)</f>
        <v>3560</v>
      </c>
      <c r="Y6" s="73">
        <f>T6-X6</f>
        <v>39080</v>
      </c>
    </row>
    <row r="7" spans="1:25" x14ac:dyDescent="0.3">
      <c r="A7" s="65" t="s">
        <v>1156</v>
      </c>
      <c r="B7" s="66" t="s">
        <v>1155</v>
      </c>
      <c r="C7" s="66" t="s">
        <v>210</v>
      </c>
      <c r="D7" s="67">
        <v>56</v>
      </c>
      <c r="E7" s="68">
        <v>43836</v>
      </c>
      <c r="F7" s="69" t="s">
        <v>213</v>
      </c>
      <c r="G7" s="69" t="str">
        <f>B7&amp;"@gmail.com"</f>
        <v>Name 6@gmail.com</v>
      </c>
      <c r="H7" s="70">
        <v>44000</v>
      </c>
      <c r="I7" s="71">
        <f>H7*18%</f>
        <v>7920</v>
      </c>
      <c r="J7" s="71">
        <f>H7*5%</f>
        <v>2200</v>
      </c>
      <c r="K7" s="71">
        <v>1000</v>
      </c>
      <c r="L7" s="71">
        <v>2100</v>
      </c>
      <c r="M7" s="71">
        <v>1600</v>
      </c>
      <c r="N7" s="71">
        <v>30</v>
      </c>
      <c r="O7" s="71">
        <f>(H7/30)*N7</f>
        <v>44000</v>
      </c>
      <c r="P7" s="72">
        <v>1</v>
      </c>
      <c r="Q7" s="72">
        <f>N7*P7</f>
        <v>30</v>
      </c>
      <c r="R7" s="71">
        <f>(H7/30)/8</f>
        <v>183.33333333333334</v>
      </c>
      <c r="S7" s="71">
        <f>Q7*R7</f>
        <v>5500</v>
      </c>
      <c r="T7" s="73">
        <f>I7+J7+K7+L7+M7+O7+S7</f>
        <v>64320</v>
      </c>
      <c r="U7" s="73">
        <v>200</v>
      </c>
      <c r="V7" s="73">
        <f>H7*12%</f>
        <v>5280</v>
      </c>
      <c r="W7" s="73">
        <v>0</v>
      </c>
      <c r="X7" s="73">
        <f>SUM(U7:W7)</f>
        <v>5480</v>
      </c>
      <c r="Y7" s="73">
        <f>T7-X7</f>
        <v>58840</v>
      </c>
    </row>
    <row r="8" spans="1:25" x14ac:dyDescent="0.3">
      <c r="A8" s="65" t="s">
        <v>1154</v>
      </c>
      <c r="B8" s="66" t="s">
        <v>1153</v>
      </c>
      <c r="C8" s="66" t="s">
        <v>207</v>
      </c>
      <c r="D8" s="67">
        <v>54</v>
      </c>
      <c r="E8" s="68">
        <v>43837</v>
      </c>
      <c r="F8" s="69" t="s">
        <v>213</v>
      </c>
      <c r="G8" s="69" t="str">
        <f>B8&amp;"@gmail.com"</f>
        <v>Name 7@gmail.com</v>
      </c>
      <c r="H8" s="70">
        <v>25000</v>
      </c>
      <c r="I8" s="71">
        <f>H8*18%</f>
        <v>4500</v>
      </c>
      <c r="J8" s="71">
        <f>H8*5%</f>
        <v>1250</v>
      </c>
      <c r="K8" s="71">
        <v>1000</v>
      </c>
      <c r="L8" s="71">
        <v>2100</v>
      </c>
      <c r="M8" s="71">
        <v>1600</v>
      </c>
      <c r="N8" s="71">
        <v>29</v>
      </c>
      <c r="O8" s="71">
        <f>(H8/30)*N8</f>
        <v>24166.666666666668</v>
      </c>
      <c r="P8" s="72">
        <v>1</v>
      </c>
      <c r="Q8" s="72">
        <f>N8*P8</f>
        <v>29</v>
      </c>
      <c r="R8" s="71">
        <f>(H8/30)/8</f>
        <v>104.16666666666667</v>
      </c>
      <c r="S8" s="71">
        <f>Q8*R8</f>
        <v>3020.8333333333335</v>
      </c>
      <c r="T8" s="73">
        <f>I8+J8+K8+L8+M8+O8+S8</f>
        <v>37637.500000000007</v>
      </c>
      <c r="U8" s="73">
        <v>200</v>
      </c>
      <c r="V8" s="73">
        <f>H8*12%</f>
        <v>3000</v>
      </c>
      <c r="W8" s="73">
        <v>10000</v>
      </c>
      <c r="X8" s="73">
        <f>SUM(U8:W8)</f>
        <v>13200</v>
      </c>
      <c r="Y8" s="73">
        <f>T8-X8</f>
        <v>24437.500000000007</v>
      </c>
    </row>
    <row r="9" spans="1:25" x14ac:dyDescent="0.3">
      <c r="A9" s="65" t="s">
        <v>1152</v>
      </c>
      <c r="B9" s="66" t="s">
        <v>1151</v>
      </c>
      <c r="C9" s="66" t="s">
        <v>214</v>
      </c>
      <c r="D9" s="67">
        <v>34</v>
      </c>
      <c r="E9" s="68">
        <v>43838</v>
      </c>
      <c r="F9" s="69" t="s">
        <v>213</v>
      </c>
      <c r="G9" s="69" t="str">
        <f>B9&amp;"@gmail.com"</f>
        <v>Name 8@gmail.com</v>
      </c>
      <c r="H9" s="70">
        <v>29000</v>
      </c>
      <c r="I9" s="71">
        <f>H9*18%</f>
        <v>5220</v>
      </c>
      <c r="J9" s="71">
        <f>H9*5%</f>
        <v>1450</v>
      </c>
      <c r="K9" s="71">
        <v>1000</v>
      </c>
      <c r="L9" s="71">
        <v>2100</v>
      </c>
      <c r="M9" s="71">
        <v>1600</v>
      </c>
      <c r="N9" s="71">
        <v>28</v>
      </c>
      <c r="O9" s="71">
        <f>(H9/30)*N9</f>
        <v>27066.666666666664</v>
      </c>
      <c r="P9" s="72">
        <v>1</v>
      </c>
      <c r="Q9" s="72">
        <f>N9*P9</f>
        <v>28</v>
      </c>
      <c r="R9" s="71">
        <f>(H9/30)/8</f>
        <v>120.83333333333333</v>
      </c>
      <c r="S9" s="71">
        <f>Q9*R9</f>
        <v>3383.333333333333</v>
      </c>
      <c r="T9" s="73">
        <f>I9+J9+K9+L9+M9+O9+S9</f>
        <v>41820</v>
      </c>
      <c r="U9" s="73">
        <v>200</v>
      </c>
      <c r="V9" s="73">
        <f>H9*12%</f>
        <v>3480</v>
      </c>
      <c r="W9" s="73">
        <v>0</v>
      </c>
      <c r="X9" s="73">
        <f>SUM(U9:W9)</f>
        <v>3680</v>
      </c>
      <c r="Y9" s="73">
        <f>T9-X9</f>
        <v>38140</v>
      </c>
    </row>
    <row r="10" spans="1:25" x14ac:dyDescent="0.3">
      <c r="A10" s="65" t="s">
        <v>1150</v>
      </c>
      <c r="B10" s="66" t="s">
        <v>1149</v>
      </c>
      <c r="C10" s="66" t="s">
        <v>210</v>
      </c>
      <c r="D10" s="67">
        <v>23</v>
      </c>
      <c r="E10" s="68">
        <v>43839</v>
      </c>
      <c r="F10" s="69" t="s">
        <v>206</v>
      </c>
      <c r="G10" s="69" t="str">
        <f>B10&amp;"@gmail.com"</f>
        <v>Name 9@gmail.com</v>
      </c>
      <c r="H10" s="70">
        <v>43000</v>
      </c>
      <c r="I10" s="71">
        <f>H10*18%</f>
        <v>7740</v>
      </c>
      <c r="J10" s="71">
        <f>H10*5%</f>
        <v>2150</v>
      </c>
      <c r="K10" s="71">
        <v>1000</v>
      </c>
      <c r="L10" s="71">
        <v>2100</v>
      </c>
      <c r="M10" s="71">
        <v>1600</v>
      </c>
      <c r="N10" s="71">
        <v>27</v>
      </c>
      <c r="O10" s="71">
        <f>(H10/30)*N10</f>
        <v>38700</v>
      </c>
      <c r="P10" s="72">
        <v>1</v>
      </c>
      <c r="Q10" s="72">
        <f>N10*P10</f>
        <v>27</v>
      </c>
      <c r="R10" s="71">
        <f>(H10/30)/8</f>
        <v>179.16666666666666</v>
      </c>
      <c r="S10" s="71">
        <f>Q10*R10</f>
        <v>4837.5</v>
      </c>
      <c r="T10" s="73">
        <f>I10+J10+K10+L10+M10+O10+S10</f>
        <v>58127.5</v>
      </c>
      <c r="U10" s="73">
        <v>200</v>
      </c>
      <c r="V10" s="73">
        <f>H10*12%</f>
        <v>5160</v>
      </c>
      <c r="W10" s="73">
        <v>0</v>
      </c>
      <c r="X10" s="73">
        <f>SUM(U10:W10)</f>
        <v>5360</v>
      </c>
      <c r="Y10" s="73">
        <f>T10-X10</f>
        <v>52767.5</v>
      </c>
    </row>
    <row r="11" spans="1:25" x14ac:dyDescent="0.3">
      <c r="A11" s="65" t="s">
        <v>1148</v>
      </c>
      <c r="B11" s="66" t="s">
        <v>1147</v>
      </c>
      <c r="C11" s="66" t="s">
        <v>207</v>
      </c>
      <c r="D11" s="67">
        <v>34</v>
      </c>
      <c r="E11" s="68">
        <v>43840</v>
      </c>
      <c r="F11" s="69" t="s">
        <v>206</v>
      </c>
      <c r="G11" s="69" t="str">
        <f>B11&amp;"@gmail.com"</f>
        <v>Name 10@gmail.com</v>
      </c>
      <c r="H11" s="70">
        <v>25000</v>
      </c>
      <c r="I11" s="71">
        <f>H11*18%</f>
        <v>4500</v>
      </c>
      <c r="J11" s="71">
        <f>H11*5%</f>
        <v>1250</v>
      </c>
      <c r="K11" s="71">
        <v>1000</v>
      </c>
      <c r="L11" s="71">
        <v>2100</v>
      </c>
      <c r="M11" s="71">
        <v>1600</v>
      </c>
      <c r="N11" s="71">
        <v>30</v>
      </c>
      <c r="O11" s="71">
        <f>(H11/30)*N11</f>
        <v>25000</v>
      </c>
      <c r="P11" s="72">
        <v>0</v>
      </c>
      <c r="Q11" s="72">
        <f>N11*P11</f>
        <v>0</v>
      </c>
      <c r="R11" s="71">
        <f>(H11/30)/8</f>
        <v>104.16666666666667</v>
      </c>
      <c r="S11" s="71">
        <f>Q11*R11</f>
        <v>0</v>
      </c>
      <c r="T11" s="73">
        <f>I11+J11+K11+L11+M11+O11+S11</f>
        <v>35450</v>
      </c>
      <c r="U11" s="73">
        <v>200</v>
      </c>
      <c r="V11" s="73">
        <f>H11*12%</f>
        <v>3000</v>
      </c>
      <c r="W11" s="73">
        <v>0</v>
      </c>
      <c r="X11" s="73">
        <f>SUM(U11:W11)</f>
        <v>3200</v>
      </c>
      <c r="Y11" s="73">
        <f>T11-X11</f>
        <v>32250</v>
      </c>
    </row>
    <row r="12" spans="1:25" x14ac:dyDescent="0.3">
      <c r="A12" s="65" t="s">
        <v>1146</v>
      </c>
      <c r="B12" s="66" t="s">
        <v>1145</v>
      </c>
      <c r="C12" s="66" t="s">
        <v>214</v>
      </c>
      <c r="D12" s="67">
        <v>43</v>
      </c>
      <c r="E12" s="68">
        <v>43841</v>
      </c>
      <c r="F12" s="69" t="s">
        <v>206</v>
      </c>
      <c r="G12" s="69" t="str">
        <f>B12&amp;"@gmail.com"</f>
        <v>Name 11@gmail.com</v>
      </c>
      <c r="H12" s="70">
        <v>28000</v>
      </c>
      <c r="I12" s="71">
        <f>H12*18%</f>
        <v>5040</v>
      </c>
      <c r="J12" s="71">
        <f>H12*5%</f>
        <v>1400</v>
      </c>
      <c r="K12" s="71">
        <v>1000</v>
      </c>
      <c r="L12" s="71">
        <v>2100</v>
      </c>
      <c r="M12" s="71">
        <v>1600</v>
      </c>
      <c r="N12" s="71">
        <v>20</v>
      </c>
      <c r="O12" s="71">
        <f>(H12/30)*N12</f>
        <v>18666.666666666668</v>
      </c>
      <c r="P12" s="72">
        <v>0</v>
      </c>
      <c r="Q12" s="72">
        <f>N12*P12</f>
        <v>0</v>
      </c>
      <c r="R12" s="71">
        <f>(H12/30)/8</f>
        <v>116.66666666666667</v>
      </c>
      <c r="S12" s="71">
        <f>Q12*R12</f>
        <v>0</v>
      </c>
      <c r="T12" s="73">
        <f>I12+J12+K12+L12+M12+O12+S12</f>
        <v>29806.666666666668</v>
      </c>
      <c r="U12" s="73">
        <v>200</v>
      </c>
      <c r="V12" s="73">
        <f>H12*12%</f>
        <v>3360</v>
      </c>
      <c r="W12" s="73">
        <v>0</v>
      </c>
      <c r="X12" s="73">
        <f>SUM(U12:W12)</f>
        <v>3560</v>
      </c>
      <c r="Y12" s="73">
        <f>T12-X12</f>
        <v>26246.666666666668</v>
      </c>
    </row>
    <row r="13" spans="1:25" x14ac:dyDescent="0.3">
      <c r="A13" s="65" t="s">
        <v>1144</v>
      </c>
      <c r="B13" s="66" t="s">
        <v>1143</v>
      </c>
      <c r="C13" s="66" t="s">
        <v>210</v>
      </c>
      <c r="D13" s="67">
        <v>34</v>
      </c>
      <c r="E13" s="68">
        <v>43842</v>
      </c>
      <c r="F13" s="69" t="s">
        <v>206</v>
      </c>
      <c r="G13" s="69" t="str">
        <f>B13&amp;"@gmail.com"</f>
        <v>Name 12@gmail.com</v>
      </c>
      <c r="H13" s="70">
        <v>40000</v>
      </c>
      <c r="I13" s="71">
        <f>H13*18%</f>
        <v>7200</v>
      </c>
      <c r="J13" s="71">
        <f>H13*5%</f>
        <v>2000</v>
      </c>
      <c r="K13" s="71">
        <v>1000</v>
      </c>
      <c r="L13" s="71">
        <v>2100</v>
      </c>
      <c r="M13" s="71">
        <v>1600</v>
      </c>
      <c r="N13" s="71">
        <v>28</v>
      </c>
      <c r="O13" s="71">
        <f>(H13/30)*N13</f>
        <v>37333.333333333328</v>
      </c>
      <c r="P13" s="72">
        <v>2</v>
      </c>
      <c r="Q13" s="72">
        <f>N13*P13</f>
        <v>56</v>
      </c>
      <c r="R13" s="71">
        <f>(H13/30)/8</f>
        <v>166.66666666666666</v>
      </c>
      <c r="S13" s="71">
        <f>Q13*R13</f>
        <v>9333.3333333333321</v>
      </c>
      <c r="T13" s="73">
        <f>I13+J13+K13+L13+M13+O13+S13</f>
        <v>60566.666666666657</v>
      </c>
      <c r="U13" s="73">
        <v>200</v>
      </c>
      <c r="V13" s="73">
        <f>H13*12%</f>
        <v>4800</v>
      </c>
      <c r="W13" s="73">
        <v>0</v>
      </c>
      <c r="X13" s="73">
        <f>SUM(U13:W13)</f>
        <v>5000</v>
      </c>
      <c r="Y13" s="73">
        <f>T13-X13</f>
        <v>55566.666666666657</v>
      </c>
    </row>
    <row r="14" spans="1:25" x14ac:dyDescent="0.3">
      <c r="A14" s="65" t="s">
        <v>1142</v>
      </c>
      <c r="B14" s="66" t="s">
        <v>1141</v>
      </c>
      <c r="C14" s="66" t="s">
        <v>210</v>
      </c>
      <c r="D14" s="67">
        <v>43</v>
      </c>
      <c r="E14" s="68">
        <v>43843</v>
      </c>
      <c r="F14" s="69" t="s">
        <v>206</v>
      </c>
      <c r="G14" s="69" t="str">
        <f>B14&amp;"@gmail.com"</f>
        <v>Name 13@gmail.com</v>
      </c>
      <c r="H14" s="70">
        <v>32000</v>
      </c>
      <c r="I14" s="71">
        <f>H14*18%</f>
        <v>5760</v>
      </c>
      <c r="J14" s="71">
        <f>H14*5%</f>
        <v>1600</v>
      </c>
      <c r="K14" s="71">
        <v>1000</v>
      </c>
      <c r="L14" s="71">
        <v>0</v>
      </c>
      <c r="M14" s="71">
        <v>1600</v>
      </c>
      <c r="N14" s="71">
        <v>30</v>
      </c>
      <c r="O14" s="71">
        <f>(H14/30)*N14</f>
        <v>32000.000000000004</v>
      </c>
      <c r="P14" s="72">
        <v>1</v>
      </c>
      <c r="Q14" s="72">
        <f>N14*P14</f>
        <v>30</v>
      </c>
      <c r="R14" s="71">
        <f>(H14/30)/8</f>
        <v>133.33333333333334</v>
      </c>
      <c r="S14" s="71">
        <f>Q14*R14</f>
        <v>4000.0000000000005</v>
      </c>
      <c r="T14" s="73">
        <f>I14+J14+K14+L14+M14+O14+S14</f>
        <v>45960</v>
      </c>
      <c r="U14" s="73">
        <v>200</v>
      </c>
      <c r="V14" s="73">
        <f>H14*12%</f>
        <v>3840</v>
      </c>
      <c r="W14" s="73">
        <v>5000</v>
      </c>
      <c r="X14" s="73">
        <f>SUM(U14:W14)</f>
        <v>9040</v>
      </c>
      <c r="Y14" s="73">
        <f>T14-X14</f>
        <v>36920</v>
      </c>
    </row>
    <row r="15" spans="1:25" x14ac:dyDescent="0.3">
      <c r="A15" s="65" t="s">
        <v>1140</v>
      </c>
      <c r="B15" s="66" t="s">
        <v>1139</v>
      </c>
      <c r="C15" s="66" t="s">
        <v>207</v>
      </c>
      <c r="D15" s="67">
        <v>23</v>
      </c>
      <c r="E15" s="68">
        <v>43844</v>
      </c>
      <c r="F15" s="69" t="s">
        <v>206</v>
      </c>
      <c r="G15" s="69" t="str">
        <f>B15&amp;"@gmail.com"</f>
        <v>Name 14@gmail.com</v>
      </c>
      <c r="H15" s="70">
        <v>28000</v>
      </c>
      <c r="I15" s="71">
        <f>H15*18%</f>
        <v>5040</v>
      </c>
      <c r="J15" s="71">
        <f>H15*5%</f>
        <v>1400</v>
      </c>
      <c r="K15" s="71">
        <v>1000</v>
      </c>
      <c r="L15" s="71">
        <v>0</v>
      </c>
      <c r="M15" s="71">
        <v>1600</v>
      </c>
      <c r="N15" s="71">
        <v>29</v>
      </c>
      <c r="O15" s="71">
        <f>(H15/30)*N15</f>
        <v>27066.666666666668</v>
      </c>
      <c r="P15" s="72">
        <v>1</v>
      </c>
      <c r="Q15" s="72">
        <f>N15*P15</f>
        <v>29</v>
      </c>
      <c r="R15" s="71">
        <f>(H15/30)/8</f>
        <v>116.66666666666667</v>
      </c>
      <c r="S15" s="71">
        <f>Q15*R15</f>
        <v>3383.3333333333335</v>
      </c>
      <c r="T15" s="73">
        <f>I15+J15+K15+L15+M15+O15+S15</f>
        <v>39490.000000000007</v>
      </c>
      <c r="U15" s="73">
        <v>200</v>
      </c>
      <c r="V15" s="73">
        <f>H15*12%</f>
        <v>3360</v>
      </c>
      <c r="W15" s="73">
        <v>0</v>
      </c>
      <c r="X15" s="73">
        <f>SUM(U15:W15)</f>
        <v>3560</v>
      </c>
      <c r="Y15" s="73">
        <f>T15-X15</f>
        <v>35930.000000000007</v>
      </c>
    </row>
    <row r="16" spans="1:25" x14ac:dyDescent="0.3">
      <c r="A16" s="65" t="s">
        <v>1138</v>
      </c>
      <c r="B16" s="66" t="s">
        <v>1137</v>
      </c>
      <c r="C16" s="66" t="s">
        <v>214</v>
      </c>
      <c r="D16" s="67">
        <v>34</v>
      </c>
      <c r="E16" s="68">
        <v>43845</v>
      </c>
      <c r="F16" s="69" t="s">
        <v>213</v>
      </c>
      <c r="G16" s="69" t="str">
        <f>B16&amp;"@gmail.com"</f>
        <v>Name 15@gmail.com</v>
      </c>
      <c r="H16" s="70">
        <v>44000</v>
      </c>
      <c r="I16" s="71">
        <f>H16*18%</f>
        <v>7920</v>
      </c>
      <c r="J16" s="71">
        <f>H16*5%</f>
        <v>2200</v>
      </c>
      <c r="K16" s="71">
        <v>1000</v>
      </c>
      <c r="L16" s="71">
        <v>0</v>
      </c>
      <c r="M16" s="71">
        <v>1600</v>
      </c>
      <c r="N16" s="71">
        <v>28</v>
      </c>
      <c r="O16" s="71">
        <f>(H16/30)*N16</f>
        <v>41066.666666666672</v>
      </c>
      <c r="P16" s="72">
        <v>1</v>
      </c>
      <c r="Q16" s="72">
        <f>N16*P16</f>
        <v>28</v>
      </c>
      <c r="R16" s="71">
        <f>(H16/30)/8</f>
        <v>183.33333333333334</v>
      </c>
      <c r="S16" s="71">
        <f>Q16*R16</f>
        <v>5133.3333333333339</v>
      </c>
      <c r="T16" s="73">
        <f>I16+J16+K16+L16+M16+O16+S16</f>
        <v>58920.000000000007</v>
      </c>
      <c r="U16" s="73">
        <v>200</v>
      </c>
      <c r="V16" s="73">
        <f>H16*12%</f>
        <v>5280</v>
      </c>
      <c r="W16" s="73">
        <v>0</v>
      </c>
      <c r="X16" s="73">
        <f>SUM(U16:W16)</f>
        <v>5480</v>
      </c>
      <c r="Y16" s="73">
        <f>T16-X16</f>
        <v>53440.000000000007</v>
      </c>
    </row>
    <row r="17" spans="1:25" x14ac:dyDescent="0.3">
      <c r="A17" s="65" t="s">
        <v>1136</v>
      </c>
      <c r="B17" s="66" t="s">
        <v>1135</v>
      </c>
      <c r="C17" s="66" t="s">
        <v>210</v>
      </c>
      <c r="D17" s="67">
        <v>23</v>
      </c>
      <c r="E17" s="68">
        <v>43846</v>
      </c>
      <c r="F17" s="69" t="s">
        <v>206</v>
      </c>
      <c r="G17" s="69" t="str">
        <f>B17&amp;"@gmail.com"</f>
        <v>Name 16@gmail.com</v>
      </c>
      <c r="H17" s="70">
        <v>25000</v>
      </c>
      <c r="I17" s="71">
        <f>H17*18%</f>
        <v>4500</v>
      </c>
      <c r="J17" s="71">
        <f>H17*5%</f>
        <v>1250</v>
      </c>
      <c r="K17" s="71">
        <v>1000</v>
      </c>
      <c r="L17" s="71">
        <v>0</v>
      </c>
      <c r="M17" s="71">
        <v>1600</v>
      </c>
      <c r="N17" s="71">
        <v>27</v>
      </c>
      <c r="O17" s="71">
        <f>(H17/30)*N17</f>
        <v>22500</v>
      </c>
      <c r="P17" s="72">
        <v>1</v>
      </c>
      <c r="Q17" s="72">
        <f>N17*P17</f>
        <v>27</v>
      </c>
      <c r="R17" s="71">
        <f>(H17/30)/8</f>
        <v>104.16666666666667</v>
      </c>
      <c r="S17" s="71">
        <f>Q17*R17</f>
        <v>2812.5</v>
      </c>
      <c r="T17" s="73">
        <f>I17+J17+K17+L17+M17+O17+S17</f>
        <v>33662.5</v>
      </c>
      <c r="U17" s="73">
        <v>200</v>
      </c>
      <c r="V17" s="73">
        <f>H17*12%</f>
        <v>3000</v>
      </c>
      <c r="W17" s="73">
        <v>0</v>
      </c>
      <c r="X17" s="73">
        <f>SUM(U17:W17)</f>
        <v>3200</v>
      </c>
      <c r="Y17" s="73">
        <f>T17-X17</f>
        <v>30462.5</v>
      </c>
    </row>
    <row r="18" spans="1:25" x14ac:dyDescent="0.3">
      <c r="A18" s="65" t="s">
        <v>1134</v>
      </c>
      <c r="B18" s="66" t="s">
        <v>1133</v>
      </c>
      <c r="C18" s="66" t="s">
        <v>214</v>
      </c>
      <c r="D18" s="67">
        <v>34</v>
      </c>
      <c r="E18" s="68">
        <v>43847</v>
      </c>
      <c r="F18" s="69" t="s">
        <v>206</v>
      </c>
      <c r="G18" s="69" t="str">
        <f>B18&amp;"@gmail.com"</f>
        <v>Name 17@gmail.com</v>
      </c>
      <c r="H18" s="70">
        <v>50000</v>
      </c>
      <c r="I18" s="71">
        <f>H18*18%</f>
        <v>9000</v>
      </c>
      <c r="J18" s="71">
        <f>H18*5%</f>
        <v>2500</v>
      </c>
      <c r="K18" s="71">
        <v>1000</v>
      </c>
      <c r="L18" s="71">
        <v>0</v>
      </c>
      <c r="M18" s="71">
        <v>1600</v>
      </c>
      <c r="N18" s="71">
        <v>27</v>
      </c>
      <c r="O18" s="71">
        <f>(H18/30)*N18</f>
        <v>45000</v>
      </c>
      <c r="P18" s="72">
        <v>3</v>
      </c>
      <c r="Q18" s="72">
        <f>N18*P18</f>
        <v>81</v>
      </c>
      <c r="R18" s="71">
        <f>(H18/30)/8</f>
        <v>208.33333333333334</v>
      </c>
      <c r="S18" s="71">
        <f>Q18*R18</f>
        <v>16875</v>
      </c>
      <c r="T18" s="73">
        <f>I18+J18+K18+L18+M18+O18+S18</f>
        <v>75975</v>
      </c>
      <c r="U18" s="73">
        <v>201</v>
      </c>
      <c r="V18" s="73">
        <f>H18*12%</f>
        <v>6000</v>
      </c>
      <c r="W18" s="73">
        <v>0</v>
      </c>
      <c r="X18" s="73">
        <f>SUM(U18:W18)</f>
        <v>6201</v>
      </c>
      <c r="Y18" s="73">
        <f>T18-X18</f>
        <v>69774</v>
      </c>
    </row>
    <row r="19" spans="1:25" x14ac:dyDescent="0.3">
      <c r="A19" s="65" t="s">
        <v>1132</v>
      </c>
      <c r="B19" s="66" t="s">
        <v>1131</v>
      </c>
      <c r="C19" s="66" t="s">
        <v>214</v>
      </c>
      <c r="D19" s="67">
        <v>23</v>
      </c>
      <c r="E19" s="68">
        <v>43848</v>
      </c>
      <c r="F19" s="69" t="s">
        <v>213</v>
      </c>
      <c r="G19" s="69" t="str">
        <f>B19&amp;"@gmail.com"</f>
        <v>Name 18@gmail.com</v>
      </c>
      <c r="H19" s="70">
        <v>70000</v>
      </c>
      <c r="I19" s="71">
        <f>H19*18%</f>
        <v>12600</v>
      </c>
      <c r="J19" s="71">
        <f>H19*5%</f>
        <v>3500</v>
      </c>
      <c r="K19" s="71">
        <v>1000</v>
      </c>
      <c r="L19" s="71">
        <v>0</v>
      </c>
      <c r="M19" s="71">
        <v>1600</v>
      </c>
      <c r="N19" s="71">
        <v>27</v>
      </c>
      <c r="O19" s="71">
        <f>(H19/30)*N19</f>
        <v>63000.000000000007</v>
      </c>
      <c r="P19" s="72">
        <v>1</v>
      </c>
      <c r="Q19" s="72">
        <f>N19*P19</f>
        <v>27</v>
      </c>
      <c r="R19" s="71">
        <f>(H19/30)/8</f>
        <v>291.66666666666669</v>
      </c>
      <c r="S19" s="71">
        <f>Q19*R19</f>
        <v>7875.0000000000009</v>
      </c>
      <c r="T19" s="73">
        <f>I19+J19+K19+L19+M19+O19+S19</f>
        <v>89575</v>
      </c>
      <c r="U19" s="73">
        <v>202</v>
      </c>
      <c r="V19" s="73">
        <f>H19*12%</f>
        <v>8400</v>
      </c>
      <c r="W19" s="73">
        <v>0</v>
      </c>
      <c r="X19" s="73">
        <f>SUM(U19:W19)</f>
        <v>8602</v>
      </c>
      <c r="Y19" s="73">
        <f>T19-X19</f>
        <v>80973</v>
      </c>
    </row>
    <row r="20" spans="1:25" x14ac:dyDescent="0.3">
      <c r="A20" s="65" t="s">
        <v>1130</v>
      </c>
      <c r="B20" s="66" t="s">
        <v>1129</v>
      </c>
      <c r="C20" s="66" t="s">
        <v>214</v>
      </c>
      <c r="D20" s="67">
        <v>34</v>
      </c>
      <c r="E20" s="68">
        <v>43849</v>
      </c>
      <c r="F20" s="69" t="s">
        <v>213</v>
      </c>
      <c r="G20" s="69" t="str">
        <f>B20&amp;"@gmail.com"</f>
        <v>Name 19@gmail.com</v>
      </c>
      <c r="H20" s="70">
        <v>34000</v>
      </c>
      <c r="I20" s="71">
        <f>H20*18%</f>
        <v>6120</v>
      </c>
      <c r="J20" s="71">
        <f>H20*5%</f>
        <v>1700</v>
      </c>
      <c r="K20" s="71">
        <v>1000</v>
      </c>
      <c r="L20" s="71">
        <v>2000</v>
      </c>
      <c r="M20" s="71">
        <v>1600</v>
      </c>
      <c r="N20" s="71">
        <v>30</v>
      </c>
      <c r="O20" s="71">
        <f>(H20/30)*N20</f>
        <v>34000</v>
      </c>
      <c r="P20" s="72">
        <v>2</v>
      </c>
      <c r="Q20" s="72">
        <f>N20*P20</f>
        <v>60</v>
      </c>
      <c r="R20" s="71">
        <f>(H20/30)/8</f>
        <v>141.66666666666666</v>
      </c>
      <c r="S20" s="71">
        <f>Q20*R20</f>
        <v>8500</v>
      </c>
      <c r="T20" s="73">
        <f>I20+J20+K20+L20+M20+O20+S20</f>
        <v>54920</v>
      </c>
      <c r="U20" s="73">
        <v>203</v>
      </c>
      <c r="V20" s="73">
        <f>H20*12%</f>
        <v>4080</v>
      </c>
      <c r="W20" s="73">
        <v>0</v>
      </c>
      <c r="X20" s="73">
        <f>SUM(U20:W20)</f>
        <v>4283</v>
      </c>
      <c r="Y20" s="73">
        <f>T20-X20</f>
        <v>50637</v>
      </c>
    </row>
    <row r="21" spans="1:25" x14ac:dyDescent="0.3">
      <c r="A21" s="65" t="s">
        <v>1128</v>
      </c>
      <c r="B21" s="66" t="s">
        <v>1127</v>
      </c>
      <c r="C21" s="66" t="s">
        <v>214</v>
      </c>
      <c r="D21" s="67">
        <v>45</v>
      </c>
      <c r="E21" s="68">
        <v>43850</v>
      </c>
      <c r="F21" s="69" t="s">
        <v>213</v>
      </c>
      <c r="G21" s="69" t="str">
        <f>B21&amp;"@gmail.com"</f>
        <v>Name 20@gmail.com</v>
      </c>
      <c r="H21" s="70">
        <v>45000</v>
      </c>
      <c r="I21" s="71">
        <f>H21*18%</f>
        <v>8100</v>
      </c>
      <c r="J21" s="71">
        <f>H21*5%</f>
        <v>2250</v>
      </c>
      <c r="K21" s="71">
        <v>1000</v>
      </c>
      <c r="L21" s="71">
        <v>5000</v>
      </c>
      <c r="M21" s="71">
        <v>1600</v>
      </c>
      <c r="N21" s="71">
        <v>30</v>
      </c>
      <c r="O21" s="71">
        <f>(H21/30)*N21</f>
        <v>45000</v>
      </c>
      <c r="P21" s="72">
        <v>0</v>
      </c>
      <c r="Q21" s="72">
        <f>N21*P21</f>
        <v>0</v>
      </c>
      <c r="R21" s="71">
        <f>(H21/30)/8</f>
        <v>187.5</v>
      </c>
      <c r="S21" s="71">
        <f>Q21*R21</f>
        <v>0</v>
      </c>
      <c r="T21" s="73">
        <f>I21+J21+K21+L21+M21+O21+S21</f>
        <v>62950</v>
      </c>
      <c r="U21" s="73">
        <v>204</v>
      </c>
      <c r="V21" s="73">
        <f>H21*12%</f>
        <v>5400</v>
      </c>
      <c r="W21" s="73">
        <v>4000</v>
      </c>
      <c r="X21" s="73">
        <f>SUM(U21:W21)</f>
        <v>9604</v>
      </c>
      <c r="Y21" s="73">
        <f>T21-X21</f>
        <v>53346</v>
      </c>
    </row>
    <row r="22" spans="1:25" x14ac:dyDescent="0.3">
      <c r="A22" s="65" t="s">
        <v>1126</v>
      </c>
      <c r="B22" s="66" t="s">
        <v>1125</v>
      </c>
      <c r="C22" s="66" t="s">
        <v>214</v>
      </c>
      <c r="D22" s="67">
        <v>54</v>
      </c>
      <c r="E22" s="68">
        <v>43851</v>
      </c>
      <c r="F22" s="69" t="s">
        <v>213</v>
      </c>
      <c r="G22" s="69" t="str">
        <f>B22&amp;"@gmail.com"</f>
        <v>Name 21@gmail.com</v>
      </c>
      <c r="H22" s="70">
        <v>55000</v>
      </c>
      <c r="I22" s="71">
        <f>H22*18%</f>
        <v>9900</v>
      </c>
      <c r="J22" s="71">
        <f>H22*5%</f>
        <v>2750</v>
      </c>
      <c r="K22" s="71">
        <v>1000</v>
      </c>
      <c r="L22" s="71">
        <v>5000</v>
      </c>
      <c r="M22" s="71">
        <v>1600</v>
      </c>
      <c r="N22" s="71">
        <v>30</v>
      </c>
      <c r="O22" s="71">
        <f>(H22/30)*N22</f>
        <v>55000</v>
      </c>
      <c r="P22" s="72">
        <v>1</v>
      </c>
      <c r="Q22" s="72">
        <f>N22*P22</f>
        <v>30</v>
      </c>
      <c r="R22" s="71">
        <f>(H22/30)/8</f>
        <v>229.16666666666666</v>
      </c>
      <c r="S22" s="71">
        <f>Q22*R22</f>
        <v>6875</v>
      </c>
      <c r="T22" s="73">
        <f>I22+J22+K22+L22+M22+O22+S22</f>
        <v>82125</v>
      </c>
      <c r="U22" s="73">
        <v>205</v>
      </c>
      <c r="V22" s="73">
        <f>H22*12%</f>
        <v>6600</v>
      </c>
      <c r="W22" s="73">
        <v>0</v>
      </c>
      <c r="X22" s="73">
        <f>SUM(U22:W22)</f>
        <v>6805</v>
      </c>
      <c r="Y22" s="73">
        <f>T22-X22</f>
        <v>75320</v>
      </c>
    </row>
    <row r="23" spans="1:25" x14ac:dyDescent="0.3">
      <c r="A23" s="65" t="s">
        <v>1124</v>
      </c>
      <c r="B23" s="66" t="s">
        <v>1123</v>
      </c>
      <c r="C23" s="66" t="s">
        <v>210</v>
      </c>
      <c r="D23" s="67">
        <v>56</v>
      </c>
      <c r="E23" s="68">
        <v>43852</v>
      </c>
      <c r="F23" s="69" t="s">
        <v>206</v>
      </c>
      <c r="G23" s="69" t="str">
        <f>B23&amp;"@gmail.com"</f>
        <v>Name 22@gmail.com</v>
      </c>
      <c r="H23" s="70">
        <v>43000</v>
      </c>
      <c r="I23" s="71">
        <f>H23*18%</f>
        <v>7740</v>
      </c>
      <c r="J23" s="71">
        <f>H23*5%</f>
        <v>2150</v>
      </c>
      <c r="K23" s="71">
        <v>1000</v>
      </c>
      <c r="L23" s="71">
        <v>5000</v>
      </c>
      <c r="M23" s="71">
        <v>1600</v>
      </c>
      <c r="N23" s="71">
        <v>27</v>
      </c>
      <c r="O23" s="71">
        <f>(H23/30)*N23</f>
        <v>38700</v>
      </c>
      <c r="P23" s="72">
        <v>1</v>
      </c>
      <c r="Q23" s="72">
        <f>N23*P23</f>
        <v>27</v>
      </c>
      <c r="R23" s="71">
        <f>(H23/30)/8</f>
        <v>179.16666666666666</v>
      </c>
      <c r="S23" s="71">
        <f>Q23*R23</f>
        <v>4837.5</v>
      </c>
      <c r="T23" s="73">
        <f>I23+J23+K23+L23+M23+O23+S23</f>
        <v>61027.5</v>
      </c>
      <c r="U23" s="73">
        <v>200</v>
      </c>
      <c r="V23" s="73">
        <f>H23*12%</f>
        <v>5160</v>
      </c>
      <c r="W23" s="73">
        <v>0</v>
      </c>
      <c r="X23" s="73">
        <f>SUM(U23:W23)</f>
        <v>5360</v>
      </c>
      <c r="Y23" s="73">
        <f>T23-X23</f>
        <v>55667.5</v>
      </c>
    </row>
    <row r="24" spans="1:25" x14ac:dyDescent="0.3">
      <c r="A24" s="65" t="s">
        <v>1122</v>
      </c>
      <c r="B24" s="66" t="s">
        <v>1121</v>
      </c>
      <c r="C24" s="66" t="s">
        <v>207</v>
      </c>
      <c r="D24" s="67">
        <v>54</v>
      </c>
      <c r="E24" s="68">
        <v>43853</v>
      </c>
      <c r="F24" s="69" t="s">
        <v>206</v>
      </c>
      <c r="G24" s="69" t="str">
        <f>B24&amp;"@gmail.com"</f>
        <v>Name 23@gmail.com</v>
      </c>
      <c r="H24" s="70">
        <v>25000</v>
      </c>
      <c r="I24" s="71">
        <f>H24*18%</f>
        <v>4500</v>
      </c>
      <c r="J24" s="71">
        <f>H24*5%</f>
        <v>1250</v>
      </c>
      <c r="K24" s="71">
        <v>1000</v>
      </c>
      <c r="L24" s="71">
        <v>5000</v>
      </c>
      <c r="M24" s="71">
        <v>1600</v>
      </c>
      <c r="N24" s="71">
        <v>30</v>
      </c>
      <c r="O24" s="71">
        <f>(H24/30)*N24</f>
        <v>25000</v>
      </c>
      <c r="P24" s="72">
        <v>0</v>
      </c>
      <c r="Q24" s="72">
        <f>N24*P24</f>
        <v>0</v>
      </c>
      <c r="R24" s="71">
        <f>(H24/30)/8</f>
        <v>104.16666666666667</v>
      </c>
      <c r="S24" s="71">
        <f>Q24*R24</f>
        <v>0</v>
      </c>
      <c r="T24" s="73">
        <f>I24+J24+K24+L24+M24+O24+S24</f>
        <v>38350</v>
      </c>
      <c r="U24" s="73">
        <v>200</v>
      </c>
      <c r="V24" s="73">
        <f>H24*12%</f>
        <v>3000</v>
      </c>
      <c r="W24" s="73">
        <v>0</v>
      </c>
      <c r="X24" s="73">
        <f>SUM(U24:W24)</f>
        <v>3200</v>
      </c>
      <c r="Y24" s="73">
        <f>T24-X24</f>
        <v>35150</v>
      </c>
    </row>
    <row r="25" spans="1:25" x14ac:dyDescent="0.3">
      <c r="A25" s="65" t="s">
        <v>1120</v>
      </c>
      <c r="B25" s="66" t="s">
        <v>1119</v>
      </c>
      <c r="C25" s="66" t="s">
        <v>214</v>
      </c>
      <c r="D25" s="67">
        <v>34</v>
      </c>
      <c r="E25" s="68">
        <v>43854</v>
      </c>
      <c r="F25" s="69" t="s">
        <v>206</v>
      </c>
      <c r="G25" s="69" t="str">
        <f>B25&amp;"@gmail.com"</f>
        <v>Name 24@gmail.com</v>
      </c>
      <c r="H25" s="70">
        <v>28000</v>
      </c>
      <c r="I25" s="71">
        <f>H25*18%</f>
        <v>5040</v>
      </c>
      <c r="J25" s="71">
        <f>H25*5%</f>
        <v>1400</v>
      </c>
      <c r="K25" s="71">
        <v>1000</v>
      </c>
      <c r="L25" s="71">
        <v>5000</v>
      </c>
      <c r="M25" s="71">
        <v>1600</v>
      </c>
      <c r="N25" s="71">
        <v>20</v>
      </c>
      <c r="O25" s="71">
        <f>(H25/30)*N25</f>
        <v>18666.666666666668</v>
      </c>
      <c r="P25" s="72">
        <v>0</v>
      </c>
      <c r="Q25" s="72">
        <f>N25*P25</f>
        <v>0</v>
      </c>
      <c r="R25" s="71">
        <f>(H25/30)/8</f>
        <v>116.66666666666667</v>
      </c>
      <c r="S25" s="71">
        <f>Q25*R25</f>
        <v>0</v>
      </c>
      <c r="T25" s="73">
        <f>I25+J25+K25+L25+M25+O25+S25</f>
        <v>32706.666666666668</v>
      </c>
      <c r="U25" s="73">
        <v>200</v>
      </c>
      <c r="V25" s="73">
        <f>H25*12%</f>
        <v>3360</v>
      </c>
      <c r="W25" s="73">
        <v>0</v>
      </c>
      <c r="X25" s="73">
        <f>SUM(U25:W25)</f>
        <v>3560</v>
      </c>
      <c r="Y25" s="73">
        <f>T25-X25</f>
        <v>29146.666666666668</v>
      </c>
    </row>
    <row r="26" spans="1:25" x14ac:dyDescent="0.3">
      <c r="A26" s="65" t="s">
        <v>1118</v>
      </c>
      <c r="B26" s="66" t="s">
        <v>1117</v>
      </c>
      <c r="C26" s="66" t="s">
        <v>210</v>
      </c>
      <c r="D26" s="67">
        <v>23</v>
      </c>
      <c r="E26" s="68">
        <v>43831</v>
      </c>
      <c r="F26" s="69" t="s">
        <v>206</v>
      </c>
      <c r="G26" s="69" t="str">
        <f>B26&amp;"@gmail.com"</f>
        <v>Name 25@gmail.com</v>
      </c>
      <c r="H26" s="70">
        <v>40000</v>
      </c>
      <c r="I26" s="71">
        <f>H26*18%</f>
        <v>7200</v>
      </c>
      <c r="J26" s="71">
        <f>H26*5%</f>
        <v>2000</v>
      </c>
      <c r="K26" s="71">
        <v>1000</v>
      </c>
      <c r="L26" s="71">
        <v>5000</v>
      </c>
      <c r="M26" s="71">
        <v>1600</v>
      </c>
      <c r="N26" s="71">
        <v>28</v>
      </c>
      <c r="O26" s="71">
        <f>(H26/30)*N26</f>
        <v>37333.333333333328</v>
      </c>
      <c r="P26" s="72">
        <v>2</v>
      </c>
      <c r="Q26" s="72">
        <f>N26*P26</f>
        <v>56</v>
      </c>
      <c r="R26" s="71">
        <f>(H26/30)/8</f>
        <v>166.66666666666666</v>
      </c>
      <c r="S26" s="71">
        <f>Q26*R26</f>
        <v>9333.3333333333321</v>
      </c>
      <c r="T26" s="73">
        <f>I26+J26+K26+L26+M26+O26+S26</f>
        <v>63466.666666666657</v>
      </c>
      <c r="U26" s="73">
        <v>200</v>
      </c>
      <c r="V26" s="73">
        <f>H26*12%</f>
        <v>4800</v>
      </c>
      <c r="W26" s="73">
        <v>0</v>
      </c>
      <c r="X26" s="73">
        <f>SUM(U26:W26)</f>
        <v>5000</v>
      </c>
      <c r="Y26" s="73">
        <f>T26-X26</f>
        <v>58466.666666666657</v>
      </c>
    </row>
    <row r="27" spans="1:25" x14ac:dyDescent="0.3">
      <c r="A27" s="65" t="s">
        <v>1116</v>
      </c>
      <c r="B27" s="66" t="s">
        <v>1115</v>
      </c>
      <c r="C27" s="66" t="s">
        <v>210</v>
      </c>
      <c r="D27" s="67">
        <v>34</v>
      </c>
      <c r="E27" s="68">
        <v>43832</v>
      </c>
      <c r="F27" s="69" t="s">
        <v>206</v>
      </c>
      <c r="G27" s="69" t="str">
        <f>B27&amp;"@gmail.com"</f>
        <v>Name 26@gmail.com</v>
      </c>
      <c r="H27" s="70">
        <v>32000</v>
      </c>
      <c r="I27" s="71">
        <f>H27*18%</f>
        <v>5760</v>
      </c>
      <c r="J27" s="71">
        <f>H27*5%</f>
        <v>1600</v>
      </c>
      <c r="K27" s="71">
        <v>1000</v>
      </c>
      <c r="L27" s="71">
        <v>5000</v>
      </c>
      <c r="M27" s="71">
        <v>1600</v>
      </c>
      <c r="N27" s="71">
        <v>30</v>
      </c>
      <c r="O27" s="71">
        <f>(H27/30)*N27</f>
        <v>32000.000000000004</v>
      </c>
      <c r="P27" s="72">
        <v>1</v>
      </c>
      <c r="Q27" s="72">
        <f>N27*P27</f>
        <v>30</v>
      </c>
      <c r="R27" s="71">
        <f>(H27/30)/8</f>
        <v>133.33333333333334</v>
      </c>
      <c r="S27" s="71">
        <f>Q27*R27</f>
        <v>4000.0000000000005</v>
      </c>
      <c r="T27" s="73">
        <f>I27+J27+K27+L27+M27+O27+S27</f>
        <v>50960</v>
      </c>
      <c r="U27" s="73">
        <v>200</v>
      </c>
      <c r="V27" s="73">
        <f>H27*12%</f>
        <v>3840</v>
      </c>
      <c r="W27" s="73">
        <v>5000</v>
      </c>
      <c r="X27" s="73">
        <f>SUM(U27:W27)</f>
        <v>9040</v>
      </c>
      <c r="Y27" s="73">
        <f>T27-X27</f>
        <v>41920</v>
      </c>
    </row>
    <row r="28" spans="1:25" x14ac:dyDescent="0.3">
      <c r="A28" s="65" t="s">
        <v>1114</v>
      </c>
      <c r="B28" s="66" t="s">
        <v>1113</v>
      </c>
      <c r="C28" s="66" t="s">
        <v>207</v>
      </c>
      <c r="D28" s="67">
        <v>43</v>
      </c>
      <c r="E28" s="68">
        <v>43833</v>
      </c>
      <c r="F28" s="69" t="s">
        <v>206</v>
      </c>
      <c r="G28" s="69" t="str">
        <f>B28&amp;"@gmail.com"</f>
        <v>Name 27@gmail.com</v>
      </c>
      <c r="H28" s="70">
        <v>28000</v>
      </c>
      <c r="I28" s="71">
        <f>H28*18%</f>
        <v>5040</v>
      </c>
      <c r="J28" s="71">
        <f>H28*5%</f>
        <v>1400</v>
      </c>
      <c r="K28" s="71">
        <v>1000</v>
      </c>
      <c r="L28" s="71">
        <v>5000</v>
      </c>
      <c r="M28" s="71">
        <v>1600</v>
      </c>
      <c r="N28" s="71">
        <v>29</v>
      </c>
      <c r="O28" s="71">
        <f>(H28/30)*N28</f>
        <v>27066.666666666668</v>
      </c>
      <c r="P28" s="72">
        <v>1</v>
      </c>
      <c r="Q28" s="72">
        <f>N28*P28</f>
        <v>29</v>
      </c>
      <c r="R28" s="71">
        <f>(H28/30)/8</f>
        <v>116.66666666666667</v>
      </c>
      <c r="S28" s="71">
        <f>Q28*R28</f>
        <v>3383.3333333333335</v>
      </c>
      <c r="T28" s="73">
        <f>I28+J28+K28+L28+M28+O28+S28</f>
        <v>44490.000000000007</v>
      </c>
      <c r="U28" s="73">
        <v>200</v>
      </c>
      <c r="V28" s="73">
        <f>H28*12%</f>
        <v>3360</v>
      </c>
      <c r="W28" s="73">
        <v>0</v>
      </c>
      <c r="X28" s="73">
        <f>SUM(U28:W28)</f>
        <v>3560</v>
      </c>
      <c r="Y28" s="73">
        <f>T28-X28</f>
        <v>40930.000000000007</v>
      </c>
    </row>
    <row r="29" spans="1:25" x14ac:dyDescent="0.3">
      <c r="A29" s="65" t="s">
        <v>1112</v>
      </c>
      <c r="B29" s="66" t="s">
        <v>1111</v>
      </c>
      <c r="C29" s="66" t="s">
        <v>214</v>
      </c>
      <c r="D29" s="67">
        <v>34</v>
      </c>
      <c r="E29" s="68">
        <v>43834</v>
      </c>
      <c r="F29" s="69" t="s">
        <v>213</v>
      </c>
      <c r="G29" s="69" t="str">
        <f>B29&amp;"@gmail.com"</f>
        <v>Name 28@gmail.com</v>
      </c>
      <c r="H29" s="70">
        <v>44000</v>
      </c>
      <c r="I29" s="71">
        <f>H29*18%</f>
        <v>7920</v>
      </c>
      <c r="J29" s="71">
        <f>H29*5%</f>
        <v>2200</v>
      </c>
      <c r="K29" s="71">
        <v>1000</v>
      </c>
      <c r="L29" s="71">
        <v>0</v>
      </c>
      <c r="M29" s="71">
        <v>1600</v>
      </c>
      <c r="N29" s="71">
        <v>28</v>
      </c>
      <c r="O29" s="71">
        <f>(H29/30)*N29</f>
        <v>41066.666666666672</v>
      </c>
      <c r="P29" s="72">
        <v>1</v>
      </c>
      <c r="Q29" s="72">
        <f>N29*P29</f>
        <v>28</v>
      </c>
      <c r="R29" s="71">
        <f>(H29/30)/8</f>
        <v>183.33333333333334</v>
      </c>
      <c r="S29" s="71">
        <f>Q29*R29</f>
        <v>5133.3333333333339</v>
      </c>
      <c r="T29" s="73">
        <f>I29+J29+K29+L29+M29+O29+S29</f>
        <v>58920.000000000007</v>
      </c>
      <c r="U29" s="73">
        <v>200</v>
      </c>
      <c r="V29" s="73">
        <f>H29*12%</f>
        <v>5280</v>
      </c>
      <c r="W29" s="73">
        <v>0</v>
      </c>
      <c r="X29" s="73">
        <f>SUM(U29:W29)</f>
        <v>5480</v>
      </c>
      <c r="Y29" s="73">
        <f>T29-X29</f>
        <v>53440.000000000007</v>
      </c>
    </row>
    <row r="30" spans="1:25" x14ac:dyDescent="0.3">
      <c r="A30" s="65" t="s">
        <v>1110</v>
      </c>
      <c r="B30" s="66" t="s">
        <v>1109</v>
      </c>
      <c r="C30" s="66" t="s">
        <v>210</v>
      </c>
      <c r="D30" s="67">
        <v>43</v>
      </c>
      <c r="E30" s="68">
        <v>43835</v>
      </c>
      <c r="F30" s="69" t="s">
        <v>206</v>
      </c>
      <c r="G30" s="69" t="str">
        <f>B30&amp;"@gmail.com"</f>
        <v>Name 29@gmail.com</v>
      </c>
      <c r="H30" s="70">
        <v>25000</v>
      </c>
      <c r="I30" s="71">
        <f>H30*18%</f>
        <v>4500</v>
      </c>
      <c r="J30" s="71">
        <f>H30*5%</f>
        <v>1250</v>
      </c>
      <c r="K30" s="71">
        <v>1000</v>
      </c>
      <c r="L30" s="71">
        <v>0</v>
      </c>
      <c r="M30" s="71">
        <v>1600</v>
      </c>
      <c r="N30" s="71">
        <v>27</v>
      </c>
      <c r="O30" s="71">
        <f>(H30/30)*N30</f>
        <v>22500</v>
      </c>
      <c r="P30" s="72">
        <v>1</v>
      </c>
      <c r="Q30" s="72">
        <f>N30*P30</f>
        <v>27</v>
      </c>
      <c r="R30" s="71">
        <f>(H30/30)/8</f>
        <v>104.16666666666667</v>
      </c>
      <c r="S30" s="71">
        <f>Q30*R30</f>
        <v>2812.5</v>
      </c>
      <c r="T30" s="73">
        <f>I30+J30+K30+L30+M30+O30+S30</f>
        <v>33662.5</v>
      </c>
      <c r="U30" s="73">
        <v>200</v>
      </c>
      <c r="V30" s="73">
        <f>H30*12%</f>
        <v>3000</v>
      </c>
      <c r="W30" s="73">
        <v>0</v>
      </c>
      <c r="X30" s="73">
        <f>SUM(U30:W30)</f>
        <v>3200</v>
      </c>
      <c r="Y30" s="73">
        <f>T30-X30</f>
        <v>30462.5</v>
      </c>
    </row>
    <row r="31" spans="1:25" x14ac:dyDescent="0.3">
      <c r="A31" s="65" t="s">
        <v>1108</v>
      </c>
      <c r="B31" s="66" t="s">
        <v>1107</v>
      </c>
      <c r="C31" s="66" t="s">
        <v>214</v>
      </c>
      <c r="D31" s="67">
        <v>23</v>
      </c>
      <c r="E31" s="68">
        <v>43836</v>
      </c>
      <c r="F31" s="69" t="s">
        <v>206</v>
      </c>
      <c r="G31" s="69" t="str">
        <f>B31&amp;"@gmail.com"</f>
        <v>Name 30@gmail.com</v>
      </c>
      <c r="H31" s="70">
        <v>50000</v>
      </c>
      <c r="I31" s="71">
        <f>H31*18%</f>
        <v>9000</v>
      </c>
      <c r="J31" s="71">
        <f>H31*5%</f>
        <v>2500</v>
      </c>
      <c r="K31" s="71">
        <v>1000</v>
      </c>
      <c r="L31" s="71">
        <v>0</v>
      </c>
      <c r="M31" s="71">
        <v>1600</v>
      </c>
      <c r="N31" s="71">
        <v>27</v>
      </c>
      <c r="O31" s="71">
        <f>(H31/30)*N31</f>
        <v>45000</v>
      </c>
      <c r="P31" s="72">
        <v>3</v>
      </c>
      <c r="Q31" s="72">
        <f>N31*P31</f>
        <v>81</v>
      </c>
      <c r="R31" s="71">
        <f>(H31/30)/8</f>
        <v>208.33333333333334</v>
      </c>
      <c r="S31" s="71">
        <f>Q31*R31</f>
        <v>16875</v>
      </c>
      <c r="T31" s="73">
        <f>I31+J31+K31+L31+M31+O31+S31</f>
        <v>75975</v>
      </c>
      <c r="U31" s="73">
        <v>201</v>
      </c>
      <c r="V31" s="73">
        <f>H31*12%</f>
        <v>6000</v>
      </c>
      <c r="W31" s="73">
        <v>0</v>
      </c>
      <c r="X31" s="73">
        <f>SUM(U31:W31)</f>
        <v>6201</v>
      </c>
      <c r="Y31" s="73">
        <f>T31-X31</f>
        <v>69774</v>
      </c>
    </row>
    <row r="32" spans="1:25" x14ac:dyDescent="0.3">
      <c r="A32" s="65" t="s">
        <v>1106</v>
      </c>
      <c r="B32" s="66" t="s">
        <v>1105</v>
      </c>
      <c r="C32" s="66" t="s">
        <v>214</v>
      </c>
      <c r="D32" s="67">
        <v>34</v>
      </c>
      <c r="E32" s="68">
        <v>43837</v>
      </c>
      <c r="F32" s="69" t="s">
        <v>213</v>
      </c>
      <c r="G32" s="69" t="str">
        <f>B32&amp;"@gmail.com"</f>
        <v>Name 31@gmail.com</v>
      </c>
      <c r="H32" s="70">
        <v>70000</v>
      </c>
      <c r="I32" s="71">
        <f>H32*18%</f>
        <v>12600</v>
      </c>
      <c r="J32" s="71">
        <f>H32*5%</f>
        <v>3500</v>
      </c>
      <c r="K32" s="71">
        <v>1000</v>
      </c>
      <c r="L32" s="71">
        <v>0</v>
      </c>
      <c r="M32" s="71">
        <v>1600</v>
      </c>
      <c r="N32" s="71">
        <v>27</v>
      </c>
      <c r="O32" s="71">
        <f>(H32/30)*N32</f>
        <v>63000.000000000007</v>
      </c>
      <c r="P32" s="72">
        <v>1</v>
      </c>
      <c r="Q32" s="72">
        <f>N32*P32</f>
        <v>27</v>
      </c>
      <c r="R32" s="71">
        <f>(H32/30)/8</f>
        <v>291.66666666666669</v>
      </c>
      <c r="S32" s="71">
        <f>Q32*R32</f>
        <v>7875.0000000000009</v>
      </c>
      <c r="T32" s="73">
        <f>I32+J32+K32+L32+M32+O32+S32</f>
        <v>89575</v>
      </c>
      <c r="U32" s="73">
        <v>202</v>
      </c>
      <c r="V32" s="73">
        <f>H32*12%</f>
        <v>8400</v>
      </c>
      <c r="W32" s="73">
        <v>0</v>
      </c>
      <c r="X32" s="73">
        <f>SUM(U32:W32)</f>
        <v>8602</v>
      </c>
      <c r="Y32" s="73">
        <f>T32-X32</f>
        <v>80973</v>
      </c>
    </row>
    <row r="33" spans="1:25" x14ac:dyDescent="0.3">
      <c r="A33" s="65" t="s">
        <v>1104</v>
      </c>
      <c r="B33" s="66" t="s">
        <v>1103</v>
      </c>
      <c r="C33" s="66" t="s">
        <v>214</v>
      </c>
      <c r="D33" s="67">
        <v>23</v>
      </c>
      <c r="E33" s="68">
        <v>43838</v>
      </c>
      <c r="F33" s="69" t="s">
        <v>213</v>
      </c>
      <c r="G33" s="69" t="str">
        <f>B33&amp;"@gmail.com"</f>
        <v>Name 32@gmail.com</v>
      </c>
      <c r="H33" s="70">
        <v>34000</v>
      </c>
      <c r="I33" s="71">
        <f>H33*18%</f>
        <v>6120</v>
      </c>
      <c r="J33" s="71">
        <f>H33*5%</f>
        <v>1700</v>
      </c>
      <c r="K33" s="71">
        <v>1000</v>
      </c>
      <c r="L33" s="71">
        <v>2000</v>
      </c>
      <c r="M33" s="71">
        <v>1600</v>
      </c>
      <c r="N33" s="71">
        <v>30</v>
      </c>
      <c r="O33" s="71">
        <f>(H33/30)*N33</f>
        <v>34000</v>
      </c>
      <c r="P33" s="72">
        <v>2</v>
      </c>
      <c r="Q33" s="72">
        <f>N33*P33</f>
        <v>60</v>
      </c>
      <c r="R33" s="71">
        <f>(H33/30)/8</f>
        <v>141.66666666666666</v>
      </c>
      <c r="S33" s="71">
        <f>Q33*R33</f>
        <v>8500</v>
      </c>
      <c r="T33" s="73">
        <f>I33+J33+K33+L33+M33+O33+S33</f>
        <v>54920</v>
      </c>
      <c r="U33" s="73">
        <v>203</v>
      </c>
      <c r="V33" s="73">
        <f>H33*12%</f>
        <v>4080</v>
      </c>
      <c r="W33" s="73">
        <v>0</v>
      </c>
      <c r="X33" s="73">
        <f>SUM(U33:W33)</f>
        <v>4283</v>
      </c>
      <c r="Y33" s="73">
        <f>T33-X33</f>
        <v>50637</v>
      </c>
    </row>
    <row r="34" spans="1:25" x14ac:dyDescent="0.3">
      <c r="A34" s="65" t="s">
        <v>1102</v>
      </c>
      <c r="B34" s="66" t="s">
        <v>1101</v>
      </c>
      <c r="C34" s="66" t="s">
        <v>214</v>
      </c>
      <c r="D34" s="67">
        <v>34</v>
      </c>
      <c r="E34" s="68">
        <v>43839</v>
      </c>
      <c r="F34" s="69" t="s">
        <v>213</v>
      </c>
      <c r="G34" s="69" t="str">
        <f>B34&amp;"@gmail.com"</f>
        <v>Name 33@gmail.com</v>
      </c>
      <c r="H34" s="70">
        <v>45000</v>
      </c>
      <c r="I34" s="71">
        <f>H34*18%</f>
        <v>8100</v>
      </c>
      <c r="J34" s="71">
        <f>H34*5%</f>
        <v>2250</v>
      </c>
      <c r="K34" s="71">
        <v>1000</v>
      </c>
      <c r="L34" s="71">
        <v>5000</v>
      </c>
      <c r="M34" s="71">
        <v>1600</v>
      </c>
      <c r="N34" s="71">
        <v>30</v>
      </c>
      <c r="O34" s="71">
        <f>(H34/30)*N34</f>
        <v>45000</v>
      </c>
      <c r="P34" s="72">
        <v>0</v>
      </c>
      <c r="Q34" s="72">
        <f>N34*P34</f>
        <v>0</v>
      </c>
      <c r="R34" s="71">
        <f>(H34/30)/8</f>
        <v>187.5</v>
      </c>
      <c r="S34" s="71">
        <f>Q34*R34</f>
        <v>0</v>
      </c>
      <c r="T34" s="73">
        <f>I34+J34+K34+L34+M34+O34+S34</f>
        <v>62950</v>
      </c>
      <c r="U34" s="73">
        <v>204</v>
      </c>
      <c r="V34" s="73">
        <f>H34*12%</f>
        <v>5400</v>
      </c>
      <c r="W34" s="73">
        <v>4000</v>
      </c>
      <c r="X34" s="73">
        <f>SUM(U34:W34)</f>
        <v>9604</v>
      </c>
      <c r="Y34" s="73">
        <f>T34-X34</f>
        <v>53346</v>
      </c>
    </row>
    <row r="35" spans="1:25" x14ac:dyDescent="0.3">
      <c r="A35" s="65" t="s">
        <v>1100</v>
      </c>
      <c r="B35" s="66" t="s">
        <v>1099</v>
      </c>
      <c r="C35" s="66" t="s">
        <v>214</v>
      </c>
      <c r="D35" s="67">
        <v>23</v>
      </c>
      <c r="E35" s="68">
        <v>43840</v>
      </c>
      <c r="F35" s="69" t="s">
        <v>213</v>
      </c>
      <c r="G35" s="69" t="str">
        <f>B35&amp;"@gmail.com"</f>
        <v>Name 34@gmail.com</v>
      </c>
      <c r="H35" s="70">
        <v>55000</v>
      </c>
      <c r="I35" s="71">
        <f>H35*18%</f>
        <v>9900</v>
      </c>
      <c r="J35" s="71">
        <f>H35*5%</f>
        <v>2750</v>
      </c>
      <c r="K35" s="71">
        <v>1000</v>
      </c>
      <c r="L35" s="71">
        <v>0</v>
      </c>
      <c r="M35" s="71">
        <v>1600</v>
      </c>
      <c r="N35" s="71">
        <v>30</v>
      </c>
      <c r="O35" s="71">
        <f>(H35/30)*N35</f>
        <v>55000</v>
      </c>
      <c r="P35" s="72">
        <v>1</v>
      </c>
      <c r="Q35" s="72">
        <f>N35*P35</f>
        <v>30</v>
      </c>
      <c r="R35" s="71">
        <f>(H35/30)/8</f>
        <v>229.16666666666666</v>
      </c>
      <c r="S35" s="71">
        <f>Q35*R35</f>
        <v>6875</v>
      </c>
      <c r="T35" s="73">
        <f>I35+J35+K35+L35+M35+O35+S35</f>
        <v>77125</v>
      </c>
      <c r="U35" s="73">
        <v>205</v>
      </c>
      <c r="V35" s="73">
        <f>H35*12%</f>
        <v>6600</v>
      </c>
      <c r="W35" s="73">
        <v>0</v>
      </c>
      <c r="X35" s="73">
        <f>SUM(U35:W35)</f>
        <v>6805</v>
      </c>
      <c r="Y35" s="73">
        <f>T35-X35</f>
        <v>70320</v>
      </c>
    </row>
    <row r="36" spans="1:25" x14ac:dyDescent="0.3">
      <c r="A36" s="65" t="s">
        <v>1098</v>
      </c>
      <c r="B36" s="66" t="s">
        <v>1097</v>
      </c>
      <c r="C36" s="66" t="s">
        <v>210</v>
      </c>
      <c r="D36" s="67">
        <v>34</v>
      </c>
      <c r="E36" s="68">
        <v>43841</v>
      </c>
      <c r="F36" s="69" t="s">
        <v>206</v>
      </c>
      <c r="G36" s="69" t="str">
        <f>B36&amp;"@gmail.com"</f>
        <v>Name 35@gmail.com</v>
      </c>
      <c r="H36" s="70">
        <v>43000</v>
      </c>
      <c r="I36" s="71">
        <f>H36*18%</f>
        <v>7740</v>
      </c>
      <c r="J36" s="71">
        <f>H36*5%</f>
        <v>2150</v>
      </c>
      <c r="K36" s="71">
        <v>1000</v>
      </c>
      <c r="L36" s="71">
        <v>0</v>
      </c>
      <c r="M36" s="71">
        <v>1600</v>
      </c>
      <c r="N36" s="71">
        <v>27</v>
      </c>
      <c r="O36" s="71">
        <f>(H36/30)*N36</f>
        <v>38700</v>
      </c>
      <c r="P36" s="72">
        <v>1</v>
      </c>
      <c r="Q36" s="72">
        <f>N36*P36</f>
        <v>27</v>
      </c>
      <c r="R36" s="71">
        <f>(H36/30)/8</f>
        <v>179.16666666666666</v>
      </c>
      <c r="S36" s="71">
        <f>Q36*R36</f>
        <v>4837.5</v>
      </c>
      <c r="T36" s="73">
        <f>I36+J36+K36+L36+M36+O36+S36</f>
        <v>56027.5</v>
      </c>
      <c r="U36" s="73">
        <v>200</v>
      </c>
      <c r="V36" s="73">
        <f>H36*12%</f>
        <v>5160</v>
      </c>
      <c r="W36" s="73">
        <v>0</v>
      </c>
      <c r="X36" s="73">
        <f>SUM(U36:W36)</f>
        <v>5360</v>
      </c>
      <c r="Y36" s="73">
        <f>T36-X36</f>
        <v>50667.5</v>
      </c>
    </row>
    <row r="37" spans="1:25" x14ac:dyDescent="0.3">
      <c r="A37" s="65" t="s">
        <v>1096</v>
      </c>
      <c r="B37" s="66" t="s">
        <v>1095</v>
      </c>
      <c r="C37" s="66" t="s">
        <v>207</v>
      </c>
      <c r="D37" s="67">
        <v>45</v>
      </c>
      <c r="E37" s="68">
        <v>43842</v>
      </c>
      <c r="F37" s="69" t="s">
        <v>206</v>
      </c>
      <c r="G37" s="69" t="str">
        <f>B37&amp;"@gmail.com"</f>
        <v>Name 36@gmail.com</v>
      </c>
      <c r="H37" s="70">
        <v>25000</v>
      </c>
      <c r="I37" s="71">
        <f>H37*18%</f>
        <v>4500</v>
      </c>
      <c r="J37" s="71">
        <f>H37*5%</f>
        <v>1250</v>
      </c>
      <c r="K37" s="71">
        <v>1000</v>
      </c>
      <c r="L37" s="71">
        <v>0</v>
      </c>
      <c r="M37" s="71">
        <v>1600</v>
      </c>
      <c r="N37" s="71">
        <v>30</v>
      </c>
      <c r="O37" s="71">
        <f>(H37/30)*N37</f>
        <v>25000</v>
      </c>
      <c r="P37" s="72">
        <v>0</v>
      </c>
      <c r="Q37" s="72">
        <f>N37*P37</f>
        <v>0</v>
      </c>
      <c r="R37" s="71">
        <f>(H37/30)/8</f>
        <v>104.16666666666667</v>
      </c>
      <c r="S37" s="71">
        <f>Q37*R37</f>
        <v>0</v>
      </c>
      <c r="T37" s="73">
        <f>I37+J37+K37+L37+M37+O37+S37</f>
        <v>33350</v>
      </c>
      <c r="U37" s="73">
        <v>200</v>
      </c>
      <c r="V37" s="73">
        <f>H37*12%</f>
        <v>3000</v>
      </c>
      <c r="W37" s="73">
        <v>0</v>
      </c>
      <c r="X37" s="73">
        <f>SUM(U37:W37)</f>
        <v>3200</v>
      </c>
      <c r="Y37" s="73">
        <f>T37-X37</f>
        <v>30150</v>
      </c>
    </row>
    <row r="38" spans="1:25" x14ac:dyDescent="0.3">
      <c r="A38" s="65" t="s">
        <v>1094</v>
      </c>
      <c r="B38" s="66" t="s">
        <v>1093</v>
      </c>
      <c r="C38" s="66" t="s">
        <v>214</v>
      </c>
      <c r="D38" s="67">
        <v>54</v>
      </c>
      <c r="E38" s="68">
        <v>43843</v>
      </c>
      <c r="F38" s="69" t="s">
        <v>206</v>
      </c>
      <c r="G38" s="69" t="str">
        <f>B38&amp;"@gmail.com"</f>
        <v>Name 37@gmail.com</v>
      </c>
      <c r="H38" s="70">
        <v>28000</v>
      </c>
      <c r="I38" s="71">
        <f>H38*18%</f>
        <v>5040</v>
      </c>
      <c r="J38" s="71">
        <f>H38*5%</f>
        <v>1400</v>
      </c>
      <c r="K38" s="71">
        <v>1000</v>
      </c>
      <c r="L38" s="71">
        <v>0</v>
      </c>
      <c r="M38" s="71">
        <v>1600</v>
      </c>
      <c r="N38" s="71">
        <v>20</v>
      </c>
      <c r="O38" s="71">
        <f>(H38/30)*N38</f>
        <v>18666.666666666668</v>
      </c>
      <c r="P38" s="72">
        <v>0</v>
      </c>
      <c r="Q38" s="72">
        <f>N38*P38</f>
        <v>0</v>
      </c>
      <c r="R38" s="71">
        <f>(H38/30)/8</f>
        <v>116.66666666666667</v>
      </c>
      <c r="S38" s="71">
        <f>Q38*R38</f>
        <v>0</v>
      </c>
      <c r="T38" s="73">
        <f>I38+J38+K38+L38+M38+O38+S38</f>
        <v>27706.666666666668</v>
      </c>
      <c r="U38" s="73">
        <v>200</v>
      </c>
      <c r="V38" s="73">
        <f>H38*12%</f>
        <v>3360</v>
      </c>
      <c r="W38" s="73">
        <v>0</v>
      </c>
      <c r="X38" s="73">
        <f>SUM(U38:W38)</f>
        <v>3560</v>
      </c>
      <c r="Y38" s="73">
        <f>T38-X38</f>
        <v>24146.666666666668</v>
      </c>
    </row>
    <row r="39" spans="1:25" x14ac:dyDescent="0.3">
      <c r="A39" s="65" t="s">
        <v>1092</v>
      </c>
      <c r="B39" s="66" t="s">
        <v>1091</v>
      </c>
      <c r="C39" s="66" t="s">
        <v>210</v>
      </c>
      <c r="D39" s="67">
        <v>56</v>
      </c>
      <c r="E39" s="68">
        <v>43844</v>
      </c>
      <c r="F39" s="69" t="s">
        <v>206</v>
      </c>
      <c r="G39" s="69" t="str">
        <f>B39&amp;"@gmail.com"</f>
        <v>Name 38@gmail.com</v>
      </c>
      <c r="H39" s="70">
        <v>40000</v>
      </c>
      <c r="I39" s="71">
        <f>H39*18%</f>
        <v>7200</v>
      </c>
      <c r="J39" s="71">
        <f>H39*5%</f>
        <v>2000</v>
      </c>
      <c r="K39" s="71">
        <v>1000</v>
      </c>
      <c r="L39" s="71">
        <v>0</v>
      </c>
      <c r="M39" s="71">
        <v>1600</v>
      </c>
      <c r="N39" s="71">
        <v>28</v>
      </c>
      <c r="O39" s="71">
        <f>(H39/30)*N39</f>
        <v>37333.333333333328</v>
      </c>
      <c r="P39" s="72">
        <v>2</v>
      </c>
      <c r="Q39" s="72">
        <f>N39*P39</f>
        <v>56</v>
      </c>
      <c r="R39" s="71">
        <f>(H39/30)/8</f>
        <v>166.66666666666666</v>
      </c>
      <c r="S39" s="71">
        <f>Q39*R39</f>
        <v>9333.3333333333321</v>
      </c>
      <c r="T39" s="73">
        <f>I39+J39+K39+L39+M39+O39+S39</f>
        <v>58466.666666666657</v>
      </c>
      <c r="U39" s="73">
        <v>200</v>
      </c>
      <c r="V39" s="73">
        <f>H39*12%</f>
        <v>4800</v>
      </c>
      <c r="W39" s="73">
        <v>0</v>
      </c>
      <c r="X39" s="73">
        <f>SUM(U39:W39)</f>
        <v>5000</v>
      </c>
      <c r="Y39" s="73">
        <f>T39-X39</f>
        <v>53466.666666666657</v>
      </c>
    </row>
    <row r="40" spans="1:25" x14ac:dyDescent="0.3">
      <c r="A40" s="65" t="s">
        <v>1090</v>
      </c>
      <c r="B40" s="66" t="s">
        <v>1089</v>
      </c>
      <c r="C40" s="66" t="s">
        <v>210</v>
      </c>
      <c r="D40" s="67">
        <v>54</v>
      </c>
      <c r="E40" s="68">
        <v>43845</v>
      </c>
      <c r="F40" s="69" t="s">
        <v>206</v>
      </c>
      <c r="G40" s="69" t="str">
        <f>B40&amp;"@gmail.com"</f>
        <v>Name 39@gmail.com</v>
      </c>
      <c r="H40" s="70">
        <v>32000</v>
      </c>
      <c r="I40" s="71">
        <f>H40*18%</f>
        <v>5760</v>
      </c>
      <c r="J40" s="71">
        <f>H40*5%</f>
        <v>1600</v>
      </c>
      <c r="K40" s="71">
        <v>1000</v>
      </c>
      <c r="L40" s="71">
        <v>0</v>
      </c>
      <c r="M40" s="71">
        <v>1600</v>
      </c>
      <c r="N40" s="71">
        <v>30</v>
      </c>
      <c r="O40" s="71">
        <f>(H40/30)*N40</f>
        <v>32000.000000000004</v>
      </c>
      <c r="P40" s="72">
        <v>1</v>
      </c>
      <c r="Q40" s="72">
        <f>N40*P40</f>
        <v>30</v>
      </c>
      <c r="R40" s="71">
        <f>(H40/30)/8</f>
        <v>133.33333333333334</v>
      </c>
      <c r="S40" s="71">
        <f>Q40*R40</f>
        <v>4000.0000000000005</v>
      </c>
      <c r="T40" s="73">
        <f>I40+J40+K40+L40+M40+O40+S40</f>
        <v>45960</v>
      </c>
      <c r="U40" s="73">
        <v>200</v>
      </c>
      <c r="V40" s="73">
        <f>H40*12%</f>
        <v>3840</v>
      </c>
      <c r="W40" s="73">
        <v>5000</v>
      </c>
      <c r="X40" s="73">
        <f>SUM(U40:W40)</f>
        <v>9040</v>
      </c>
      <c r="Y40" s="73">
        <f>T40-X40</f>
        <v>36920</v>
      </c>
    </row>
    <row r="41" spans="1:25" x14ac:dyDescent="0.3">
      <c r="A41" s="65" t="s">
        <v>1088</v>
      </c>
      <c r="B41" s="66" t="s">
        <v>1087</v>
      </c>
      <c r="C41" s="66" t="s">
        <v>207</v>
      </c>
      <c r="D41" s="67">
        <v>34</v>
      </c>
      <c r="E41" s="68">
        <v>43846</v>
      </c>
      <c r="F41" s="69" t="s">
        <v>206</v>
      </c>
      <c r="G41" s="69" t="str">
        <f>B41&amp;"@gmail.com"</f>
        <v>Name 40@gmail.com</v>
      </c>
      <c r="H41" s="70">
        <v>28000</v>
      </c>
      <c r="I41" s="71">
        <f>H41*18%</f>
        <v>5040</v>
      </c>
      <c r="J41" s="71">
        <f>H41*5%</f>
        <v>1400</v>
      </c>
      <c r="K41" s="71">
        <v>1000</v>
      </c>
      <c r="L41" s="71">
        <v>0</v>
      </c>
      <c r="M41" s="71">
        <v>1600</v>
      </c>
      <c r="N41" s="71">
        <v>29</v>
      </c>
      <c r="O41" s="71">
        <f>(H41/30)*N41</f>
        <v>27066.666666666668</v>
      </c>
      <c r="P41" s="72">
        <v>1</v>
      </c>
      <c r="Q41" s="72">
        <f>N41*P41</f>
        <v>29</v>
      </c>
      <c r="R41" s="71">
        <f>(H41/30)/8</f>
        <v>116.66666666666667</v>
      </c>
      <c r="S41" s="71">
        <f>Q41*R41</f>
        <v>3383.3333333333335</v>
      </c>
      <c r="T41" s="73">
        <f>I41+J41+K41+L41+M41+O41+S41</f>
        <v>39490.000000000007</v>
      </c>
      <c r="U41" s="73">
        <v>200</v>
      </c>
      <c r="V41" s="73">
        <f>H41*12%</f>
        <v>3360</v>
      </c>
      <c r="W41" s="73">
        <v>0</v>
      </c>
      <c r="X41" s="73">
        <f>SUM(U41:W41)</f>
        <v>3560</v>
      </c>
      <c r="Y41" s="73">
        <f>T41-X41</f>
        <v>35930.000000000007</v>
      </c>
    </row>
    <row r="42" spans="1:25" x14ac:dyDescent="0.3">
      <c r="A42" s="65" t="s">
        <v>1086</v>
      </c>
      <c r="B42" s="66" t="s">
        <v>1085</v>
      </c>
      <c r="C42" s="66" t="s">
        <v>214</v>
      </c>
      <c r="D42" s="67">
        <v>23</v>
      </c>
      <c r="E42" s="68">
        <v>43847</v>
      </c>
      <c r="F42" s="69" t="s">
        <v>213</v>
      </c>
      <c r="G42" s="69" t="str">
        <f>B42&amp;"@gmail.com"</f>
        <v>Name 41@gmail.com</v>
      </c>
      <c r="H42" s="70">
        <v>44000</v>
      </c>
      <c r="I42" s="71">
        <f>H42*18%</f>
        <v>7920</v>
      </c>
      <c r="J42" s="71">
        <f>H42*5%</f>
        <v>2200</v>
      </c>
      <c r="K42" s="71">
        <v>1000</v>
      </c>
      <c r="L42" s="71">
        <v>0</v>
      </c>
      <c r="M42" s="71">
        <v>1600</v>
      </c>
      <c r="N42" s="71">
        <v>28</v>
      </c>
      <c r="O42" s="71">
        <f>(H42/30)*N42</f>
        <v>41066.666666666672</v>
      </c>
      <c r="P42" s="72">
        <v>1</v>
      </c>
      <c r="Q42" s="72">
        <f>N42*P42</f>
        <v>28</v>
      </c>
      <c r="R42" s="71">
        <f>(H42/30)/8</f>
        <v>183.33333333333334</v>
      </c>
      <c r="S42" s="71">
        <f>Q42*R42</f>
        <v>5133.3333333333339</v>
      </c>
      <c r="T42" s="73">
        <f>I42+J42+K42+L42+M42+O42+S42</f>
        <v>58920.000000000007</v>
      </c>
      <c r="U42" s="73">
        <v>200</v>
      </c>
      <c r="V42" s="73">
        <f>H42*12%</f>
        <v>5280</v>
      </c>
      <c r="W42" s="73">
        <v>0</v>
      </c>
      <c r="X42" s="73">
        <f>SUM(U42:W42)</f>
        <v>5480</v>
      </c>
      <c r="Y42" s="73">
        <f>T42-X42</f>
        <v>53440.000000000007</v>
      </c>
    </row>
    <row r="43" spans="1:25" x14ac:dyDescent="0.3">
      <c r="A43" s="65" t="s">
        <v>1084</v>
      </c>
      <c r="B43" s="66" t="s">
        <v>1083</v>
      </c>
      <c r="C43" s="66" t="s">
        <v>210</v>
      </c>
      <c r="D43" s="67">
        <v>34</v>
      </c>
      <c r="E43" s="68">
        <v>43848</v>
      </c>
      <c r="F43" s="69" t="s">
        <v>206</v>
      </c>
      <c r="G43" s="69" t="str">
        <f>B43&amp;"@gmail.com"</f>
        <v>Name 42@gmail.com</v>
      </c>
      <c r="H43" s="70">
        <v>25000</v>
      </c>
      <c r="I43" s="71">
        <f>H43*18%</f>
        <v>4500</v>
      </c>
      <c r="J43" s="71">
        <f>H43*5%</f>
        <v>1250</v>
      </c>
      <c r="K43" s="71">
        <v>1000</v>
      </c>
      <c r="L43" s="71">
        <v>0</v>
      </c>
      <c r="M43" s="71">
        <v>1600</v>
      </c>
      <c r="N43" s="71">
        <v>27</v>
      </c>
      <c r="O43" s="71">
        <f>(H43/30)*N43</f>
        <v>22500</v>
      </c>
      <c r="P43" s="72">
        <v>1</v>
      </c>
      <c r="Q43" s="72">
        <f>N43*P43</f>
        <v>27</v>
      </c>
      <c r="R43" s="71">
        <f>(H43/30)/8</f>
        <v>104.16666666666667</v>
      </c>
      <c r="S43" s="71">
        <f>Q43*R43</f>
        <v>2812.5</v>
      </c>
      <c r="T43" s="73">
        <f>I43+J43+K43+L43+M43+O43+S43</f>
        <v>33662.5</v>
      </c>
      <c r="U43" s="73">
        <v>200</v>
      </c>
      <c r="V43" s="73">
        <f>H43*12%</f>
        <v>3000</v>
      </c>
      <c r="W43" s="73">
        <v>0</v>
      </c>
      <c r="X43" s="73">
        <f>SUM(U43:W43)</f>
        <v>3200</v>
      </c>
      <c r="Y43" s="73">
        <f>T43-X43</f>
        <v>30462.5</v>
      </c>
    </row>
    <row r="44" spans="1:25" x14ac:dyDescent="0.3">
      <c r="A44" s="65" t="s">
        <v>1082</v>
      </c>
      <c r="B44" s="66" t="s">
        <v>1081</v>
      </c>
      <c r="C44" s="66" t="s">
        <v>214</v>
      </c>
      <c r="D44" s="67">
        <v>43</v>
      </c>
      <c r="E44" s="68">
        <v>43849</v>
      </c>
      <c r="F44" s="69" t="s">
        <v>206</v>
      </c>
      <c r="G44" s="69" t="str">
        <f>B44&amp;"@gmail.com"</f>
        <v>Name 43@gmail.com</v>
      </c>
      <c r="H44" s="70">
        <v>50000</v>
      </c>
      <c r="I44" s="71">
        <f>H44*18%</f>
        <v>9000</v>
      </c>
      <c r="J44" s="71">
        <f>H44*5%</f>
        <v>2500</v>
      </c>
      <c r="K44" s="71">
        <v>1000</v>
      </c>
      <c r="L44" s="71">
        <v>0</v>
      </c>
      <c r="M44" s="71">
        <v>1600</v>
      </c>
      <c r="N44" s="71">
        <v>27</v>
      </c>
      <c r="O44" s="71">
        <f>(H44/30)*N44</f>
        <v>45000</v>
      </c>
      <c r="P44" s="72">
        <v>3</v>
      </c>
      <c r="Q44" s="72">
        <f>N44*P44</f>
        <v>81</v>
      </c>
      <c r="R44" s="71">
        <f>(H44/30)/8</f>
        <v>208.33333333333334</v>
      </c>
      <c r="S44" s="71">
        <f>Q44*R44</f>
        <v>16875</v>
      </c>
      <c r="T44" s="73">
        <f>I44+J44+K44+L44+M44+O44+S44</f>
        <v>75975</v>
      </c>
      <c r="U44" s="73">
        <v>201</v>
      </c>
      <c r="V44" s="73">
        <f>H44*12%</f>
        <v>6000</v>
      </c>
      <c r="W44" s="73">
        <v>0</v>
      </c>
      <c r="X44" s="73">
        <f>SUM(U44:W44)</f>
        <v>6201</v>
      </c>
      <c r="Y44" s="73">
        <f>T44-X44</f>
        <v>69774</v>
      </c>
    </row>
    <row r="45" spans="1:25" x14ac:dyDescent="0.3">
      <c r="A45" s="65" t="s">
        <v>1080</v>
      </c>
      <c r="B45" s="66" t="s">
        <v>1079</v>
      </c>
      <c r="C45" s="66" t="s">
        <v>214</v>
      </c>
      <c r="D45" s="67">
        <v>34</v>
      </c>
      <c r="E45" s="68">
        <v>43850</v>
      </c>
      <c r="F45" s="69" t="s">
        <v>213</v>
      </c>
      <c r="G45" s="69" t="str">
        <f>B45&amp;"@gmail.com"</f>
        <v>Name 44@gmail.com</v>
      </c>
      <c r="H45" s="70">
        <v>70000</v>
      </c>
      <c r="I45" s="71">
        <f>H45*18%</f>
        <v>12600</v>
      </c>
      <c r="J45" s="71">
        <f>H45*5%</f>
        <v>3500</v>
      </c>
      <c r="K45" s="71">
        <v>1000</v>
      </c>
      <c r="L45" s="71">
        <v>0</v>
      </c>
      <c r="M45" s="71">
        <v>1600</v>
      </c>
      <c r="N45" s="71">
        <v>27</v>
      </c>
      <c r="O45" s="71">
        <f>(H45/30)*N45</f>
        <v>63000.000000000007</v>
      </c>
      <c r="P45" s="72">
        <v>1</v>
      </c>
      <c r="Q45" s="72">
        <f>N45*P45</f>
        <v>27</v>
      </c>
      <c r="R45" s="71">
        <f>(H45/30)/8</f>
        <v>291.66666666666669</v>
      </c>
      <c r="S45" s="71">
        <f>Q45*R45</f>
        <v>7875.0000000000009</v>
      </c>
      <c r="T45" s="73">
        <f>I45+J45+K45+L45+M45+O45+S45</f>
        <v>89575</v>
      </c>
      <c r="U45" s="73">
        <v>202</v>
      </c>
      <c r="V45" s="73">
        <f>H45*12%</f>
        <v>8400</v>
      </c>
      <c r="W45" s="73">
        <v>0</v>
      </c>
      <c r="X45" s="73">
        <f>SUM(U45:W45)</f>
        <v>8602</v>
      </c>
      <c r="Y45" s="73">
        <f>T45-X45</f>
        <v>80973</v>
      </c>
    </row>
    <row r="46" spans="1:25" x14ac:dyDescent="0.3">
      <c r="A46" s="65" t="s">
        <v>1078</v>
      </c>
      <c r="B46" s="66" t="s">
        <v>1077</v>
      </c>
      <c r="C46" s="66" t="s">
        <v>214</v>
      </c>
      <c r="D46" s="67">
        <v>43</v>
      </c>
      <c r="E46" s="68">
        <v>43851</v>
      </c>
      <c r="F46" s="69" t="s">
        <v>213</v>
      </c>
      <c r="G46" s="69" t="str">
        <f>B46&amp;"@gmail.com"</f>
        <v>Name 45@gmail.com</v>
      </c>
      <c r="H46" s="70">
        <v>34000</v>
      </c>
      <c r="I46" s="71">
        <f>H46*18%</f>
        <v>6120</v>
      </c>
      <c r="J46" s="71">
        <f>H46*5%</f>
        <v>1700</v>
      </c>
      <c r="K46" s="71">
        <v>1000</v>
      </c>
      <c r="L46" s="71">
        <v>2000</v>
      </c>
      <c r="M46" s="71">
        <v>1600</v>
      </c>
      <c r="N46" s="71">
        <v>30</v>
      </c>
      <c r="O46" s="71">
        <f>(H46/30)*N46</f>
        <v>34000</v>
      </c>
      <c r="P46" s="72">
        <v>2</v>
      </c>
      <c r="Q46" s="72">
        <f>N46*P46</f>
        <v>60</v>
      </c>
      <c r="R46" s="71">
        <f>(H46/30)/8</f>
        <v>141.66666666666666</v>
      </c>
      <c r="S46" s="71">
        <f>Q46*R46</f>
        <v>8500</v>
      </c>
      <c r="T46" s="73">
        <f>I46+J46+K46+L46+M46+O46+S46</f>
        <v>54920</v>
      </c>
      <c r="U46" s="73">
        <v>203</v>
      </c>
      <c r="V46" s="73">
        <f>H46*12%</f>
        <v>4080</v>
      </c>
      <c r="W46" s="73">
        <v>0</v>
      </c>
      <c r="X46" s="73">
        <f>SUM(U46:W46)</f>
        <v>4283</v>
      </c>
      <c r="Y46" s="73">
        <f>T46-X46</f>
        <v>50637</v>
      </c>
    </row>
    <row r="47" spans="1:25" x14ac:dyDescent="0.3">
      <c r="A47" s="65" t="s">
        <v>1076</v>
      </c>
      <c r="B47" s="66" t="s">
        <v>1075</v>
      </c>
      <c r="C47" s="66" t="s">
        <v>214</v>
      </c>
      <c r="D47" s="67">
        <v>23</v>
      </c>
      <c r="E47" s="68">
        <v>43852</v>
      </c>
      <c r="F47" s="69" t="s">
        <v>213</v>
      </c>
      <c r="G47" s="69" t="str">
        <f>B47&amp;"@gmail.com"</f>
        <v>Name 46@gmail.com</v>
      </c>
      <c r="H47" s="70">
        <v>45000</v>
      </c>
      <c r="I47" s="71">
        <f>H47*18%</f>
        <v>8100</v>
      </c>
      <c r="J47" s="71">
        <f>H47*5%</f>
        <v>2250</v>
      </c>
      <c r="K47" s="71">
        <v>1000</v>
      </c>
      <c r="L47" s="71">
        <v>5000</v>
      </c>
      <c r="M47" s="71">
        <v>1600</v>
      </c>
      <c r="N47" s="71">
        <v>30</v>
      </c>
      <c r="O47" s="71">
        <f>(H47/30)*N47</f>
        <v>45000</v>
      </c>
      <c r="P47" s="72">
        <v>0</v>
      </c>
      <c r="Q47" s="72">
        <f>N47*P47</f>
        <v>0</v>
      </c>
      <c r="R47" s="71">
        <f>(H47/30)/8</f>
        <v>187.5</v>
      </c>
      <c r="S47" s="71">
        <f>Q47*R47</f>
        <v>0</v>
      </c>
      <c r="T47" s="73">
        <f>I47+J47+K47+L47+M47+O47+S47</f>
        <v>62950</v>
      </c>
      <c r="U47" s="73">
        <v>204</v>
      </c>
      <c r="V47" s="73">
        <f>H47*12%</f>
        <v>5400</v>
      </c>
      <c r="W47" s="73">
        <v>4000</v>
      </c>
      <c r="X47" s="73">
        <f>SUM(U47:W47)</f>
        <v>9604</v>
      </c>
      <c r="Y47" s="73">
        <f>T47-X47</f>
        <v>53346</v>
      </c>
    </row>
    <row r="48" spans="1:25" x14ac:dyDescent="0.3">
      <c r="A48" s="65" t="s">
        <v>1074</v>
      </c>
      <c r="B48" s="66" t="s">
        <v>1073</v>
      </c>
      <c r="C48" s="66" t="s">
        <v>214</v>
      </c>
      <c r="D48" s="67">
        <v>34</v>
      </c>
      <c r="E48" s="68">
        <v>43853</v>
      </c>
      <c r="F48" s="69" t="s">
        <v>213</v>
      </c>
      <c r="G48" s="69" t="str">
        <f>B48&amp;"@gmail.com"</f>
        <v>Name 47@gmail.com</v>
      </c>
      <c r="H48" s="70">
        <v>55000</v>
      </c>
      <c r="I48" s="71">
        <f>H48*18%</f>
        <v>9900</v>
      </c>
      <c r="J48" s="71">
        <f>H48*5%</f>
        <v>2750</v>
      </c>
      <c r="K48" s="71">
        <v>1000</v>
      </c>
      <c r="L48" s="71">
        <v>5000</v>
      </c>
      <c r="M48" s="71">
        <v>1600</v>
      </c>
      <c r="N48" s="71">
        <v>30</v>
      </c>
      <c r="O48" s="71">
        <f>(H48/30)*N48</f>
        <v>55000</v>
      </c>
      <c r="P48" s="72">
        <v>1</v>
      </c>
      <c r="Q48" s="72">
        <f>N48*P48</f>
        <v>30</v>
      </c>
      <c r="R48" s="71">
        <f>(H48/30)/8</f>
        <v>229.16666666666666</v>
      </c>
      <c r="S48" s="71">
        <f>Q48*R48</f>
        <v>6875</v>
      </c>
      <c r="T48" s="73">
        <f>I48+J48+K48+L48+M48+O48+S48</f>
        <v>82125</v>
      </c>
      <c r="U48" s="73">
        <v>205</v>
      </c>
      <c r="V48" s="73">
        <f>H48*12%</f>
        <v>6600</v>
      </c>
      <c r="W48" s="73">
        <v>0</v>
      </c>
      <c r="X48" s="73">
        <f>SUM(U48:W48)</f>
        <v>6805</v>
      </c>
      <c r="Y48" s="73">
        <f>T48-X48</f>
        <v>75320</v>
      </c>
    </row>
    <row r="49" spans="1:25" x14ac:dyDescent="0.3">
      <c r="A49" s="65" t="s">
        <v>1072</v>
      </c>
      <c r="B49" s="66" t="s">
        <v>1071</v>
      </c>
      <c r="C49" s="66" t="s">
        <v>210</v>
      </c>
      <c r="D49" s="67">
        <v>23</v>
      </c>
      <c r="E49" s="68">
        <v>43854</v>
      </c>
      <c r="F49" s="69" t="s">
        <v>206</v>
      </c>
      <c r="G49" s="69" t="str">
        <f>B49&amp;"@gmail.com"</f>
        <v>Name 48@gmail.com</v>
      </c>
      <c r="H49" s="70">
        <v>43000</v>
      </c>
      <c r="I49" s="71">
        <f>H49*18%</f>
        <v>7740</v>
      </c>
      <c r="J49" s="71">
        <f>H49*5%</f>
        <v>2150</v>
      </c>
      <c r="K49" s="71">
        <v>1000</v>
      </c>
      <c r="L49" s="71">
        <v>5000</v>
      </c>
      <c r="M49" s="71">
        <v>1600</v>
      </c>
      <c r="N49" s="71">
        <v>27</v>
      </c>
      <c r="O49" s="71">
        <f>(H49/30)*N49</f>
        <v>38700</v>
      </c>
      <c r="P49" s="72">
        <v>1</v>
      </c>
      <c r="Q49" s="72">
        <f>N49*P49</f>
        <v>27</v>
      </c>
      <c r="R49" s="71">
        <f>(H49/30)/8</f>
        <v>179.16666666666666</v>
      </c>
      <c r="S49" s="71">
        <f>Q49*R49</f>
        <v>4837.5</v>
      </c>
      <c r="T49" s="73">
        <f>I49+J49+K49+L49+M49+O49+S49</f>
        <v>61027.5</v>
      </c>
      <c r="U49" s="73">
        <v>200</v>
      </c>
      <c r="V49" s="73">
        <f>H49*12%</f>
        <v>5160</v>
      </c>
      <c r="W49" s="73">
        <v>0</v>
      </c>
      <c r="X49" s="73">
        <f>SUM(U49:W49)</f>
        <v>5360</v>
      </c>
      <c r="Y49" s="73">
        <f>T49-X49</f>
        <v>55667.5</v>
      </c>
    </row>
    <row r="50" spans="1:25" x14ac:dyDescent="0.3">
      <c r="A50" s="65" t="s">
        <v>1070</v>
      </c>
      <c r="B50" s="66" t="s">
        <v>1069</v>
      </c>
      <c r="C50" s="66" t="s">
        <v>207</v>
      </c>
      <c r="D50" s="67">
        <v>34</v>
      </c>
      <c r="E50" s="68">
        <v>43831</v>
      </c>
      <c r="F50" s="69" t="s">
        <v>206</v>
      </c>
      <c r="G50" s="69" t="str">
        <f>B50&amp;"@gmail.com"</f>
        <v>Name 49@gmail.com</v>
      </c>
      <c r="H50" s="70">
        <v>25000</v>
      </c>
      <c r="I50" s="71">
        <f>H50*18%</f>
        <v>4500</v>
      </c>
      <c r="J50" s="71">
        <f>H50*5%</f>
        <v>1250</v>
      </c>
      <c r="K50" s="71">
        <v>1000</v>
      </c>
      <c r="L50" s="71">
        <v>5000</v>
      </c>
      <c r="M50" s="71">
        <v>1600</v>
      </c>
      <c r="N50" s="71">
        <v>30</v>
      </c>
      <c r="O50" s="71">
        <f>(H50/30)*N50</f>
        <v>25000</v>
      </c>
      <c r="P50" s="72">
        <v>0</v>
      </c>
      <c r="Q50" s="72">
        <f>N50*P50</f>
        <v>0</v>
      </c>
      <c r="R50" s="71">
        <f>(H50/30)/8</f>
        <v>104.16666666666667</v>
      </c>
      <c r="S50" s="71">
        <f>Q50*R50</f>
        <v>0</v>
      </c>
      <c r="T50" s="73">
        <f>I50+J50+K50+L50+M50+O50+S50</f>
        <v>38350</v>
      </c>
      <c r="U50" s="73">
        <v>200</v>
      </c>
      <c r="V50" s="73">
        <f>H50*12%</f>
        <v>3000</v>
      </c>
      <c r="W50" s="73">
        <v>0</v>
      </c>
      <c r="X50" s="73">
        <f>SUM(U50:W50)</f>
        <v>3200</v>
      </c>
      <c r="Y50" s="73">
        <f>T50-X50</f>
        <v>35150</v>
      </c>
    </row>
    <row r="51" spans="1:25" x14ac:dyDescent="0.3">
      <c r="A51" s="65" t="s">
        <v>1068</v>
      </c>
      <c r="B51" s="66" t="s">
        <v>1067</v>
      </c>
      <c r="C51" s="66" t="s">
        <v>214</v>
      </c>
      <c r="D51" s="67">
        <v>23</v>
      </c>
      <c r="E51" s="68">
        <v>43832</v>
      </c>
      <c r="F51" s="69" t="s">
        <v>206</v>
      </c>
      <c r="G51" s="69" t="str">
        <f>B51&amp;"@gmail.com"</f>
        <v>Name 50@gmail.com</v>
      </c>
      <c r="H51" s="70">
        <v>28000</v>
      </c>
      <c r="I51" s="71">
        <f>H51*18%</f>
        <v>5040</v>
      </c>
      <c r="J51" s="71">
        <f>H51*5%</f>
        <v>1400</v>
      </c>
      <c r="K51" s="71">
        <v>1000</v>
      </c>
      <c r="L51" s="71">
        <v>5000</v>
      </c>
      <c r="M51" s="71">
        <v>1600</v>
      </c>
      <c r="N51" s="71">
        <v>20</v>
      </c>
      <c r="O51" s="71">
        <f>(H51/30)*N51</f>
        <v>18666.666666666668</v>
      </c>
      <c r="P51" s="72">
        <v>0</v>
      </c>
      <c r="Q51" s="72">
        <f>N51*P51</f>
        <v>0</v>
      </c>
      <c r="R51" s="71">
        <f>(H51/30)/8</f>
        <v>116.66666666666667</v>
      </c>
      <c r="S51" s="71">
        <f>Q51*R51</f>
        <v>0</v>
      </c>
      <c r="T51" s="73">
        <f>I51+J51+K51+L51+M51+O51+S51</f>
        <v>32706.666666666668</v>
      </c>
      <c r="U51" s="73">
        <v>200</v>
      </c>
      <c r="V51" s="73">
        <f>H51*12%</f>
        <v>3360</v>
      </c>
      <c r="W51" s="73">
        <v>0</v>
      </c>
      <c r="X51" s="73">
        <f>SUM(U51:W51)</f>
        <v>3560</v>
      </c>
      <c r="Y51" s="73">
        <f>T51-X51</f>
        <v>29146.666666666668</v>
      </c>
    </row>
    <row r="52" spans="1:25" x14ac:dyDescent="0.3">
      <c r="A52" s="65" t="s">
        <v>1066</v>
      </c>
      <c r="B52" s="66" t="s">
        <v>1065</v>
      </c>
      <c r="C52" s="66" t="s">
        <v>210</v>
      </c>
      <c r="D52" s="67">
        <v>34</v>
      </c>
      <c r="E52" s="68">
        <v>43833</v>
      </c>
      <c r="F52" s="69" t="s">
        <v>206</v>
      </c>
      <c r="G52" s="69" t="str">
        <f>B52&amp;"@gmail.com"</f>
        <v>Name 51@gmail.com</v>
      </c>
      <c r="H52" s="70">
        <v>40000</v>
      </c>
      <c r="I52" s="71">
        <f>H52*18%</f>
        <v>7200</v>
      </c>
      <c r="J52" s="71">
        <f>H52*5%</f>
        <v>2000</v>
      </c>
      <c r="K52" s="71">
        <v>1000</v>
      </c>
      <c r="L52" s="71">
        <v>5000</v>
      </c>
      <c r="M52" s="71">
        <v>1600</v>
      </c>
      <c r="N52" s="71">
        <v>28</v>
      </c>
      <c r="O52" s="71">
        <f>(H52/30)*N52</f>
        <v>37333.333333333328</v>
      </c>
      <c r="P52" s="72">
        <v>2</v>
      </c>
      <c r="Q52" s="72">
        <f>N52*P52</f>
        <v>56</v>
      </c>
      <c r="R52" s="71">
        <f>(H52/30)/8</f>
        <v>166.66666666666666</v>
      </c>
      <c r="S52" s="71">
        <f>Q52*R52</f>
        <v>9333.3333333333321</v>
      </c>
      <c r="T52" s="73">
        <f>I52+J52+K52+L52+M52+O52+S52</f>
        <v>63466.666666666657</v>
      </c>
      <c r="U52" s="73">
        <v>200</v>
      </c>
      <c r="V52" s="73">
        <f>H52*12%</f>
        <v>4800</v>
      </c>
      <c r="W52" s="73">
        <v>0</v>
      </c>
      <c r="X52" s="73">
        <f>SUM(U52:W52)</f>
        <v>5000</v>
      </c>
      <c r="Y52" s="73">
        <f>T52-X52</f>
        <v>58466.666666666657</v>
      </c>
    </row>
    <row r="53" spans="1:25" x14ac:dyDescent="0.3">
      <c r="A53" s="65" t="s">
        <v>1064</v>
      </c>
      <c r="B53" s="66" t="s">
        <v>1063</v>
      </c>
      <c r="C53" s="66" t="s">
        <v>210</v>
      </c>
      <c r="D53" s="67">
        <v>45</v>
      </c>
      <c r="E53" s="68">
        <v>43834</v>
      </c>
      <c r="F53" s="69" t="s">
        <v>206</v>
      </c>
      <c r="G53" s="69" t="str">
        <f>B53&amp;"@gmail.com"</f>
        <v>Name 52@gmail.com</v>
      </c>
      <c r="H53" s="70">
        <v>32000</v>
      </c>
      <c r="I53" s="71">
        <f>H53*18%</f>
        <v>5760</v>
      </c>
      <c r="J53" s="71">
        <f>H53*5%</f>
        <v>1600</v>
      </c>
      <c r="K53" s="71">
        <v>1000</v>
      </c>
      <c r="L53" s="71">
        <v>5000</v>
      </c>
      <c r="M53" s="71">
        <v>1600</v>
      </c>
      <c r="N53" s="71">
        <v>30</v>
      </c>
      <c r="O53" s="71">
        <f>(H53/30)*N53</f>
        <v>32000.000000000004</v>
      </c>
      <c r="P53" s="72">
        <v>1</v>
      </c>
      <c r="Q53" s="72">
        <f>N53*P53</f>
        <v>30</v>
      </c>
      <c r="R53" s="71">
        <f>(H53/30)/8</f>
        <v>133.33333333333334</v>
      </c>
      <c r="S53" s="71">
        <f>Q53*R53</f>
        <v>4000.0000000000005</v>
      </c>
      <c r="T53" s="73">
        <f>I53+J53+K53+L53+M53+O53+S53</f>
        <v>50960</v>
      </c>
      <c r="U53" s="73">
        <v>200</v>
      </c>
      <c r="V53" s="73">
        <f>H53*12%</f>
        <v>3840</v>
      </c>
      <c r="W53" s="73">
        <v>5000</v>
      </c>
      <c r="X53" s="73">
        <f>SUM(U53:W53)</f>
        <v>9040</v>
      </c>
      <c r="Y53" s="73">
        <f>T53-X53</f>
        <v>41920</v>
      </c>
    </row>
    <row r="54" spans="1:25" x14ac:dyDescent="0.3">
      <c r="A54" s="65" t="s">
        <v>1062</v>
      </c>
      <c r="B54" s="66" t="s">
        <v>1061</v>
      </c>
      <c r="C54" s="66" t="s">
        <v>207</v>
      </c>
      <c r="D54" s="67">
        <v>54</v>
      </c>
      <c r="E54" s="68">
        <v>43835</v>
      </c>
      <c r="F54" s="69" t="s">
        <v>206</v>
      </c>
      <c r="G54" s="69" t="str">
        <f>B54&amp;"@gmail.com"</f>
        <v>Name 53@gmail.com</v>
      </c>
      <c r="H54" s="70">
        <v>28000</v>
      </c>
      <c r="I54" s="71">
        <f>H54*18%</f>
        <v>5040</v>
      </c>
      <c r="J54" s="71">
        <f>H54*5%</f>
        <v>1400</v>
      </c>
      <c r="K54" s="71">
        <v>1000</v>
      </c>
      <c r="L54" s="71">
        <v>5000</v>
      </c>
      <c r="M54" s="71">
        <v>1600</v>
      </c>
      <c r="N54" s="71">
        <v>29</v>
      </c>
      <c r="O54" s="71">
        <f>(H54/30)*N54</f>
        <v>27066.666666666668</v>
      </c>
      <c r="P54" s="72">
        <v>1</v>
      </c>
      <c r="Q54" s="72">
        <f>N54*P54</f>
        <v>29</v>
      </c>
      <c r="R54" s="71">
        <f>(H54/30)/8</f>
        <v>116.66666666666667</v>
      </c>
      <c r="S54" s="71">
        <f>Q54*R54</f>
        <v>3383.3333333333335</v>
      </c>
      <c r="T54" s="73">
        <f>I54+J54+K54+L54+M54+O54+S54</f>
        <v>44490.000000000007</v>
      </c>
      <c r="U54" s="73">
        <v>200</v>
      </c>
      <c r="V54" s="73">
        <f>H54*12%</f>
        <v>3360</v>
      </c>
      <c r="W54" s="73">
        <v>0</v>
      </c>
      <c r="X54" s="73">
        <f>SUM(U54:W54)</f>
        <v>3560</v>
      </c>
      <c r="Y54" s="73">
        <f>T54-X54</f>
        <v>40930.000000000007</v>
      </c>
    </row>
    <row r="55" spans="1:25" x14ac:dyDescent="0.3">
      <c r="A55" s="65" t="s">
        <v>1060</v>
      </c>
      <c r="B55" s="66" t="s">
        <v>1059</v>
      </c>
      <c r="C55" s="66" t="s">
        <v>214</v>
      </c>
      <c r="D55" s="67">
        <v>56</v>
      </c>
      <c r="E55" s="68">
        <v>43836</v>
      </c>
      <c r="F55" s="69" t="s">
        <v>213</v>
      </c>
      <c r="G55" s="69" t="str">
        <f>B55&amp;"@gmail.com"</f>
        <v>Name 54@gmail.com</v>
      </c>
      <c r="H55" s="70">
        <v>44000</v>
      </c>
      <c r="I55" s="71">
        <f>H55*18%</f>
        <v>7920</v>
      </c>
      <c r="J55" s="71">
        <f>H55*5%</f>
        <v>2200</v>
      </c>
      <c r="K55" s="71">
        <v>1000</v>
      </c>
      <c r="L55" s="71">
        <v>5000</v>
      </c>
      <c r="M55" s="71">
        <v>1600</v>
      </c>
      <c r="N55" s="71">
        <v>28</v>
      </c>
      <c r="O55" s="71">
        <f>(H55/30)*N55</f>
        <v>41066.666666666672</v>
      </c>
      <c r="P55" s="72">
        <v>1</v>
      </c>
      <c r="Q55" s="72">
        <f>N55*P55</f>
        <v>28</v>
      </c>
      <c r="R55" s="71">
        <f>(H55/30)/8</f>
        <v>183.33333333333334</v>
      </c>
      <c r="S55" s="71">
        <f>Q55*R55</f>
        <v>5133.3333333333339</v>
      </c>
      <c r="T55" s="73">
        <f>I55+J55+K55+L55+M55+O55+S55</f>
        <v>63920.000000000007</v>
      </c>
      <c r="U55" s="73">
        <v>200</v>
      </c>
      <c r="V55" s="73">
        <f>H55*12%</f>
        <v>5280</v>
      </c>
      <c r="W55" s="73">
        <v>0</v>
      </c>
      <c r="X55" s="73">
        <f>SUM(U55:W55)</f>
        <v>5480</v>
      </c>
      <c r="Y55" s="73">
        <f>T55-X55</f>
        <v>58440.000000000007</v>
      </c>
    </row>
    <row r="56" spans="1:25" x14ac:dyDescent="0.3">
      <c r="A56" s="65" t="s">
        <v>1058</v>
      </c>
      <c r="B56" s="66" t="s">
        <v>1057</v>
      </c>
      <c r="C56" s="66" t="s">
        <v>210</v>
      </c>
      <c r="D56" s="67">
        <v>54</v>
      </c>
      <c r="E56" s="68">
        <v>43837</v>
      </c>
      <c r="F56" s="69" t="s">
        <v>206</v>
      </c>
      <c r="G56" s="69" t="str">
        <f>B56&amp;"@gmail.com"</f>
        <v>Name 55@gmail.com</v>
      </c>
      <c r="H56" s="70">
        <v>25000</v>
      </c>
      <c r="I56" s="71">
        <f>H56*18%</f>
        <v>4500</v>
      </c>
      <c r="J56" s="71">
        <f>H56*5%</f>
        <v>1250</v>
      </c>
      <c r="K56" s="71">
        <v>1000</v>
      </c>
      <c r="L56" s="71">
        <v>5000</v>
      </c>
      <c r="M56" s="71">
        <v>1600</v>
      </c>
      <c r="N56" s="71">
        <v>27</v>
      </c>
      <c r="O56" s="71">
        <f>(H56/30)*N56</f>
        <v>22500</v>
      </c>
      <c r="P56" s="72">
        <v>1</v>
      </c>
      <c r="Q56" s="72">
        <f>N56*P56</f>
        <v>27</v>
      </c>
      <c r="R56" s="71">
        <f>(H56/30)/8</f>
        <v>104.16666666666667</v>
      </c>
      <c r="S56" s="71">
        <f>Q56*R56</f>
        <v>2812.5</v>
      </c>
      <c r="T56" s="73">
        <f>I56+J56+K56+L56+M56+O56+S56</f>
        <v>38662.5</v>
      </c>
      <c r="U56" s="73">
        <v>200</v>
      </c>
      <c r="V56" s="73">
        <f>H56*12%</f>
        <v>3000</v>
      </c>
      <c r="W56" s="73">
        <v>0</v>
      </c>
      <c r="X56" s="73">
        <f>SUM(U56:W56)</f>
        <v>3200</v>
      </c>
      <c r="Y56" s="73">
        <f>T56-X56</f>
        <v>35462.5</v>
      </c>
    </row>
    <row r="57" spans="1:25" x14ac:dyDescent="0.3">
      <c r="A57" s="65" t="s">
        <v>1056</v>
      </c>
      <c r="B57" s="66" t="s">
        <v>1055</v>
      </c>
      <c r="C57" s="66" t="s">
        <v>214</v>
      </c>
      <c r="D57" s="67">
        <v>34</v>
      </c>
      <c r="E57" s="68">
        <v>43838</v>
      </c>
      <c r="F57" s="69" t="s">
        <v>206</v>
      </c>
      <c r="G57" s="69" t="str">
        <f>B57&amp;"@gmail.com"</f>
        <v>Name 56@gmail.com</v>
      </c>
      <c r="H57" s="70">
        <v>50000</v>
      </c>
      <c r="I57" s="71">
        <f>H57*18%</f>
        <v>9000</v>
      </c>
      <c r="J57" s="71">
        <f>H57*5%</f>
        <v>2500</v>
      </c>
      <c r="K57" s="71">
        <v>1000</v>
      </c>
      <c r="L57" s="71">
        <v>5000</v>
      </c>
      <c r="M57" s="71">
        <v>1600</v>
      </c>
      <c r="N57" s="71">
        <v>27</v>
      </c>
      <c r="O57" s="71">
        <f>(H57/30)*N57</f>
        <v>45000</v>
      </c>
      <c r="P57" s="72">
        <v>3</v>
      </c>
      <c r="Q57" s="72">
        <f>N57*P57</f>
        <v>81</v>
      </c>
      <c r="R57" s="71">
        <f>(H57/30)/8</f>
        <v>208.33333333333334</v>
      </c>
      <c r="S57" s="71">
        <f>Q57*R57</f>
        <v>16875</v>
      </c>
      <c r="T57" s="73">
        <f>I57+J57+K57+L57+M57+O57+S57</f>
        <v>80975</v>
      </c>
      <c r="U57" s="73">
        <v>201</v>
      </c>
      <c r="V57" s="73">
        <f>H57*12%</f>
        <v>6000</v>
      </c>
      <c r="W57" s="73">
        <v>0</v>
      </c>
      <c r="X57" s="73">
        <f>SUM(U57:W57)</f>
        <v>6201</v>
      </c>
      <c r="Y57" s="73">
        <f>T57-X57</f>
        <v>74774</v>
      </c>
    </row>
    <row r="58" spans="1:25" x14ac:dyDescent="0.3">
      <c r="A58" s="65" t="s">
        <v>1054</v>
      </c>
      <c r="B58" s="66" t="s">
        <v>1053</v>
      </c>
      <c r="C58" s="66" t="s">
        <v>214</v>
      </c>
      <c r="D58" s="67">
        <v>23</v>
      </c>
      <c r="E58" s="68">
        <v>43839</v>
      </c>
      <c r="F58" s="69" t="s">
        <v>213</v>
      </c>
      <c r="G58" s="69" t="str">
        <f>B58&amp;"@gmail.com"</f>
        <v>Name 57@gmail.com</v>
      </c>
      <c r="H58" s="70">
        <v>70000</v>
      </c>
      <c r="I58" s="71">
        <f>H58*18%</f>
        <v>12600</v>
      </c>
      <c r="J58" s="71">
        <f>H58*5%</f>
        <v>3500</v>
      </c>
      <c r="K58" s="71">
        <v>1000</v>
      </c>
      <c r="L58" s="71">
        <v>5000</v>
      </c>
      <c r="M58" s="71">
        <v>1600</v>
      </c>
      <c r="N58" s="71">
        <v>27</v>
      </c>
      <c r="O58" s="71">
        <f>(H58/30)*N58</f>
        <v>63000.000000000007</v>
      </c>
      <c r="P58" s="72">
        <v>1</v>
      </c>
      <c r="Q58" s="72">
        <f>N58*P58</f>
        <v>27</v>
      </c>
      <c r="R58" s="71">
        <f>(H58/30)/8</f>
        <v>291.66666666666669</v>
      </c>
      <c r="S58" s="71">
        <f>Q58*R58</f>
        <v>7875.0000000000009</v>
      </c>
      <c r="T58" s="73">
        <f>I58+J58+K58+L58+M58+O58+S58</f>
        <v>94575</v>
      </c>
      <c r="U58" s="73">
        <v>202</v>
      </c>
      <c r="V58" s="73">
        <f>H58*12%</f>
        <v>8400</v>
      </c>
      <c r="W58" s="73">
        <v>0</v>
      </c>
      <c r="X58" s="73">
        <f>SUM(U58:W58)</f>
        <v>8602</v>
      </c>
      <c r="Y58" s="73">
        <f>T58-X58</f>
        <v>85973</v>
      </c>
    </row>
    <row r="59" spans="1:25" x14ac:dyDescent="0.3">
      <c r="A59" s="65" t="s">
        <v>1052</v>
      </c>
      <c r="B59" s="66" t="s">
        <v>1051</v>
      </c>
      <c r="C59" s="66" t="s">
        <v>214</v>
      </c>
      <c r="D59" s="67">
        <v>34</v>
      </c>
      <c r="E59" s="68">
        <v>43840</v>
      </c>
      <c r="F59" s="69" t="s">
        <v>213</v>
      </c>
      <c r="G59" s="69" t="str">
        <f>B59&amp;"@gmail.com"</f>
        <v>Name 58@gmail.com</v>
      </c>
      <c r="H59" s="70">
        <v>34000</v>
      </c>
      <c r="I59" s="71">
        <f>H59*18%</f>
        <v>6120</v>
      </c>
      <c r="J59" s="71">
        <f>H59*5%</f>
        <v>1700</v>
      </c>
      <c r="K59" s="71">
        <v>1000</v>
      </c>
      <c r="L59" s="71">
        <v>5000</v>
      </c>
      <c r="M59" s="71">
        <v>1600</v>
      </c>
      <c r="N59" s="71">
        <v>30</v>
      </c>
      <c r="O59" s="71">
        <f>(H59/30)*N59</f>
        <v>34000</v>
      </c>
      <c r="P59" s="72">
        <v>2</v>
      </c>
      <c r="Q59" s="72">
        <f>N59*P59</f>
        <v>60</v>
      </c>
      <c r="R59" s="71">
        <f>(H59/30)/8</f>
        <v>141.66666666666666</v>
      </c>
      <c r="S59" s="71">
        <f>Q59*R59</f>
        <v>8500</v>
      </c>
      <c r="T59" s="73">
        <f>I59+J59+K59+L59+M59+O59+S59</f>
        <v>57920</v>
      </c>
      <c r="U59" s="73">
        <v>203</v>
      </c>
      <c r="V59" s="73">
        <f>H59*12%</f>
        <v>4080</v>
      </c>
      <c r="W59" s="73">
        <v>0</v>
      </c>
      <c r="X59" s="73">
        <f>SUM(U59:W59)</f>
        <v>4283</v>
      </c>
      <c r="Y59" s="73">
        <f>T59-X59</f>
        <v>53637</v>
      </c>
    </row>
    <row r="60" spans="1:25" x14ac:dyDescent="0.3">
      <c r="A60" s="65" t="s">
        <v>1050</v>
      </c>
      <c r="B60" s="66" t="s">
        <v>1049</v>
      </c>
      <c r="C60" s="66" t="s">
        <v>214</v>
      </c>
      <c r="D60" s="67">
        <v>43</v>
      </c>
      <c r="E60" s="68">
        <v>43841</v>
      </c>
      <c r="F60" s="69" t="s">
        <v>213</v>
      </c>
      <c r="G60" s="69" t="str">
        <f>B60&amp;"@gmail.com"</f>
        <v>Name 59@gmail.com</v>
      </c>
      <c r="H60" s="70">
        <v>45000</v>
      </c>
      <c r="I60" s="71">
        <f>H60*18%</f>
        <v>8100</v>
      </c>
      <c r="J60" s="71">
        <f>H60*5%</f>
        <v>2250</v>
      </c>
      <c r="K60" s="71">
        <v>1000</v>
      </c>
      <c r="L60" s="71">
        <v>5000</v>
      </c>
      <c r="M60" s="71">
        <v>1600</v>
      </c>
      <c r="N60" s="71">
        <v>30</v>
      </c>
      <c r="O60" s="71">
        <f>(H60/30)*N60</f>
        <v>45000</v>
      </c>
      <c r="P60" s="72">
        <v>0</v>
      </c>
      <c r="Q60" s="72">
        <f>N60*P60</f>
        <v>0</v>
      </c>
      <c r="R60" s="71">
        <f>(H60/30)/8</f>
        <v>187.5</v>
      </c>
      <c r="S60" s="71">
        <f>Q60*R60</f>
        <v>0</v>
      </c>
      <c r="T60" s="73">
        <f>I60+J60+K60+L60+M60+O60+S60</f>
        <v>62950</v>
      </c>
      <c r="U60" s="73">
        <v>204</v>
      </c>
      <c r="V60" s="73">
        <f>H60*12%</f>
        <v>5400</v>
      </c>
      <c r="W60" s="73">
        <v>4000</v>
      </c>
      <c r="X60" s="73">
        <f>SUM(U60:W60)</f>
        <v>9604</v>
      </c>
      <c r="Y60" s="73">
        <f>T60-X60</f>
        <v>53346</v>
      </c>
    </row>
    <row r="61" spans="1:25" x14ac:dyDescent="0.3">
      <c r="A61" s="65" t="s">
        <v>1048</v>
      </c>
      <c r="B61" s="66" t="s">
        <v>1047</v>
      </c>
      <c r="C61" s="66" t="s">
        <v>214</v>
      </c>
      <c r="D61" s="67">
        <v>34</v>
      </c>
      <c r="E61" s="68">
        <v>43842</v>
      </c>
      <c r="F61" s="69" t="s">
        <v>213</v>
      </c>
      <c r="G61" s="69" t="str">
        <f>B61&amp;"@gmail.com"</f>
        <v>Name 60@gmail.com</v>
      </c>
      <c r="H61" s="70">
        <v>55000</v>
      </c>
      <c r="I61" s="71">
        <f>H61*18%</f>
        <v>9900</v>
      </c>
      <c r="J61" s="71">
        <f>H61*5%</f>
        <v>2750</v>
      </c>
      <c r="K61" s="71">
        <v>1000</v>
      </c>
      <c r="L61" s="71">
        <v>5000</v>
      </c>
      <c r="M61" s="71">
        <v>1600</v>
      </c>
      <c r="N61" s="71">
        <v>30</v>
      </c>
      <c r="O61" s="71">
        <f>(H61/30)*N61</f>
        <v>55000</v>
      </c>
      <c r="P61" s="72">
        <v>1</v>
      </c>
      <c r="Q61" s="72">
        <f>N61*P61</f>
        <v>30</v>
      </c>
      <c r="R61" s="71">
        <f>(H61/30)/8</f>
        <v>229.16666666666666</v>
      </c>
      <c r="S61" s="71">
        <f>Q61*R61</f>
        <v>6875</v>
      </c>
      <c r="T61" s="73">
        <f>I61+J61+K61+L61+M61+O61+S61</f>
        <v>82125</v>
      </c>
      <c r="U61" s="73">
        <v>205</v>
      </c>
      <c r="V61" s="73">
        <f>H61*12%</f>
        <v>6600</v>
      </c>
      <c r="W61" s="73">
        <v>0</v>
      </c>
      <c r="X61" s="73">
        <f>SUM(U61:W61)</f>
        <v>6805</v>
      </c>
      <c r="Y61" s="73">
        <f>T61-X61</f>
        <v>75320</v>
      </c>
    </row>
    <row r="62" spans="1:25" x14ac:dyDescent="0.3">
      <c r="A62" s="65" t="s">
        <v>1046</v>
      </c>
      <c r="B62" s="66" t="s">
        <v>1045</v>
      </c>
      <c r="C62" s="66" t="s">
        <v>210</v>
      </c>
      <c r="D62" s="67">
        <v>43</v>
      </c>
      <c r="E62" s="68">
        <v>43843</v>
      </c>
      <c r="F62" s="69" t="s">
        <v>206</v>
      </c>
      <c r="G62" s="69" t="str">
        <f>B62&amp;"@gmail.com"</f>
        <v>Name 61@gmail.com</v>
      </c>
      <c r="H62" s="70">
        <v>43000</v>
      </c>
      <c r="I62" s="71">
        <f>H62*18%</f>
        <v>7740</v>
      </c>
      <c r="J62" s="71">
        <f>H62*5%</f>
        <v>2150</v>
      </c>
      <c r="K62" s="71">
        <v>1000</v>
      </c>
      <c r="L62" s="71">
        <v>5000</v>
      </c>
      <c r="M62" s="71">
        <v>1600</v>
      </c>
      <c r="N62" s="71">
        <v>27</v>
      </c>
      <c r="O62" s="71">
        <f>(H62/30)*N62</f>
        <v>38700</v>
      </c>
      <c r="P62" s="72">
        <v>1</v>
      </c>
      <c r="Q62" s="72">
        <f>N62*P62</f>
        <v>27</v>
      </c>
      <c r="R62" s="71">
        <f>(H62/30)/8</f>
        <v>179.16666666666666</v>
      </c>
      <c r="S62" s="71">
        <f>Q62*R62</f>
        <v>4837.5</v>
      </c>
      <c r="T62" s="73">
        <f>I62+J62+K62+L62+M62+O62+S62</f>
        <v>61027.5</v>
      </c>
      <c r="U62" s="73">
        <v>200</v>
      </c>
      <c r="V62" s="73">
        <f>H62*12%</f>
        <v>5160</v>
      </c>
      <c r="W62" s="73">
        <v>0</v>
      </c>
      <c r="X62" s="73">
        <f>SUM(U62:W62)</f>
        <v>5360</v>
      </c>
      <c r="Y62" s="73">
        <f>T62-X62</f>
        <v>55667.5</v>
      </c>
    </row>
    <row r="63" spans="1:25" x14ac:dyDescent="0.3">
      <c r="A63" s="65" t="s">
        <v>1044</v>
      </c>
      <c r="B63" s="66" t="s">
        <v>1043</v>
      </c>
      <c r="C63" s="66" t="s">
        <v>207</v>
      </c>
      <c r="D63" s="67">
        <v>23</v>
      </c>
      <c r="E63" s="68">
        <v>43844</v>
      </c>
      <c r="F63" s="69" t="s">
        <v>206</v>
      </c>
      <c r="G63" s="69" t="str">
        <f>B63&amp;"@gmail.com"</f>
        <v>Name 62@gmail.com</v>
      </c>
      <c r="H63" s="70">
        <v>25000</v>
      </c>
      <c r="I63" s="71">
        <f>H63*18%</f>
        <v>4500</v>
      </c>
      <c r="J63" s="71">
        <f>H63*5%</f>
        <v>1250</v>
      </c>
      <c r="K63" s="71">
        <v>1000</v>
      </c>
      <c r="L63" s="71">
        <v>5000</v>
      </c>
      <c r="M63" s="71">
        <v>1600</v>
      </c>
      <c r="N63" s="71">
        <v>30</v>
      </c>
      <c r="O63" s="71">
        <f>(H63/30)*N63</f>
        <v>25000</v>
      </c>
      <c r="P63" s="72">
        <v>0</v>
      </c>
      <c r="Q63" s="72">
        <f>N63*P63</f>
        <v>0</v>
      </c>
      <c r="R63" s="71">
        <f>(H63/30)/8</f>
        <v>104.16666666666667</v>
      </c>
      <c r="S63" s="71">
        <f>Q63*R63</f>
        <v>0</v>
      </c>
      <c r="T63" s="73">
        <f>I63+J63+K63+L63+M63+O63+S63</f>
        <v>38350</v>
      </c>
      <c r="U63" s="73">
        <v>200</v>
      </c>
      <c r="V63" s="73">
        <f>H63*12%</f>
        <v>3000</v>
      </c>
      <c r="W63" s="73">
        <v>0</v>
      </c>
      <c r="X63" s="73">
        <f>SUM(U63:W63)</f>
        <v>3200</v>
      </c>
      <c r="Y63" s="73">
        <f>T63-X63</f>
        <v>35150</v>
      </c>
    </row>
    <row r="64" spans="1:25" x14ac:dyDescent="0.3">
      <c r="A64" s="65" t="s">
        <v>1042</v>
      </c>
      <c r="B64" s="66" t="s">
        <v>1041</v>
      </c>
      <c r="C64" s="66" t="s">
        <v>214</v>
      </c>
      <c r="D64" s="67">
        <v>34</v>
      </c>
      <c r="E64" s="68">
        <v>43845</v>
      </c>
      <c r="F64" s="69" t="s">
        <v>206</v>
      </c>
      <c r="G64" s="69" t="str">
        <f>B64&amp;"@gmail.com"</f>
        <v>Name 63@gmail.com</v>
      </c>
      <c r="H64" s="70">
        <v>28000</v>
      </c>
      <c r="I64" s="71">
        <f>H64*18%</f>
        <v>5040</v>
      </c>
      <c r="J64" s="71">
        <f>H64*5%</f>
        <v>1400</v>
      </c>
      <c r="K64" s="71">
        <v>1000</v>
      </c>
      <c r="L64" s="71">
        <v>5000</v>
      </c>
      <c r="M64" s="71">
        <v>1600</v>
      </c>
      <c r="N64" s="71">
        <v>20</v>
      </c>
      <c r="O64" s="71">
        <f>(H64/30)*N64</f>
        <v>18666.666666666668</v>
      </c>
      <c r="P64" s="72">
        <v>0</v>
      </c>
      <c r="Q64" s="72">
        <f>N64*P64</f>
        <v>0</v>
      </c>
      <c r="R64" s="71">
        <f>(H64/30)/8</f>
        <v>116.66666666666667</v>
      </c>
      <c r="S64" s="71">
        <f>Q64*R64</f>
        <v>0</v>
      </c>
      <c r="T64" s="73">
        <f>I64+J64+K64+L64+M64+O64+S64</f>
        <v>32706.666666666668</v>
      </c>
      <c r="U64" s="73">
        <v>200</v>
      </c>
      <c r="V64" s="73">
        <f>H64*12%</f>
        <v>3360</v>
      </c>
      <c r="W64" s="73">
        <v>0</v>
      </c>
      <c r="X64" s="73">
        <f>SUM(U64:W64)</f>
        <v>3560</v>
      </c>
      <c r="Y64" s="73">
        <f>T64-X64</f>
        <v>29146.666666666668</v>
      </c>
    </row>
    <row r="65" spans="1:25" x14ac:dyDescent="0.3">
      <c r="A65" s="65" t="s">
        <v>1040</v>
      </c>
      <c r="B65" s="66" t="s">
        <v>1039</v>
      </c>
      <c r="C65" s="66" t="s">
        <v>210</v>
      </c>
      <c r="D65" s="67">
        <v>23</v>
      </c>
      <c r="E65" s="68">
        <v>43846</v>
      </c>
      <c r="F65" s="69" t="s">
        <v>206</v>
      </c>
      <c r="G65" s="69" t="str">
        <f>B65&amp;"@gmail.com"</f>
        <v>Name 64@gmail.com</v>
      </c>
      <c r="H65" s="70">
        <v>40000</v>
      </c>
      <c r="I65" s="71">
        <f>H65*18%</f>
        <v>7200</v>
      </c>
      <c r="J65" s="71">
        <f>H65*5%</f>
        <v>2000</v>
      </c>
      <c r="K65" s="71">
        <v>1000</v>
      </c>
      <c r="L65" s="71">
        <v>5000</v>
      </c>
      <c r="M65" s="71">
        <v>1600</v>
      </c>
      <c r="N65" s="71">
        <v>28</v>
      </c>
      <c r="O65" s="71">
        <f>(H65/30)*N65</f>
        <v>37333.333333333328</v>
      </c>
      <c r="P65" s="72">
        <v>2</v>
      </c>
      <c r="Q65" s="72">
        <f>N65*P65</f>
        <v>56</v>
      </c>
      <c r="R65" s="71">
        <f>(H65/30)/8</f>
        <v>166.66666666666666</v>
      </c>
      <c r="S65" s="71">
        <f>Q65*R65</f>
        <v>9333.3333333333321</v>
      </c>
      <c r="T65" s="73">
        <f>I65+J65+K65+L65+M65+O65+S65</f>
        <v>63466.666666666657</v>
      </c>
      <c r="U65" s="73">
        <v>200</v>
      </c>
      <c r="V65" s="73">
        <f>H65*12%</f>
        <v>4800</v>
      </c>
      <c r="W65" s="73">
        <v>0</v>
      </c>
      <c r="X65" s="73">
        <f>SUM(U65:W65)</f>
        <v>5000</v>
      </c>
      <c r="Y65" s="73">
        <f>T65-X65</f>
        <v>58466.666666666657</v>
      </c>
    </row>
    <row r="66" spans="1:25" x14ac:dyDescent="0.3">
      <c r="A66" s="65" t="s">
        <v>1038</v>
      </c>
      <c r="B66" s="66" t="s">
        <v>1037</v>
      </c>
      <c r="C66" s="66" t="s">
        <v>210</v>
      </c>
      <c r="D66" s="67">
        <v>34</v>
      </c>
      <c r="E66" s="68">
        <v>43847</v>
      </c>
      <c r="F66" s="69" t="s">
        <v>206</v>
      </c>
      <c r="G66" s="69" t="str">
        <f>B66&amp;"@gmail.com"</f>
        <v>Name 65@gmail.com</v>
      </c>
      <c r="H66" s="70">
        <v>32000</v>
      </c>
      <c r="I66" s="71">
        <f>H66*18%</f>
        <v>5760</v>
      </c>
      <c r="J66" s="71">
        <f>H66*5%</f>
        <v>1600</v>
      </c>
      <c r="K66" s="71">
        <v>1000</v>
      </c>
      <c r="L66" s="71">
        <v>5000</v>
      </c>
      <c r="M66" s="71">
        <v>1600</v>
      </c>
      <c r="N66" s="71">
        <v>30</v>
      </c>
      <c r="O66" s="71">
        <f>(H66/30)*N66</f>
        <v>32000.000000000004</v>
      </c>
      <c r="P66" s="72">
        <v>1</v>
      </c>
      <c r="Q66" s="72">
        <f>N66*P66</f>
        <v>30</v>
      </c>
      <c r="R66" s="71">
        <f>(H66/30)/8</f>
        <v>133.33333333333334</v>
      </c>
      <c r="S66" s="71">
        <f>Q66*R66</f>
        <v>4000.0000000000005</v>
      </c>
      <c r="T66" s="73">
        <f>I66+J66+K66+L66+M66+O66+S66</f>
        <v>50960</v>
      </c>
      <c r="U66" s="73">
        <v>200</v>
      </c>
      <c r="V66" s="73">
        <f>H66*12%</f>
        <v>3840</v>
      </c>
      <c r="W66" s="73">
        <v>5000</v>
      </c>
      <c r="X66" s="73">
        <f>SUM(U66:W66)</f>
        <v>9040</v>
      </c>
      <c r="Y66" s="73">
        <f>T66-X66</f>
        <v>41920</v>
      </c>
    </row>
    <row r="67" spans="1:25" x14ac:dyDescent="0.3">
      <c r="A67" s="65" t="s">
        <v>1036</v>
      </c>
      <c r="B67" s="66" t="s">
        <v>1035</v>
      </c>
      <c r="C67" s="66" t="s">
        <v>207</v>
      </c>
      <c r="D67" s="67">
        <v>23</v>
      </c>
      <c r="E67" s="68">
        <v>43848</v>
      </c>
      <c r="F67" s="69" t="s">
        <v>206</v>
      </c>
      <c r="G67" s="69" t="str">
        <f>B67&amp;"@gmail.com"</f>
        <v>Name 66@gmail.com</v>
      </c>
      <c r="H67" s="70">
        <v>28000</v>
      </c>
      <c r="I67" s="71">
        <f>H67*18%</f>
        <v>5040</v>
      </c>
      <c r="J67" s="71">
        <f>H67*5%</f>
        <v>1400</v>
      </c>
      <c r="K67" s="71">
        <v>1000</v>
      </c>
      <c r="L67" s="71">
        <v>5000</v>
      </c>
      <c r="M67" s="71">
        <v>1600</v>
      </c>
      <c r="N67" s="71">
        <v>29</v>
      </c>
      <c r="O67" s="71">
        <f>(H67/30)*N67</f>
        <v>27066.666666666668</v>
      </c>
      <c r="P67" s="72">
        <v>1</v>
      </c>
      <c r="Q67" s="72">
        <f>N67*P67</f>
        <v>29</v>
      </c>
      <c r="R67" s="71">
        <f>(H67/30)/8</f>
        <v>116.66666666666667</v>
      </c>
      <c r="S67" s="71">
        <f>Q67*R67</f>
        <v>3383.3333333333335</v>
      </c>
      <c r="T67" s="73">
        <f>I67+J67+K67+L67+M67+O67+S67</f>
        <v>44490.000000000007</v>
      </c>
      <c r="U67" s="73">
        <v>200</v>
      </c>
      <c r="V67" s="73">
        <f>H67*12%</f>
        <v>3360</v>
      </c>
      <c r="W67" s="73">
        <v>0</v>
      </c>
      <c r="X67" s="73">
        <f>SUM(U67:W67)</f>
        <v>3560</v>
      </c>
      <c r="Y67" s="73">
        <f>T67-X67</f>
        <v>40930.000000000007</v>
      </c>
    </row>
    <row r="68" spans="1:25" x14ac:dyDescent="0.3">
      <c r="A68" s="65" t="s">
        <v>1034</v>
      </c>
      <c r="B68" s="66" t="s">
        <v>1033</v>
      </c>
      <c r="C68" s="66" t="s">
        <v>214</v>
      </c>
      <c r="D68" s="67">
        <v>34</v>
      </c>
      <c r="E68" s="68">
        <v>43849</v>
      </c>
      <c r="F68" s="69" t="s">
        <v>213</v>
      </c>
      <c r="G68" s="69" t="str">
        <f>B68&amp;"@gmail.com"</f>
        <v>Name 67@gmail.com</v>
      </c>
      <c r="H68" s="70">
        <v>44000</v>
      </c>
      <c r="I68" s="71">
        <f>H68*18%</f>
        <v>7920</v>
      </c>
      <c r="J68" s="71">
        <f>H68*5%</f>
        <v>2200</v>
      </c>
      <c r="K68" s="71">
        <v>1000</v>
      </c>
      <c r="L68" s="71">
        <v>5000</v>
      </c>
      <c r="M68" s="71">
        <v>1600</v>
      </c>
      <c r="N68" s="71">
        <v>28</v>
      </c>
      <c r="O68" s="71">
        <f>(H68/30)*N68</f>
        <v>41066.666666666672</v>
      </c>
      <c r="P68" s="72">
        <v>1</v>
      </c>
      <c r="Q68" s="72">
        <f>N68*P68</f>
        <v>28</v>
      </c>
      <c r="R68" s="71">
        <f>(H68/30)/8</f>
        <v>183.33333333333334</v>
      </c>
      <c r="S68" s="71">
        <f>Q68*R68</f>
        <v>5133.3333333333339</v>
      </c>
      <c r="T68" s="73">
        <f>I68+J68+K68+L68+M68+O68+S68</f>
        <v>63920.000000000007</v>
      </c>
      <c r="U68" s="73">
        <v>200</v>
      </c>
      <c r="V68" s="73">
        <f>H68*12%</f>
        <v>5280</v>
      </c>
      <c r="W68" s="73">
        <v>0</v>
      </c>
      <c r="X68" s="73">
        <f>SUM(U68:W68)</f>
        <v>5480</v>
      </c>
      <c r="Y68" s="73">
        <f>T68-X68</f>
        <v>58440.000000000007</v>
      </c>
    </row>
    <row r="69" spans="1:25" x14ac:dyDescent="0.3">
      <c r="A69" s="65" t="s">
        <v>1032</v>
      </c>
      <c r="B69" s="66" t="s">
        <v>1031</v>
      </c>
      <c r="C69" s="66" t="s">
        <v>210</v>
      </c>
      <c r="D69" s="67">
        <v>45</v>
      </c>
      <c r="E69" s="68">
        <v>43850</v>
      </c>
      <c r="F69" s="69" t="s">
        <v>206</v>
      </c>
      <c r="G69" s="69" t="str">
        <f>B69&amp;"@gmail.com"</f>
        <v>Name 68@gmail.com</v>
      </c>
      <c r="H69" s="70">
        <v>25000</v>
      </c>
      <c r="I69" s="71">
        <f>H69*18%</f>
        <v>4500</v>
      </c>
      <c r="J69" s="71">
        <f>H69*5%</f>
        <v>1250</v>
      </c>
      <c r="K69" s="71">
        <v>1000</v>
      </c>
      <c r="L69" s="71">
        <v>5000</v>
      </c>
      <c r="M69" s="71">
        <v>1600</v>
      </c>
      <c r="N69" s="71">
        <v>27</v>
      </c>
      <c r="O69" s="71">
        <f>(H69/30)*N69</f>
        <v>22500</v>
      </c>
      <c r="P69" s="72">
        <v>1</v>
      </c>
      <c r="Q69" s="72">
        <f>N69*P69</f>
        <v>27</v>
      </c>
      <c r="R69" s="71">
        <f>(H69/30)/8</f>
        <v>104.16666666666667</v>
      </c>
      <c r="S69" s="71">
        <f>Q69*R69</f>
        <v>2812.5</v>
      </c>
      <c r="T69" s="73">
        <f>I69+J69+K69+L69+M69+O69+S69</f>
        <v>38662.5</v>
      </c>
      <c r="U69" s="73">
        <v>200</v>
      </c>
      <c r="V69" s="73">
        <f>H69*12%</f>
        <v>3000</v>
      </c>
      <c r="W69" s="73">
        <v>0</v>
      </c>
      <c r="X69" s="73">
        <f>SUM(U69:W69)</f>
        <v>3200</v>
      </c>
      <c r="Y69" s="73">
        <f>T69-X69</f>
        <v>35462.5</v>
      </c>
    </row>
    <row r="70" spans="1:25" x14ac:dyDescent="0.3">
      <c r="A70" s="65" t="s">
        <v>1030</v>
      </c>
      <c r="B70" s="66" t="s">
        <v>1029</v>
      </c>
      <c r="C70" s="66" t="s">
        <v>214</v>
      </c>
      <c r="D70" s="67">
        <v>54</v>
      </c>
      <c r="E70" s="68">
        <v>43851</v>
      </c>
      <c r="F70" s="69" t="s">
        <v>206</v>
      </c>
      <c r="G70" s="69" t="str">
        <f>B70&amp;"@gmail.com"</f>
        <v>Name 69@gmail.com</v>
      </c>
      <c r="H70" s="70">
        <v>50000</v>
      </c>
      <c r="I70" s="71">
        <f>H70*18%</f>
        <v>9000</v>
      </c>
      <c r="J70" s="71">
        <f>H70*5%</f>
        <v>2500</v>
      </c>
      <c r="K70" s="71">
        <v>1000</v>
      </c>
      <c r="L70" s="71">
        <v>5000</v>
      </c>
      <c r="M70" s="71">
        <v>1600</v>
      </c>
      <c r="N70" s="71">
        <v>27</v>
      </c>
      <c r="O70" s="71">
        <f>(H70/30)*N70</f>
        <v>45000</v>
      </c>
      <c r="P70" s="72">
        <v>3</v>
      </c>
      <c r="Q70" s="72">
        <f>N70*P70</f>
        <v>81</v>
      </c>
      <c r="R70" s="71">
        <f>(H70/30)/8</f>
        <v>208.33333333333334</v>
      </c>
      <c r="S70" s="71">
        <f>Q70*R70</f>
        <v>16875</v>
      </c>
      <c r="T70" s="73">
        <f>I70+J70+K70+L70+M70+O70+S70</f>
        <v>80975</v>
      </c>
      <c r="U70" s="73">
        <v>201</v>
      </c>
      <c r="V70" s="73">
        <f>H70*12%</f>
        <v>6000</v>
      </c>
      <c r="W70" s="73">
        <v>0</v>
      </c>
      <c r="X70" s="73">
        <f>SUM(U70:W70)</f>
        <v>6201</v>
      </c>
      <c r="Y70" s="73">
        <f>T70-X70</f>
        <v>74774</v>
      </c>
    </row>
    <row r="71" spans="1:25" x14ac:dyDescent="0.3">
      <c r="A71" s="65" t="s">
        <v>1028</v>
      </c>
      <c r="B71" s="66" t="s">
        <v>1027</v>
      </c>
      <c r="C71" s="66" t="s">
        <v>214</v>
      </c>
      <c r="D71" s="67">
        <v>56</v>
      </c>
      <c r="E71" s="68">
        <v>43852</v>
      </c>
      <c r="F71" s="69" t="s">
        <v>213</v>
      </c>
      <c r="G71" s="69" t="str">
        <f>B71&amp;"@gmail.com"</f>
        <v>Name 70@gmail.com</v>
      </c>
      <c r="H71" s="70">
        <v>70000</v>
      </c>
      <c r="I71" s="71">
        <f>H71*18%</f>
        <v>12600</v>
      </c>
      <c r="J71" s="71">
        <f>H71*5%</f>
        <v>3500</v>
      </c>
      <c r="K71" s="71">
        <v>1000</v>
      </c>
      <c r="L71" s="71">
        <v>0</v>
      </c>
      <c r="M71" s="71">
        <v>1600</v>
      </c>
      <c r="N71" s="71">
        <v>27</v>
      </c>
      <c r="O71" s="71">
        <f>(H71/30)*N71</f>
        <v>63000.000000000007</v>
      </c>
      <c r="P71" s="72">
        <v>1</v>
      </c>
      <c r="Q71" s="72">
        <f>N71*P71</f>
        <v>27</v>
      </c>
      <c r="R71" s="71">
        <f>(H71/30)/8</f>
        <v>291.66666666666669</v>
      </c>
      <c r="S71" s="71">
        <f>Q71*R71</f>
        <v>7875.0000000000009</v>
      </c>
      <c r="T71" s="73">
        <f>I71+J71+K71+L71+M71+O71+S71</f>
        <v>89575</v>
      </c>
      <c r="U71" s="73">
        <v>202</v>
      </c>
      <c r="V71" s="73">
        <f>H71*12%</f>
        <v>8400</v>
      </c>
      <c r="W71" s="73">
        <v>0</v>
      </c>
      <c r="X71" s="73">
        <f>SUM(U71:W71)</f>
        <v>8602</v>
      </c>
      <c r="Y71" s="73">
        <f>T71-X71</f>
        <v>80973</v>
      </c>
    </row>
    <row r="72" spans="1:25" x14ac:dyDescent="0.3">
      <c r="A72" s="65" t="s">
        <v>1026</v>
      </c>
      <c r="B72" s="66" t="s">
        <v>1025</v>
      </c>
      <c r="C72" s="66" t="s">
        <v>214</v>
      </c>
      <c r="D72" s="67">
        <v>54</v>
      </c>
      <c r="E72" s="68">
        <v>43853</v>
      </c>
      <c r="F72" s="69" t="s">
        <v>213</v>
      </c>
      <c r="G72" s="69" t="str">
        <f>B72&amp;"@gmail.com"</f>
        <v>Name 71@gmail.com</v>
      </c>
      <c r="H72" s="70">
        <v>34000</v>
      </c>
      <c r="I72" s="71">
        <f>H72*18%</f>
        <v>6120</v>
      </c>
      <c r="J72" s="71">
        <f>H72*5%</f>
        <v>1700</v>
      </c>
      <c r="K72" s="71">
        <v>1000</v>
      </c>
      <c r="L72" s="71">
        <v>2000</v>
      </c>
      <c r="M72" s="71">
        <v>1600</v>
      </c>
      <c r="N72" s="71">
        <v>30</v>
      </c>
      <c r="O72" s="71">
        <f>(H72/30)*N72</f>
        <v>34000</v>
      </c>
      <c r="P72" s="72">
        <v>2</v>
      </c>
      <c r="Q72" s="72">
        <f>N72*P72</f>
        <v>60</v>
      </c>
      <c r="R72" s="71">
        <f>(H72/30)/8</f>
        <v>141.66666666666666</v>
      </c>
      <c r="S72" s="71">
        <f>Q72*R72</f>
        <v>8500</v>
      </c>
      <c r="T72" s="73">
        <f>I72+J72+K72+L72+M72+O72+S72</f>
        <v>54920</v>
      </c>
      <c r="U72" s="73">
        <v>203</v>
      </c>
      <c r="V72" s="73">
        <f>H72*12%</f>
        <v>4080</v>
      </c>
      <c r="W72" s="73">
        <v>0</v>
      </c>
      <c r="X72" s="73">
        <f>SUM(U72:W72)</f>
        <v>4283</v>
      </c>
      <c r="Y72" s="73">
        <f>T72-X72</f>
        <v>50637</v>
      </c>
    </row>
    <row r="73" spans="1:25" x14ac:dyDescent="0.3">
      <c r="A73" s="65" t="s">
        <v>1024</v>
      </c>
      <c r="B73" s="66" t="s">
        <v>1023</v>
      </c>
      <c r="C73" s="66" t="s">
        <v>214</v>
      </c>
      <c r="D73" s="67">
        <v>34</v>
      </c>
      <c r="E73" s="68">
        <v>43854</v>
      </c>
      <c r="F73" s="69" t="s">
        <v>213</v>
      </c>
      <c r="G73" s="69" t="str">
        <f>B73&amp;"@gmail.com"</f>
        <v>Name 72@gmail.com</v>
      </c>
      <c r="H73" s="70">
        <v>45000</v>
      </c>
      <c r="I73" s="71">
        <f>H73*18%</f>
        <v>8100</v>
      </c>
      <c r="J73" s="71">
        <f>H73*5%</f>
        <v>2250</v>
      </c>
      <c r="K73" s="71">
        <v>1000</v>
      </c>
      <c r="L73" s="71">
        <v>5000</v>
      </c>
      <c r="M73" s="71">
        <v>1600</v>
      </c>
      <c r="N73" s="71">
        <v>30</v>
      </c>
      <c r="O73" s="71">
        <f>(H73/30)*N73</f>
        <v>45000</v>
      </c>
      <c r="P73" s="72">
        <v>0</v>
      </c>
      <c r="Q73" s="72">
        <f>N73*P73</f>
        <v>0</v>
      </c>
      <c r="R73" s="71">
        <f>(H73/30)/8</f>
        <v>187.5</v>
      </c>
      <c r="S73" s="71">
        <f>Q73*R73</f>
        <v>0</v>
      </c>
      <c r="T73" s="73">
        <f>I73+J73+K73+L73+M73+O73+S73</f>
        <v>62950</v>
      </c>
      <c r="U73" s="73">
        <v>204</v>
      </c>
      <c r="V73" s="73">
        <f>H73*12%</f>
        <v>5400</v>
      </c>
      <c r="W73" s="73">
        <v>4000</v>
      </c>
      <c r="X73" s="73">
        <f>SUM(U73:W73)</f>
        <v>9604</v>
      </c>
      <c r="Y73" s="73">
        <f>T73-X73</f>
        <v>53346</v>
      </c>
    </row>
    <row r="74" spans="1:25" x14ac:dyDescent="0.3">
      <c r="A74" s="65" t="s">
        <v>1022</v>
      </c>
      <c r="B74" s="66" t="s">
        <v>1021</v>
      </c>
      <c r="C74" s="66" t="s">
        <v>214</v>
      </c>
      <c r="D74" s="67">
        <v>23</v>
      </c>
      <c r="E74" s="68">
        <v>43831</v>
      </c>
      <c r="F74" s="69" t="s">
        <v>213</v>
      </c>
      <c r="G74" s="69" t="str">
        <f>B74&amp;"@gmail.com"</f>
        <v>Name 73@gmail.com</v>
      </c>
      <c r="H74" s="70">
        <v>55000</v>
      </c>
      <c r="I74" s="71">
        <f>H74*18%</f>
        <v>9900</v>
      </c>
      <c r="J74" s="71">
        <f>H74*5%</f>
        <v>2750</v>
      </c>
      <c r="K74" s="71">
        <v>1000</v>
      </c>
      <c r="L74" s="71">
        <v>0</v>
      </c>
      <c r="M74" s="71">
        <v>1600</v>
      </c>
      <c r="N74" s="71">
        <v>30</v>
      </c>
      <c r="O74" s="71">
        <f>(H74/30)*N74</f>
        <v>55000</v>
      </c>
      <c r="P74" s="72">
        <v>1</v>
      </c>
      <c r="Q74" s="72">
        <f>N74*P74</f>
        <v>30</v>
      </c>
      <c r="R74" s="71">
        <f>(H74/30)/8</f>
        <v>229.16666666666666</v>
      </c>
      <c r="S74" s="71">
        <f>Q74*R74</f>
        <v>6875</v>
      </c>
      <c r="T74" s="73">
        <f>I74+J74+K74+L74+M74+O74+S74</f>
        <v>77125</v>
      </c>
      <c r="U74" s="73">
        <v>205</v>
      </c>
      <c r="V74" s="73">
        <f>H74*12%</f>
        <v>6600</v>
      </c>
      <c r="W74" s="73">
        <v>0</v>
      </c>
      <c r="X74" s="73">
        <f>SUM(U74:W74)</f>
        <v>6805</v>
      </c>
      <c r="Y74" s="73">
        <f>T74-X74</f>
        <v>70320</v>
      </c>
    </row>
    <row r="75" spans="1:25" x14ac:dyDescent="0.3">
      <c r="A75" s="65" t="s">
        <v>1020</v>
      </c>
      <c r="B75" s="66" t="s">
        <v>1019</v>
      </c>
      <c r="C75" s="66" t="s">
        <v>210</v>
      </c>
      <c r="D75" s="67">
        <v>34</v>
      </c>
      <c r="E75" s="68">
        <v>43832</v>
      </c>
      <c r="F75" s="69" t="s">
        <v>206</v>
      </c>
      <c r="G75" s="69" t="str">
        <f>B75&amp;"@gmail.com"</f>
        <v>Name 74@gmail.com</v>
      </c>
      <c r="H75" s="70">
        <v>43000</v>
      </c>
      <c r="I75" s="71">
        <f>H75*18%</f>
        <v>7740</v>
      </c>
      <c r="J75" s="71">
        <f>H75*5%</f>
        <v>2150</v>
      </c>
      <c r="K75" s="71">
        <v>1000</v>
      </c>
      <c r="L75" s="71">
        <v>0</v>
      </c>
      <c r="M75" s="71">
        <v>1600</v>
      </c>
      <c r="N75" s="71">
        <v>27</v>
      </c>
      <c r="O75" s="71">
        <f>(H75/30)*N75</f>
        <v>38700</v>
      </c>
      <c r="P75" s="72">
        <v>1</v>
      </c>
      <c r="Q75" s="72">
        <f>N75*P75</f>
        <v>27</v>
      </c>
      <c r="R75" s="71">
        <f>(H75/30)/8</f>
        <v>179.16666666666666</v>
      </c>
      <c r="S75" s="71">
        <f>Q75*R75</f>
        <v>4837.5</v>
      </c>
      <c r="T75" s="73">
        <f>I75+J75+K75+L75+M75+O75+S75</f>
        <v>56027.5</v>
      </c>
      <c r="U75" s="73">
        <v>200</v>
      </c>
      <c r="V75" s="73">
        <f>H75*12%</f>
        <v>5160</v>
      </c>
      <c r="W75" s="73">
        <v>0</v>
      </c>
      <c r="X75" s="73">
        <f>SUM(U75:W75)</f>
        <v>5360</v>
      </c>
      <c r="Y75" s="73">
        <f>T75-X75</f>
        <v>50667.5</v>
      </c>
    </row>
    <row r="76" spans="1:25" x14ac:dyDescent="0.3">
      <c r="A76" s="65" t="s">
        <v>1018</v>
      </c>
      <c r="B76" s="66" t="s">
        <v>1017</v>
      </c>
      <c r="C76" s="66" t="s">
        <v>207</v>
      </c>
      <c r="D76" s="67">
        <v>43</v>
      </c>
      <c r="E76" s="68">
        <v>43833</v>
      </c>
      <c r="F76" s="69" t="s">
        <v>206</v>
      </c>
      <c r="G76" s="69" t="str">
        <f>B76&amp;"@gmail.com"</f>
        <v>Name 75@gmail.com</v>
      </c>
      <c r="H76" s="70">
        <v>25000</v>
      </c>
      <c r="I76" s="71">
        <f>H76*18%</f>
        <v>4500</v>
      </c>
      <c r="J76" s="71">
        <f>H76*5%</f>
        <v>1250</v>
      </c>
      <c r="K76" s="71">
        <v>1000</v>
      </c>
      <c r="L76" s="71">
        <v>0</v>
      </c>
      <c r="M76" s="71">
        <v>1600</v>
      </c>
      <c r="N76" s="71">
        <v>30</v>
      </c>
      <c r="O76" s="71">
        <f>(H76/30)*N76</f>
        <v>25000</v>
      </c>
      <c r="P76" s="72">
        <v>0</v>
      </c>
      <c r="Q76" s="72">
        <f>N76*P76</f>
        <v>0</v>
      </c>
      <c r="R76" s="71">
        <f>(H76/30)/8</f>
        <v>104.16666666666667</v>
      </c>
      <c r="S76" s="71">
        <f>Q76*R76</f>
        <v>0</v>
      </c>
      <c r="T76" s="73">
        <f>I76+J76+K76+L76+M76+O76+S76</f>
        <v>33350</v>
      </c>
      <c r="U76" s="73">
        <v>200</v>
      </c>
      <c r="V76" s="73">
        <f>H76*12%</f>
        <v>3000</v>
      </c>
      <c r="W76" s="73">
        <v>0</v>
      </c>
      <c r="X76" s="73">
        <f>SUM(U76:W76)</f>
        <v>3200</v>
      </c>
      <c r="Y76" s="73">
        <f>T76-X76</f>
        <v>30150</v>
      </c>
    </row>
    <row r="77" spans="1:25" x14ac:dyDescent="0.3">
      <c r="A77" s="65" t="s">
        <v>1016</v>
      </c>
      <c r="B77" s="66" t="s">
        <v>1015</v>
      </c>
      <c r="C77" s="66" t="s">
        <v>214</v>
      </c>
      <c r="D77" s="67">
        <v>34</v>
      </c>
      <c r="E77" s="68">
        <v>43834</v>
      </c>
      <c r="F77" s="69" t="s">
        <v>206</v>
      </c>
      <c r="G77" s="69" t="str">
        <f>B77&amp;"@gmail.com"</f>
        <v>Name 76@gmail.com</v>
      </c>
      <c r="H77" s="70">
        <v>28000</v>
      </c>
      <c r="I77" s="71">
        <f>H77*18%</f>
        <v>5040</v>
      </c>
      <c r="J77" s="71">
        <f>H77*5%</f>
        <v>1400</v>
      </c>
      <c r="K77" s="71">
        <v>1000</v>
      </c>
      <c r="L77" s="71">
        <v>0</v>
      </c>
      <c r="M77" s="71">
        <v>1600</v>
      </c>
      <c r="N77" s="71">
        <v>20</v>
      </c>
      <c r="O77" s="71">
        <f>(H77/30)*N77</f>
        <v>18666.666666666668</v>
      </c>
      <c r="P77" s="72">
        <v>0</v>
      </c>
      <c r="Q77" s="72">
        <f>N77*P77</f>
        <v>0</v>
      </c>
      <c r="R77" s="71">
        <f>(H77/30)/8</f>
        <v>116.66666666666667</v>
      </c>
      <c r="S77" s="71">
        <f>Q77*R77</f>
        <v>0</v>
      </c>
      <c r="T77" s="73">
        <f>I77+J77+K77+L77+M77+O77+S77</f>
        <v>27706.666666666668</v>
      </c>
      <c r="U77" s="73">
        <v>200</v>
      </c>
      <c r="V77" s="73">
        <f>H77*12%</f>
        <v>3360</v>
      </c>
      <c r="W77" s="73">
        <v>0</v>
      </c>
      <c r="X77" s="73">
        <f>SUM(U77:W77)</f>
        <v>3560</v>
      </c>
      <c r="Y77" s="73">
        <f>T77-X77</f>
        <v>24146.666666666668</v>
      </c>
    </row>
    <row r="78" spans="1:25" x14ac:dyDescent="0.3">
      <c r="A78" s="65" t="s">
        <v>1014</v>
      </c>
      <c r="B78" s="66" t="s">
        <v>1013</v>
      </c>
      <c r="C78" s="66" t="s">
        <v>210</v>
      </c>
      <c r="D78" s="67">
        <v>43</v>
      </c>
      <c r="E78" s="68">
        <v>43835</v>
      </c>
      <c r="F78" s="69" t="s">
        <v>206</v>
      </c>
      <c r="G78" s="69" t="str">
        <f>B78&amp;"@gmail.com"</f>
        <v>Name 77@gmail.com</v>
      </c>
      <c r="H78" s="70">
        <v>40000</v>
      </c>
      <c r="I78" s="71">
        <f>H78*18%</f>
        <v>7200</v>
      </c>
      <c r="J78" s="71">
        <f>H78*5%</f>
        <v>2000</v>
      </c>
      <c r="K78" s="71">
        <v>1000</v>
      </c>
      <c r="L78" s="71">
        <v>0</v>
      </c>
      <c r="M78" s="71">
        <v>1600</v>
      </c>
      <c r="N78" s="71">
        <v>28</v>
      </c>
      <c r="O78" s="71">
        <f>(H78/30)*N78</f>
        <v>37333.333333333328</v>
      </c>
      <c r="P78" s="72">
        <v>2</v>
      </c>
      <c r="Q78" s="72">
        <f>N78*P78</f>
        <v>56</v>
      </c>
      <c r="R78" s="71">
        <f>(H78/30)/8</f>
        <v>166.66666666666666</v>
      </c>
      <c r="S78" s="71">
        <f>Q78*R78</f>
        <v>9333.3333333333321</v>
      </c>
      <c r="T78" s="73">
        <f>I78+J78+K78+L78+M78+O78+S78</f>
        <v>58466.666666666657</v>
      </c>
      <c r="U78" s="73">
        <v>200</v>
      </c>
      <c r="V78" s="73">
        <f>H78*12%</f>
        <v>4800</v>
      </c>
      <c r="W78" s="73">
        <v>0</v>
      </c>
      <c r="X78" s="73">
        <f>SUM(U78:W78)</f>
        <v>5000</v>
      </c>
      <c r="Y78" s="73">
        <f>T78-X78</f>
        <v>53466.666666666657</v>
      </c>
    </row>
    <row r="79" spans="1:25" x14ac:dyDescent="0.3">
      <c r="A79" s="65" t="s">
        <v>1012</v>
      </c>
      <c r="B79" s="66" t="s">
        <v>1011</v>
      </c>
      <c r="C79" s="66" t="s">
        <v>210</v>
      </c>
      <c r="D79" s="67">
        <v>23</v>
      </c>
      <c r="E79" s="68">
        <v>43836</v>
      </c>
      <c r="F79" s="69" t="s">
        <v>206</v>
      </c>
      <c r="G79" s="69" t="str">
        <f>B79&amp;"@gmail.com"</f>
        <v>Name 78@gmail.com</v>
      </c>
      <c r="H79" s="70">
        <v>32000</v>
      </c>
      <c r="I79" s="71">
        <f>H79*18%</f>
        <v>5760</v>
      </c>
      <c r="J79" s="71">
        <f>H79*5%</f>
        <v>1600</v>
      </c>
      <c r="K79" s="71">
        <v>1000</v>
      </c>
      <c r="L79" s="71">
        <v>0</v>
      </c>
      <c r="M79" s="71">
        <v>1600</v>
      </c>
      <c r="N79" s="71">
        <v>30</v>
      </c>
      <c r="O79" s="71">
        <f>(H79/30)*N79</f>
        <v>32000.000000000004</v>
      </c>
      <c r="P79" s="72">
        <v>1</v>
      </c>
      <c r="Q79" s="72">
        <f>N79*P79</f>
        <v>30</v>
      </c>
      <c r="R79" s="71">
        <f>(H79/30)/8</f>
        <v>133.33333333333334</v>
      </c>
      <c r="S79" s="71">
        <f>Q79*R79</f>
        <v>4000.0000000000005</v>
      </c>
      <c r="T79" s="73">
        <f>I79+J79+K79+L79+M79+O79+S79</f>
        <v>45960</v>
      </c>
      <c r="U79" s="73">
        <v>200</v>
      </c>
      <c r="V79" s="73">
        <f>H79*12%</f>
        <v>3840</v>
      </c>
      <c r="W79" s="73">
        <v>5000</v>
      </c>
      <c r="X79" s="73">
        <f>SUM(U79:W79)</f>
        <v>9040</v>
      </c>
      <c r="Y79" s="73">
        <f>T79-X79</f>
        <v>36920</v>
      </c>
    </row>
    <row r="80" spans="1:25" x14ac:dyDescent="0.3">
      <c r="A80" s="65" t="s">
        <v>1010</v>
      </c>
      <c r="B80" s="66" t="s">
        <v>1009</v>
      </c>
      <c r="C80" s="66" t="s">
        <v>207</v>
      </c>
      <c r="D80" s="67">
        <v>34</v>
      </c>
      <c r="E80" s="68">
        <v>43837</v>
      </c>
      <c r="F80" s="69" t="s">
        <v>206</v>
      </c>
      <c r="G80" s="69" t="str">
        <f>B80&amp;"@gmail.com"</f>
        <v>Name 79@gmail.com</v>
      </c>
      <c r="H80" s="70">
        <v>28000</v>
      </c>
      <c r="I80" s="71">
        <f>H80*18%</f>
        <v>5040</v>
      </c>
      <c r="J80" s="71">
        <f>H80*5%</f>
        <v>1400</v>
      </c>
      <c r="K80" s="71">
        <v>1000</v>
      </c>
      <c r="L80" s="71">
        <v>0</v>
      </c>
      <c r="M80" s="71">
        <v>1600</v>
      </c>
      <c r="N80" s="71">
        <v>29</v>
      </c>
      <c r="O80" s="71">
        <f>(H80/30)*N80</f>
        <v>27066.666666666668</v>
      </c>
      <c r="P80" s="72">
        <v>1</v>
      </c>
      <c r="Q80" s="72">
        <f>N80*P80</f>
        <v>29</v>
      </c>
      <c r="R80" s="71">
        <f>(H80/30)/8</f>
        <v>116.66666666666667</v>
      </c>
      <c r="S80" s="71">
        <f>Q80*R80</f>
        <v>3383.3333333333335</v>
      </c>
      <c r="T80" s="73">
        <f>I80+J80+K80+L80+M80+O80+S80</f>
        <v>39490.000000000007</v>
      </c>
      <c r="U80" s="73">
        <v>200</v>
      </c>
      <c r="V80" s="73">
        <f>H80*12%</f>
        <v>3360</v>
      </c>
      <c r="W80" s="73">
        <v>0</v>
      </c>
      <c r="X80" s="73">
        <f>SUM(U80:W80)</f>
        <v>3560</v>
      </c>
      <c r="Y80" s="73">
        <f>T80-X80</f>
        <v>35930.000000000007</v>
      </c>
    </row>
    <row r="81" spans="1:25" x14ac:dyDescent="0.3">
      <c r="A81" s="65" t="s">
        <v>1008</v>
      </c>
      <c r="B81" s="66" t="s">
        <v>1007</v>
      </c>
      <c r="C81" s="66" t="s">
        <v>214</v>
      </c>
      <c r="D81" s="67">
        <v>23</v>
      </c>
      <c r="E81" s="68">
        <v>43838</v>
      </c>
      <c r="F81" s="69" t="s">
        <v>213</v>
      </c>
      <c r="G81" s="69" t="str">
        <f>B81&amp;"@gmail.com"</f>
        <v>Name 80@gmail.com</v>
      </c>
      <c r="H81" s="70">
        <v>44000</v>
      </c>
      <c r="I81" s="71">
        <f>H81*18%</f>
        <v>7920</v>
      </c>
      <c r="J81" s="71">
        <f>H81*5%</f>
        <v>2200</v>
      </c>
      <c r="K81" s="71">
        <v>1000</v>
      </c>
      <c r="L81" s="71">
        <v>0</v>
      </c>
      <c r="M81" s="71">
        <v>1600</v>
      </c>
      <c r="N81" s="71">
        <v>28</v>
      </c>
      <c r="O81" s="71">
        <f>(H81/30)*N81</f>
        <v>41066.666666666672</v>
      </c>
      <c r="P81" s="72">
        <v>1</v>
      </c>
      <c r="Q81" s="72">
        <f>N81*P81</f>
        <v>28</v>
      </c>
      <c r="R81" s="71">
        <f>(H81/30)/8</f>
        <v>183.33333333333334</v>
      </c>
      <c r="S81" s="71">
        <f>Q81*R81</f>
        <v>5133.3333333333339</v>
      </c>
      <c r="T81" s="73">
        <f>I81+J81+K81+L81+M81+O81+S81</f>
        <v>58920.000000000007</v>
      </c>
      <c r="U81" s="73">
        <v>200</v>
      </c>
      <c r="V81" s="73">
        <f>H81*12%</f>
        <v>5280</v>
      </c>
      <c r="W81" s="73">
        <v>0</v>
      </c>
      <c r="X81" s="73">
        <f>SUM(U81:W81)</f>
        <v>5480</v>
      </c>
      <c r="Y81" s="73">
        <f>T81-X81</f>
        <v>53440.000000000007</v>
      </c>
    </row>
    <row r="82" spans="1:25" x14ac:dyDescent="0.3">
      <c r="A82" s="65" t="s">
        <v>1006</v>
      </c>
      <c r="B82" s="66" t="s">
        <v>1005</v>
      </c>
      <c r="C82" s="66" t="s">
        <v>210</v>
      </c>
      <c r="D82" s="67">
        <v>34</v>
      </c>
      <c r="E82" s="68">
        <v>43839</v>
      </c>
      <c r="F82" s="69" t="s">
        <v>206</v>
      </c>
      <c r="G82" s="69" t="str">
        <f>B82&amp;"@gmail.com"</f>
        <v>Name 81@gmail.com</v>
      </c>
      <c r="H82" s="70">
        <v>25000</v>
      </c>
      <c r="I82" s="71">
        <f>H82*18%</f>
        <v>4500</v>
      </c>
      <c r="J82" s="71">
        <f>H82*5%</f>
        <v>1250</v>
      </c>
      <c r="K82" s="71">
        <v>1000</v>
      </c>
      <c r="L82" s="71">
        <v>0</v>
      </c>
      <c r="M82" s="71">
        <v>1600</v>
      </c>
      <c r="N82" s="71">
        <v>27</v>
      </c>
      <c r="O82" s="71">
        <f>(H82/30)*N82</f>
        <v>22500</v>
      </c>
      <c r="P82" s="72">
        <v>1</v>
      </c>
      <c r="Q82" s="72">
        <f>N82*P82</f>
        <v>27</v>
      </c>
      <c r="R82" s="71">
        <f>(H82/30)/8</f>
        <v>104.16666666666667</v>
      </c>
      <c r="S82" s="71">
        <f>Q82*R82</f>
        <v>2812.5</v>
      </c>
      <c r="T82" s="73">
        <f>I82+J82+K82+L82+M82+O82+S82</f>
        <v>33662.5</v>
      </c>
      <c r="U82" s="73">
        <v>200</v>
      </c>
      <c r="V82" s="73">
        <f>H82*12%</f>
        <v>3000</v>
      </c>
      <c r="W82" s="73">
        <v>0</v>
      </c>
      <c r="X82" s="73">
        <f>SUM(U82:W82)</f>
        <v>3200</v>
      </c>
      <c r="Y82" s="73">
        <f>T82-X82</f>
        <v>30462.5</v>
      </c>
    </row>
    <row r="83" spans="1:25" x14ac:dyDescent="0.3">
      <c r="A83" s="65" t="s">
        <v>1004</v>
      </c>
      <c r="B83" s="66" t="s">
        <v>1003</v>
      </c>
      <c r="C83" s="66" t="s">
        <v>214</v>
      </c>
      <c r="D83" s="67">
        <v>23</v>
      </c>
      <c r="E83" s="68">
        <v>43840</v>
      </c>
      <c r="F83" s="69" t="s">
        <v>206</v>
      </c>
      <c r="G83" s="69" t="str">
        <f>B83&amp;"@gmail.com"</f>
        <v>Name 82@gmail.com</v>
      </c>
      <c r="H83" s="70">
        <v>50000</v>
      </c>
      <c r="I83" s="71">
        <f>H83*18%</f>
        <v>9000</v>
      </c>
      <c r="J83" s="71">
        <f>H83*5%</f>
        <v>2500</v>
      </c>
      <c r="K83" s="71">
        <v>1000</v>
      </c>
      <c r="L83" s="71">
        <v>0</v>
      </c>
      <c r="M83" s="71">
        <v>1600</v>
      </c>
      <c r="N83" s="71">
        <v>27</v>
      </c>
      <c r="O83" s="71">
        <f>(H83/30)*N83</f>
        <v>45000</v>
      </c>
      <c r="P83" s="72">
        <v>3</v>
      </c>
      <c r="Q83" s="72">
        <f>N83*P83</f>
        <v>81</v>
      </c>
      <c r="R83" s="71">
        <f>(H83/30)/8</f>
        <v>208.33333333333334</v>
      </c>
      <c r="S83" s="71">
        <f>Q83*R83</f>
        <v>16875</v>
      </c>
      <c r="T83" s="73">
        <f>I83+J83+K83+L83+M83+O83+S83</f>
        <v>75975</v>
      </c>
      <c r="U83" s="73">
        <v>201</v>
      </c>
      <c r="V83" s="73">
        <f>H83*12%</f>
        <v>6000</v>
      </c>
      <c r="W83" s="73">
        <v>0</v>
      </c>
      <c r="X83" s="73">
        <f>SUM(U83:W83)</f>
        <v>6201</v>
      </c>
      <c r="Y83" s="73">
        <f>T83-X83</f>
        <v>69774</v>
      </c>
    </row>
    <row r="84" spans="1:25" x14ac:dyDescent="0.3">
      <c r="A84" s="65" t="s">
        <v>1002</v>
      </c>
      <c r="B84" s="66" t="s">
        <v>1001</v>
      </c>
      <c r="C84" s="66" t="s">
        <v>214</v>
      </c>
      <c r="D84" s="67">
        <v>34</v>
      </c>
      <c r="E84" s="68">
        <v>43841</v>
      </c>
      <c r="F84" s="69" t="s">
        <v>213</v>
      </c>
      <c r="G84" s="69" t="str">
        <f>B84&amp;"@gmail.com"</f>
        <v>Name 83@gmail.com</v>
      </c>
      <c r="H84" s="70">
        <v>70000</v>
      </c>
      <c r="I84" s="71">
        <f>H84*18%</f>
        <v>12600</v>
      </c>
      <c r="J84" s="71">
        <f>H84*5%</f>
        <v>3500</v>
      </c>
      <c r="K84" s="71">
        <v>1000</v>
      </c>
      <c r="L84" s="71">
        <v>0</v>
      </c>
      <c r="M84" s="71">
        <v>1600</v>
      </c>
      <c r="N84" s="71">
        <v>27</v>
      </c>
      <c r="O84" s="71">
        <f>(H84/30)*N84</f>
        <v>63000.000000000007</v>
      </c>
      <c r="P84" s="72">
        <v>1</v>
      </c>
      <c r="Q84" s="72">
        <f>N84*P84</f>
        <v>27</v>
      </c>
      <c r="R84" s="71">
        <f>(H84/30)/8</f>
        <v>291.66666666666669</v>
      </c>
      <c r="S84" s="71">
        <f>Q84*R84</f>
        <v>7875.0000000000009</v>
      </c>
      <c r="T84" s="73">
        <f>I84+J84+K84+L84+M84+O84+S84</f>
        <v>89575</v>
      </c>
      <c r="U84" s="73">
        <v>202</v>
      </c>
      <c r="V84" s="73">
        <f>H84*12%</f>
        <v>8400</v>
      </c>
      <c r="W84" s="73">
        <v>0</v>
      </c>
      <c r="X84" s="73">
        <f>SUM(U84:W84)</f>
        <v>8602</v>
      </c>
      <c r="Y84" s="73">
        <f>T84-X84</f>
        <v>80973</v>
      </c>
    </row>
    <row r="85" spans="1:25" x14ac:dyDescent="0.3">
      <c r="A85" s="65" t="s">
        <v>1000</v>
      </c>
      <c r="B85" s="66" t="s">
        <v>999</v>
      </c>
      <c r="C85" s="66" t="s">
        <v>214</v>
      </c>
      <c r="D85" s="67">
        <v>45</v>
      </c>
      <c r="E85" s="68">
        <v>43842</v>
      </c>
      <c r="F85" s="69" t="s">
        <v>213</v>
      </c>
      <c r="G85" s="69" t="str">
        <f>B85&amp;"@gmail.com"</f>
        <v>Name 84@gmail.com</v>
      </c>
      <c r="H85" s="70">
        <v>34000</v>
      </c>
      <c r="I85" s="71">
        <f>H85*18%</f>
        <v>6120</v>
      </c>
      <c r="J85" s="71">
        <f>H85*5%</f>
        <v>1700</v>
      </c>
      <c r="K85" s="71">
        <v>1000</v>
      </c>
      <c r="L85" s="71">
        <v>2000</v>
      </c>
      <c r="M85" s="71">
        <v>1600</v>
      </c>
      <c r="N85" s="71">
        <v>30</v>
      </c>
      <c r="O85" s="71">
        <f>(H85/30)*N85</f>
        <v>34000</v>
      </c>
      <c r="P85" s="72">
        <v>2</v>
      </c>
      <c r="Q85" s="72">
        <f>N85*P85</f>
        <v>60</v>
      </c>
      <c r="R85" s="71">
        <f>(H85/30)/8</f>
        <v>141.66666666666666</v>
      </c>
      <c r="S85" s="71">
        <f>Q85*R85</f>
        <v>8500</v>
      </c>
      <c r="T85" s="73">
        <f>I85+J85+K85+L85+M85+O85+S85</f>
        <v>54920</v>
      </c>
      <c r="U85" s="73">
        <v>203</v>
      </c>
      <c r="V85" s="73">
        <f>H85*12%</f>
        <v>4080</v>
      </c>
      <c r="W85" s="73">
        <v>0</v>
      </c>
      <c r="X85" s="73">
        <f>SUM(U85:W85)</f>
        <v>4283</v>
      </c>
      <c r="Y85" s="73">
        <f>T85-X85</f>
        <v>50637</v>
      </c>
    </row>
    <row r="86" spans="1:25" x14ac:dyDescent="0.3">
      <c r="A86" s="65" t="s">
        <v>998</v>
      </c>
      <c r="B86" s="66" t="s">
        <v>997</v>
      </c>
      <c r="C86" s="66" t="s">
        <v>214</v>
      </c>
      <c r="D86" s="67">
        <v>54</v>
      </c>
      <c r="E86" s="68">
        <v>43843</v>
      </c>
      <c r="F86" s="69" t="s">
        <v>213</v>
      </c>
      <c r="G86" s="69" t="str">
        <f>B86&amp;"@gmail.com"</f>
        <v>Name 85@gmail.com</v>
      </c>
      <c r="H86" s="70">
        <v>45000</v>
      </c>
      <c r="I86" s="71">
        <f>H86*18%</f>
        <v>8100</v>
      </c>
      <c r="J86" s="71">
        <f>H86*5%</f>
        <v>2250</v>
      </c>
      <c r="K86" s="71">
        <v>1000</v>
      </c>
      <c r="L86" s="71">
        <v>2000</v>
      </c>
      <c r="M86" s="71">
        <v>1600</v>
      </c>
      <c r="N86" s="71">
        <v>30</v>
      </c>
      <c r="O86" s="71">
        <f>(H86/30)*N86</f>
        <v>45000</v>
      </c>
      <c r="P86" s="72">
        <v>0</v>
      </c>
      <c r="Q86" s="72">
        <f>N86*P86</f>
        <v>0</v>
      </c>
      <c r="R86" s="71">
        <f>(H86/30)/8</f>
        <v>187.5</v>
      </c>
      <c r="S86" s="71">
        <f>Q86*R86</f>
        <v>0</v>
      </c>
      <c r="T86" s="73">
        <f>I86+J86+K86+L86+M86+O86+S86</f>
        <v>59950</v>
      </c>
      <c r="U86" s="73">
        <v>204</v>
      </c>
      <c r="V86" s="73">
        <f>H86*12%</f>
        <v>5400</v>
      </c>
      <c r="W86" s="73">
        <v>4000</v>
      </c>
      <c r="X86" s="73">
        <f>SUM(U86:W86)</f>
        <v>9604</v>
      </c>
      <c r="Y86" s="73">
        <f>T86-X86</f>
        <v>50346</v>
      </c>
    </row>
    <row r="87" spans="1:25" x14ac:dyDescent="0.3">
      <c r="A87" s="65" t="s">
        <v>996</v>
      </c>
      <c r="B87" s="66" t="s">
        <v>995</v>
      </c>
      <c r="C87" s="66" t="s">
        <v>214</v>
      </c>
      <c r="D87" s="67">
        <v>56</v>
      </c>
      <c r="E87" s="68">
        <v>43844</v>
      </c>
      <c r="F87" s="69" t="s">
        <v>213</v>
      </c>
      <c r="G87" s="69" t="str">
        <f>B87&amp;"@gmail.com"</f>
        <v>Name 86@gmail.com</v>
      </c>
      <c r="H87" s="70">
        <v>55000</v>
      </c>
      <c r="I87" s="71">
        <f>H87*18%</f>
        <v>9900</v>
      </c>
      <c r="J87" s="71">
        <f>H87*5%</f>
        <v>2750</v>
      </c>
      <c r="K87" s="71">
        <v>1000</v>
      </c>
      <c r="L87" s="71">
        <v>2000</v>
      </c>
      <c r="M87" s="71">
        <v>1600</v>
      </c>
      <c r="N87" s="71">
        <v>30</v>
      </c>
      <c r="O87" s="71">
        <f>(H87/30)*N87</f>
        <v>55000</v>
      </c>
      <c r="P87" s="72">
        <v>1</v>
      </c>
      <c r="Q87" s="72">
        <f>N87*P87</f>
        <v>30</v>
      </c>
      <c r="R87" s="71">
        <f>(H87/30)/8</f>
        <v>229.16666666666666</v>
      </c>
      <c r="S87" s="71">
        <f>Q87*R87</f>
        <v>6875</v>
      </c>
      <c r="T87" s="73">
        <f>I87+J87+K87+L87+M87+O87+S87</f>
        <v>79125</v>
      </c>
      <c r="U87" s="73">
        <v>205</v>
      </c>
      <c r="V87" s="73">
        <f>H87*12%</f>
        <v>6600</v>
      </c>
      <c r="W87" s="73">
        <v>0</v>
      </c>
      <c r="X87" s="73">
        <f>SUM(U87:W87)</f>
        <v>6805</v>
      </c>
      <c r="Y87" s="73">
        <f>T87-X87</f>
        <v>72320</v>
      </c>
    </row>
    <row r="88" spans="1:25" x14ac:dyDescent="0.3">
      <c r="A88" s="65" t="s">
        <v>994</v>
      </c>
      <c r="B88" s="66" t="s">
        <v>993</v>
      </c>
      <c r="C88" s="66" t="s">
        <v>210</v>
      </c>
      <c r="D88" s="67">
        <v>54</v>
      </c>
      <c r="E88" s="68">
        <v>43845</v>
      </c>
      <c r="F88" s="69" t="s">
        <v>206</v>
      </c>
      <c r="G88" s="69" t="str">
        <f>B88&amp;"@gmail.com"</f>
        <v>Name 87@gmail.com</v>
      </c>
      <c r="H88" s="70">
        <v>43000</v>
      </c>
      <c r="I88" s="71">
        <f>H88*18%</f>
        <v>7740</v>
      </c>
      <c r="J88" s="71">
        <f>H88*5%</f>
        <v>2150</v>
      </c>
      <c r="K88" s="71">
        <v>1000</v>
      </c>
      <c r="L88" s="71">
        <v>2000</v>
      </c>
      <c r="M88" s="71">
        <v>1600</v>
      </c>
      <c r="N88" s="71">
        <v>27</v>
      </c>
      <c r="O88" s="71">
        <f>(H88/30)*N88</f>
        <v>38700</v>
      </c>
      <c r="P88" s="72">
        <v>1</v>
      </c>
      <c r="Q88" s="72">
        <f>N88*P88</f>
        <v>27</v>
      </c>
      <c r="R88" s="71">
        <f>(H88/30)/8</f>
        <v>179.16666666666666</v>
      </c>
      <c r="S88" s="71">
        <f>Q88*R88</f>
        <v>4837.5</v>
      </c>
      <c r="T88" s="73">
        <f>I88+J88+K88+L88+M88+O88+S88</f>
        <v>58027.5</v>
      </c>
      <c r="U88" s="73">
        <v>200</v>
      </c>
      <c r="V88" s="73">
        <f>H88*12%</f>
        <v>5160</v>
      </c>
      <c r="W88" s="73">
        <v>0</v>
      </c>
      <c r="X88" s="73">
        <f>SUM(U88:W88)</f>
        <v>5360</v>
      </c>
      <c r="Y88" s="73">
        <f>T88-X88</f>
        <v>52667.5</v>
      </c>
    </row>
    <row r="89" spans="1:25" x14ac:dyDescent="0.3">
      <c r="A89" s="65" t="s">
        <v>992</v>
      </c>
      <c r="B89" s="66" t="s">
        <v>991</v>
      </c>
      <c r="C89" s="66" t="s">
        <v>207</v>
      </c>
      <c r="D89" s="67">
        <v>34</v>
      </c>
      <c r="E89" s="68">
        <v>43846</v>
      </c>
      <c r="F89" s="69" t="s">
        <v>206</v>
      </c>
      <c r="G89" s="69" t="str">
        <f>B89&amp;"@gmail.com"</f>
        <v>Name 88@gmail.com</v>
      </c>
      <c r="H89" s="70">
        <v>25000</v>
      </c>
      <c r="I89" s="71">
        <f>H89*18%</f>
        <v>4500</v>
      </c>
      <c r="J89" s="71">
        <f>H89*5%</f>
        <v>1250</v>
      </c>
      <c r="K89" s="71">
        <v>1000</v>
      </c>
      <c r="L89" s="71">
        <v>2000</v>
      </c>
      <c r="M89" s="71">
        <v>1600</v>
      </c>
      <c r="N89" s="71">
        <v>30</v>
      </c>
      <c r="O89" s="71">
        <f>(H89/30)*N89</f>
        <v>25000</v>
      </c>
      <c r="P89" s="72">
        <v>0</v>
      </c>
      <c r="Q89" s="72">
        <f>N89*P89</f>
        <v>0</v>
      </c>
      <c r="R89" s="71">
        <f>(H89/30)/8</f>
        <v>104.16666666666667</v>
      </c>
      <c r="S89" s="71">
        <f>Q89*R89</f>
        <v>0</v>
      </c>
      <c r="T89" s="73">
        <f>I89+J89+K89+L89+M89+O89+S89</f>
        <v>35350</v>
      </c>
      <c r="U89" s="73">
        <v>200</v>
      </c>
      <c r="V89" s="73">
        <f>H89*12%</f>
        <v>3000</v>
      </c>
      <c r="W89" s="73">
        <v>0</v>
      </c>
      <c r="X89" s="73">
        <f>SUM(U89:W89)</f>
        <v>3200</v>
      </c>
      <c r="Y89" s="73">
        <f>T89-X89</f>
        <v>32150</v>
      </c>
    </row>
    <row r="90" spans="1:25" x14ac:dyDescent="0.3">
      <c r="A90" s="65" t="s">
        <v>990</v>
      </c>
      <c r="B90" s="66" t="s">
        <v>989</v>
      </c>
      <c r="C90" s="66" t="s">
        <v>214</v>
      </c>
      <c r="D90" s="67">
        <v>23</v>
      </c>
      <c r="E90" s="68">
        <v>43847</v>
      </c>
      <c r="F90" s="69" t="s">
        <v>206</v>
      </c>
      <c r="G90" s="69" t="str">
        <f>B90&amp;"@gmail.com"</f>
        <v>Name 89@gmail.com</v>
      </c>
      <c r="H90" s="70">
        <v>28000</v>
      </c>
      <c r="I90" s="71">
        <f>H90*18%</f>
        <v>5040</v>
      </c>
      <c r="J90" s="71">
        <f>H90*5%</f>
        <v>1400</v>
      </c>
      <c r="K90" s="71">
        <v>1000</v>
      </c>
      <c r="L90" s="71">
        <v>2000</v>
      </c>
      <c r="M90" s="71">
        <v>1600</v>
      </c>
      <c r="N90" s="71">
        <v>20</v>
      </c>
      <c r="O90" s="71">
        <f>(H90/30)*N90</f>
        <v>18666.666666666668</v>
      </c>
      <c r="P90" s="72">
        <v>0</v>
      </c>
      <c r="Q90" s="72">
        <f>N90*P90</f>
        <v>0</v>
      </c>
      <c r="R90" s="71">
        <f>(H90/30)/8</f>
        <v>116.66666666666667</v>
      </c>
      <c r="S90" s="71">
        <f>Q90*R90</f>
        <v>0</v>
      </c>
      <c r="T90" s="73">
        <f>I90+J90+K90+L90+M90+O90+S90</f>
        <v>29706.666666666668</v>
      </c>
      <c r="U90" s="73">
        <v>200</v>
      </c>
      <c r="V90" s="73">
        <f>H90*12%</f>
        <v>3360</v>
      </c>
      <c r="W90" s="73">
        <v>0</v>
      </c>
      <c r="X90" s="73">
        <f>SUM(U90:W90)</f>
        <v>3560</v>
      </c>
      <c r="Y90" s="73">
        <f>T90-X90</f>
        <v>26146.666666666668</v>
      </c>
    </row>
    <row r="91" spans="1:25" x14ac:dyDescent="0.3">
      <c r="A91" s="65" t="s">
        <v>988</v>
      </c>
      <c r="B91" s="66" t="s">
        <v>987</v>
      </c>
      <c r="C91" s="66" t="s">
        <v>210</v>
      </c>
      <c r="D91" s="67">
        <v>34</v>
      </c>
      <c r="E91" s="68">
        <v>43848</v>
      </c>
      <c r="F91" s="69" t="s">
        <v>206</v>
      </c>
      <c r="G91" s="69" t="str">
        <f>B91&amp;"@gmail.com"</f>
        <v>Name 90@gmail.com</v>
      </c>
      <c r="H91" s="70">
        <v>40000</v>
      </c>
      <c r="I91" s="71">
        <f>H91*18%</f>
        <v>7200</v>
      </c>
      <c r="J91" s="71">
        <f>H91*5%</f>
        <v>2000</v>
      </c>
      <c r="K91" s="71">
        <v>1000</v>
      </c>
      <c r="L91" s="71">
        <v>2000</v>
      </c>
      <c r="M91" s="71">
        <v>1600</v>
      </c>
      <c r="N91" s="71">
        <v>28</v>
      </c>
      <c r="O91" s="71">
        <f>(H91/30)*N91</f>
        <v>37333.333333333328</v>
      </c>
      <c r="P91" s="72">
        <v>2</v>
      </c>
      <c r="Q91" s="72">
        <f>N91*P91</f>
        <v>56</v>
      </c>
      <c r="R91" s="71">
        <f>(H91/30)/8</f>
        <v>166.66666666666666</v>
      </c>
      <c r="S91" s="71">
        <f>Q91*R91</f>
        <v>9333.3333333333321</v>
      </c>
      <c r="T91" s="73">
        <f>I91+J91+K91+L91+M91+O91+S91</f>
        <v>60466.666666666657</v>
      </c>
      <c r="U91" s="73">
        <v>200</v>
      </c>
      <c r="V91" s="73">
        <f>H91*12%</f>
        <v>4800</v>
      </c>
      <c r="W91" s="73">
        <v>0</v>
      </c>
      <c r="X91" s="73">
        <f>SUM(U91:W91)</f>
        <v>5000</v>
      </c>
      <c r="Y91" s="73">
        <f>T91-X91</f>
        <v>55466.666666666657</v>
      </c>
    </row>
    <row r="92" spans="1:25" x14ac:dyDescent="0.3">
      <c r="A92" s="65" t="s">
        <v>986</v>
      </c>
      <c r="B92" s="66" t="s">
        <v>985</v>
      </c>
      <c r="C92" s="66" t="s">
        <v>210</v>
      </c>
      <c r="D92" s="67">
        <v>43</v>
      </c>
      <c r="E92" s="68">
        <v>43849</v>
      </c>
      <c r="F92" s="69" t="s">
        <v>206</v>
      </c>
      <c r="G92" s="69" t="str">
        <f>B92&amp;"@gmail.com"</f>
        <v>Name 91@gmail.com</v>
      </c>
      <c r="H92" s="70">
        <v>32000</v>
      </c>
      <c r="I92" s="71">
        <f>H92*18%</f>
        <v>5760</v>
      </c>
      <c r="J92" s="71">
        <f>H92*5%</f>
        <v>1600</v>
      </c>
      <c r="K92" s="71">
        <v>1000</v>
      </c>
      <c r="L92" s="71">
        <v>2000</v>
      </c>
      <c r="M92" s="71">
        <v>1600</v>
      </c>
      <c r="N92" s="71">
        <v>30</v>
      </c>
      <c r="O92" s="71">
        <f>(H92/30)*N92</f>
        <v>32000.000000000004</v>
      </c>
      <c r="P92" s="72">
        <v>1</v>
      </c>
      <c r="Q92" s="72">
        <f>N92*P92</f>
        <v>30</v>
      </c>
      <c r="R92" s="71">
        <f>(H92/30)/8</f>
        <v>133.33333333333334</v>
      </c>
      <c r="S92" s="71">
        <f>Q92*R92</f>
        <v>4000.0000000000005</v>
      </c>
      <c r="T92" s="73">
        <f>I92+J92+K92+L92+M92+O92+S92</f>
        <v>47960</v>
      </c>
      <c r="U92" s="73">
        <v>200</v>
      </c>
      <c r="V92" s="73">
        <f>H92*12%</f>
        <v>3840</v>
      </c>
      <c r="W92" s="73">
        <v>5000</v>
      </c>
      <c r="X92" s="73">
        <f>SUM(U92:W92)</f>
        <v>9040</v>
      </c>
      <c r="Y92" s="73">
        <f>T92-X92</f>
        <v>38920</v>
      </c>
    </row>
    <row r="93" spans="1:25" x14ac:dyDescent="0.3">
      <c r="A93" s="65" t="s">
        <v>984</v>
      </c>
      <c r="B93" s="66" t="s">
        <v>983</v>
      </c>
      <c r="C93" s="66" t="s">
        <v>207</v>
      </c>
      <c r="D93" s="67">
        <v>34</v>
      </c>
      <c r="E93" s="68">
        <v>43850</v>
      </c>
      <c r="F93" s="69" t="s">
        <v>206</v>
      </c>
      <c r="G93" s="69" t="str">
        <f>B93&amp;"@gmail.com"</f>
        <v>Name 92@gmail.com</v>
      </c>
      <c r="H93" s="70">
        <v>28000</v>
      </c>
      <c r="I93" s="71">
        <f>H93*18%</f>
        <v>5040</v>
      </c>
      <c r="J93" s="71">
        <f>H93*5%</f>
        <v>1400</v>
      </c>
      <c r="K93" s="71">
        <v>1000</v>
      </c>
      <c r="L93" s="71">
        <v>2000</v>
      </c>
      <c r="M93" s="71">
        <v>1600</v>
      </c>
      <c r="N93" s="71">
        <v>29</v>
      </c>
      <c r="O93" s="71">
        <f>(H93/30)*N93</f>
        <v>27066.666666666668</v>
      </c>
      <c r="P93" s="72">
        <v>1</v>
      </c>
      <c r="Q93" s="72">
        <f>N93*P93</f>
        <v>29</v>
      </c>
      <c r="R93" s="71">
        <f>(H93/30)/8</f>
        <v>116.66666666666667</v>
      </c>
      <c r="S93" s="71">
        <f>Q93*R93</f>
        <v>3383.3333333333335</v>
      </c>
      <c r="T93" s="73">
        <f>I93+J93+K93+L93+M93+O93+S93</f>
        <v>41490.000000000007</v>
      </c>
      <c r="U93" s="73">
        <v>200</v>
      </c>
      <c r="V93" s="73">
        <f>H93*12%</f>
        <v>3360</v>
      </c>
      <c r="W93" s="73">
        <v>0</v>
      </c>
      <c r="X93" s="73">
        <f>SUM(U93:W93)</f>
        <v>3560</v>
      </c>
      <c r="Y93" s="73">
        <f>T93-X93</f>
        <v>37930.000000000007</v>
      </c>
    </row>
    <row r="94" spans="1:25" x14ac:dyDescent="0.3">
      <c r="A94" s="65" t="s">
        <v>982</v>
      </c>
      <c r="B94" s="66" t="s">
        <v>981</v>
      </c>
      <c r="C94" s="66" t="s">
        <v>214</v>
      </c>
      <c r="D94" s="67">
        <v>43</v>
      </c>
      <c r="E94" s="68">
        <v>43851</v>
      </c>
      <c r="F94" s="69" t="s">
        <v>213</v>
      </c>
      <c r="G94" s="69" t="str">
        <f>B94&amp;"@gmail.com"</f>
        <v>Name 93@gmail.com</v>
      </c>
      <c r="H94" s="70">
        <v>44000</v>
      </c>
      <c r="I94" s="71">
        <f>H94*18%</f>
        <v>7920</v>
      </c>
      <c r="J94" s="71">
        <f>H94*5%</f>
        <v>2200</v>
      </c>
      <c r="K94" s="71">
        <v>1000</v>
      </c>
      <c r="L94" s="71">
        <v>2000</v>
      </c>
      <c r="M94" s="71">
        <v>1600</v>
      </c>
      <c r="N94" s="71">
        <v>28</v>
      </c>
      <c r="O94" s="71">
        <f>(H94/30)*N94</f>
        <v>41066.666666666672</v>
      </c>
      <c r="P94" s="72">
        <v>1</v>
      </c>
      <c r="Q94" s="72">
        <f>N94*P94</f>
        <v>28</v>
      </c>
      <c r="R94" s="71">
        <f>(H94/30)/8</f>
        <v>183.33333333333334</v>
      </c>
      <c r="S94" s="71">
        <f>Q94*R94</f>
        <v>5133.3333333333339</v>
      </c>
      <c r="T94" s="73">
        <f>I94+J94+K94+L94+M94+O94+S94</f>
        <v>60920.000000000007</v>
      </c>
      <c r="U94" s="73">
        <v>200</v>
      </c>
      <c r="V94" s="73">
        <f>H94*12%</f>
        <v>5280</v>
      </c>
      <c r="W94" s="73">
        <v>0</v>
      </c>
      <c r="X94" s="73">
        <f>SUM(U94:W94)</f>
        <v>5480</v>
      </c>
      <c r="Y94" s="73">
        <f>T94-X94</f>
        <v>55440.000000000007</v>
      </c>
    </row>
    <row r="95" spans="1:25" x14ac:dyDescent="0.3">
      <c r="A95" s="65" t="s">
        <v>980</v>
      </c>
      <c r="B95" s="66" t="s">
        <v>979</v>
      </c>
      <c r="C95" s="66" t="s">
        <v>210</v>
      </c>
      <c r="D95" s="67">
        <v>23</v>
      </c>
      <c r="E95" s="68">
        <v>43852</v>
      </c>
      <c r="F95" s="69" t="s">
        <v>206</v>
      </c>
      <c r="G95" s="69" t="str">
        <f>B95&amp;"@gmail.com"</f>
        <v>Name 94@gmail.com</v>
      </c>
      <c r="H95" s="70">
        <v>25000</v>
      </c>
      <c r="I95" s="71">
        <f>H95*18%</f>
        <v>4500</v>
      </c>
      <c r="J95" s="71">
        <f>H95*5%</f>
        <v>1250</v>
      </c>
      <c r="K95" s="71">
        <v>1000</v>
      </c>
      <c r="L95" s="71">
        <v>0</v>
      </c>
      <c r="M95" s="71">
        <v>1600</v>
      </c>
      <c r="N95" s="71">
        <v>27</v>
      </c>
      <c r="O95" s="71">
        <f>(H95/30)*N95</f>
        <v>22500</v>
      </c>
      <c r="P95" s="72">
        <v>1</v>
      </c>
      <c r="Q95" s="72">
        <f>N95*P95</f>
        <v>27</v>
      </c>
      <c r="R95" s="71">
        <f>(H95/30)/8</f>
        <v>104.16666666666667</v>
      </c>
      <c r="S95" s="71">
        <f>Q95*R95</f>
        <v>2812.5</v>
      </c>
      <c r="T95" s="73">
        <f>I95+J95+K95+L95+M95+O95+S95</f>
        <v>33662.5</v>
      </c>
      <c r="U95" s="73">
        <v>200</v>
      </c>
      <c r="V95" s="73">
        <f>H95*12%</f>
        <v>3000</v>
      </c>
      <c r="W95" s="73">
        <v>0</v>
      </c>
      <c r="X95" s="73">
        <f>SUM(U95:W95)</f>
        <v>3200</v>
      </c>
      <c r="Y95" s="73">
        <f>T95-X95</f>
        <v>30462.5</v>
      </c>
    </row>
    <row r="96" spans="1:25" x14ac:dyDescent="0.3">
      <c r="A96" s="65" t="s">
        <v>978</v>
      </c>
      <c r="B96" s="66" t="s">
        <v>977</v>
      </c>
      <c r="C96" s="66" t="s">
        <v>214</v>
      </c>
      <c r="D96" s="67">
        <v>34</v>
      </c>
      <c r="E96" s="68">
        <v>43853</v>
      </c>
      <c r="F96" s="69" t="s">
        <v>206</v>
      </c>
      <c r="G96" s="69" t="str">
        <f>B96&amp;"@gmail.com"</f>
        <v>Name 95@gmail.com</v>
      </c>
      <c r="H96" s="70">
        <v>50000</v>
      </c>
      <c r="I96" s="71">
        <f>H96*18%</f>
        <v>9000</v>
      </c>
      <c r="J96" s="71">
        <f>H96*5%</f>
        <v>2500</v>
      </c>
      <c r="K96" s="71">
        <v>1000</v>
      </c>
      <c r="L96" s="71">
        <v>0</v>
      </c>
      <c r="M96" s="71">
        <v>1600</v>
      </c>
      <c r="N96" s="71">
        <v>27</v>
      </c>
      <c r="O96" s="71">
        <f>(H96/30)*N96</f>
        <v>45000</v>
      </c>
      <c r="P96" s="72">
        <v>3</v>
      </c>
      <c r="Q96" s="72">
        <f>N96*P96</f>
        <v>81</v>
      </c>
      <c r="R96" s="71">
        <f>(H96/30)/8</f>
        <v>208.33333333333334</v>
      </c>
      <c r="S96" s="71">
        <f>Q96*R96</f>
        <v>16875</v>
      </c>
      <c r="T96" s="73">
        <f>I96+J96+K96+L96+M96+O96+S96</f>
        <v>75975</v>
      </c>
      <c r="U96" s="73">
        <v>201</v>
      </c>
      <c r="V96" s="73">
        <f>H96*12%</f>
        <v>6000</v>
      </c>
      <c r="W96" s="73">
        <v>0</v>
      </c>
      <c r="X96" s="73">
        <f>SUM(U96:W96)</f>
        <v>6201</v>
      </c>
      <c r="Y96" s="73">
        <f>T96-X96</f>
        <v>69774</v>
      </c>
    </row>
    <row r="97" spans="1:25" x14ac:dyDescent="0.3">
      <c r="A97" s="65" t="s">
        <v>976</v>
      </c>
      <c r="B97" s="66" t="s">
        <v>975</v>
      </c>
      <c r="C97" s="66" t="s">
        <v>214</v>
      </c>
      <c r="D97" s="67">
        <v>23</v>
      </c>
      <c r="E97" s="68">
        <v>43854</v>
      </c>
      <c r="F97" s="69" t="s">
        <v>213</v>
      </c>
      <c r="G97" s="69" t="str">
        <f>B97&amp;"@gmail.com"</f>
        <v>Name 96@gmail.com</v>
      </c>
      <c r="H97" s="70">
        <v>70000</v>
      </c>
      <c r="I97" s="71">
        <f>H97*18%</f>
        <v>12600</v>
      </c>
      <c r="J97" s="71">
        <f>H97*5%</f>
        <v>3500</v>
      </c>
      <c r="K97" s="71">
        <v>1000</v>
      </c>
      <c r="L97" s="71">
        <v>0</v>
      </c>
      <c r="M97" s="71">
        <v>1600</v>
      </c>
      <c r="N97" s="71">
        <v>27</v>
      </c>
      <c r="O97" s="71">
        <f>(H97/30)*N97</f>
        <v>63000.000000000007</v>
      </c>
      <c r="P97" s="72">
        <v>1</v>
      </c>
      <c r="Q97" s="72">
        <f>N97*P97</f>
        <v>27</v>
      </c>
      <c r="R97" s="71">
        <f>(H97/30)/8</f>
        <v>291.66666666666669</v>
      </c>
      <c r="S97" s="71">
        <f>Q97*R97</f>
        <v>7875.0000000000009</v>
      </c>
      <c r="T97" s="73">
        <f>I97+J97+K97+L97+M97+O97+S97</f>
        <v>89575</v>
      </c>
      <c r="U97" s="73">
        <v>202</v>
      </c>
      <c r="V97" s="73">
        <f>H97*12%</f>
        <v>8400</v>
      </c>
      <c r="W97" s="73">
        <v>0</v>
      </c>
      <c r="X97" s="73">
        <f>SUM(U97:W97)</f>
        <v>8602</v>
      </c>
      <c r="Y97" s="73">
        <f>T97-X97</f>
        <v>80973</v>
      </c>
    </row>
    <row r="98" spans="1:25" x14ac:dyDescent="0.3">
      <c r="A98" s="65" t="s">
        <v>974</v>
      </c>
      <c r="B98" s="66" t="s">
        <v>973</v>
      </c>
      <c r="C98" s="66" t="s">
        <v>214</v>
      </c>
      <c r="D98" s="67">
        <v>34</v>
      </c>
      <c r="E98" s="68">
        <v>43831</v>
      </c>
      <c r="F98" s="69" t="s">
        <v>213</v>
      </c>
      <c r="G98" s="69" t="str">
        <f>B98&amp;"@gmail.com"</f>
        <v>Name 97@gmail.com</v>
      </c>
      <c r="H98" s="70">
        <v>34000</v>
      </c>
      <c r="I98" s="71">
        <f>H98*18%</f>
        <v>6120</v>
      </c>
      <c r="J98" s="71">
        <f>H98*5%</f>
        <v>1700</v>
      </c>
      <c r="K98" s="71">
        <v>1000</v>
      </c>
      <c r="L98" s="71">
        <v>2000</v>
      </c>
      <c r="M98" s="71">
        <v>1600</v>
      </c>
      <c r="N98" s="71">
        <v>30</v>
      </c>
      <c r="O98" s="71">
        <f>(H98/30)*N98</f>
        <v>34000</v>
      </c>
      <c r="P98" s="72">
        <v>2</v>
      </c>
      <c r="Q98" s="72">
        <f>N98*P98</f>
        <v>60</v>
      </c>
      <c r="R98" s="71">
        <f>(H98/30)/8</f>
        <v>141.66666666666666</v>
      </c>
      <c r="S98" s="71">
        <f>Q98*R98</f>
        <v>8500</v>
      </c>
      <c r="T98" s="73">
        <f>I98+J98+K98+L98+M98+O98+S98</f>
        <v>54920</v>
      </c>
      <c r="U98" s="73">
        <v>203</v>
      </c>
      <c r="V98" s="73">
        <f>H98*12%</f>
        <v>4080</v>
      </c>
      <c r="W98" s="73">
        <v>0</v>
      </c>
      <c r="X98" s="73">
        <f>SUM(U98:W98)</f>
        <v>4283</v>
      </c>
      <c r="Y98" s="73">
        <f>T98-X98</f>
        <v>50637</v>
      </c>
    </row>
    <row r="99" spans="1:25" x14ac:dyDescent="0.3">
      <c r="A99" s="65" t="s">
        <v>972</v>
      </c>
      <c r="B99" s="66" t="s">
        <v>971</v>
      </c>
      <c r="C99" s="66" t="s">
        <v>214</v>
      </c>
      <c r="D99" s="67">
        <v>23</v>
      </c>
      <c r="E99" s="68">
        <v>43832</v>
      </c>
      <c r="F99" s="69" t="s">
        <v>213</v>
      </c>
      <c r="G99" s="69" t="str">
        <f>B99&amp;"@gmail.com"</f>
        <v>Name 98@gmail.com</v>
      </c>
      <c r="H99" s="70">
        <v>45000</v>
      </c>
      <c r="I99" s="71">
        <f>H99*18%</f>
        <v>8100</v>
      </c>
      <c r="J99" s="71">
        <f>H99*5%</f>
        <v>2250</v>
      </c>
      <c r="K99" s="71">
        <v>1000</v>
      </c>
      <c r="L99" s="71">
        <v>5000</v>
      </c>
      <c r="M99" s="71">
        <v>1600</v>
      </c>
      <c r="N99" s="71">
        <v>30</v>
      </c>
      <c r="O99" s="71">
        <f>(H99/30)*N99</f>
        <v>45000</v>
      </c>
      <c r="P99" s="72">
        <v>0</v>
      </c>
      <c r="Q99" s="72">
        <f>N99*P99</f>
        <v>0</v>
      </c>
      <c r="R99" s="71">
        <f>(H99/30)/8</f>
        <v>187.5</v>
      </c>
      <c r="S99" s="71">
        <f>Q99*R99</f>
        <v>0</v>
      </c>
      <c r="T99" s="73">
        <f>I99+J99+K99+L99+M99+O99+S99</f>
        <v>62950</v>
      </c>
      <c r="U99" s="73">
        <v>204</v>
      </c>
      <c r="V99" s="73">
        <f>H99*12%</f>
        <v>5400</v>
      </c>
      <c r="W99" s="73">
        <v>4000</v>
      </c>
      <c r="X99" s="73">
        <f>SUM(U99:W99)</f>
        <v>9604</v>
      </c>
      <c r="Y99" s="73">
        <f>T99-X99</f>
        <v>53346</v>
      </c>
    </row>
    <row r="100" spans="1:25" x14ac:dyDescent="0.3">
      <c r="A100" s="65" t="s">
        <v>970</v>
      </c>
      <c r="B100" s="66" t="s">
        <v>969</v>
      </c>
      <c r="C100" s="66" t="s">
        <v>214</v>
      </c>
      <c r="D100" s="67">
        <v>34</v>
      </c>
      <c r="E100" s="68">
        <v>43833</v>
      </c>
      <c r="F100" s="69" t="s">
        <v>213</v>
      </c>
      <c r="G100" s="69" t="str">
        <f>B100&amp;"@gmail.com"</f>
        <v>Name 99@gmail.com</v>
      </c>
      <c r="H100" s="70">
        <v>55000</v>
      </c>
      <c r="I100" s="71">
        <f>H100*18%</f>
        <v>9900</v>
      </c>
      <c r="J100" s="71">
        <f>H100*5%</f>
        <v>2750</v>
      </c>
      <c r="K100" s="71">
        <v>1000</v>
      </c>
      <c r="L100" s="71">
        <v>0</v>
      </c>
      <c r="M100" s="71">
        <v>1600</v>
      </c>
      <c r="N100" s="71">
        <v>30</v>
      </c>
      <c r="O100" s="71">
        <f>(H100/30)*N100</f>
        <v>55000</v>
      </c>
      <c r="P100" s="72">
        <v>1</v>
      </c>
      <c r="Q100" s="72">
        <f>N100*P100</f>
        <v>30</v>
      </c>
      <c r="R100" s="71">
        <f>(H100/30)/8</f>
        <v>229.16666666666666</v>
      </c>
      <c r="S100" s="71">
        <f>Q100*R100</f>
        <v>6875</v>
      </c>
      <c r="T100" s="73">
        <f>I100+J100+K100+L100+M100+O100+S100</f>
        <v>77125</v>
      </c>
      <c r="U100" s="73">
        <v>205</v>
      </c>
      <c r="V100" s="73">
        <f>H100*12%</f>
        <v>6600</v>
      </c>
      <c r="W100" s="73">
        <v>0</v>
      </c>
      <c r="X100" s="73">
        <f>SUM(U100:W100)</f>
        <v>6805</v>
      </c>
      <c r="Y100" s="73">
        <f>T100-X100</f>
        <v>70320</v>
      </c>
    </row>
    <row r="101" spans="1:25" x14ac:dyDescent="0.3">
      <c r="A101" s="65" t="s">
        <v>968</v>
      </c>
      <c r="B101" s="66" t="s">
        <v>967</v>
      </c>
      <c r="C101" s="66" t="s">
        <v>210</v>
      </c>
      <c r="D101" s="67">
        <v>45</v>
      </c>
      <c r="E101" s="68">
        <v>43834</v>
      </c>
      <c r="F101" s="69" t="s">
        <v>206</v>
      </c>
      <c r="G101" s="69" t="str">
        <f>B101&amp;"@gmail.com"</f>
        <v>Name 100@gmail.com</v>
      </c>
      <c r="H101" s="70">
        <v>43000</v>
      </c>
      <c r="I101" s="71">
        <f>H101*18%</f>
        <v>7740</v>
      </c>
      <c r="J101" s="71">
        <f>H101*5%</f>
        <v>2150</v>
      </c>
      <c r="K101" s="71">
        <v>1000</v>
      </c>
      <c r="L101" s="71">
        <v>0</v>
      </c>
      <c r="M101" s="71">
        <v>1600</v>
      </c>
      <c r="N101" s="71">
        <v>27</v>
      </c>
      <c r="O101" s="71">
        <f>(H101/30)*N101</f>
        <v>38700</v>
      </c>
      <c r="P101" s="72">
        <v>1</v>
      </c>
      <c r="Q101" s="72">
        <f>N101*P101</f>
        <v>27</v>
      </c>
      <c r="R101" s="71">
        <f>(H101/30)/8</f>
        <v>179.16666666666666</v>
      </c>
      <c r="S101" s="71">
        <f>Q101*R101</f>
        <v>4837.5</v>
      </c>
      <c r="T101" s="73">
        <f>I101+J101+K101+L101+M101+O101+S101</f>
        <v>56027.5</v>
      </c>
      <c r="U101" s="73">
        <v>200</v>
      </c>
      <c r="V101" s="73">
        <f>H101*12%</f>
        <v>5160</v>
      </c>
      <c r="W101" s="73">
        <v>0</v>
      </c>
      <c r="X101" s="73">
        <f>SUM(U101:W101)</f>
        <v>5360</v>
      </c>
      <c r="Y101" s="73">
        <f>T101-X101</f>
        <v>50667.5</v>
      </c>
    </row>
    <row r="102" spans="1:25" x14ac:dyDescent="0.3">
      <c r="A102" s="65" t="s">
        <v>966</v>
      </c>
      <c r="B102" s="66" t="s">
        <v>965</v>
      </c>
      <c r="C102" s="66" t="s">
        <v>207</v>
      </c>
      <c r="D102" s="67">
        <v>54</v>
      </c>
      <c r="E102" s="68">
        <v>43835</v>
      </c>
      <c r="F102" s="69" t="s">
        <v>206</v>
      </c>
      <c r="G102" s="69" t="str">
        <f>B102&amp;"@gmail.com"</f>
        <v>Name 101@gmail.com</v>
      </c>
      <c r="H102" s="70">
        <v>25000</v>
      </c>
      <c r="I102" s="71">
        <f>H102*18%</f>
        <v>4500</v>
      </c>
      <c r="J102" s="71">
        <f>H102*5%</f>
        <v>1250</v>
      </c>
      <c r="K102" s="71">
        <v>1000</v>
      </c>
      <c r="L102" s="71">
        <v>0</v>
      </c>
      <c r="M102" s="71">
        <v>1600</v>
      </c>
      <c r="N102" s="71">
        <v>30</v>
      </c>
      <c r="O102" s="71">
        <f>(H102/30)*N102</f>
        <v>25000</v>
      </c>
      <c r="P102" s="72">
        <v>0</v>
      </c>
      <c r="Q102" s="72">
        <f>N102*P102</f>
        <v>0</v>
      </c>
      <c r="R102" s="71">
        <f>(H102/30)/8</f>
        <v>104.16666666666667</v>
      </c>
      <c r="S102" s="71">
        <f>Q102*R102</f>
        <v>0</v>
      </c>
      <c r="T102" s="73">
        <f>I102+J102+K102+L102+M102+O102+S102</f>
        <v>33350</v>
      </c>
      <c r="U102" s="73">
        <v>200</v>
      </c>
      <c r="V102" s="73">
        <f>H102*12%</f>
        <v>3000</v>
      </c>
      <c r="W102" s="73">
        <v>0</v>
      </c>
      <c r="X102" s="73">
        <f>SUM(U102:W102)</f>
        <v>3200</v>
      </c>
      <c r="Y102" s="73">
        <f>T102-X102</f>
        <v>30150</v>
      </c>
    </row>
    <row r="103" spans="1:25" x14ac:dyDescent="0.3">
      <c r="A103" s="65" t="s">
        <v>964</v>
      </c>
      <c r="B103" s="66" t="s">
        <v>963</v>
      </c>
      <c r="C103" s="66" t="s">
        <v>214</v>
      </c>
      <c r="D103" s="67">
        <v>56</v>
      </c>
      <c r="E103" s="68">
        <v>43836</v>
      </c>
      <c r="F103" s="69" t="s">
        <v>206</v>
      </c>
      <c r="G103" s="69" t="str">
        <f>B103&amp;"@gmail.com"</f>
        <v>Name 102@gmail.com</v>
      </c>
      <c r="H103" s="70">
        <v>28000</v>
      </c>
      <c r="I103" s="71">
        <f>H103*18%</f>
        <v>5040</v>
      </c>
      <c r="J103" s="71">
        <f>H103*5%</f>
        <v>1400</v>
      </c>
      <c r="K103" s="71">
        <v>1000</v>
      </c>
      <c r="L103" s="71">
        <v>0</v>
      </c>
      <c r="M103" s="71">
        <v>1600</v>
      </c>
      <c r="N103" s="71">
        <v>20</v>
      </c>
      <c r="O103" s="71">
        <f>(H103/30)*N103</f>
        <v>18666.666666666668</v>
      </c>
      <c r="P103" s="72">
        <v>0</v>
      </c>
      <c r="Q103" s="72">
        <f>N103*P103</f>
        <v>0</v>
      </c>
      <c r="R103" s="71">
        <f>(H103/30)/8</f>
        <v>116.66666666666667</v>
      </c>
      <c r="S103" s="71">
        <f>Q103*R103</f>
        <v>0</v>
      </c>
      <c r="T103" s="73">
        <f>I103+J103+K103+L103+M103+O103+S103</f>
        <v>27706.666666666668</v>
      </c>
      <c r="U103" s="73">
        <v>200</v>
      </c>
      <c r="V103" s="73">
        <f>H103*12%</f>
        <v>3360</v>
      </c>
      <c r="W103" s="73">
        <v>0</v>
      </c>
      <c r="X103" s="73">
        <f>SUM(U103:W103)</f>
        <v>3560</v>
      </c>
      <c r="Y103" s="73">
        <f>T103-X103</f>
        <v>24146.666666666668</v>
      </c>
    </row>
    <row r="104" spans="1:25" x14ac:dyDescent="0.3">
      <c r="A104" s="65" t="s">
        <v>962</v>
      </c>
      <c r="B104" s="66" t="s">
        <v>961</v>
      </c>
      <c r="C104" s="66" t="s">
        <v>210</v>
      </c>
      <c r="D104" s="67">
        <v>54</v>
      </c>
      <c r="E104" s="68">
        <v>43837</v>
      </c>
      <c r="F104" s="69" t="s">
        <v>206</v>
      </c>
      <c r="G104" s="69" t="str">
        <f>B104&amp;"@gmail.com"</f>
        <v>Name 103@gmail.com</v>
      </c>
      <c r="H104" s="70">
        <v>40000</v>
      </c>
      <c r="I104" s="71">
        <f>H104*18%</f>
        <v>7200</v>
      </c>
      <c r="J104" s="71">
        <f>H104*5%</f>
        <v>2000</v>
      </c>
      <c r="K104" s="71">
        <v>1000</v>
      </c>
      <c r="L104" s="71">
        <v>0</v>
      </c>
      <c r="M104" s="71">
        <v>1600</v>
      </c>
      <c r="N104" s="71">
        <v>28</v>
      </c>
      <c r="O104" s="71">
        <f>(H104/30)*N104</f>
        <v>37333.333333333328</v>
      </c>
      <c r="P104" s="72">
        <v>2</v>
      </c>
      <c r="Q104" s="72">
        <f>N104*P104</f>
        <v>56</v>
      </c>
      <c r="R104" s="71">
        <f>(H104/30)/8</f>
        <v>166.66666666666666</v>
      </c>
      <c r="S104" s="71">
        <f>Q104*R104</f>
        <v>9333.3333333333321</v>
      </c>
      <c r="T104" s="73">
        <f>I104+J104+K104+L104+M104+O104+S104</f>
        <v>58466.666666666657</v>
      </c>
      <c r="U104" s="73">
        <v>200</v>
      </c>
      <c r="V104" s="73">
        <f>H104*12%</f>
        <v>4800</v>
      </c>
      <c r="W104" s="73">
        <v>0</v>
      </c>
      <c r="X104" s="73">
        <f>SUM(U104:W104)</f>
        <v>5000</v>
      </c>
      <c r="Y104" s="73">
        <f>T104-X104</f>
        <v>53466.666666666657</v>
      </c>
    </row>
    <row r="105" spans="1:25" x14ac:dyDescent="0.3">
      <c r="A105" s="65" t="s">
        <v>960</v>
      </c>
      <c r="B105" s="66" t="s">
        <v>959</v>
      </c>
      <c r="C105" s="66" t="s">
        <v>210</v>
      </c>
      <c r="D105" s="67">
        <v>34</v>
      </c>
      <c r="E105" s="68">
        <v>43838</v>
      </c>
      <c r="F105" s="69" t="s">
        <v>206</v>
      </c>
      <c r="G105" s="69" t="str">
        <f>B105&amp;"@gmail.com"</f>
        <v>Name 104@gmail.com</v>
      </c>
      <c r="H105" s="70">
        <v>32000</v>
      </c>
      <c r="I105" s="71">
        <f>H105*18%</f>
        <v>5760</v>
      </c>
      <c r="J105" s="71">
        <f>H105*5%</f>
        <v>1600</v>
      </c>
      <c r="K105" s="71">
        <v>1000</v>
      </c>
      <c r="L105" s="71">
        <v>0</v>
      </c>
      <c r="M105" s="71">
        <v>1600</v>
      </c>
      <c r="N105" s="71">
        <v>30</v>
      </c>
      <c r="O105" s="71">
        <f>(H105/30)*N105</f>
        <v>32000.000000000004</v>
      </c>
      <c r="P105" s="72">
        <v>1</v>
      </c>
      <c r="Q105" s="72">
        <f>N105*P105</f>
        <v>30</v>
      </c>
      <c r="R105" s="71">
        <f>(H105/30)/8</f>
        <v>133.33333333333334</v>
      </c>
      <c r="S105" s="71">
        <f>Q105*R105</f>
        <v>4000.0000000000005</v>
      </c>
      <c r="T105" s="73">
        <f>I105+J105+K105+L105+M105+O105+S105</f>
        <v>45960</v>
      </c>
      <c r="U105" s="73">
        <v>200</v>
      </c>
      <c r="V105" s="73">
        <f>H105*12%</f>
        <v>3840</v>
      </c>
      <c r="W105" s="73">
        <v>5000</v>
      </c>
      <c r="X105" s="73">
        <f>SUM(U105:W105)</f>
        <v>9040</v>
      </c>
      <c r="Y105" s="73">
        <f>T105-X105</f>
        <v>36920</v>
      </c>
    </row>
    <row r="106" spans="1:25" x14ac:dyDescent="0.3">
      <c r="A106" s="65" t="s">
        <v>958</v>
      </c>
      <c r="B106" s="66" t="s">
        <v>957</v>
      </c>
      <c r="C106" s="66" t="s">
        <v>207</v>
      </c>
      <c r="D106" s="67">
        <v>23</v>
      </c>
      <c r="E106" s="68">
        <v>43839</v>
      </c>
      <c r="F106" s="69" t="s">
        <v>206</v>
      </c>
      <c r="G106" s="69" t="str">
        <f>B106&amp;"@gmail.com"</f>
        <v>Name 105@gmail.com</v>
      </c>
      <c r="H106" s="70">
        <v>28000</v>
      </c>
      <c r="I106" s="71">
        <f>H106*18%</f>
        <v>5040</v>
      </c>
      <c r="J106" s="71">
        <f>H106*5%</f>
        <v>1400</v>
      </c>
      <c r="K106" s="71">
        <v>1000</v>
      </c>
      <c r="L106" s="71">
        <v>0</v>
      </c>
      <c r="M106" s="71">
        <v>1600</v>
      </c>
      <c r="N106" s="71">
        <v>29</v>
      </c>
      <c r="O106" s="71">
        <f>(H106/30)*N106</f>
        <v>27066.666666666668</v>
      </c>
      <c r="P106" s="72">
        <v>1</v>
      </c>
      <c r="Q106" s="72">
        <f>N106*P106</f>
        <v>29</v>
      </c>
      <c r="R106" s="71">
        <f>(H106/30)/8</f>
        <v>116.66666666666667</v>
      </c>
      <c r="S106" s="71">
        <f>Q106*R106</f>
        <v>3383.3333333333335</v>
      </c>
      <c r="T106" s="73">
        <f>I106+J106+K106+L106+M106+O106+S106</f>
        <v>39490.000000000007</v>
      </c>
      <c r="U106" s="73">
        <v>200</v>
      </c>
      <c r="V106" s="73">
        <f>H106*12%</f>
        <v>3360</v>
      </c>
      <c r="W106" s="73">
        <v>0</v>
      </c>
      <c r="X106" s="73">
        <f>SUM(U106:W106)</f>
        <v>3560</v>
      </c>
      <c r="Y106" s="73">
        <f>T106-X106</f>
        <v>35930.000000000007</v>
      </c>
    </row>
    <row r="107" spans="1:25" x14ac:dyDescent="0.3">
      <c r="A107" s="65" t="s">
        <v>956</v>
      </c>
      <c r="B107" s="66" t="s">
        <v>955</v>
      </c>
      <c r="C107" s="66" t="s">
        <v>214</v>
      </c>
      <c r="D107" s="67">
        <v>34</v>
      </c>
      <c r="E107" s="68">
        <v>43840</v>
      </c>
      <c r="F107" s="69" t="s">
        <v>213</v>
      </c>
      <c r="G107" s="69" t="str">
        <f>B107&amp;"@gmail.com"</f>
        <v>Name 106@gmail.com</v>
      </c>
      <c r="H107" s="70">
        <v>44000</v>
      </c>
      <c r="I107" s="71">
        <f>H107*18%</f>
        <v>7920</v>
      </c>
      <c r="J107" s="71">
        <f>H107*5%</f>
        <v>2200</v>
      </c>
      <c r="K107" s="71">
        <v>1000</v>
      </c>
      <c r="L107" s="71">
        <v>0</v>
      </c>
      <c r="M107" s="71">
        <v>1600</v>
      </c>
      <c r="N107" s="71">
        <v>28</v>
      </c>
      <c r="O107" s="71">
        <f>(H107/30)*N107</f>
        <v>41066.666666666672</v>
      </c>
      <c r="P107" s="72">
        <v>1</v>
      </c>
      <c r="Q107" s="72">
        <f>N107*P107</f>
        <v>28</v>
      </c>
      <c r="R107" s="71">
        <f>(H107/30)/8</f>
        <v>183.33333333333334</v>
      </c>
      <c r="S107" s="71">
        <f>Q107*R107</f>
        <v>5133.3333333333339</v>
      </c>
      <c r="T107" s="73">
        <f>I107+J107+K107+L107+M107+O107+S107</f>
        <v>58920.000000000007</v>
      </c>
      <c r="U107" s="73">
        <v>200</v>
      </c>
      <c r="V107" s="73">
        <f>H107*12%</f>
        <v>5280</v>
      </c>
      <c r="W107" s="73">
        <v>0</v>
      </c>
      <c r="X107" s="73">
        <f>SUM(U107:W107)</f>
        <v>5480</v>
      </c>
      <c r="Y107" s="73">
        <f>T107-X107</f>
        <v>53440.000000000007</v>
      </c>
    </row>
    <row r="108" spans="1:25" x14ac:dyDescent="0.3">
      <c r="A108" s="65" t="s">
        <v>954</v>
      </c>
      <c r="B108" s="66" t="s">
        <v>953</v>
      </c>
      <c r="C108" s="66" t="s">
        <v>210</v>
      </c>
      <c r="D108" s="67">
        <v>43</v>
      </c>
      <c r="E108" s="68">
        <v>43841</v>
      </c>
      <c r="F108" s="69" t="s">
        <v>206</v>
      </c>
      <c r="G108" s="69" t="str">
        <f>B108&amp;"@gmail.com"</f>
        <v>Name 107@gmail.com</v>
      </c>
      <c r="H108" s="70">
        <v>25000</v>
      </c>
      <c r="I108" s="71">
        <f>H108*18%</f>
        <v>4500</v>
      </c>
      <c r="J108" s="71">
        <f>H108*5%</f>
        <v>1250</v>
      </c>
      <c r="K108" s="71">
        <v>1000</v>
      </c>
      <c r="L108" s="71">
        <v>0</v>
      </c>
      <c r="M108" s="71">
        <v>1600</v>
      </c>
      <c r="N108" s="71">
        <v>27</v>
      </c>
      <c r="O108" s="71">
        <f>(H108/30)*N108</f>
        <v>22500</v>
      </c>
      <c r="P108" s="72">
        <v>1</v>
      </c>
      <c r="Q108" s="72">
        <f>N108*P108</f>
        <v>27</v>
      </c>
      <c r="R108" s="71">
        <f>(H108/30)/8</f>
        <v>104.16666666666667</v>
      </c>
      <c r="S108" s="71">
        <f>Q108*R108</f>
        <v>2812.5</v>
      </c>
      <c r="T108" s="73">
        <f>I108+J108+K108+L108+M108+O108+S108</f>
        <v>33662.5</v>
      </c>
      <c r="U108" s="73">
        <v>200</v>
      </c>
      <c r="V108" s="73">
        <f>H108*12%</f>
        <v>3000</v>
      </c>
      <c r="W108" s="73">
        <v>0</v>
      </c>
      <c r="X108" s="73">
        <f>SUM(U108:W108)</f>
        <v>3200</v>
      </c>
      <c r="Y108" s="73">
        <f>T108-X108</f>
        <v>30462.5</v>
      </c>
    </row>
    <row r="109" spans="1:25" x14ac:dyDescent="0.3">
      <c r="A109" s="65" t="s">
        <v>952</v>
      </c>
      <c r="B109" s="66" t="s">
        <v>951</v>
      </c>
      <c r="C109" s="66" t="s">
        <v>214</v>
      </c>
      <c r="D109" s="67">
        <v>34</v>
      </c>
      <c r="E109" s="68">
        <v>43842</v>
      </c>
      <c r="F109" s="69" t="s">
        <v>206</v>
      </c>
      <c r="G109" s="69" t="str">
        <f>B109&amp;"@gmail.com"</f>
        <v>Name 108@gmail.com</v>
      </c>
      <c r="H109" s="70">
        <v>50000</v>
      </c>
      <c r="I109" s="71">
        <f>H109*18%</f>
        <v>9000</v>
      </c>
      <c r="J109" s="71">
        <f>H109*5%</f>
        <v>2500</v>
      </c>
      <c r="K109" s="71">
        <v>1000</v>
      </c>
      <c r="L109" s="71">
        <v>0</v>
      </c>
      <c r="M109" s="71">
        <v>1600</v>
      </c>
      <c r="N109" s="71">
        <v>27</v>
      </c>
      <c r="O109" s="71">
        <f>(H109/30)*N109</f>
        <v>45000</v>
      </c>
      <c r="P109" s="72">
        <v>3</v>
      </c>
      <c r="Q109" s="72">
        <f>N109*P109</f>
        <v>81</v>
      </c>
      <c r="R109" s="71">
        <f>(H109/30)/8</f>
        <v>208.33333333333334</v>
      </c>
      <c r="S109" s="71">
        <f>Q109*R109</f>
        <v>16875</v>
      </c>
      <c r="T109" s="73">
        <f>I109+J109+K109+L109+M109+O109+S109</f>
        <v>75975</v>
      </c>
      <c r="U109" s="73">
        <v>201</v>
      </c>
      <c r="V109" s="73">
        <f>H109*12%</f>
        <v>6000</v>
      </c>
      <c r="W109" s="73">
        <v>0</v>
      </c>
      <c r="X109" s="73">
        <f>SUM(U109:W109)</f>
        <v>6201</v>
      </c>
      <c r="Y109" s="73">
        <f>T109-X109</f>
        <v>69774</v>
      </c>
    </row>
    <row r="110" spans="1:25" x14ac:dyDescent="0.3">
      <c r="A110" s="65" t="s">
        <v>950</v>
      </c>
      <c r="B110" s="66" t="s">
        <v>949</v>
      </c>
      <c r="C110" s="66" t="s">
        <v>214</v>
      </c>
      <c r="D110" s="67">
        <v>43</v>
      </c>
      <c r="E110" s="68">
        <v>43843</v>
      </c>
      <c r="F110" s="69" t="s">
        <v>213</v>
      </c>
      <c r="G110" s="69" t="str">
        <f>B110&amp;"@gmail.com"</f>
        <v>Name 109@gmail.com</v>
      </c>
      <c r="H110" s="70">
        <v>70000</v>
      </c>
      <c r="I110" s="71">
        <f>H110*18%</f>
        <v>12600</v>
      </c>
      <c r="J110" s="71">
        <f>H110*5%</f>
        <v>3500</v>
      </c>
      <c r="K110" s="71">
        <v>1000</v>
      </c>
      <c r="L110" s="71">
        <v>0</v>
      </c>
      <c r="M110" s="71">
        <v>1600</v>
      </c>
      <c r="N110" s="71">
        <v>27</v>
      </c>
      <c r="O110" s="71">
        <f>(H110/30)*N110</f>
        <v>63000.000000000007</v>
      </c>
      <c r="P110" s="72">
        <v>1</v>
      </c>
      <c r="Q110" s="72">
        <f>N110*P110</f>
        <v>27</v>
      </c>
      <c r="R110" s="71">
        <f>(H110/30)/8</f>
        <v>291.66666666666669</v>
      </c>
      <c r="S110" s="71">
        <f>Q110*R110</f>
        <v>7875.0000000000009</v>
      </c>
      <c r="T110" s="73">
        <f>I110+J110+K110+L110+M110+O110+S110</f>
        <v>89575</v>
      </c>
      <c r="U110" s="73">
        <v>202</v>
      </c>
      <c r="V110" s="73">
        <f>H110*12%</f>
        <v>8400</v>
      </c>
      <c r="W110" s="73">
        <v>0</v>
      </c>
      <c r="X110" s="73">
        <f>SUM(U110:W110)</f>
        <v>8602</v>
      </c>
      <c r="Y110" s="73">
        <f>T110-X110</f>
        <v>80973</v>
      </c>
    </row>
    <row r="111" spans="1:25" x14ac:dyDescent="0.3">
      <c r="A111" s="65" t="s">
        <v>948</v>
      </c>
      <c r="B111" s="66" t="s">
        <v>947</v>
      </c>
      <c r="C111" s="66" t="s">
        <v>214</v>
      </c>
      <c r="D111" s="67">
        <v>23</v>
      </c>
      <c r="E111" s="68">
        <v>43844</v>
      </c>
      <c r="F111" s="69" t="s">
        <v>213</v>
      </c>
      <c r="G111" s="69" t="str">
        <f>B111&amp;"@gmail.com"</f>
        <v>Name 110@gmail.com</v>
      </c>
      <c r="H111" s="70">
        <v>34000</v>
      </c>
      <c r="I111" s="71">
        <f>H111*18%</f>
        <v>6120</v>
      </c>
      <c r="J111" s="71">
        <f>H111*5%</f>
        <v>1700</v>
      </c>
      <c r="K111" s="71">
        <v>1000</v>
      </c>
      <c r="L111" s="71">
        <v>2000</v>
      </c>
      <c r="M111" s="71">
        <v>1600</v>
      </c>
      <c r="N111" s="71">
        <v>30</v>
      </c>
      <c r="O111" s="71">
        <f>(H111/30)*N111</f>
        <v>34000</v>
      </c>
      <c r="P111" s="72">
        <v>2</v>
      </c>
      <c r="Q111" s="72">
        <f>N111*P111</f>
        <v>60</v>
      </c>
      <c r="R111" s="71">
        <f>(H111/30)/8</f>
        <v>141.66666666666666</v>
      </c>
      <c r="S111" s="71">
        <f>Q111*R111</f>
        <v>8500</v>
      </c>
      <c r="T111" s="73">
        <f>I111+J111+K111+L111+M111+O111+S111</f>
        <v>54920</v>
      </c>
      <c r="U111" s="73">
        <v>203</v>
      </c>
      <c r="V111" s="73">
        <f>H111*12%</f>
        <v>4080</v>
      </c>
      <c r="W111" s="73">
        <v>0</v>
      </c>
      <c r="X111" s="73">
        <f>SUM(U111:W111)</f>
        <v>4283</v>
      </c>
      <c r="Y111" s="73">
        <f>T111-X111</f>
        <v>50637</v>
      </c>
    </row>
    <row r="112" spans="1:25" x14ac:dyDescent="0.3">
      <c r="A112" s="65" t="s">
        <v>946</v>
      </c>
      <c r="B112" s="66" t="s">
        <v>945</v>
      </c>
      <c r="C112" s="66" t="s">
        <v>214</v>
      </c>
      <c r="D112" s="67">
        <v>34</v>
      </c>
      <c r="E112" s="68">
        <v>43845</v>
      </c>
      <c r="F112" s="69" t="s">
        <v>213</v>
      </c>
      <c r="G112" s="69" t="str">
        <f>B112&amp;"@gmail.com"</f>
        <v>Name 111@gmail.com</v>
      </c>
      <c r="H112" s="70">
        <v>45000</v>
      </c>
      <c r="I112" s="71">
        <f>H112*18%</f>
        <v>8100</v>
      </c>
      <c r="J112" s="71">
        <f>H112*5%</f>
        <v>2250</v>
      </c>
      <c r="K112" s="71">
        <v>1000</v>
      </c>
      <c r="L112" s="71">
        <v>5000</v>
      </c>
      <c r="M112" s="71">
        <v>1600</v>
      </c>
      <c r="N112" s="71">
        <v>30</v>
      </c>
      <c r="O112" s="71">
        <f>(H112/30)*N112</f>
        <v>45000</v>
      </c>
      <c r="P112" s="72">
        <v>0</v>
      </c>
      <c r="Q112" s="72">
        <f>N112*P112</f>
        <v>0</v>
      </c>
      <c r="R112" s="71">
        <f>(H112/30)/8</f>
        <v>187.5</v>
      </c>
      <c r="S112" s="71">
        <f>Q112*R112</f>
        <v>0</v>
      </c>
      <c r="T112" s="73">
        <f>I112+J112+K112+L112+M112+O112+S112</f>
        <v>62950</v>
      </c>
      <c r="U112" s="73">
        <v>204</v>
      </c>
      <c r="V112" s="73">
        <f>H112*12%</f>
        <v>5400</v>
      </c>
      <c r="W112" s="73">
        <v>4000</v>
      </c>
      <c r="X112" s="73">
        <f>SUM(U112:W112)</f>
        <v>9604</v>
      </c>
      <c r="Y112" s="73">
        <f>T112-X112</f>
        <v>53346</v>
      </c>
    </row>
    <row r="113" spans="1:25" x14ac:dyDescent="0.3">
      <c r="A113" s="65" t="s">
        <v>944</v>
      </c>
      <c r="B113" s="66" t="s">
        <v>943</v>
      </c>
      <c r="C113" s="66" t="s">
        <v>214</v>
      </c>
      <c r="D113" s="67">
        <v>23</v>
      </c>
      <c r="E113" s="68">
        <v>43846</v>
      </c>
      <c r="F113" s="69" t="s">
        <v>213</v>
      </c>
      <c r="G113" s="69" t="str">
        <f>B113&amp;"@gmail.com"</f>
        <v>Name 112@gmail.com</v>
      </c>
      <c r="H113" s="70">
        <v>55000</v>
      </c>
      <c r="I113" s="71">
        <f>H113*18%</f>
        <v>9900</v>
      </c>
      <c r="J113" s="71">
        <f>H113*5%</f>
        <v>2750</v>
      </c>
      <c r="K113" s="71">
        <v>1000</v>
      </c>
      <c r="L113" s="71">
        <v>0</v>
      </c>
      <c r="M113" s="71">
        <v>1600</v>
      </c>
      <c r="N113" s="71">
        <v>30</v>
      </c>
      <c r="O113" s="71">
        <f>(H113/30)*N113</f>
        <v>55000</v>
      </c>
      <c r="P113" s="72">
        <v>1</v>
      </c>
      <c r="Q113" s="72">
        <f>N113*P113</f>
        <v>30</v>
      </c>
      <c r="R113" s="71">
        <f>(H113/30)/8</f>
        <v>229.16666666666666</v>
      </c>
      <c r="S113" s="71">
        <f>Q113*R113</f>
        <v>6875</v>
      </c>
      <c r="T113" s="73">
        <f>I113+J113+K113+L113+M113+O113+S113</f>
        <v>77125</v>
      </c>
      <c r="U113" s="73">
        <v>205</v>
      </c>
      <c r="V113" s="73">
        <f>H113*12%</f>
        <v>6600</v>
      </c>
      <c r="W113" s="73">
        <v>0</v>
      </c>
      <c r="X113" s="73">
        <f>SUM(U113:W113)</f>
        <v>6805</v>
      </c>
      <c r="Y113" s="73">
        <f>T113-X113</f>
        <v>70320</v>
      </c>
    </row>
    <row r="114" spans="1:25" x14ac:dyDescent="0.3">
      <c r="A114" s="65" t="s">
        <v>942</v>
      </c>
      <c r="B114" s="66" t="s">
        <v>941</v>
      </c>
      <c r="C114" s="66" t="s">
        <v>210</v>
      </c>
      <c r="D114" s="67">
        <v>34</v>
      </c>
      <c r="E114" s="68">
        <v>43847</v>
      </c>
      <c r="F114" s="69" t="s">
        <v>206</v>
      </c>
      <c r="G114" s="69" t="str">
        <f>B114&amp;"@gmail.com"</f>
        <v>Name 113@gmail.com</v>
      </c>
      <c r="H114" s="70">
        <v>43000</v>
      </c>
      <c r="I114" s="71">
        <f>H114*18%</f>
        <v>7740</v>
      </c>
      <c r="J114" s="71">
        <f>H114*5%</f>
        <v>2150</v>
      </c>
      <c r="K114" s="71">
        <v>1000</v>
      </c>
      <c r="L114" s="71">
        <v>0</v>
      </c>
      <c r="M114" s="71">
        <v>1600</v>
      </c>
      <c r="N114" s="71">
        <v>27</v>
      </c>
      <c r="O114" s="71">
        <f>(H114/30)*N114</f>
        <v>38700</v>
      </c>
      <c r="P114" s="72">
        <v>1</v>
      </c>
      <c r="Q114" s="72">
        <f>N114*P114</f>
        <v>27</v>
      </c>
      <c r="R114" s="71">
        <f>(H114/30)/8</f>
        <v>179.16666666666666</v>
      </c>
      <c r="S114" s="71">
        <f>Q114*R114</f>
        <v>4837.5</v>
      </c>
      <c r="T114" s="73">
        <f>I114+J114+K114+L114+M114+O114+S114</f>
        <v>56027.5</v>
      </c>
      <c r="U114" s="73">
        <v>200</v>
      </c>
      <c r="V114" s="73">
        <f>H114*12%</f>
        <v>5160</v>
      </c>
      <c r="W114" s="73">
        <v>0</v>
      </c>
      <c r="X114" s="73">
        <f>SUM(U114:W114)</f>
        <v>5360</v>
      </c>
      <c r="Y114" s="73">
        <f>T114-X114</f>
        <v>50667.5</v>
      </c>
    </row>
    <row r="115" spans="1:25" x14ac:dyDescent="0.3">
      <c r="A115" s="65" t="s">
        <v>940</v>
      </c>
      <c r="B115" s="66" t="s">
        <v>939</v>
      </c>
      <c r="C115" s="66" t="s">
        <v>207</v>
      </c>
      <c r="D115" s="67">
        <v>23</v>
      </c>
      <c r="E115" s="68">
        <v>43848</v>
      </c>
      <c r="F115" s="69" t="s">
        <v>206</v>
      </c>
      <c r="G115" s="69" t="str">
        <f>B115&amp;"@gmail.com"</f>
        <v>Name 114@gmail.com</v>
      </c>
      <c r="H115" s="70">
        <v>25000</v>
      </c>
      <c r="I115" s="71">
        <f>H115*18%</f>
        <v>4500</v>
      </c>
      <c r="J115" s="71">
        <f>H115*5%</f>
        <v>1250</v>
      </c>
      <c r="K115" s="71">
        <v>1000</v>
      </c>
      <c r="L115" s="71">
        <v>0</v>
      </c>
      <c r="M115" s="71">
        <v>1600</v>
      </c>
      <c r="N115" s="71">
        <v>30</v>
      </c>
      <c r="O115" s="71">
        <f>(H115/30)*N115</f>
        <v>25000</v>
      </c>
      <c r="P115" s="72">
        <v>0</v>
      </c>
      <c r="Q115" s="72">
        <f>N115*P115</f>
        <v>0</v>
      </c>
      <c r="R115" s="71">
        <f>(H115/30)/8</f>
        <v>104.16666666666667</v>
      </c>
      <c r="S115" s="71">
        <f>Q115*R115</f>
        <v>0</v>
      </c>
      <c r="T115" s="73">
        <f>I115+J115+K115+L115+M115+O115+S115</f>
        <v>33350</v>
      </c>
      <c r="U115" s="73">
        <v>200</v>
      </c>
      <c r="V115" s="73">
        <f>H115*12%</f>
        <v>3000</v>
      </c>
      <c r="W115" s="73">
        <v>0</v>
      </c>
      <c r="X115" s="73">
        <f>SUM(U115:W115)</f>
        <v>3200</v>
      </c>
      <c r="Y115" s="73">
        <f>T115-X115</f>
        <v>30150</v>
      </c>
    </row>
    <row r="116" spans="1:25" x14ac:dyDescent="0.3">
      <c r="A116" s="65" t="s">
        <v>938</v>
      </c>
      <c r="B116" s="66" t="s">
        <v>937</v>
      </c>
      <c r="C116" s="66" t="s">
        <v>214</v>
      </c>
      <c r="D116" s="67">
        <v>34</v>
      </c>
      <c r="E116" s="68">
        <v>43849</v>
      </c>
      <c r="F116" s="69" t="s">
        <v>206</v>
      </c>
      <c r="G116" s="69" t="str">
        <f>B116&amp;"@gmail.com"</f>
        <v>Name 115@gmail.com</v>
      </c>
      <c r="H116" s="70">
        <v>28000</v>
      </c>
      <c r="I116" s="71">
        <f>H116*18%</f>
        <v>5040</v>
      </c>
      <c r="J116" s="71">
        <f>H116*5%</f>
        <v>1400</v>
      </c>
      <c r="K116" s="71">
        <v>1000</v>
      </c>
      <c r="L116" s="71">
        <v>0</v>
      </c>
      <c r="M116" s="71">
        <v>1600</v>
      </c>
      <c r="N116" s="71">
        <v>20</v>
      </c>
      <c r="O116" s="71">
        <f>(H116/30)*N116</f>
        <v>18666.666666666668</v>
      </c>
      <c r="P116" s="72">
        <v>0</v>
      </c>
      <c r="Q116" s="72">
        <f>N116*P116</f>
        <v>0</v>
      </c>
      <c r="R116" s="71">
        <f>(H116/30)/8</f>
        <v>116.66666666666667</v>
      </c>
      <c r="S116" s="71">
        <f>Q116*R116</f>
        <v>0</v>
      </c>
      <c r="T116" s="73">
        <f>I116+J116+K116+L116+M116+O116+S116</f>
        <v>27706.666666666668</v>
      </c>
      <c r="U116" s="73">
        <v>200</v>
      </c>
      <c r="V116" s="73">
        <f>H116*12%</f>
        <v>3360</v>
      </c>
      <c r="W116" s="73">
        <v>0</v>
      </c>
      <c r="X116" s="73">
        <f>SUM(U116:W116)</f>
        <v>3560</v>
      </c>
      <c r="Y116" s="73">
        <f>T116-X116</f>
        <v>24146.666666666668</v>
      </c>
    </row>
    <row r="117" spans="1:25" x14ac:dyDescent="0.3">
      <c r="A117" s="65" t="s">
        <v>936</v>
      </c>
      <c r="B117" s="66" t="s">
        <v>935</v>
      </c>
      <c r="C117" s="66" t="s">
        <v>210</v>
      </c>
      <c r="D117" s="67">
        <v>45</v>
      </c>
      <c r="E117" s="68">
        <v>43850</v>
      </c>
      <c r="F117" s="69" t="s">
        <v>206</v>
      </c>
      <c r="G117" s="69" t="str">
        <f>B117&amp;"@gmail.com"</f>
        <v>Name 116@gmail.com</v>
      </c>
      <c r="H117" s="70">
        <v>40000</v>
      </c>
      <c r="I117" s="71">
        <f>H117*18%</f>
        <v>7200</v>
      </c>
      <c r="J117" s="71">
        <f>H117*5%</f>
        <v>2000</v>
      </c>
      <c r="K117" s="71">
        <v>1000</v>
      </c>
      <c r="L117" s="71">
        <v>0</v>
      </c>
      <c r="M117" s="71">
        <v>1600</v>
      </c>
      <c r="N117" s="71">
        <v>28</v>
      </c>
      <c r="O117" s="71">
        <f>(H117/30)*N117</f>
        <v>37333.333333333328</v>
      </c>
      <c r="P117" s="72">
        <v>2</v>
      </c>
      <c r="Q117" s="72">
        <f>N117*P117</f>
        <v>56</v>
      </c>
      <c r="R117" s="71">
        <f>(H117/30)/8</f>
        <v>166.66666666666666</v>
      </c>
      <c r="S117" s="71">
        <f>Q117*R117</f>
        <v>9333.3333333333321</v>
      </c>
      <c r="T117" s="73">
        <f>I117+J117+K117+L117+M117+O117+S117</f>
        <v>58466.666666666657</v>
      </c>
      <c r="U117" s="73">
        <v>200</v>
      </c>
      <c r="V117" s="73">
        <f>H117*12%</f>
        <v>4800</v>
      </c>
      <c r="W117" s="73">
        <v>0</v>
      </c>
      <c r="X117" s="73">
        <f>SUM(U117:W117)</f>
        <v>5000</v>
      </c>
      <c r="Y117" s="73">
        <f>T117-X117</f>
        <v>53466.666666666657</v>
      </c>
    </row>
    <row r="118" spans="1:25" x14ac:dyDescent="0.3">
      <c r="A118" s="65" t="s">
        <v>934</v>
      </c>
      <c r="B118" s="66" t="s">
        <v>933</v>
      </c>
      <c r="C118" s="66" t="s">
        <v>210</v>
      </c>
      <c r="D118" s="67">
        <v>54</v>
      </c>
      <c r="E118" s="68">
        <v>43851</v>
      </c>
      <c r="F118" s="69" t="s">
        <v>206</v>
      </c>
      <c r="G118" s="69" t="str">
        <f>B118&amp;"@gmail.com"</f>
        <v>Name 117@gmail.com</v>
      </c>
      <c r="H118" s="70">
        <v>32000</v>
      </c>
      <c r="I118" s="71">
        <f>H118*18%</f>
        <v>5760</v>
      </c>
      <c r="J118" s="71">
        <f>H118*5%</f>
        <v>1600</v>
      </c>
      <c r="K118" s="71">
        <v>1000</v>
      </c>
      <c r="L118" s="71">
        <v>0</v>
      </c>
      <c r="M118" s="71">
        <v>1600</v>
      </c>
      <c r="N118" s="71">
        <v>30</v>
      </c>
      <c r="O118" s="71">
        <f>(H118/30)*N118</f>
        <v>32000.000000000004</v>
      </c>
      <c r="P118" s="72">
        <v>1</v>
      </c>
      <c r="Q118" s="72">
        <f>N118*P118</f>
        <v>30</v>
      </c>
      <c r="R118" s="71">
        <f>(H118/30)/8</f>
        <v>133.33333333333334</v>
      </c>
      <c r="S118" s="71">
        <f>Q118*R118</f>
        <v>4000.0000000000005</v>
      </c>
      <c r="T118" s="73">
        <f>I118+J118+K118+L118+M118+O118+S118</f>
        <v>45960</v>
      </c>
      <c r="U118" s="73">
        <v>200</v>
      </c>
      <c r="V118" s="73">
        <f>H118*12%</f>
        <v>3840</v>
      </c>
      <c r="W118" s="73">
        <v>5000</v>
      </c>
      <c r="X118" s="73">
        <f>SUM(U118:W118)</f>
        <v>9040</v>
      </c>
      <c r="Y118" s="73">
        <f>T118-X118</f>
        <v>36920</v>
      </c>
    </row>
    <row r="119" spans="1:25" x14ac:dyDescent="0.3">
      <c r="A119" s="65" t="s">
        <v>932</v>
      </c>
      <c r="B119" s="66" t="s">
        <v>931</v>
      </c>
      <c r="C119" s="66" t="s">
        <v>207</v>
      </c>
      <c r="D119" s="67">
        <v>56</v>
      </c>
      <c r="E119" s="68">
        <v>43852</v>
      </c>
      <c r="F119" s="69" t="s">
        <v>206</v>
      </c>
      <c r="G119" s="69" t="str">
        <f>B119&amp;"@gmail.com"</f>
        <v>Name 118@gmail.com</v>
      </c>
      <c r="H119" s="70">
        <v>28000</v>
      </c>
      <c r="I119" s="71">
        <f>H119*18%</f>
        <v>5040</v>
      </c>
      <c r="J119" s="71">
        <f>H119*5%</f>
        <v>1400</v>
      </c>
      <c r="K119" s="71">
        <v>1000</v>
      </c>
      <c r="L119" s="71">
        <v>0</v>
      </c>
      <c r="M119" s="71">
        <v>1600</v>
      </c>
      <c r="N119" s="71">
        <v>29</v>
      </c>
      <c r="O119" s="71">
        <f>(H119/30)*N119</f>
        <v>27066.666666666668</v>
      </c>
      <c r="P119" s="72">
        <v>1</v>
      </c>
      <c r="Q119" s="72">
        <f>N119*P119</f>
        <v>29</v>
      </c>
      <c r="R119" s="71">
        <f>(H119/30)/8</f>
        <v>116.66666666666667</v>
      </c>
      <c r="S119" s="71">
        <f>Q119*R119</f>
        <v>3383.3333333333335</v>
      </c>
      <c r="T119" s="73">
        <f>I119+J119+K119+L119+M119+O119+S119</f>
        <v>39490.000000000007</v>
      </c>
      <c r="U119" s="73">
        <v>200</v>
      </c>
      <c r="V119" s="73">
        <f>H119*12%</f>
        <v>3360</v>
      </c>
      <c r="W119" s="73">
        <v>0</v>
      </c>
      <c r="X119" s="73">
        <f>SUM(U119:W119)</f>
        <v>3560</v>
      </c>
      <c r="Y119" s="73">
        <f>T119-X119</f>
        <v>35930.000000000007</v>
      </c>
    </row>
    <row r="120" spans="1:25" x14ac:dyDescent="0.3">
      <c r="A120" s="65" t="s">
        <v>930</v>
      </c>
      <c r="B120" s="66" t="s">
        <v>929</v>
      </c>
      <c r="C120" s="66" t="s">
        <v>214</v>
      </c>
      <c r="D120" s="67">
        <v>54</v>
      </c>
      <c r="E120" s="68">
        <v>43853</v>
      </c>
      <c r="F120" s="69" t="s">
        <v>213</v>
      </c>
      <c r="G120" s="69" t="str">
        <f>B120&amp;"@gmail.com"</f>
        <v>Name 119@gmail.com</v>
      </c>
      <c r="H120" s="70">
        <v>44000</v>
      </c>
      <c r="I120" s="71">
        <f>H120*18%</f>
        <v>7920</v>
      </c>
      <c r="J120" s="71">
        <f>H120*5%</f>
        <v>2200</v>
      </c>
      <c r="K120" s="71">
        <v>1000</v>
      </c>
      <c r="L120" s="71">
        <v>0</v>
      </c>
      <c r="M120" s="71">
        <v>1600</v>
      </c>
      <c r="N120" s="71">
        <v>28</v>
      </c>
      <c r="O120" s="71">
        <f>(H120/30)*N120</f>
        <v>41066.666666666672</v>
      </c>
      <c r="P120" s="72">
        <v>1</v>
      </c>
      <c r="Q120" s="72">
        <f>N120*P120</f>
        <v>28</v>
      </c>
      <c r="R120" s="71">
        <f>(H120/30)/8</f>
        <v>183.33333333333334</v>
      </c>
      <c r="S120" s="71">
        <f>Q120*R120</f>
        <v>5133.3333333333339</v>
      </c>
      <c r="T120" s="73">
        <f>I120+J120+K120+L120+M120+O120+S120</f>
        <v>58920.000000000007</v>
      </c>
      <c r="U120" s="73">
        <v>200</v>
      </c>
      <c r="V120" s="73">
        <f>H120*12%</f>
        <v>5280</v>
      </c>
      <c r="W120" s="73">
        <v>0</v>
      </c>
      <c r="X120" s="73">
        <f>SUM(U120:W120)</f>
        <v>5480</v>
      </c>
      <c r="Y120" s="73">
        <f>T120-X120</f>
        <v>53440.000000000007</v>
      </c>
    </row>
    <row r="121" spans="1:25" x14ac:dyDescent="0.3">
      <c r="A121" s="65" t="s">
        <v>928</v>
      </c>
      <c r="B121" s="66" t="s">
        <v>927</v>
      </c>
      <c r="C121" s="66" t="s">
        <v>210</v>
      </c>
      <c r="D121" s="67">
        <v>34</v>
      </c>
      <c r="E121" s="68">
        <v>43854</v>
      </c>
      <c r="F121" s="69" t="s">
        <v>206</v>
      </c>
      <c r="G121" s="69" t="str">
        <f>B121&amp;"@gmail.com"</f>
        <v>Name 120@gmail.com</v>
      </c>
      <c r="H121" s="70">
        <v>25000</v>
      </c>
      <c r="I121" s="71">
        <f>H121*18%</f>
        <v>4500</v>
      </c>
      <c r="J121" s="71">
        <f>H121*5%</f>
        <v>1250</v>
      </c>
      <c r="K121" s="71">
        <v>1000</v>
      </c>
      <c r="L121" s="71">
        <v>0</v>
      </c>
      <c r="M121" s="71">
        <v>1600</v>
      </c>
      <c r="N121" s="71">
        <v>27</v>
      </c>
      <c r="O121" s="71">
        <f>(H121/30)*N121</f>
        <v>22500</v>
      </c>
      <c r="P121" s="72">
        <v>1</v>
      </c>
      <c r="Q121" s="72">
        <f>N121*P121</f>
        <v>27</v>
      </c>
      <c r="R121" s="71">
        <f>(H121/30)/8</f>
        <v>104.16666666666667</v>
      </c>
      <c r="S121" s="71">
        <f>Q121*R121</f>
        <v>2812.5</v>
      </c>
      <c r="T121" s="73">
        <f>I121+J121+K121+L121+M121+O121+S121</f>
        <v>33662.5</v>
      </c>
      <c r="U121" s="73">
        <v>200</v>
      </c>
      <c r="V121" s="73">
        <f>H121*12%</f>
        <v>3000</v>
      </c>
      <c r="W121" s="73">
        <v>0</v>
      </c>
      <c r="X121" s="73">
        <f>SUM(U121:W121)</f>
        <v>3200</v>
      </c>
      <c r="Y121" s="73">
        <f>T121-X121</f>
        <v>30462.5</v>
      </c>
    </row>
    <row r="122" spans="1:25" x14ac:dyDescent="0.3">
      <c r="A122" s="65" t="s">
        <v>926</v>
      </c>
      <c r="B122" s="66" t="s">
        <v>925</v>
      </c>
      <c r="C122" s="66" t="s">
        <v>214</v>
      </c>
      <c r="D122" s="67">
        <v>23</v>
      </c>
      <c r="E122" s="68">
        <v>43831</v>
      </c>
      <c r="F122" s="69" t="s">
        <v>206</v>
      </c>
      <c r="G122" s="69" t="str">
        <f>B122&amp;"@gmail.com"</f>
        <v>Name 121@gmail.com</v>
      </c>
      <c r="H122" s="70">
        <v>50000</v>
      </c>
      <c r="I122" s="71">
        <f>H122*18%</f>
        <v>9000</v>
      </c>
      <c r="J122" s="71">
        <f>H122*5%</f>
        <v>2500</v>
      </c>
      <c r="K122" s="71">
        <v>1000</v>
      </c>
      <c r="L122" s="71">
        <v>0</v>
      </c>
      <c r="M122" s="71">
        <v>1600</v>
      </c>
      <c r="N122" s="71">
        <v>27</v>
      </c>
      <c r="O122" s="71">
        <f>(H122/30)*N122</f>
        <v>45000</v>
      </c>
      <c r="P122" s="72">
        <v>3</v>
      </c>
      <c r="Q122" s="72">
        <f>N122*P122</f>
        <v>81</v>
      </c>
      <c r="R122" s="71">
        <f>(H122/30)/8</f>
        <v>208.33333333333334</v>
      </c>
      <c r="S122" s="71">
        <f>Q122*R122</f>
        <v>16875</v>
      </c>
      <c r="T122" s="73">
        <f>I122+J122+K122+L122+M122+O122+S122</f>
        <v>75975</v>
      </c>
      <c r="U122" s="73">
        <v>201</v>
      </c>
      <c r="V122" s="73">
        <f>H122*12%</f>
        <v>6000</v>
      </c>
      <c r="W122" s="73">
        <v>0</v>
      </c>
      <c r="X122" s="73">
        <f>SUM(U122:W122)</f>
        <v>6201</v>
      </c>
      <c r="Y122" s="73">
        <f>T122-X122</f>
        <v>69774</v>
      </c>
    </row>
    <row r="123" spans="1:25" x14ac:dyDescent="0.3">
      <c r="A123" s="65" t="s">
        <v>924</v>
      </c>
      <c r="B123" s="66" t="s">
        <v>923</v>
      </c>
      <c r="C123" s="66" t="s">
        <v>214</v>
      </c>
      <c r="D123" s="67">
        <v>34</v>
      </c>
      <c r="E123" s="68">
        <v>43832</v>
      </c>
      <c r="F123" s="69" t="s">
        <v>213</v>
      </c>
      <c r="G123" s="69" t="str">
        <f>B123&amp;"@gmail.com"</f>
        <v>Name 122@gmail.com</v>
      </c>
      <c r="H123" s="70">
        <v>70000</v>
      </c>
      <c r="I123" s="71">
        <f>H123*18%</f>
        <v>12600</v>
      </c>
      <c r="J123" s="71">
        <f>H123*5%</f>
        <v>3500</v>
      </c>
      <c r="K123" s="71">
        <v>1000</v>
      </c>
      <c r="L123" s="71">
        <v>0</v>
      </c>
      <c r="M123" s="71">
        <v>1600</v>
      </c>
      <c r="N123" s="71">
        <v>27</v>
      </c>
      <c r="O123" s="71">
        <f>(H123/30)*N123</f>
        <v>63000.000000000007</v>
      </c>
      <c r="P123" s="72">
        <v>1</v>
      </c>
      <c r="Q123" s="72">
        <f>N123*P123</f>
        <v>27</v>
      </c>
      <c r="R123" s="71">
        <f>(H123/30)/8</f>
        <v>291.66666666666669</v>
      </c>
      <c r="S123" s="71">
        <f>Q123*R123</f>
        <v>7875.0000000000009</v>
      </c>
      <c r="T123" s="73">
        <f>I123+J123+K123+L123+M123+O123+S123</f>
        <v>89575</v>
      </c>
      <c r="U123" s="73">
        <v>202</v>
      </c>
      <c r="V123" s="73">
        <f>H123*12%</f>
        <v>8400</v>
      </c>
      <c r="W123" s="73">
        <v>0</v>
      </c>
      <c r="X123" s="73">
        <f>SUM(U123:W123)</f>
        <v>8602</v>
      </c>
      <c r="Y123" s="73">
        <f>T123-X123</f>
        <v>80973</v>
      </c>
    </row>
    <row r="124" spans="1:25" x14ac:dyDescent="0.3">
      <c r="A124" s="65" t="s">
        <v>922</v>
      </c>
      <c r="B124" s="66" t="s">
        <v>921</v>
      </c>
      <c r="C124" s="66" t="s">
        <v>214</v>
      </c>
      <c r="D124" s="67">
        <v>43</v>
      </c>
      <c r="E124" s="68">
        <v>43833</v>
      </c>
      <c r="F124" s="69" t="s">
        <v>213</v>
      </c>
      <c r="G124" s="69" t="str">
        <f>B124&amp;"@gmail.com"</f>
        <v>Name 123@gmail.com</v>
      </c>
      <c r="H124" s="70">
        <v>34000</v>
      </c>
      <c r="I124" s="71">
        <f>H124*18%</f>
        <v>6120</v>
      </c>
      <c r="J124" s="71">
        <f>H124*5%</f>
        <v>1700</v>
      </c>
      <c r="K124" s="71">
        <v>1000</v>
      </c>
      <c r="L124" s="71">
        <v>2000</v>
      </c>
      <c r="M124" s="71">
        <v>1600</v>
      </c>
      <c r="N124" s="71">
        <v>30</v>
      </c>
      <c r="O124" s="71">
        <f>(H124/30)*N124</f>
        <v>34000</v>
      </c>
      <c r="P124" s="72">
        <v>2</v>
      </c>
      <c r="Q124" s="72">
        <f>N124*P124</f>
        <v>60</v>
      </c>
      <c r="R124" s="71">
        <f>(H124/30)/8</f>
        <v>141.66666666666666</v>
      </c>
      <c r="S124" s="71">
        <f>Q124*R124</f>
        <v>8500</v>
      </c>
      <c r="T124" s="73">
        <f>I124+J124+K124+L124+M124+O124+S124</f>
        <v>54920</v>
      </c>
      <c r="U124" s="73">
        <v>203</v>
      </c>
      <c r="V124" s="73">
        <f>H124*12%</f>
        <v>4080</v>
      </c>
      <c r="W124" s="73">
        <v>0</v>
      </c>
      <c r="X124" s="73">
        <f>SUM(U124:W124)</f>
        <v>4283</v>
      </c>
      <c r="Y124" s="73">
        <f>T124-X124</f>
        <v>50637</v>
      </c>
    </row>
    <row r="125" spans="1:25" x14ac:dyDescent="0.3">
      <c r="A125" s="65" t="s">
        <v>920</v>
      </c>
      <c r="B125" s="66" t="s">
        <v>919</v>
      </c>
      <c r="C125" s="66" t="s">
        <v>214</v>
      </c>
      <c r="D125" s="67">
        <v>34</v>
      </c>
      <c r="E125" s="68">
        <v>43834</v>
      </c>
      <c r="F125" s="69" t="s">
        <v>213</v>
      </c>
      <c r="G125" s="69" t="str">
        <f>B125&amp;"@gmail.com"</f>
        <v>Name 124@gmail.com</v>
      </c>
      <c r="H125" s="70">
        <v>45000</v>
      </c>
      <c r="I125" s="71">
        <f>H125*18%</f>
        <v>8100</v>
      </c>
      <c r="J125" s="71">
        <f>H125*5%</f>
        <v>2250</v>
      </c>
      <c r="K125" s="71">
        <v>1000</v>
      </c>
      <c r="L125" s="71">
        <v>2000</v>
      </c>
      <c r="M125" s="71">
        <v>1600</v>
      </c>
      <c r="N125" s="71">
        <v>30</v>
      </c>
      <c r="O125" s="71">
        <f>(H125/30)*N125</f>
        <v>45000</v>
      </c>
      <c r="P125" s="72">
        <v>0</v>
      </c>
      <c r="Q125" s="72">
        <f>N125*P125</f>
        <v>0</v>
      </c>
      <c r="R125" s="71">
        <f>(H125/30)/8</f>
        <v>187.5</v>
      </c>
      <c r="S125" s="71">
        <f>Q125*R125</f>
        <v>0</v>
      </c>
      <c r="T125" s="73">
        <f>I125+J125+K125+L125+M125+O125+S125</f>
        <v>59950</v>
      </c>
      <c r="U125" s="73">
        <v>204</v>
      </c>
      <c r="V125" s="73">
        <f>H125*12%</f>
        <v>5400</v>
      </c>
      <c r="W125" s="73">
        <v>4000</v>
      </c>
      <c r="X125" s="73">
        <f>SUM(U125:W125)</f>
        <v>9604</v>
      </c>
      <c r="Y125" s="73">
        <f>T125-X125</f>
        <v>50346</v>
      </c>
    </row>
    <row r="126" spans="1:25" x14ac:dyDescent="0.3">
      <c r="A126" s="65" t="s">
        <v>918</v>
      </c>
      <c r="B126" s="66" t="s">
        <v>917</v>
      </c>
      <c r="C126" s="66" t="s">
        <v>214</v>
      </c>
      <c r="D126" s="67">
        <v>43</v>
      </c>
      <c r="E126" s="68">
        <v>43835</v>
      </c>
      <c r="F126" s="69" t="s">
        <v>213</v>
      </c>
      <c r="G126" s="69" t="str">
        <f>B126&amp;"@gmail.com"</f>
        <v>Name 125@gmail.com</v>
      </c>
      <c r="H126" s="70">
        <v>55000</v>
      </c>
      <c r="I126" s="71">
        <f>H126*18%</f>
        <v>9900</v>
      </c>
      <c r="J126" s="71">
        <f>H126*5%</f>
        <v>2750</v>
      </c>
      <c r="K126" s="71">
        <v>1000</v>
      </c>
      <c r="L126" s="71">
        <v>2000</v>
      </c>
      <c r="M126" s="71">
        <v>1600</v>
      </c>
      <c r="N126" s="71">
        <v>30</v>
      </c>
      <c r="O126" s="71">
        <f>(H126/30)*N126</f>
        <v>55000</v>
      </c>
      <c r="P126" s="72">
        <v>1</v>
      </c>
      <c r="Q126" s="72">
        <f>N126*P126</f>
        <v>30</v>
      </c>
      <c r="R126" s="71">
        <f>(H126/30)/8</f>
        <v>229.16666666666666</v>
      </c>
      <c r="S126" s="71">
        <f>Q126*R126</f>
        <v>6875</v>
      </c>
      <c r="T126" s="73">
        <f>I126+J126+K126+L126+M126+O126+S126</f>
        <v>79125</v>
      </c>
      <c r="U126" s="73">
        <v>205</v>
      </c>
      <c r="V126" s="73">
        <f>H126*12%</f>
        <v>6600</v>
      </c>
      <c r="W126" s="73">
        <v>0</v>
      </c>
      <c r="X126" s="73">
        <f>SUM(U126:W126)</f>
        <v>6805</v>
      </c>
      <c r="Y126" s="73">
        <f>T126-X126</f>
        <v>72320</v>
      </c>
    </row>
    <row r="127" spans="1:25" x14ac:dyDescent="0.3">
      <c r="A127" s="65" t="s">
        <v>916</v>
      </c>
      <c r="B127" s="66" t="s">
        <v>915</v>
      </c>
      <c r="C127" s="66" t="s">
        <v>210</v>
      </c>
      <c r="D127" s="67">
        <v>23</v>
      </c>
      <c r="E127" s="68">
        <v>43836</v>
      </c>
      <c r="F127" s="69" t="s">
        <v>206</v>
      </c>
      <c r="G127" s="69" t="str">
        <f>B127&amp;"@gmail.com"</f>
        <v>Name 126@gmail.com</v>
      </c>
      <c r="H127" s="70">
        <v>43000</v>
      </c>
      <c r="I127" s="71">
        <f>H127*18%</f>
        <v>7740</v>
      </c>
      <c r="J127" s="71">
        <f>H127*5%</f>
        <v>2150</v>
      </c>
      <c r="K127" s="71">
        <v>1000</v>
      </c>
      <c r="L127" s="71">
        <v>2000</v>
      </c>
      <c r="M127" s="71">
        <v>1600</v>
      </c>
      <c r="N127" s="71">
        <v>27</v>
      </c>
      <c r="O127" s="71">
        <f>(H127/30)*N127</f>
        <v>38700</v>
      </c>
      <c r="P127" s="72">
        <v>1</v>
      </c>
      <c r="Q127" s="72">
        <f>N127*P127</f>
        <v>27</v>
      </c>
      <c r="R127" s="71">
        <f>(H127/30)/8</f>
        <v>179.16666666666666</v>
      </c>
      <c r="S127" s="71">
        <f>Q127*R127</f>
        <v>4837.5</v>
      </c>
      <c r="T127" s="73">
        <f>I127+J127+K127+L127+M127+O127+S127</f>
        <v>58027.5</v>
      </c>
      <c r="U127" s="73">
        <v>200</v>
      </c>
      <c r="V127" s="73">
        <f>H127*12%</f>
        <v>5160</v>
      </c>
      <c r="W127" s="73">
        <v>0</v>
      </c>
      <c r="X127" s="73">
        <f>SUM(U127:W127)</f>
        <v>5360</v>
      </c>
      <c r="Y127" s="73">
        <f>T127-X127</f>
        <v>52667.5</v>
      </c>
    </row>
    <row r="128" spans="1:25" x14ac:dyDescent="0.3">
      <c r="A128" s="65" t="s">
        <v>914</v>
      </c>
      <c r="B128" s="66" t="s">
        <v>913</v>
      </c>
      <c r="C128" s="66" t="s">
        <v>207</v>
      </c>
      <c r="D128" s="67">
        <v>34</v>
      </c>
      <c r="E128" s="68">
        <v>43837</v>
      </c>
      <c r="F128" s="69" t="s">
        <v>206</v>
      </c>
      <c r="G128" s="69" t="str">
        <f>B128&amp;"@gmail.com"</f>
        <v>Name 127@gmail.com</v>
      </c>
      <c r="H128" s="70">
        <v>25000</v>
      </c>
      <c r="I128" s="71">
        <f>H128*18%</f>
        <v>4500</v>
      </c>
      <c r="J128" s="71">
        <f>H128*5%</f>
        <v>1250</v>
      </c>
      <c r="K128" s="71">
        <v>1000</v>
      </c>
      <c r="L128" s="71">
        <v>2000</v>
      </c>
      <c r="M128" s="71">
        <v>1600</v>
      </c>
      <c r="N128" s="71">
        <v>30</v>
      </c>
      <c r="O128" s="71">
        <f>(H128/30)*N128</f>
        <v>25000</v>
      </c>
      <c r="P128" s="72">
        <v>0</v>
      </c>
      <c r="Q128" s="72">
        <f>N128*P128</f>
        <v>0</v>
      </c>
      <c r="R128" s="71">
        <f>(H128/30)/8</f>
        <v>104.16666666666667</v>
      </c>
      <c r="S128" s="71">
        <f>Q128*R128</f>
        <v>0</v>
      </c>
      <c r="T128" s="73">
        <f>I128+J128+K128+L128+M128+O128+S128</f>
        <v>35350</v>
      </c>
      <c r="U128" s="73">
        <v>200</v>
      </c>
      <c r="V128" s="73">
        <f>H128*12%</f>
        <v>3000</v>
      </c>
      <c r="W128" s="73">
        <v>0</v>
      </c>
      <c r="X128" s="73">
        <f>SUM(U128:W128)</f>
        <v>3200</v>
      </c>
      <c r="Y128" s="73">
        <f>T128-X128</f>
        <v>32150</v>
      </c>
    </row>
    <row r="129" spans="1:25" x14ac:dyDescent="0.3">
      <c r="A129" s="65" t="s">
        <v>912</v>
      </c>
      <c r="B129" s="66" t="s">
        <v>911</v>
      </c>
      <c r="C129" s="66" t="s">
        <v>214</v>
      </c>
      <c r="D129" s="67">
        <v>23</v>
      </c>
      <c r="E129" s="68">
        <v>43838</v>
      </c>
      <c r="F129" s="69" t="s">
        <v>206</v>
      </c>
      <c r="G129" s="69" t="str">
        <f>B129&amp;"@gmail.com"</f>
        <v>Name 128@gmail.com</v>
      </c>
      <c r="H129" s="70">
        <v>28000</v>
      </c>
      <c r="I129" s="71">
        <f>H129*18%</f>
        <v>5040</v>
      </c>
      <c r="J129" s="71">
        <f>H129*5%</f>
        <v>1400</v>
      </c>
      <c r="K129" s="71">
        <v>1000</v>
      </c>
      <c r="L129" s="71">
        <v>2000</v>
      </c>
      <c r="M129" s="71">
        <v>1600</v>
      </c>
      <c r="N129" s="71">
        <v>20</v>
      </c>
      <c r="O129" s="71">
        <f>(H129/30)*N129</f>
        <v>18666.666666666668</v>
      </c>
      <c r="P129" s="72">
        <v>0</v>
      </c>
      <c r="Q129" s="72">
        <f>N129*P129</f>
        <v>0</v>
      </c>
      <c r="R129" s="71">
        <f>(H129/30)/8</f>
        <v>116.66666666666667</v>
      </c>
      <c r="S129" s="71">
        <f>Q129*R129</f>
        <v>0</v>
      </c>
      <c r="T129" s="73">
        <f>I129+J129+K129+L129+M129+O129+S129</f>
        <v>29706.666666666668</v>
      </c>
      <c r="U129" s="73">
        <v>200</v>
      </c>
      <c r="V129" s="73">
        <f>H129*12%</f>
        <v>3360</v>
      </c>
      <c r="W129" s="73">
        <v>0</v>
      </c>
      <c r="X129" s="73">
        <f>SUM(U129:W129)</f>
        <v>3560</v>
      </c>
      <c r="Y129" s="73">
        <f>T129-X129</f>
        <v>26146.666666666668</v>
      </c>
    </row>
    <row r="130" spans="1:25" x14ac:dyDescent="0.3">
      <c r="A130" s="65" t="s">
        <v>910</v>
      </c>
      <c r="B130" s="66" t="s">
        <v>909</v>
      </c>
      <c r="C130" s="66" t="s">
        <v>210</v>
      </c>
      <c r="D130" s="67">
        <v>34</v>
      </c>
      <c r="E130" s="68">
        <v>43839</v>
      </c>
      <c r="F130" s="69" t="s">
        <v>206</v>
      </c>
      <c r="G130" s="69" t="str">
        <f>B130&amp;"@gmail.com"</f>
        <v>Name 129@gmail.com</v>
      </c>
      <c r="H130" s="70">
        <v>40000</v>
      </c>
      <c r="I130" s="71">
        <f>H130*18%</f>
        <v>7200</v>
      </c>
      <c r="J130" s="71">
        <f>H130*5%</f>
        <v>2000</v>
      </c>
      <c r="K130" s="71">
        <v>1000</v>
      </c>
      <c r="L130" s="71">
        <v>2000</v>
      </c>
      <c r="M130" s="71">
        <v>1600</v>
      </c>
      <c r="N130" s="71">
        <v>28</v>
      </c>
      <c r="O130" s="71">
        <f>(H130/30)*N130</f>
        <v>37333.333333333328</v>
      </c>
      <c r="P130" s="72">
        <v>2</v>
      </c>
      <c r="Q130" s="72">
        <f>N130*P130</f>
        <v>56</v>
      </c>
      <c r="R130" s="71">
        <f>(H130/30)/8</f>
        <v>166.66666666666666</v>
      </c>
      <c r="S130" s="71">
        <f>Q130*R130</f>
        <v>9333.3333333333321</v>
      </c>
      <c r="T130" s="73">
        <f>I130+J130+K130+L130+M130+O130+S130</f>
        <v>60466.666666666657</v>
      </c>
      <c r="U130" s="73">
        <v>200</v>
      </c>
      <c r="V130" s="73">
        <f>H130*12%</f>
        <v>4800</v>
      </c>
      <c r="W130" s="73">
        <v>0</v>
      </c>
      <c r="X130" s="73">
        <f>SUM(U130:W130)</f>
        <v>5000</v>
      </c>
      <c r="Y130" s="73">
        <f>T130-X130</f>
        <v>55466.666666666657</v>
      </c>
    </row>
    <row r="131" spans="1:25" x14ac:dyDescent="0.3">
      <c r="A131" s="65" t="s">
        <v>908</v>
      </c>
      <c r="B131" s="66" t="s">
        <v>907</v>
      </c>
      <c r="C131" s="66" t="s">
        <v>210</v>
      </c>
      <c r="D131" s="67">
        <v>23</v>
      </c>
      <c r="E131" s="68">
        <v>43840</v>
      </c>
      <c r="F131" s="69" t="s">
        <v>206</v>
      </c>
      <c r="G131" s="69" t="str">
        <f>B131&amp;"@gmail.com"</f>
        <v>Name 130@gmail.com</v>
      </c>
      <c r="H131" s="70">
        <v>32000</v>
      </c>
      <c r="I131" s="71">
        <f>H131*18%</f>
        <v>5760</v>
      </c>
      <c r="J131" s="71">
        <f>H131*5%</f>
        <v>1600</v>
      </c>
      <c r="K131" s="71">
        <v>1000</v>
      </c>
      <c r="L131" s="71">
        <v>2000</v>
      </c>
      <c r="M131" s="71">
        <v>1600</v>
      </c>
      <c r="N131" s="71">
        <v>30</v>
      </c>
      <c r="O131" s="71">
        <f>(H131/30)*N131</f>
        <v>32000.000000000004</v>
      </c>
      <c r="P131" s="72">
        <v>1</v>
      </c>
      <c r="Q131" s="72">
        <f>N131*P131</f>
        <v>30</v>
      </c>
      <c r="R131" s="71">
        <f>(H131/30)/8</f>
        <v>133.33333333333334</v>
      </c>
      <c r="S131" s="71">
        <f>Q131*R131</f>
        <v>4000.0000000000005</v>
      </c>
      <c r="T131" s="73">
        <f>I131+J131+K131+L131+M131+O131+S131</f>
        <v>47960</v>
      </c>
      <c r="U131" s="73">
        <v>200</v>
      </c>
      <c r="V131" s="73">
        <f>H131*12%</f>
        <v>3840</v>
      </c>
      <c r="W131" s="73">
        <v>5000</v>
      </c>
      <c r="X131" s="73">
        <f>SUM(U131:W131)</f>
        <v>9040</v>
      </c>
      <c r="Y131" s="73">
        <f>T131-X131</f>
        <v>38920</v>
      </c>
    </row>
    <row r="132" spans="1:25" x14ac:dyDescent="0.3">
      <c r="A132" s="65" t="s">
        <v>906</v>
      </c>
      <c r="B132" s="66" t="s">
        <v>905</v>
      </c>
      <c r="C132" s="66" t="s">
        <v>207</v>
      </c>
      <c r="D132" s="67">
        <v>34</v>
      </c>
      <c r="E132" s="68">
        <v>43841</v>
      </c>
      <c r="F132" s="69" t="s">
        <v>206</v>
      </c>
      <c r="G132" s="69" t="str">
        <f>B132&amp;"@gmail.com"</f>
        <v>Name 131@gmail.com</v>
      </c>
      <c r="H132" s="70">
        <v>28000</v>
      </c>
      <c r="I132" s="71">
        <f>H132*18%</f>
        <v>5040</v>
      </c>
      <c r="J132" s="71">
        <f>H132*5%</f>
        <v>1400</v>
      </c>
      <c r="K132" s="71">
        <v>1000</v>
      </c>
      <c r="L132" s="71">
        <v>2000</v>
      </c>
      <c r="M132" s="71">
        <v>1600</v>
      </c>
      <c r="N132" s="71">
        <v>29</v>
      </c>
      <c r="O132" s="71">
        <f>(H132/30)*N132</f>
        <v>27066.666666666668</v>
      </c>
      <c r="P132" s="72">
        <v>1</v>
      </c>
      <c r="Q132" s="72">
        <f>N132*P132</f>
        <v>29</v>
      </c>
      <c r="R132" s="71">
        <f>(H132/30)/8</f>
        <v>116.66666666666667</v>
      </c>
      <c r="S132" s="71">
        <f>Q132*R132</f>
        <v>3383.3333333333335</v>
      </c>
      <c r="T132" s="73">
        <f>I132+J132+K132+L132+M132+O132+S132</f>
        <v>41490.000000000007</v>
      </c>
      <c r="U132" s="73">
        <v>200</v>
      </c>
      <c r="V132" s="73">
        <f>H132*12%</f>
        <v>3360</v>
      </c>
      <c r="W132" s="73">
        <v>0</v>
      </c>
      <c r="X132" s="73">
        <f>SUM(U132:W132)</f>
        <v>3560</v>
      </c>
      <c r="Y132" s="73">
        <f>T132-X132</f>
        <v>37930.000000000007</v>
      </c>
    </row>
    <row r="133" spans="1:25" x14ac:dyDescent="0.3">
      <c r="A133" s="65" t="s">
        <v>904</v>
      </c>
      <c r="B133" s="66" t="s">
        <v>903</v>
      </c>
      <c r="C133" s="66" t="s">
        <v>214</v>
      </c>
      <c r="D133" s="67">
        <v>45</v>
      </c>
      <c r="E133" s="68">
        <v>43842</v>
      </c>
      <c r="F133" s="69" t="s">
        <v>213</v>
      </c>
      <c r="G133" s="69" t="str">
        <f>B133&amp;"@gmail.com"</f>
        <v>Name 132@gmail.com</v>
      </c>
      <c r="H133" s="70">
        <v>44000</v>
      </c>
      <c r="I133" s="71">
        <f>H133*18%</f>
        <v>7920</v>
      </c>
      <c r="J133" s="71">
        <f>H133*5%</f>
        <v>2200</v>
      </c>
      <c r="K133" s="71">
        <v>1000</v>
      </c>
      <c r="L133" s="71">
        <v>2000</v>
      </c>
      <c r="M133" s="71">
        <v>1600</v>
      </c>
      <c r="N133" s="71">
        <v>28</v>
      </c>
      <c r="O133" s="71">
        <f>(H133/30)*N133</f>
        <v>41066.666666666672</v>
      </c>
      <c r="P133" s="72">
        <v>1</v>
      </c>
      <c r="Q133" s="72">
        <f>N133*P133</f>
        <v>28</v>
      </c>
      <c r="R133" s="71">
        <f>(H133/30)/8</f>
        <v>183.33333333333334</v>
      </c>
      <c r="S133" s="71">
        <f>Q133*R133</f>
        <v>5133.3333333333339</v>
      </c>
      <c r="T133" s="73">
        <f>I133+J133+K133+L133+M133+O133+S133</f>
        <v>60920.000000000007</v>
      </c>
      <c r="U133" s="73">
        <v>200</v>
      </c>
      <c r="V133" s="73">
        <f>H133*12%</f>
        <v>5280</v>
      </c>
      <c r="W133" s="73">
        <v>0</v>
      </c>
      <c r="X133" s="73">
        <f>SUM(U133:W133)</f>
        <v>5480</v>
      </c>
      <c r="Y133" s="73">
        <f>T133-X133</f>
        <v>55440.000000000007</v>
      </c>
    </row>
    <row r="134" spans="1:25" x14ac:dyDescent="0.3">
      <c r="A134" s="65" t="s">
        <v>902</v>
      </c>
      <c r="B134" s="66" t="s">
        <v>901</v>
      </c>
      <c r="C134" s="66" t="s">
        <v>210</v>
      </c>
      <c r="D134" s="67">
        <v>54</v>
      </c>
      <c r="E134" s="68">
        <v>43843</v>
      </c>
      <c r="F134" s="69" t="s">
        <v>206</v>
      </c>
      <c r="G134" s="69" t="str">
        <f>B134&amp;"@gmail.com"</f>
        <v>Name 133@gmail.com</v>
      </c>
      <c r="H134" s="70">
        <v>25000</v>
      </c>
      <c r="I134" s="71">
        <f>H134*18%</f>
        <v>4500</v>
      </c>
      <c r="J134" s="71">
        <f>H134*5%</f>
        <v>1250</v>
      </c>
      <c r="K134" s="71">
        <v>1000</v>
      </c>
      <c r="L134" s="71">
        <v>2000</v>
      </c>
      <c r="M134" s="71">
        <v>1600</v>
      </c>
      <c r="N134" s="71">
        <v>27</v>
      </c>
      <c r="O134" s="71">
        <f>(H134/30)*N134</f>
        <v>22500</v>
      </c>
      <c r="P134" s="72">
        <v>1</v>
      </c>
      <c r="Q134" s="72">
        <f>N134*P134</f>
        <v>27</v>
      </c>
      <c r="R134" s="71">
        <f>(H134/30)/8</f>
        <v>104.16666666666667</v>
      </c>
      <c r="S134" s="71">
        <f>Q134*R134</f>
        <v>2812.5</v>
      </c>
      <c r="T134" s="73">
        <f>I134+J134+K134+L134+M134+O134+S134</f>
        <v>35662.5</v>
      </c>
      <c r="U134" s="73">
        <v>200</v>
      </c>
      <c r="V134" s="73">
        <f>H134*12%</f>
        <v>3000</v>
      </c>
      <c r="W134" s="73">
        <v>0</v>
      </c>
      <c r="X134" s="73">
        <f>SUM(U134:W134)</f>
        <v>3200</v>
      </c>
      <c r="Y134" s="73">
        <f>T134-X134</f>
        <v>32462.5</v>
      </c>
    </row>
    <row r="135" spans="1:25" x14ac:dyDescent="0.3">
      <c r="A135" s="65" t="s">
        <v>900</v>
      </c>
      <c r="B135" s="66" t="s">
        <v>899</v>
      </c>
      <c r="C135" s="66" t="s">
        <v>214</v>
      </c>
      <c r="D135" s="67">
        <v>56</v>
      </c>
      <c r="E135" s="68">
        <v>43844</v>
      </c>
      <c r="F135" s="69" t="s">
        <v>206</v>
      </c>
      <c r="G135" s="69" t="str">
        <f>B135&amp;"@gmail.com"</f>
        <v>Name 134@gmail.com</v>
      </c>
      <c r="H135" s="70">
        <v>50000</v>
      </c>
      <c r="I135" s="71">
        <f>H135*18%</f>
        <v>9000</v>
      </c>
      <c r="J135" s="71">
        <f>H135*5%</f>
        <v>2500</v>
      </c>
      <c r="K135" s="71">
        <v>1000</v>
      </c>
      <c r="L135" s="71">
        <v>2000</v>
      </c>
      <c r="M135" s="71">
        <v>1600</v>
      </c>
      <c r="N135" s="71">
        <v>27</v>
      </c>
      <c r="O135" s="71">
        <f>(H135/30)*N135</f>
        <v>45000</v>
      </c>
      <c r="P135" s="72">
        <v>3</v>
      </c>
      <c r="Q135" s="72">
        <f>N135*P135</f>
        <v>81</v>
      </c>
      <c r="R135" s="71">
        <f>(H135/30)/8</f>
        <v>208.33333333333334</v>
      </c>
      <c r="S135" s="71">
        <f>Q135*R135</f>
        <v>16875</v>
      </c>
      <c r="T135" s="73">
        <f>I135+J135+K135+L135+M135+O135+S135</f>
        <v>77975</v>
      </c>
      <c r="U135" s="73">
        <v>201</v>
      </c>
      <c r="V135" s="73">
        <f>H135*12%</f>
        <v>6000</v>
      </c>
      <c r="W135" s="73">
        <v>0</v>
      </c>
      <c r="X135" s="73">
        <f>SUM(U135:W135)</f>
        <v>6201</v>
      </c>
      <c r="Y135" s="73">
        <f>T135-X135</f>
        <v>71774</v>
      </c>
    </row>
    <row r="136" spans="1:25" x14ac:dyDescent="0.3">
      <c r="A136" s="65" t="s">
        <v>898</v>
      </c>
      <c r="B136" s="66" t="s">
        <v>897</v>
      </c>
      <c r="C136" s="66" t="s">
        <v>214</v>
      </c>
      <c r="D136" s="67">
        <v>54</v>
      </c>
      <c r="E136" s="68">
        <v>43845</v>
      </c>
      <c r="F136" s="69" t="s">
        <v>213</v>
      </c>
      <c r="G136" s="69" t="str">
        <f>B136&amp;"@gmail.com"</f>
        <v>Name 135@gmail.com</v>
      </c>
      <c r="H136" s="70">
        <v>70000</v>
      </c>
      <c r="I136" s="71">
        <f>H136*18%</f>
        <v>12600</v>
      </c>
      <c r="J136" s="71">
        <f>H136*5%</f>
        <v>3500</v>
      </c>
      <c r="K136" s="71">
        <v>1000</v>
      </c>
      <c r="L136" s="71">
        <v>0</v>
      </c>
      <c r="M136" s="71">
        <v>1600</v>
      </c>
      <c r="N136" s="71">
        <v>27</v>
      </c>
      <c r="O136" s="71">
        <f>(H136/30)*N136</f>
        <v>63000.000000000007</v>
      </c>
      <c r="P136" s="72">
        <v>1</v>
      </c>
      <c r="Q136" s="72">
        <f>N136*P136</f>
        <v>27</v>
      </c>
      <c r="R136" s="71">
        <f>(H136/30)/8</f>
        <v>291.66666666666669</v>
      </c>
      <c r="S136" s="71">
        <f>Q136*R136</f>
        <v>7875.0000000000009</v>
      </c>
      <c r="T136" s="73">
        <f>I136+J136+K136+L136+M136+O136+S136</f>
        <v>89575</v>
      </c>
      <c r="U136" s="73">
        <v>202</v>
      </c>
      <c r="V136" s="73">
        <f>H136*12%</f>
        <v>8400</v>
      </c>
      <c r="W136" s="73">
        <v>0</v>
      </c>
      <c r="X136" s="73">
        <f>SUM(U136:W136)</f>
        <v>8602</v>
      </c>
      <c r="Y136" s="73">
        <f>T136-X136</f>
        <v>80973</v>
      </c>
    </row>
    <row r="137" spans="1:25" x14ac:dyDescent="0.3">
      <c r="A137" s="65" t="s">
        <v>896</v>
      </c>
      <c r="B137" s="66" t="s">
        <v>895</v>
      </c>
      <c r="C137" s="66" t="s">
        <v>214</v>
      </c>
      <c r="D137" s="67">
        <v>34</v>
      </c>
      <c r="E137" s="68">
        <v>43846</v>
      </c>
      <c r="F137" s="69" t="s">
        <v>213</v>
      </c>
      <c r="G137" s="69" t="str">
        <f>B137&amp;"@gmail.com"</f>
        <v>Name 136@gmail.com</v>
      </c>
      <c r="H137" s="70">
        <v>34000</v>
      </c>
      <c r="I137" s="71">
        <f>H137*18%</f>
        <v>6120</v>
      </c>
      <c r="J137" s="71">
        <f>H137*5%</f>
        <v>1700</v>
      </c>
      <c r="K137" s="71">
        <v>1000</v>
      </c>
      <c r="L137" s="71">
        <v>2000</v>
      </c>
      <c r="M137" s="71">
        <v>1600</v>
      </c>
      <c r="N137" s="71">
        <v>30</v>
      </c>
      <c r="O137" s="71">
        <f>(H137/30)*N137</f>
        <v>34000</v>
      </c>
      <c r="P137" s="72">
        <v>2</v>
      </c>
      <c r="Q137" s="72">
        <f>N137*P137</f>
        <v>60</v>
      </c>
      <c r="R137" s="71">
        <f>(H137/30)/8</f>
        <v>141.66666666666666</v>
      </c>
      <c r="S137" s="71">
        <f>Q137*R137</f>
        <v>8500</v>
      </c>
      <c r="T137" s="73">
        <f>I137+J137+K137+L137+M137+O137+S137</f>
        <v>54920</v>
      </c>
      <c r="U137" s="73">
        <v>203</v>
      </c>
      <c r="V137" s="73">
        <f>H137*12%</f>
        <v>4080</v>
      </c>
      <c r="W137" s="73">
        <v>0</v>
      </c>
      <c r="X137" s="73">
        <f>SUM(U137:W137)</f>
        <v>4283</v>
      </c>
      <c r="Y137" s="73">
        <f>T137-X137</f>
        <v>50637</v>
      </c>
    </row>
    <row r="138" spans="1:25" x14ac:dyDescent="0.3">
      <c r="A138" s="65" t="s">
        <v>894</v>
      </c>
      <c r="B138" s="66" t="s">
        <v>893</v>
      </c>
      <c r="C138" s="66" t="s">
        <v>214</v>
      </c>
      <c r="D138" s="67">
        <v>23</v>
      </c>
      <c r="E138" s="68">
        <v>43847</v>
      </c>
      <c r="F138" s="69" t="s">
        <v>213</v>
      </c>
      <c r="G138" s="69" t="str">
        <f>B138&amp;"@gmail.com"</f>
        <v>Name 137@gmail.com</v>
      </c>
      <c r="H138" s="70">
        <v>45000</v>
      </c>
      <c r="I138" s="71">
        <f>H138*18%</f>
        <v>8100</v>
      </c>
      <c r="J138" s="71">
        <f>H138*5%</f>
        <v>2250</v>
      </c>
      <c r="K138" s="71">
        <v>1000</v>
      </c>
      <c r="L138" s="71">
        <v>5000</v>
      </c>
      <c r="M138" s="71">
        <v>1600</v>
      </c>
      <c r="N138" s="71">
        <v>30</v>
      </c>
      <c r="O138" s="71">
        <f>(H138/30)*N138</f>
        <v>45000</v>
      </c>
      <c r="P138" s="72">
        <v>0</v>
      </c>
      <c r="Q138" s="72">
        <f>N138*P138</f>
        <v>0</v>
      </c>
      <c r="R138" s="71">
        <f>(H138/30)/8</f>
        <v>187.5</v>
      </c>
      <c r="S138" s="71">
        <f>Q138*R138</f>
        <v>0</v>
      </c>
      <c r="T138" s="73">
        <f>I138+J138+K138+L138+M138+O138+S138</f>
        <v>62950</v>
      </c>
      <c r="U138" s="73">
        <v>204</v>
      </c>
      <c r="V138" s="73">
        <f>H138*12%</f>
        <v>5400</v>
      </c>
      <c r="W138" s="73">
        <v>4000</v>
      </c>
      <c r="X138" s="73">
        <f>SUM(U138:W138)</f>
        <v>9604</v>
      </c>
      <c r="Y138" s="73">
        <f>T138-X138</f>
        <v>53346</v>
      </c>
    </row>
    <row r="139" spans="1:25" x14ac:dyDescent="0.3">
      <c r="A139" s="65" t="s">
        <v>892</v>
      </c>
      <c r="B139" s="66" t="s">
        <v>891</v>
      </c>
      <c r="C139" s="66" t="s">
        <v>214</v>
      </c>
      <c r="D139" s="67">
        <v>34</v>
      </c>
      <c r="E139" s="68">
        <v>43848</v>
      </c>
      <c r="F139" s="69" t="s">
        <v>213</v>
      </c>
      <c r="G139" s="69" t="str">
        <f>B139&amp;"@gmail.com"</f>
        <v>Name 138@gmail.com</v>
      </c>
      <c r="H139" s="70">
        <v>55000</v>
      </c>
      <c r="I139" s="71">
        <f>H139*18%</f>
        <v>9900</v>
      </c>
      <c r="J139" s="71">
        <f>H139*5%</f>
        <v>2750</v>
      </c>
      <c r="K139" s="71">
        <v>1000</v>
      </c>
      <c r="L139" s="71">
        <v>0</v>
      </c>
      <c r="M139" s="71">
        <v>1600</v>
      </c>
      <c r="N139" s="71">
        <v>30</v>
      </c>
      <c r="O139" s="71">
        <f>(H139/30)*N139</f>
        <v>55000</v>
      </c>
      <c r="P139" s="72">
        <v>1</v>
      </c>
      <c r="Q139" s="72">
        <f>N139*P139</f>
        <v>30</v>
      </c>
      <c r="R139" s="71">
        <f>(H139/30)/8</f>
        <v>229.16666666666666</v>
      </c>
      <c r="S139" s="71">
        <f>Q139*R139</f>
        <v>6875</v>
      </c>
      <c r="T139" s="73">
        <f>I139+J139+K139+L139+M139+O139+S139</f>
        <v>77125</v>
      </c>
      <c r="U139" s="73">
        <v>205</v>
      </c>
      <c r="V139" s="73">
        <f>H139*12%</f>
        <v>6600</v>
      </c>
      <c r="W139" s="73">
        <v>0</v>
      </c>
      <c r="X139" s="73">
        <f>SUM(U139:W139)</f>
        <v>6805</v>
      </c>
      <c r="Y139" s="73">
        <f>T139-X139</f>
        <v>70320</v>
      </c>
    </row>
    <row r="140" spans="1:25" x14ac:dyDescent="0.3">
      <c r="A140" s="65" t="s">
        <v>890</v>
      </c>
      <c r="B140" s="66" t="s">
        <v>889</v>
      </c>
      <c r="C140" s="66" t="s">
        <v>210</v>
      </c>
      <c r="D140" s="67">
        <v>43</v>
      </c>
      <c r="E140" s="68">
        <v>43849</v>
      </c>
      <c r="F140" s="69" t="s">
        <v>206</v>
      </c>
      <c r="G140" s="69" t="str">
        <f>B140&amp;"@gmail.com"</f>
        <v>Name 139@gmail.com</v>
      </c>
      <c r="H140" s="70">
        <v>43000</v>
      </c>
      <c r="I140" s="71">
        <f>H140*18%</f>
        <v>7740</v>
      </c>
      <c r="J140" s="71">
        <f>H140*5%</f>
        <v>2150</v>
      </c>
      <c r="K140" s="71">
        <v>1000</v>
      </c>
      <c r="L140" s="71">
        <v>0</v>
      </c>
      <c r="M140" s="71">
        <v>1600</v>
      </c>
      <c r="N140" s="71">
        <v>27</v>
      </c>
      <c r="O140" s="71">
        <f>(H140/30)*N140</f>
        <v>38700</v>
      </c>
      <c r="P140" s="72">
        <v>1</v>
      </c>
      <c r="Q140" s="72">
        <f>N140*P140</f>
        <v>27</v>
      </c>
      <c r="R140" s="71">
        <f>(H140/30)/8</f>
        <v>179.16666666666666</v>
      </c>
      <c r="S140" s="71">
        <f>Q140*R140</f>
        <v>4837.5</v>
      </c>
      <c r="T140" s="73">
        <f>I140+J140+K140+L140+M140+O140+S140</f>
        <v>56027.5</v>
      </c>
      <c r="U140" s="73">
        <v>200</v>
      </c>
      <c r="V140" s="73">
        <f>H140*12%</f>
        <v>5160</v>
      </c>
      <c r="W140" s="73">
        <v>0</v>
      </c>
      <c r="X140" s="73">
        <f>SUM(U140:W140)</f>
        <v>5360</v>
      </c>
      <c r="Y140" s="73">
        <f>T140-X140</f>
        <v>50667.5</v>
      </c>
    </row>
    <row r="141" spans="1:25" x14ac:dyDescent="0.3">
      <c r="A141" s="65" t="s">
        <v>888</v>
      </c>
      <c r="B141" s="66" t="s">
        <v>887</v>
      </c>
      <c r="C141" s="66" t="s">
        <v>207</v>
      </c>
      <c r="D141" s="67">
        <v>34</v>
      </c>
      <c r="E141" s="68">
        <v>43850</v>
      </c>
      <c r="F141" s="69" t="s">
        <v>206</v>
      </c>
      <c r="G141" s="69" t="str">
        <f>B141&amp;"@gmail.com"</f>
        <v>Name 140@gmail.com</v>
      </c>
      <c r="H141" s="70">
        <v>25000</v>
      </c>
      <c r="I141" s="71">
        <f>H141*18%</f>
        <v>4500</v>
      </c>
      <c r="J141" s="71">
        <f>H141*5%</f>
        <v>1250</v>
      </c>
      <c r="K141" s="71">
        <v>1000</v>
      </c>
      <c r="L141" s="71">
        <v>0</v>
      </c>
      <c r="M141" s="71">
        <v>1600</v>
      </c>
      <c r="N141" s="71">
        <v>30</v>
      </c>
      <c r="O141" s="71">
        <f>(H141/30)*N141</f>
        <v>25000</v>
      </c>
      <c r="P141" s="72">
        <v>0</v>
      </c>
      <c r="Q141" s="72">
        <f>N141*P141</f>
        <v>0</v>
      </c>
      <c r="R141" s="71">
        <f>(H141/30)/8</f>
        <v>104.16666666666667</v>
      </c>
      <c r="S141" s="71">
        <f>Q141*R141</f>
        <v>0</v>
      </c>
      <c r="T141" s="73">
        <f>I141+J141+K141+L141+M141+O141+S141</f>
        <v>33350</v>
      </c>
      <c r="U141" s="73">
        <v>200</v>
      </c>
      <c r="V141" s="73">
        <f>H141*12%</f>
        <v>3000</v>
      </c>
      <c r="W141" s="73">
        <v>0</v>
      </c>
      <c r="X141" s="73">
        <f>SUM(U141:W141)</f>
        <v>3200</v>
      </c>
      <c r="Y141" s="73">
        <f>T141-X141</f>
        <v>30150</v>
      </c>
    </row>
    <row r="142" spans="1:25" x14ac:dyDescent="0.3">
      <c r="A142" s="65" t="s">
        <v>886</v>
      </c>
      <c r="B142" s="66" t="s">
        <v>885</v>
      </c>
      <c r="C142" s="66" t="s">
        <v>214</v>
      </c>
      <c r="D142" s="67">
        <v>43</v>
      </c>
      <c r="E142" s="68">
        <v>43851</v>
      </c>
      <c r="F142" s="69" t="s">
        <v>206</v>
      </c>
      <c r="G142" s="69" t="str">
        <f>B142&amp;"@gmail.com"</f>
        <v>Name 141@gmail.com</v>
      </c>
      <c r="H142" s="70">
        <v>28000</v>
      </c>
      <c r="I142" s="71">
        <f>H142*18%</f>
        <v>5040</v>
      </c>
      <c r="J142" s="71">
        <f>H142*5%</f>
        <v>1400</v>
      </c>
      <c r="K142" s="71">
        <v>1000</v>
      </c>
      <c r="L142" s="71">
        <v>0</v>
      </c>
      <c r="M142" s="71">
        <v>1600</v>
      </c>
      <c r="N142" s="71">
        <v>20</v>
      </c>
      <c r="O142" s="71">
        <f>(H142/30)*N142</f>
        <v>18666.666666666668</v>
      </c>
      <c r="P142" s="72">
        <v>0</v>
      </c>
      <c r="Q142" s="72">
        <f>N142*P142</f>
        <v>0</v>
      </c>
      <c r="R142" s="71">
        <f>(H142/30)/8</f>
        <v>116.66666666666667</v>
      </c>
      <c r="S142" s="71">
        <f>Q142*R142</f>
        <v>0</v>
      </c>
      <c r="T142" s="73">
        <f>I142+J142+K142+L142+M142+O142+S142</f>
        <v>27706.666666666668</v>
      </c>
      <c r="U142" s="73">
        <v>200</v>
      </c>
      <c r="V142" s="73">
        <f>H142*12%</f>
        <v>3360</v>
      </c>
      <c r="W142" s="73">
        <v>0</v>
      </c>
      <c r="X142" s="73">
        <f>SUM(U142:W142)</f>
        <v>3560</v>
      </c>
      <c r="Y142" s="73">
        <f>T142-X142</f>
        <v>24146.666666666668</v>
      </c>
    </row>
    <row r="143" spans="1:25" x14ac:dyDescent="0.3">
      <c r="A143" s="65" t="s">
        <v>884</v>
      </c>
      <c r="B143" s="66" t="s">
        <v>883</v>
      </c>
      <c r="C143" s="66" t="s">
        <v>210</v>
      </c>
      <c r="D143" s="67">
        <v>23</v>
      </c>
      <c r="E143" s="68">
        <v>43852</v>
      </c>
      <c r="F143" s="69" t="s">
        <v>206</v>
      </c>
      <c r="G143" s="69" t="str">
        <f>B143&amp;"@gmail.com"</f>
        <v>Name 142@gmail.com</v>
      </c>
      <c r="H143" s="70">
        <v>40000</v>
      </c>
      <c r="I143" s="71">
        <f>H143*18%</f>
        <v>7200</v>
      </c>
      <c r="J143" s="71">
        <f>H143*5%</f>
        <v>2000</v>
      </c>
      <c r="K143" s="71">
        <v>1000</v>
      </c>
      <c r="L143" s="71">
        <v>0</v>
      </c>
      <c r="M143" s="71">
        <v>1600</v>
      </c>
      <c r="N143" s="71">
        <v>28</v>
      </c>
      <c r="O143" s="71">
        <f>(H143/30)*N143</f>
        <v>37333.333333333328</v>
      </c>
      <c r="P143" s="72">
        <v>2</v>
      </c>
      <c r="Q143" s="72">
        <f>N143*P143</f>
        <v>56</v>
      </c>
      <c r="R143" s="71">
        <f>(H143/30)/8</f>
        <v>166.66666666666666</v>
      </c>
      <c r="S143" s="71">
        <f>Q143*R143</f>
        <v>9333.3333333333321</v>
      </c>
      <c r="T143" s="73">
        <f>I143+J143+K143+L143+M143+O143+S143</f>
        <v>58466.666666666657</v>
      </c>
      <c r="U143" s="73">
        <v>200</v>
      </c>
      <c r="V143" s="73">
        <f>H143*12%</f>
        <v>4800</v>
      </c>
      <c r="W143" s="73">
        <v>0</v>
      </c>
      <c r="X143" s="73">
        <f>SUM(U143:W143)</f>
        <v>5000</v>
      </c>
      <c r="Y143" s="73">
        <f>T143-X143</f>
        <v>53466.666666666657</v>
      </c>
    </row>
    <row r="144" spans="1:25" x14ac:dyDescent="0.3">
      <c r="A144" s="65" t="s">
        <v>882</v>
      </c>
      <c r="B144" s="66" t="s">
        <v>881</v>
      </c>
      <c r="C144" s="66" t="s">
        <v>210</v>
      </c>
      <c r="D144" s="67">
        <v>34</v>
      </c>
      <c r="E144" s="68">
        <v>43853</v>
      </c>
      <c r="F144" s="69" t="s">
        <v>206</v>
      </c>
      <c r="G144" s="69" t="str">
        <f>B144&amp;"@gmail.com"</f>
        <v>Name 143@gmail.com</v>
      </c>
      <c r="H144" s="70">
        <v>32000</v>
      </c>
      <c r="I144" s="71">
        <f>H144*18%</f>
        <v>5760</v>
      </c>
      <c r="J144" s="71">
        <f>H144*5%</f>
        <v>1600</v>
      </c>
      <c r="K144" s="71">
        <v>1000</v>
      </c>
      <c r="L144" s="71">
        <v>0</v>
      </c>
      <c r="M144" s="71">
        <v>1600</v>
      </c>
      <c r="N144" s="71">
        <v>30</v>
      </c>
      <c r="O144" s="71">
        <f>(H144/30)*N144</f>
        <v>32000.000000000004</v>
      </c>
      <c r="P144" s="72">
        <v>1</v>
      </c>
      <c r="Q144" s="72">
        <f>N144*P144</f>
        <v>30</v>
      </c>
      <c r="R144" s="71">
        <f>(H144/30)/8</f>
        <v>133.33333333333334</v>
      </c>
      <c r="S144" s="71">
        <f>Q144*R144</f>
        <v>4000.0000000000005</v>
      </c>
      <c r="T144" s="73">
        <f>I144+J144+K144+L144+M144+O144+S144</f>
        <v>45960</v>
      </c>
      <c r="U144" s="73">
        <v>200</v>
      </c>
      <c r="V144" s="73">
        <f>H144*12%</f>
        <v>3840</v>
      </c>
      <c r="W144" s="73">
        <v>5000</v>
      </c>
      <c r="X144" s="73">
        <f>SUM(U144:W144)</f>
        <v>9040</v>
      </c>
      <c r="Y144" s="73">
        <f>T144-X144</f>
        <v>36920</v>
      </c>
    </row>
    <row r="145" spans="1:25" x14ac:dyDescent="0.3">
      <c r="A145" s="65" t="s">
        <v>880</v>
      </c>
      <c r="B145" s="66" t="s">
        <v>879</v>
      </c>
      <c r="C145" s="66" t="s">
        <v>207</v>
      </c>
      <c r="D145" s="67">
        <v>23</v>
      </c>
      <c r="E145" s="68">
        <v>43854</v>
      </c>
      <c r="F145" s="69" t="s">
        <v>206</v>
      </c>
      <c r="G145" s="69" t="str">
        <f>B145&amp;"@gmail.com"</f>
        <v>Name 144@gmail.com</v>
      </c>
      <c r="H145" s="70">
        <v>28000</v>
      </c>
      <c r="I145" s="71">
        <f>H145*18%</f>
        <v>5040</v>
      </c>
      <c r="J145" s="71">
        <f>H145*5%</f>
        <v>1400</v>
      </c>
      <c r="K145" s="71">
        <v>1000</v>
      </c>
      <c r="L145" s="71">
        <v>0</v>
      </c>
      <c r="M145" s="71">
        <v>1600</v>
      </c>
      <c r="N145" s="71">
        <v>29</v>
      </c>
      <c r="O145" s="71">
        <f>(H145/30)*N145</f>
        <v>27066.666666666668</v>
      </c>
      <c r="P145" s="72">
        <v>1</v>
      </c>
      <c r="Q145" s="72">
        <f>N145*P145</f>
        <v>29</v>
      </c>
      <c r="R145" s="71">
        <f>(H145/30)/8</f>
        <v>116.66666666666667</v>
      </c>
      <c r="S145" s="71">
        <f>Q145*R145</f>
        <v>3383.3333333333335</v>
      </c>
      <c r="T145" s="73">
        <f>I145+J145+K145+L145+M145+O145+S145</f>
        <v>39490.000000000007</v>
      </c>
      <c r="U145" s="73">
        <v>200</v>
      </c>
      <c r="V145" s="73">
        <f>H145*12%</f>
        <v>3360</v>
      </c>
      <c r="W145" s="73">
        <v>0</v>
      </c>
      <c r="X145" s="73">
        <f>SUM(U145:W145)</f>
        <v>3560</v>
      </c>
      <c r="Y145" s="73">
        <f>T145-X145</f>
        <v>35930.000000000007</v>
      </c>
    </row>
    <row r="146" spans="1:25" x14ac:dyDescent="0.3">
      <c r="A146" s="65" t="s">
        <v>878</v>
      </c>
      <c r="B146" s="66" t="s">
        <v>877</v>
      </c>
      <c r="C146" s="66" t="s">
        <v>214</v>
      </c>
      <c r="D146" s="67">
        <v>34</v>
      </c>
      <c r="E146" s="68">
        <v>43831</v>
      </c>
      <c r="F146" s="69" t="s">
        <v>213</v>
      </c>
      <c r="G146" s="69" t="str">
        <f>B146&amp;"@gmail.com"</f>
        <v>Name 145@gmail.com</v>
      </c>
      <c r="H146" s="70">
        <v>44000</v>
      </c>
      <c r="I146" s="71">
        <f>H146*18%</f>
        <v>7920</v>
      </c>
      <c r="J146" s="71">
        <f>H146*5%</f>
        <v>2200</v>
      </c>
      <c r="K146" s="71">
        <v>1000</v>
      </c>
      <c r="L146" s="71">
        <v>0</v>
      </c>
      <c r="M146" s="71">
        <v>1600</v>
      </c>
      <c r="N146" s="71">
        <v>28</v>
      </c>
      <c r="O146" s="71">
        <f>(H146/30)*N146</f>
        <v>41066.666666666672</v>
      </c>
      <c r="P146" s="72">
        <v>1</v>
      </c>
      <c r="Q146" s="72">
        <f>N146*P146</f>
        <v>28</v>
      </c>
      <c r="R146" s="71">
        <f>(H146/30)/8</f>
        <v>183.33333333333334</v>
      </c>
      <c r="S146" s="71">
        <f>Q146*R146</f>
        <v>5133.3333333333339</v>
      </c>
      <c r="T146" s="73">
        <f>I146+J146+K146+L146+M146+O146+S146</f>
        <v>58920.000000000007</v>
      </c>
      <c r="U146" s="73">
        <v>200</v>
      </c>
      <c r="V146" s="73">
        <f>H146*12%</f>
        <v>5280</v>
      </c>
      <c r="W146" s="73">
        <v>0</v>
      </c>
      <c r="X146" s="73">
        <f>SUM(U146:W146)</f>
        <v>5480</v>
      </c>
      <c r="Y146" s="73">
        <f>T146-X146</f>
        <v>53440.000000000007</v>
      </c>
    </row>
    <row r="147" spans="1:25" x14ac:dyDescent="0.3">
      <c r="A147" s="65" t="s">
        <v>876</v>
      </c>
      <c r="B147" s="66" t="s">
        <v>875</v>
      </c>
      <c r="C147" s="66" t="s">
        <v>210</v>
      </c>
      <c r="D147" s="67">
        <v>23</v>
      </c>
      <c r="E147" s="68">
        <v>43832</v>
      </c>
      <c r="F147" s="69" t="s">
        <v>206</v>
      </c>
      <c r="G147" s="69" t="str">
        <f>B147&amp;"@gmail.com"</f>
        <v>Name 146@gmail.com</v>
      </c>
      <c r="H147" s="70">
        <v>25000</v>
      </c>
      <c r="I147" s="71">
        <f>H147*18%</f>
        <v>4500</v>
      </c>
      <c r="J147" s="71">
        <f>H147*5%</f>
        <v>1250</v>
      </c>
      <c r="K147" s="71">
        <v>1000</v>
      </c>
      <c r="L147" s="71">
        <v>0</v>
      </c>
      <c r="M147" s="71">
        <v>1600</v>
      </c>
      <c r="N147" s="71">
        <v>27</v>
      </c>
      <c r="O147" s="71">
        <f>(H147/30)*N147</f>
        <v>22500</v>
      </c>
      <c r="P147" s="72">
        <v>1</v>
      </c>
      <c r="Q147" s="72">
        <f>N147*P147</f>
        <v>27</v>
      </c>
      <c r="R147" s="71">
        <f>(H147/30)/8</f>
        <v>104.16666666666667</v>
      </c>
      <c r="S147" s="71">
        <f>Q147*R147</f>
        <v>2812.5</v>
      </c>
      <c r="T147" s="73">
        <f>I147+J147+K147+L147+M147+O147+S147</f>
        <v>33662.5</v>
      </c>
      <c r="U147" s="73">
        <v>200</v>
      </c>
      <c r="V147" s="73">
        <f>H147*12%</f>
        <v>3000</v>
      </c>
      <c r="W147" s="73">
        <v>0</v>
      </c>
      <c r="X147" s="73">
        <f>SUM(U147:W147)</f>
        <v>3200</v>
      </c>
      <c r="Y147" s="73">
        <f>T147-X147</f>
        <v>30462.5</v>
      </c>
    </row>
    <row r="148" spans="1:25" x14ac:dyDescent="0.3">
      <c r="A148" s="65" t="s">
        <v>874</v>
      </c>
      <c r="B148" s="66" t="s">
        <v>873</v>
      </c>
      <c r="C148" s="66" t="s">
        <v>214</v>
      </c>
      <c r="D148" s="67">
        <v>34</v>
      </c>
      <c r="E148" s="68">
        <v>43833</v>
      </c>
      <c r="F148" s="69" t="s">
        <v>206</v>
      </c>
      <c r="G148" s="69" t="str">
        <f>B148&amp;"@gmail.com"</f>
        <v>Name 147@gmail.com</v>
      </c>
      <c r="H148" s="70">
        <v>50000</v>
      </c>
      <c r="I148" s="71">
        <f>H148*18%</f>
        <v>9000</v>
      </c>
      <c r="J148" s="71">
        <f>H148*5%</f>
        <v>2500</v>
      </c>
      <c r="K148" s="71">
        <v>1000</v>
      </c>
      <c r="L148" s="71">
        <v>0</v>
      </c>
      <c r="M148" s="71">
        <v>1600</v>
      </c>
      <c r="N148" s="71">
        <v>27</v>
      </c>
      <c r="O148" s="71">
        <f>(H148/30)*N148</f>
        <v>45000</v>
      </c>
      <c r="P148" s="72">
        <v>3</v>
      </c>
      <c r="Q148" s="72">
        <f>N148*P148</f>
        <v>81</v>
      </c>
      <c r="R148" s="71">
        <f>(H148/30)/8</f>
        <v>208.33333333333334</v>
      </c>
      <c r="S148" s="71">
        <f>Q148*R148</f>
        <v>16875</v>
      </c>
      <c r="T148" s="73">
        <f>I148+J148+K148+L148+M148+O148+S148</f>
        <v>75975</v>
      </c>
      <c r="U148" s="73">
        <v>201</v>
      </c>
      <c r="V148" s="73">
        <f>H148*12%</f>
        <v>6000</v>
      </c>
      <c r="W148" s="73">
        <v>0</v>
      </c>
      <c r="X148" s="73">
        <f>SUM(U148:W148)</f>
        <v>6201</v>
      </c>
      <c r="Y148" s="73">
        <f>T148-X148</f>
        <v>69774</v>
      </c>
    </row>
    <row r="149" spans="1:25" x14ac:dyDescent="0.3">
      <c r="A149" s="65" t="s">
        <v>872</v>
      </c>
      <c r="B149" s="66" t="s">
        <v>871</v>
      </c>
      <c r="C149" s="66" t="s">
        <v>214</v>
      </c>
      <c r="D149" s="67">
        <v>45</v>
      </c>
      <c r="E149" s="68">
        <v>43834</v>
      </c>
      <c r="F149" s="69" t="s">
        <v>213</v>
      </c>
      <c r="G149" s="69" t="str">
        <f>B149&amp;"@gmail.com"</f>
        <v>Name 148@gmail.com</v>
      </c>
      <c r="H149" s="70">
        <v>70000</v>
      </c>
      <c r="I149" s="71">
        <f>H149*18%</f>
        <v>12600</v>
      </c>
      <c r="J149" s="71">
        <f>H149*5%</f>
        <v>3500</v>
      </c>
      <c r="K149" s="71">
        <v>1000</v>
      </c>
      <c r="L149" s="71">
        <v>0</v>
      </c>
      <c r="M149" s="71">
        <v>1600</v>
      </c>
      <c r="N149" s="71">
        <v>27</v>
      </c>
      <c r="O149" s="71">
        <f>(H149/30)*N149</f>
        <v>63000.000000000007</v>
      </c>
      <c r="P149" s="72">
        <v>1</v>
      </c>
      <c r="Q149" s="72">
        <f>N149*P149</f>
        <v>27</v>
      </c>
      <c r="R149" s="71">
        <f>(H149/30)/8</f>
        <v>291.66666666666669</v>
      </c>
      <c r="S149" s="71">
        <f>Q149*R149</f>
        <v>7875.0000000000009</v>
      </c>
      <c r="T149" s="73">
        <f>I149+J149+K149+L149+M149+O149+S149</f>
        <v>89575</v>
      </c>
      <c r="U149" s="73">
        <v>202</v>
      </c>
      <c r="V149" s="73">
        <f>H149*12%</f>
        <v>8400</v>
      </c>
      <c r="W149" s="73">
        <v>0</v>
      </c>
      <c r="X149" s="73">
        <f>SUM(U149:W149)</f>
        <v>8602</v>
      </c>
      <c r="Y149" s="73">
        <f>T149-X149</f>
        <v>80973</v>
      </c>
    </row>
    <row r="150" spans="1:25" x14ac:dyDescent="0.3">
      <c r="A150" s="65" t="s">
        <v>870</v>
      </c>
      <c r="B150" s="66" t="s">
        <v>869</v>
      </c>
      <c r="C150" s="66" t="s">
        <v>214</v>
      </c>
      <c r="D150" s="67">
        <v>54</v>
      </c>
      <c r="E150" s="68">
        <v>43835</v>
      </c>
      <c r="F150" s="69" t="s">
        <v>213</v>
      </c>
      <c r="G150" s="69" t="str">
        <f>B150&amp;"@gmail.com"</f>
        <v>Name 149@gmail.com</v>
      </c>
      <c r="H150" s="70">
        <v>34000</v>
      </c>
      <c r="I150" s="71">
        <f>H150*18%</f>
        <v>6120</v>
      </c>
      <c r="J150" s="71">
        <f>H150*5%</f>
        <v>1700</v>
      </c>
      <c r="K150" s="71">
        <v>1000</v>
      </c>
      <c r="L150" s="71">
        <v>2000</v>
      </c>
      <c r="M150" s="71">
        <v>1600</v>
      </c>
      <c r="N150" s="71">
        <v>30</v>
      </c>
      <c r="O150" s="71">
        <f>(H150/30)*N150</f>
        <v>34000</v>
      </c>
      <c r="P150" s="72">
        <v>2</v>
      </c>
      <c r="Q150" s="72">
        <f>N150*P150</f>
        <v>60</v>
      </c>
      <c r="R150" s="71">
        <f>(H150/30)/8</f>
        <v>141.66666666666666</v>
      </c>
      <c r="S150" s="71">
        <f>Q150*R150</f>
        <v>8500</v>
      </c>
      <c r="T150" s="73">
        <f>I150+J150+K150+L150+M150+O150+S150</f>
        <v>54920</v>
      </c>
      <c r="U150" s="73">
        <v>203</v>
      </c>
      <c r="V150" s="73">
        <f>H150*12%</f>
        <v>4080</v>
      </c>
      <c r="W150" s="73">
        <v>0</v>
      </c>
      <c r="X150" s="73">
        <f>SUM(U150:W150)</f>
        <v>4283</v>
      </c>
      <c r="Y150" s="73">
        <f>T150-X150</f>
        <v>50637</v>
      </c>
    </row>
    <row r="151" spans="1:25" x14ac:dyDescent="0.3">
      <c r="A151" s="65" t="s">
        <v>868</v>
      </c>
      <c r="B151" s="66" t="s">
        <v>867</v>
      </c>
      <c r="C151" s="66" t="s">
        <v>214</v>
      </c>
      <c r="D151" s="67">
        <v>56</v>
      </c>
      <c r="E151" s="68">
        <v>43836</v>
      </c>
      <c r="F151" s="69" t="s">
        <v>213</v>
      </c>
      <c r="G151" s="69" t="str">
        <f>B151&amp;"@gmail.com"</f>
        <v>Name 150@gmail.com</v>
      </c>
      <c r="H151" s="70">
        <v>45000</v>
      </c>
      <c r="I151" s="71">
        <f>H151*18%</f>
        <v>8100</v>
      </c>
      <c r="J151" s="71">
        <f>H151*5%</f>
        <v>2250</v>
      </c>
      <c r="K151" s="71">
        <v>1000</v>
      </c>
      <c r="L151" s="71">
        <v>5000</v>
      </c>
      <c r="M151" s="71">
        <v>1600</v>
      </c>
      <c r="N151" s="71">
        <v>30</v>
      </c>
      <c r="O151" s="71">
        <f>(H151/30)*N151</f>
        <v>45000</v>
      </c>
      <c r="P151" s="72">
        <v>0</v>
      </c>
      <c r="Q151" s="72">
        <f>N151*P151</f>
        <v>0</v>
      </c>
      <c r="R151" s="71">
        <f>(H151/30)/8</f>
        <v>187.5</v>
      </c>
      <c r="S151" s="71">
        <f>Q151*R151</f>
        <v>0</v>
      </c>
      <c r="T151" s="73">
        <f>I151+J151+K151+L151+M151+O151+S151</f>
        <v>62950</v>
      </c>
      <c r="U151" s="73">
        <v>204</v>
      </c>
      <c r="V151" s="73">
        <f>H151*12%</f>
        <v>5400</v>
      </c>
      <c r="W151" s="73">
        <v>4000</v>
      </c>
      <c r="X151" s="73">
        <f>SUM(U151:W151)</f>
        <v>9604</v>
      </c>
      <c r="Y151" s="73">
        <f>T151-X151</f>
        <v>53346</v>
      </c>
    </row>
    <row r="152" spans="1:25" x14ac:dyDescent="0.3">
      <c r="A152" s="65" t="s">
        <v>866</v>
      </c>
      <c r="B152" s="66" t="s">
        <v>865</v>
      </c>
      <c r="C152" s="66" t="s">
        <v>214</v>
      </c>
      <c r="D152" s="67">
        <v>54</v>
      </c>
      <c r="E152" s="68">
        <v>43837</v>
      </c>
      <c r="F152" s="69" t="s">
        <v>213</v>
      </c>
      <c r="G152" s="69" t="str">
        <f>B152&amp;"@gmail.com"</f>
        <v>Name 151@gmail.com</v>
      </c>
      <c r="H152" s="70">
        <v>55000</v>
      </c>
      <c r="I152" s="71">
        <f>H152*18%</f>
        <v>9900</v>
      </c>
      <c r="J152" s="71">
        <f>H152*5%</f>
        <v>2750</v>
      </c>
      <c r="K152" s="71">
        <v>1000</v>
      </c>
      <c r="L152" s="71">
        <v>5000</v>
      </c>
      <c r="M152" s="71">
        <v>1600</v>
      </c>
      <c r="N152" s="71">
        <v>30</v>
      </c>
      <c r="O152" s="71">
        <f>(H152/30)*N152</f>
        <v>55000</v>
      </c>
      <c r="P152" s="72">
        <v>1</v>
      </c>
      <c r="Q152" s="72">
        <f>N152*P152</f>
        <v>30</v>
      </c>
      <c r="R152" s="71">
        <f>(H152/30)/8</f>
        <v>229.16666666666666</v>
      </c>
      <c r="S152" s="71">
        <f>Q152*R152</f>
        <v>6875</v>
      </c>
      <c r="T152" s="73">
        <f>I152+J152+K152+L152+M152+O152+S152</f>
        <v>82125</v>
      </c>
      <c r="U152" s="73">
        <v>205</v>
      </c>
      <c r="V152" s="73">
        <f>H152*12%</f>
        <v>6600</v>
      </c>
      <c r="W152" s="73">
        <v>0</v>
      </c>
      <c r="X152" s="73">
        <f>SUM(U152:W152)</f>
        <v>6805</v>
      </c>
      <c r="Y152" s="73">
        <f>T152-X152</f>
        <v>75320</v>
      </c>
    </row>
    <row r="153" spans="1:25" x14ac:dyDescent="0.3">
      <c r="A153" s="65" t="s">
        <v>864</v>
      </c>
      <c r="B153" s="66" t="s">
        <v>863</v>
      </c>
      <c r="C153" s="66" t="s">
        <v>210</v>
      </c>
      <c r="D153" s="67">
        <v>34</v>
      </c>
      <c r="E153" s="68">
        <v>43838</v>
      </c>
      <c r="F153" s="69" t="s">
        <v>206</v>
      </c>
      <c r="G153" s="69" t="str">
        <f>B153&amp;"@gmail.com"</f>
        <v>Name 152@gmail.com</v>
      </c>
      <c r="H153" s="70">
        <v>43000</v>
      </c>
      <c r="I153" s="71">
        <f>H153*18%</f>
        <v>7740</v>
      </c>
      <c r="J153" s="71">
        <f>H153*5%</f>
        <v>2150</v>
      </c>
      <c r="K153" s="71">
        <v>1000</v>
      </c>
      <c r="L153" s="71">
        <v>5000</v>
      </c>
      <c r="M153" s="71">
        <v>1600</v>
      </c>
      <c r="N153" s="71">
        <v>27</v>
      </c>
      <c r="O153" s="71">
        <f>(H153/30)*N153</f>
        <v>38700</v>
      </c>
      <c r="P153" s="72">
        <v>1</v>
      </c>
      <c r="Q153" s="72">
        <f>N153*P153</f>
        <v>27</v>
      </c>
      <c r="R153" s="71">
        <f>(H153/30)/8</f>
        <v>179.16666666666666</v>
      </c>
      <c r="S153" s="71">
        <f>Q153*R153</f>
        <v>4837.5</v>
      </c>
      <c r="T153" s="73">
        <f>I153+J153+K153+L153+M153+O153+S153</f>
        <v>61027.5</v>
      </c>
      <c r="U153" s="73">
        <v>200</v>
      </c>
      <c r="V153" s="73">
        <f>H153*12%</f>
        <v>5160</v>
      </c>
      <c r="W153" s="73">
        <v>0</v>
      </c>
      <c r="X153" s="73">
        <f>SUM(U153:W153)</f>
        <v>5360</v>
      </c>
      <c r="Y153" s="73">
        <f>T153-X153</f>
        <v>55667.5</v>
      </c>
    </row>
    <row r="154" spans="1:25" x14ac:dyDescent="0.3">
      <c r="A154" s="65" t="s">
        <v>862</v>
      </c>
      <c r="B154" s="66" t="s">
        <v>861</v>
      </c>
      <c r="C154" s="66" t="s">
        <v>207</v>
      </c>
      <c r="D154" s="67">
        <v>23</v>
      </c>
      <c r="E154" s="68">
        <v>43839</v>
      </c>
      <c r="F154" s="69" t="s">
        <v>206</v>
      </c>
      <c r="G154" s="69" t="str">
        <f>B154&amp;"@gmail.com"</f>
        <v>Name 153@gmail.com</v>
      </c>
      <c r="H154" s="70">
        <v>25000</v>
      </c>
      <c r="I154" s="71">
        <f>H154*18%</f>
        <v>4500</v>
      </c>
      <c r="J154" s="71">
        <f>H154*5%</f>
        <v>1250</v>
      </c>
      <c r="K154" s="71">
        <v>1000</v>
      </c>
      <c r="L154" s="71">
        <v>5000</v>
      </c>
      <c r="M154" s="71">
        <v>1600</v>
      </c>
      <c r="N154" s="71">
        <v>30</v>
      </c>
      <c r="O154" s="71">
        <f>(H154/30)*N154</f>
        <v>25000</v>
      </c>
      <c r="P154" s="72">
        <v>0</v>
      </c>
      <c r="Q154" s="72">
        <f>N154*P154</f>
        <v>0</v>
      </c>
      <c r="R154" s="71">
        <f>(H154/30)/8</f>
        <v>104.16666666666667</v>
      </c>
      <c r="S154" s="71">
        <f>Q154*R154</f>
        <v>0</v>
      </c>
      <c r="T154" s="73">
        <f>I154+J154+K154+L154+M154+O154+S154</f>
        <v>38350</v>
      </c>
      <c r="U154" s="73">
        <v>200</v>
      </c>
      <c r="V154" s="73">
        <f>H154*12%</f>
        <v>3000</v>
      </c>
      <c r="W154" s="73">
        <v>0</v>
      </c>
      <c r="X154" s="73">
        <f>SUM(U154:W154)</f>
        <v>3200</v>
      </c>
      <c r="Y154" s="73">
        <f>T154-X154</f>
        <v>35150</v>
      </c>
    </row>
    <row r="155" spans="1:25" x14ac:dyDescent="0.3">
      <c r="A155" s="65" t="s">
        <v>860</v>
      </c>
      <c r="B155" s="66" t="s">
        <v>859</v>
      </c>
      <c r="C155" s="66" t="s">
        <v>214</v>
      </c>
      <c r="D155" s="67">
        <v>34</v>
      </c>
      <c r="E155" s="68">
        <v>43840</v>
      </c>
      <c r="F155" s="69" t="s">
        <v>206</v>
      </c>
      <c r="G155" s="69" t="str">
        <f>B155&amp;"@gmail.com"</f>
        <v>Name 154@gmail.com</v>
      </c>
      <c r="H155" s="70">
        <v>28000</v>
      </c>
      <c r="I155" s="71">
        <f>H155*18%</f>
        <v>5040</v>
      </c>
      <c r="J155" s="71">
        <f>H155*5%</f>
        <v>1400</v>
      </c>
      <c r="K155" s="71">
        <v>1000</v>
      </c>
      <c r="L155" s="71">
        <v>5000</v>
      </c>
      <c r="M155" s="71">
        <v>1600</v>
      </c>
      <c r="N155" s="71">
        <v>20</v>
      </c>
      <c r="O155" s="71">
        <f>(H155/30)*N155</f>
        <v>18666.666666666668</v>
      </c>
      <c r="P155" s="72">
        <v>0</v>
      </c>
      <c r="Q155" s="72">
        <f>N155*P155</f>
        <v>0</v>
      </c>
      <c r="R155" s="71">
        <f>(H155/30)/8</f>
        <v>116.66666666666667</v>
      </c>
      <c r="S155" s="71">
        <f>Q155*R155</f>
        <v>0</v>
      </c>
      <c r="T155" s="73">
        <f>I155+J155+K155+L155+M155+O155+S155</f>
        <v>32706.666666666668</v>
      </c>
      <c r="U155" s="73">
        <v>200</v>
      </c>
      <c r="V155" s="73">
        <f>H155*12%</f>
        <v>3360</v>
      </c>
      <c r="W155" s="73">
        <v>0</v>
      </c>
      <c r="X155" s="73">
        <f>SUM(U155:W155)</f>
        <v>3560</v>
      </c>
      <c r="Y155" s="73">
        <f>T155-X155</f>
        <v>29146.666666666668</v>
      </c>
    </row>
    <row r="156" spans="1:25" x14ac:dyDescent="0.3">
      <c r="A156" s="65" t="s">
        <v>858</v>
      </c>
      <c r="B156" s="66" t="s">
        <v>857</v>
      </c>
      <c r="C156" s="66" t="s">
        <v>210</v>
      </c>
      <c r="D156" s="67">
        <v>43</v>
      </c>
      <c r="E156" s="68">
        <v>43841</v>
      </c>
      <c r="F156" s="69" t="s">
        <v>206</v>
      </c>
      <c r="G156" s="69" t="str">
        <f>B156&amp;"@gmail.com"</f>
        <v>Name 155@gmail.com</v>
      </c>
      <c r="H156" s="70">
        <v>40000</v>
      </c>
      <c r="I156" s="71">
        <f>H156*18%</f>
        <v>7200</v>
      </c>
      <c r="J156" s="71">
        <f>H156*5%</f>
        <v>2000</v>
      </c>
      <c r="K156" s="71">
        <v>1000</v>
      </c>
      <c r="L156" s="71">
        <v>5000</v>
      </c>
      <c r="M156" s="71">
        <v>1600</v>
      </c>
      <c r="N156" s="71">
        <v>28</v>
      </c>
      <c r="O156" s="71">
        <f>(H156/30)*N156</f>
        <v>37333.333333333328</v>
      </c>
      <c r="P156" s="72">
        <v>2</v>
      </c>
      <c r="Q156" s="72">
        <f>N156*P156</f>
        <v>56</v>
      </c>
      <c r="R156" s="71">
        <f>(H156/30)/8</f>
        <v>166.66666666666666</v>
      </c>
      <c r="S156" s="71">
        <f>Q156*R156</f>
        <v>9333.3333333333321</v>
      </c>
      <c r="T156" s="73">
        <f>I156+J156+K156+L156+M156+O156+S156</f>
        <v>63466.666666666657</v>
      </c>
      <c r="U156" s="73">
        <v>200</v>
      </c>
      <c r="V156" s="73">
        <f>H156*12%</f>
        <v>4800</v>
      </c>
      <c r="W156" s="73">
        <v>0</v>
      </c>
      <c r="X156" s="73">
        <f>SUM(U156:W156)</f>
        <v>5000</v>
      </c>
      <c r="Y156" s="73">
        <f>T156-X156</f>
        <v>58466.666666666657</v>
      </c>
    </row>
    <row r="157" spans="1:25" x14ac:dyDescent="0.3">
      <c r="A157" s="65" t="s">
        <v>856</v>
      </c>
      <c r="B157" s="66" t="s">
        <v>855</v>
      </c>
      <c r="C157" s="66" t="s">
        <v>210</v>
      </c>
      <c r="D157" s="67">
        <v>34</v>
      </c>
      <c r="E157" s="68">
        <v>43842</v>
      </c>
      <c r="F157" s="69" t="s">
        <v>206</v>
      </c>
      <c r="G157" s="69" t="str">
        <f>B157&amp;"@gmail.com"</f>
        <v>Name 156@gmail.com</v>
      </c>
      <c r="H157" s="70">
        <v>32000</v>
      </c>
      <c r="I157" s="71">
        <f>H157*18%</f>
        <v>5760</v>
      </c>
      <c r="J157" s="71">
        <f>H157*5%</f>
        <v>1600</v>
      </c>
      <c r="K157" s="71">
        <v>1000</v>
      </c>
      <c r="L157" s="71">
        <v>5000</v>
      </c>
      <c r="M157" s="71">
        <v>1600</v>
      </c>
      <c r="N157" s="71">
        <v>30</v>
      </c>
      <c r="O157" s="71">
        <f>(H157/30)*N157</f>
        <v>32000.000000000004</v>
      </c>
      <c r="P157" s="72">
        <v>1</v>
      </c>
      <c r="Q157" s="72">
        <f>N157*P157</f>
        <v>30</v>
      </c>
      <c r="R157" s="71">
        <f>(H157/30)/8</f>
        <v>133.33333333333334</v>
      </c>
      <c r="S157" s="71">
        <f>Q157*R157</f>
        <v>4000.0000000000005</v>
      </c>
      <c r="T157" s="73">
        <f>I157+J157+K157+L157+M157+O157+S157</f>
        <v>50960</v>
      </c>
      <c r="U157" s="73">
        <v>200</v>
      </c>
      <c r="V157" s="73">
        <f>H157*12%</f>
        <v>3840</v>
      </c>
      <c r="W157" s="73">
        <v>5000</v>
      </c>
      <c r="X157" s="73">
        <f>SUM(U157:W157)</f>
        <v>9040</v>
      </c>
      <c r="Y157" s="73">
        <f>T157-X157</f>
        <v>41920</v>
      </c>
    </row>
    <row r="158" spans="1:25" x14ac:dyDescent="0.3">
      <c r="A158" s="65" t="s">
        <v>854</v>
      </c>
      <c r="B158" s="66" t="s">
        <v>853</v>
      </c>
      <c r="C158" s="66" t="s">
        <v>207</v>
      </c>
      <c r="D158" s="67">
        <v>43</v>
      </c>
      <c r="E158" s="68">
        <v>43843</v>
      </c>
      <c r="F158" s="69" t="s">
        <v>206</v>
      </c>
      <c r="G158" s="69" t="str">
        <f>B158&amp;"@gmail.com"</f>
        <v>Name 157@gmail.com</v>
      </c>
      <c r="H158" s="70">
        <v>28000</v>
      </c>
      <c r="I158" s="71">
        <f>H158*18%</f>
        <v>5040</v>
      </c>
      <c r="J158" s="71">
        <f>H158*5%</f>
        <v>1400</v>
      </c>
      <c r="K158" s="71">
        <v>1000</v>
      </c>
      <c r="L158" s="71">
        <v>5000</v>
      </c>
      <c r="M158" s="71">
        <v>1600</v>
      </c>
      <c r="N158" s="71">
        <v>29</v>
      </c>
      <c r="O158" s="71">
        <f>(H158/30)*N158</f>
        <v>27066.666666666668</v>
      </c>
      <c r="P158" s="72">
        <v>1</v>
      </c>
      <c r="Q158" s="72">
        <f>N158*P158</f>
        <v>29</v>
      </c>
      <c r="R158" s="71">
        <f>(H158/30)/8</f>
        <v>116.66666666666667</v>
      </c>
      <c r="S158" s="71">
        <f>Q158*R158</f>
        <v>3383.3333333333335</v>
      </c>
      <c r="T158" s="73">
        <f>I158+J158+K158+L158+M158+O158+S158</f>
        <v>44490.000000000007</v>
      </c>
      <c r="U158" s="73">
        <v>200</v>
      </c>
      <c r="V158" s="73">
        <f>H158*12%</f>
        <v>3360</v>
      </c>
      <c r="W158" s="73">
        <v>0</v>
      </c>
      <c r="X158" s="73">
        <f>SUM(U158:W158)</f>
        <v>3560</v>
      </c>
      <c r="Y158" s="73">
        <f>T158-X158</f>
        <v>40930.000000000007</v>
      </c>
    </row>
    <row r="159" spans="1:25" x14ac:dyDescent="0.3">
      <c r="A159" s="65" t="s">
        <v>852</v>
      </c>
      <c r="B159" s="66" t="s">
        <v>851</v>
      </c>
      <c r="C159" s="66" t="s">
        <v>214</v>
      </c>
      <c r="D159" s="67">
        <v>23</v>
      </c>
      <c r="E159" s="68">
        <v>43844</v>
      </c>
      <c r="F159" s="69" t="s">
        <v>213</v>
      </c>
      <c r="G159" s="69" t="str">
        <f>B159&amp;"@gmail.com"</f>
        <v>Name 158@gmail.com</v>
      </c>
      <c r="H159" s="70">
        <v>44000</v>
      </c>
      <c r="I159" s="71">
        <f>H159*18%</f>
        <v>7920</v>
      </c>
      <c r="J159" s="71">
        <f>H159*5%</f>
        <v>2200</v>
      </c>
      <c r="K159" s="71">
        <v>1000</v>
      </c>
      <c r="L159" s="71">
        <v>5000</v>
      </c>
      <c r="M159" s="71">
        <v>1600</v>
      </c>
      <c r="N159" s="71">
        <v>28</v>
      </c>
      <c r="O159" s="71">
        <f>(H159/30)*N159</f>
        <v>41066.666666666672</v>
      </c>
      <c r="P159" s="72">
        <v>1</v>
      </c>
      <c r="Q159" s="72">
        <f>N159*P159</f>
        <v>28</v>
      </c>
      <c r="R159" s="71">
        <f>(H159/30)/8</f>
        <v>183.33333333333334</v>
      </c>
      <c r="S159" s="71">
        <f>Q159*R159</f>
        <v>5133.3333333333339</v>
      </c>
      <c r="T159" s="73">
        <f>I159+J159+K159+L159+M159+O159+S159</f>
        <v>63920.000000000007</v>
      </c>
      <c r="U159" s="73">
        <v>200</v>
      </c>
      <c r="V159" s="73">
        <f>H159*12%</f>
        <v>5280</v>
      </c>
      <c r="W159" s="73">
        <v>0</v>
      </c>
      <c r="X159" s="73">
        <f>SUM(U159:W159)</f>
        <v>5480</v>
      </c>
      <c r="Y159" s="73">
        <f>T159-X159</f>
        <v>58440.000000000007</v>
      </c>
    </row>
    <row r="160" spans="1:25" x14ac:dyDescent="0.3">
      <c r="A160" s="65" t="s">
        <v>850</v>
      </c>
      <c r="B160" s="66" t="s">
        <v>849</v>
      </c>
      <c r="C160" s="66" t="s">
        <v>210</v>
      </c>
      <c r="D160" s="67">
        <v>34</v>
      </c>
      <c r="E160" s="68">
        <v>43845</v>
      </c>
      <c r="F160" s="69" t="s">
        <v>206</v>
      </c>
      <c r="G160" s="69" t="str">
        <f>B160&amp;"@gmail.com"</f>
        <v>Name 159@gmail.com</v>
      </c>
      <c r="H160" s="70">
        <v>25000</v>
      </c>
      <c r="I160" s="71">
        <f>H160*18%</f>
        <v>4500</v>
      </c>
      <c r="J160" s="71">
        <f>H160*5%</f>
        <v>1250</v>
      </c>
      <c r="K160" s="71">
        <v>1000</v>
      </c>
      <c r="L160" s="71">
        <v>5000</v>
      </c>
      <c r="M160" s="71">
        <v>1600</v>
      </c>
      <c r="N160" s="71">
        <v>27</v>
      </c>
      <c r="O160" s="71">
        <f>(H160/30)*N160</f>
        <v>22500</v>
      </c>
      <c r="P160" s="72">
        <v>1</v>
      </c>
      <c r="Q160" s="72">
        <f>N160*P160</f>
        <v>27</v>
      </c>
      <c r="R160" s="71">
        <f>(H160/30)/8</f>
        <v>104.16666666666667</v>
      </c>
      <c r="S160" s="71">
        <f>Q160*R160</f>
        <v>2812.5</v>
      </c>
      <c r="T160" s="73">
        <f>I160+J160+K160+L160+M160+O160+S160</f>
        <v>38662.5</v>
      </c>
      <c r="U160" s="73">
        <v>200</v>
      </c>
      <c r="V160" s="73">
        <f>H160*12%</f>
        <v>3000</v>
      </c>
      <c r="W160" s="73">
        <v>0</v>
      </c>
      <c r="X160" s="73">
        <f>SUM(U160:W160)</f>
        <v>3200</v>
      </c>
      <c r="Y160" s="73">
        <f>T160-X160</f>
        <v>35462.5</v>
      </c>
    </row>
    <row r="161" spans="1:25" x14ac:dyDescent="0.3">
      <c r="A161" s="65" t="s">
        <v>848</v>
      </c>
      <c r="B161" s="66" t="s">
        <v>847</v>
      </c>
      <c r="C161" s="66" t="s">
        <v>214</v>
      </c>
      <c r="D161" s="67">
        <v>23</v>
      </c>
      <c r="E161" s="68">
        <v>43846</v>
      </c>
      <c r="F161" s="69" t="s">
        <v>206</v>
      </c>
      <c r="G161" s="69" t="str">
        <f>B161&amp;"@gmail.com"</f>
        <v>Name 160@gmail.com</v>
      </c>
      <c r="H161" s="70">
        <v>50000</v>
      </c>
      <c r="I161" s="71">
        <f>H161*18%</f>
        <v>9000</v>
      </c>
      <c r="J161" s="71">
        <f>H161*5%</f>
        <v>2500</v>
      </c>
      <c r="K161" s="71">
        <v>1000</v>
      </c>
      <c r="L161" s="71">
        <v>0</v>
      </c>
      <c r="M161" s="71">
        <v>1600</v>
      </c>
      <c r="N161" s="71">
        <v>27</v>
      </c>
      <c r="O161" s="71">
        <f>(H161/30)*N161</f>
        <v>45000</v>
      </c>
      <c r="P161" s="72">
        <v>3</v>
      </c>
      <c r="Q161" s="72">
        <f>N161*P161</f>
        <v>81</v>
      </c>
      <c r="R161" s="71">
        <f>(H161/30)/8</f>
        <v>208.33333333333334</v>
      </c>
      <c r="S161" s="71">
        <f>Q161*R161</f>
        <v>16875</v>
      </c>
      <c r="T161" s="73">
        <f>I161+J161+K161+L161+M161+O161+S161</f>
        <v>75975</v>
      </c>
      <c r="U161" s="73">
        <v>201</v>
      </c>
      <c r="V161" s="73">
        <f>H161*12%</f>
        <v>6000</v>
      </c>
      <c r="W161" s="73">
        <v>0</v>
      </c>
      <c r="X161" s="73">
        <f>SUM(U161:W161)</f>
        <v>6201</v>
      </c>
      <c r="Y161" s="73">
        <f>T161-X161</f>
        <v>69774</v>
      </c>
    </row>
    <row r="162" spans="1:25" x14ac:dyDescent="0.3">
      <c r="A162" s="65" t="s">
        <v>846</v>
      </c>
      <c r="B162" s="66" t="s">
        <v>845</v>
      </c>
      <c r="C162" s="66" t="s">
        <v>214</v>
      </c>
      <c r="D162" s="67">
        <v>34</v>
      </c>
      <c r="E162" s="68">
        <v>43847</v>
      </c>
      <c r="F162" s="69" t="s">
        <v>213</v>
      </c>
      <c r="G162" s="69" t="str">
        <f>B162&amp;"@gmail.com"</f>
        <v>Name 161@gmail.com</v>
      </c>
      <c r="H162" s="70">
        <v>70000</v>
      </c>
      <c r="I162" s="71">
        <f>H162*18%</f>
        <v>12600</v>
      </c>
      <c r="J162" s="71">
        <f>H162*5%</f>
        <v>3500</v>
      </c>
      <c r="K162" s="71">
        <v>1000</v>
      </c>
      <c r="L162" s="71">
        <v>0</v>
      </c>
      <c r="M162" s="71">
        <v>1600</v>
      </c>
      <c r="N162" s="71">
        <v>27</v>
      </c>
      <c r="O162" s="71">
        <f>(H162/30)*N162</f>
        <v>63000.000000000007</v>
      </c>
      <c r="P162" s="72">
        <v>1</v>
      </c>
      <c r="Q162" s="72">
        <f>N162*P162</f>
        <v>27</v>
      </c>
      <c r="R162" s="71">
        <f>(H162/30)/8</f>
        <v>291.66666666666669</v>
      </c>
      <c r="S162" s="71">
        <f>Q162*R162</f>
        <v>7875.0000000000009</v>
      </c>
      <c r="T162" s="73">
        <f>I162+J162+K162+L162+M162+O162+S162</f>
        <v>89575</v>
      </c>
      <c r="U162" s="73">
        <v>202</v>
      </c>
      <c r="V162" s="73">
        <f>H162*12%</f>
        <v>8400</v>
      </c>
      <c r="W162" s="73">
        <v>0</v>
      </c>
      <c r="X162" s="73">
        <f>SUM(U162:W162)</f>
        <v>8602</v>
      </c>
      <c r="Y162" s="73">
        <f>T162-X162</f>
        <v>80973</v>
      </c>
    </row>
    <row r="163" spans="1:25" x14ac:dyDescent="0.3">
      <c r="A163" s="65" t="s">
        <v>844</v>
      </c>
      <c r="B163" s="66" t="s">
        <v>843</v>
      </c>
      <c r="C163" s="66" t="s">
        <v>214</v>
      </c>
      <c r="D163" s="67">
        <v>23</v>
      </c>
      <c r="E163" s="68">
        <v>43848</v>
      </c>
      <c r="F163" s="69" t="s">
        <v>213</v>
      </c>
      <c r="G163" s="69" t="str">
        <f>B163&amp;"@gmail.com"</f>
        <v>Name 162@gmail.com</v>
      </c>
      <c r="H163" s="70">
        <v>34000</v>
      </c>
      <c r="I163" s="71">
        <f>H163*18%</f>
        <v>6120</v>
      </c>
      <c r="J163" s="71">
        <f>H163*5%</f>
        <v>1700</v>
      </c>
      <c r="K163" s="71">
        <v>1000</v>
      </c>
      <c r="L163" s="71">
        <v>2000</v>
      </c>
      <c r="M163" s="71">
        <v>1600</v>
      </c>
      <c r="N163" s="71">
        <v>30</v>
      </c>
      <c r="O163" s="71">
        <f>(H163/30)*N163</f>
        <v>34000</v>
      </c>
      <c r="P163" s="72">
        <v>2</v>
      </c>
      <c r="Q163" s="72">
        <f>N163*P163</f>
        <v>60</v>
      </c>
      <c r="R163" s="71">
        <f>(H163/30)/8</f>
        <v>141.66666666666666</v>
      </c>
      <c r="S163" s="71">
        <f>Q163*R163</f>
        <v>8500</v>
      </c>
      <c r="T163" s="73">
        <f>I163+J163+K163+L163+M163+O163+S163</f>
        <v>54920</v>
      </c>
      <c r="U163" s="73">
        <v>203</v>
      </c>
      <c r="V163" s="73">
        <f>H163*12%</f>
        <v>4080</v>
      </c>
      <c r="W163" s="73">
        <v>0</v>
      </c>
      <c r="X163" s="73">
        <f>SUM(U163:W163)</f>
        <v>4283</v>
      </c>
      <c r="Y163" s="73">
        <f>T163-X163</f>
        <v>50637</v>
      </c>
    </row>
    <row r="164" spans="1:25" x14ac:dyDescent="0.3">
      <c r="A164" s="65" t="s">
        <v>842</v>
      </c>
      <c r="B164" s="66" t="s">
        <v>841</v>
      </c>
      <c r="C164" s="66" t="s">
        <v>214</v>
      </c>
      <c r="D164" s="67">
        <v>34</v>
      </c>
      <c r="E164" s="68">
        <v>43849</v>
      </c>
      <c r="F164" s="69" t="s">
        <v>213</v>
      </c>
      <c r="G164" s="69" t="str">
        <f>B164&amp;"@gmail.com"</f>
        <v>Name 163@gmail.com</v>
      </c>
      <c r="H164" s="70">
        <v>45000</v>
      </c>
      <c r="I164" s="71">
        <f>H164*18%</f>
        <v>8100</v>
      </c>
      <c r="J164" s="71">
        <f>H164*5%</f>
        <v>2250</v>
      </c>
      <c r="K164" s="71">
        <v>1000</v>
      </c>
      <c r="L164" s="71">
        <v>5000</v>
      </c>
      <c r="M164" s="71">
        <v>1600</v>
      </c>
      <c r="N164" s="71">
        <v>30</v>
      </c>
      <c r="O164" s="71">
        <f>(H164/30)*N164</f>
        <v>45000</v>
      </c>
      <c r="P164" s="72">
        <v>0</v>
      </c>
      <c r="Q164" s="72">
        <f>N164*P164</f>
        <v>0</v>
      </c>
      <c r="R164" s="71">
        <f>(H164/30)/8</f>
        <v>187.5</v>
      </c>
      <c r="S164" s="71">
        <f>Q164*R164</f>
        <v>0</v>
      </c>
      <c r="T164" s="73">
        <f>I164+J164+K164+L164+M164+O164+S164</f>
        <v>62950</v>
      </c>
      <c r="U164" s="73">
        <v>204</v>
      </c>
      <c r="V164" s="73">
        <f>H164*12%</f>
        <v>5400</v>
      </c>
      <c r="W164" s="73">
        <v>4000</v>
      </c>
      <c r="X164" s="73">
        <f>SUM(U164:W164)</f>
        <v>9604</v>
      </c>
      <c r="Y164" s="73">
        <f>T164-X164</f>
        <v>53346</v>
      </c>
    </row>
    <row r="165" spans="1:25" x14ac:dyDescent="0.3">
      <c r="A165" s="65" t="s">
        <v>840</v>
      </c>
      <c r="B165" s="66" t="s">
        <v>839</v>
      </c>
      <c r="C165" s="66" t="s">
        <v>214</v>
      </c>
      <c r="D165" s="67">
        <v>45</v>
      </c>
      <c r="E165" s="68">
        <v>43850</v>
      </c>
      <c r="F165" s="69" t="s">
        <v>213</v>
      </c>
      <c r="G165" s="69" t="str">
        <f>B165&amp;"@gmail.com"</f>
        <v>Name 164@gmail.com</v>
      </c>
      <c r="H165" s="70">
        <v>55000</v>
      </c>
      <c r="I165" s="71">
        <f>H165*18%</f>
        <v>9900</v>
      </c>
      <c r="J165" s="71">
        <f>H165*5%</f>
        <v>2750</v>
      </c>
      <c r="K165" s="71">
        <v>1000</v>
      </c>
      <c r="L165" s="71">
        <v>0</v>
      </c>
      <c r="M165" s="71">
        <v>1600</v>
      </c>
      <c r="N165" s="71">
        <v>30</v>
      </c>
      <c r="O165" s="71">
        <f>(H165/30)*N165</f>
        <v>55000</v>
      </c>
      <c r="P165" s="72">
        <v>1</v>
      </c>
      <c r="Q165" s="72">
        <f>N165*P165</f>
        <v>30</v>
      </c>
      <c r="R165" s="71">
        <f>(H165/30)/8</f>
        <v>229.16666666666666</v>
      </c>
      <c r="S165" s="71">
        <f>Q165*R165</f>
        <v>6875</v>
      </c>
      <c r="T165" s="73">
        <f>I165+J165+K165+L165+M165+O165+S165</f>
        <v>77125</v>
      </c>
      <c r="U165" s="73">
        <v>205</v>
      </c>
      <c r="V165" s="73">
        <f>H165*12%</f>
        <v>6600</v>
      </c>
      <c r="W165" s="73">
        <v>0</v>
      </c>
      <c r="X165" s="73">
        <f>SUM(U165:W165)</f>
        <v>6805</v>
      </c>
      <c r="Y165" s="73">
        <f>T165-X165</f>
        <v>70320</v>
      </c>
    </row>
    <row r="166" spans="1:25" x14ac:dyDescent="0.3">
      <c r="A166" s="65" t="s">
        <v>838</v>
      </c>
      <c r="B166" s="66" t="s">
        <v>837</v>
      </c>
      <c r="C166" s="66" t="s">
        <v>210</v>
      </c>
      <c r="D166" s="67">
        <v>54</v>
      </c>
      <c r="E166" s="68">
        <v>43851</v>
      </c>
      <c r="F166" s="69" t="s">
        <v>206</v>
      </c>
      <c r="G166" s="69" t="str">
        <f>B166&amp;"@gmail.com"</f>
        <v>Name 165@gmail.com</v>
      </c>
      <c r="H166" s="70">
        <v>43000</v>
      </c>
      <c r="I166" s="71">
        <f>H166*18%</f>
        <v>7740</v>
      </c>
      <c r="J166" s="71">
        <f>H166*5%</f>
        <v>2150</v>
      </c>
      <c r="K166" s="71">
        <v>1000</v>
      </c>
      <c r="L166" s="71">
        <v>0</v>
      </c>
      <c r="M166" s="71">
        <v>1600</v>
      </c>
      <c r="N166" s="71">
        <v>27</v>
      </c>
      <c r="O166" s="71">
        <f>(H166/30)*N166</f>
        <v>38700</v>
      </c>
      <c r="P166" s="72">
        <v>1</v>
      </c>
      <c r="Q166" s="72">
        <f>N166*P166</f>
        <v>27</v>
      </c>
      <c r="R166" s="71">
        <f>(H166/30)/8</f>
        <v>179.16666666666666</v>
      </c>
      <c r="S166" s="71">
        <f>Q166*R166</f>
        <v>4837.5</v>
      </c>
      <c r="T166" s="73">
        <f>I166+J166+K166+L166+M166+O166+S166</f>
        <v>56027.5</v>
      </c>
      <c r="U166" s="73">
        <v>200</v>
      </c>
      <c r="V166" s="73">
        <f>H166*12%</f>
        <v>5160</v>
      </c>
      <c r="W166" s="73">
        <v>0</v>
      </c>
      <c r="X166" s="73">
        <f>SUM(U166:W166)</f>
        <v>5360</v>
      </c>
      <c r="Y166" s="73">
        <f>T166-X166</f>
        <v>50667.5</v>
      </c>
    </row>
    <row r="167" spans="1:25" x14ac:dyDescent="0.3">
      <c r="A167" s="65" t="s">
        <v>836</v>
      </c>
      <c r="B167" s="66" t="s">
        <v>835</v>
      </c>
      <c r="C167" s="66" t="s">
        <v>207</v>
      </c>
      <c r="D167" s="67">
        <v>56</v>
      </c>
      <c r="E167" s="68">
        <v>43852</v>
      </c>
      <c r="F167" s="69" t="s">
        <v>206</v>
      </c>
      <c r="G167" s="69" t="str">
        <f>B167&amp;"@gmail.com"</f>
        <v>Name 166@gmail.com</v>
      </c>
      <c r="H167" s="70">
        <v>25000</v>
      </c>
      <c r="I167" s="71">
        <f>H167*18%</f>
        <v>4500</v>
      </c>
      <c r="J167" s="71">
        <f>H167*5%</f>
        <v>1250</v>
      </c>
      <c r="K167" s="71">
        <v>1000</v>
      </c>
      <c r="L167" s="71">
        <v>0</v>
      </c>
      <c r="M167" s="71">
        <v>1600</v>
      </c>
      <c r="N167" s="71">
        <v>30</v>
      </c>
      <c r="O167" s="71">
        <f>(H167/30)*N167</f>
        <v>25000</v>
      </c>
      <c r="P167" s="72">
        <v>0</v>
      </c>
      <c r="Q167" s="72">
        <f>N167*P167</f>
        <v>0</v>
      </c>
      <c r="R167" s="71">
        <f>(H167/30)/8</f>
        <v>104.16666666666667</v>
      </c>
      <c r="S167" s="71">
        <f>Q167*R167</f>
        <v>0</v>
      </c>
      <c r="T167" s="73">
        <f>I167+J167+K167+L167+M167+O167+S167</f>
        <v>33350</v>
      </c>
      <c r="U167" s="73">
        <v>200</v>
      </c>
      <c r="V167" s="73">
        <f>H167*12%</f>
        <v>3000</v>
      </c>
      <c r="W167" s="73">
        <v>0</v>
      </c>
      <c r="X167" s="73">
        <f>SUM(U167:W167)</f>
        <v>3200</v>
      </c>
      <c r="Y167" s="73">
        <f>T167-X167</f>
        <v>30150</v>
      </c>
    </row>
    <row r="168" spans="1:25" x14ac:dyDescent="0.3">
      <c r="A168" s="65" t="s">
        <v>834</v>
      </c>
      <c r="B168" s="66" t="s">
        <v>833</v>
      </c>
      <c r="C168" s="66" t="s">
        <v>214</v>
      </c>
      <c r="D168" s="67">
        <v>54</v>
      </c>
      <c r="E168" s="68">
        <v>43853</v>
      </c>
      <c r="F168" s="69" t="s">
        <v>206</v>
      </c>
      <c r="G168" s="69" t="str">
        <f>B168&amp;"@gmail.com"</f>
        <v>Name 167@gmail.com</v>
      </c>
      <c r="H168" s="70">
        <v>28000</v>
      </c>
      <c r="I168" s="71">
        <f>H168*18%</f>
        <v>5040</v>
      </c>
      <c r="J168" s="71">
        <f>H168*5%</f>
        <v>1400</v>
      </c>
      <c r="K168" s="71">
        <v>1000</v>
      </c>
      <c r="L168" s="71">
        <v>0</v>
      </c>
      <c r="M168" s="71">
        <v>1600</v>
      </c>
      <c r="N168" s="71">
        <v>20</v>
      </c>
      <c r="O168" s="71">
        <f>(H168/30)*N168</f>
        <v>18666.666666666668</v>
      </c>
      <c r="P168" s="72">
        <v>0</v>
      </c>
      <c r="Q168" s="72">
        <f>N168*P168</f>
        <v>0</v>
      </c>
      <c r="R168" s="71">
        <f>(H168/30)/8</f>
        <v>116.66666666666667</v>
      </c>
      <c r="S168" s="71">
        <f>Q168*R168</f>
        <v>0</v>
      </c>
      <c r="T168" s="73">
        <f>I168+J168+K168+L168+M168+O168+S168</f>
        <v>27706.666666666668</v>
      </c>
      <c r="U168" s="73">
        <v>200</v>
      </c>
      <c r="V168" s="73">
        <f>H168*12%</f>
        <v>3360</v>
      </c>
      <c r="W168" s="73">
        <v>0</v>
      </c>
      <c r="X168" s="73">
        <f>SUM(U168:W168)</f>
        <v>3560</v>
      </c>
      <c r="Y168" s="73">
        <f>T168-X168</f>
        <v>24146.666666666668</v>
      </c>
    </row>
    <row r="169" spans="1:25" x14ac:dyDescent="0.3">
      <c r="A169" s="65" t="s">
        <v>832</v>
      </c>
      <c r="B169" s="66" t="s">
        <v>831</v>
      </c>
      <c r="C169" s="66" t="s">
        <v>210</v>
      </c>
      <c r="D169" s="67">
        <v>34</v>
      </c>
      <c r="E169" s="68">
        <v>43854</v>
      </c>
      <c r="F169" s="69" t="s">
        <v>206</v>
      </c>
      <c r="G169" s="69" t="str">
        <f>B169&amp;"@gmail.com"</f>
        <v>Name 168@gmail.com</v>
      </c>
      <c r="H169" s="70">
        <v>40000</v>
      </c>
      <c r="I169" s="71">
        <f>H169*18%</f>
        <v>7200</v>
      </c>
      <c r="J169" s="71">
        <f>H169*5%</f>
        <v>2000</v>
      </c>
      <c r="K169" s="71">
        <v>1000</v>
      </c>
      <c r="L169" s="71">
        <v>0</v>
      </c>
      <c r="M169" s="71">
        <v>1600</v>
      </c>
      <c r="N169" s="71">
        <v>28</v>
      </c>
      <c r="O169" s="71">
        <f>(H169/30)*N169</f>
        <v>37333.333333333328</v>
      </c>
      <c r="P169" s="72">
        <v>2</v>
      </c>
      <c r="Q169" s="72">
        <f>N169*P169</f>
        <v>56</v>
      </c>
      <c r="R169" s="71">
        <f>(H169/30)/8</f>
        <v>166.66666666666666</v>
      </c>
      <c r="S169" s="71">
        <f>Q169*R169</f>
        <v>9333.3333333333321</v>
      </c>
      <c r="T169" s="73">
        <f>I169+J169+K169+L169+M169+O169+S169</f>
        <v>58466.666666666657</v>
      </c>
      <c r="U169" s="73">
        <v>200</v>
      </c>
      <c r="V169" s="73">
        <f>H169*12%</f>
        <v>4800</v>
      </c>
      <c r="W169" s="73">
        <v>0</v>
      </c>
      <c r="X169" s="73">
        <f>SUM(U169:W169)</f>
        <v>5000</v>
      </c>
      <c r="Y169" s="73">
        <f>T169-X169</f>
        <v>53466.666666666657</v>
      </c>
    </row>
    <row r="170" spans="1:25" x14ac:dyDescent="0.3">
      <c r="A170" s="65" t="s">
        <v>830</v>
      </c>
      <c r="B170" s="66" t="s">
        <v>829</v>
      </c>
      <c r="C170" s="66" t="s">
        <v>210</v>
      </c>
      <c r="D170" s="67">
        <v>23</v>
      </c>
      <c r="E170" s="68">
        <v>43831</v>
      </c>
      <c r="F170" s="69" t="s">
        <v>206</v>
      </c>
      <c r="G170" s="69" t="str">
        <f>B170&amp;"@gmail.com"</f>
        <v>Name 169@gmail.com</v>
      </c>
      <c r="H170" s="70">
        <v>32000</v>
      </c>
      <c r="I170" s="71">
        <f>H170*18%</f>
        <v>5760</v>
      </c>
      <c r="J170" s="71">
        <f>H170*5%</f>
        <v>1600</v>
      </c>
      <c r="K170" s="71">
        <v>1000</v>
      </c>
      <c r="L170" s="71">
        <v>0</v>
      </c>
      <c r="M170" s="71">
        <v>1600</v>
      </c>
      <c r="N170" s="71">
        <v>30</v>
      </c>
      <c r="O170" s="71">
        <f>(H170/30)*N170</f>
        <v>32000.000000000004</v>
      </c>
      <c r="P170" s="72">
        <v>1</v>
      </c>
      <c r="Q170" s="72">
        <f>N170*P170</f>
        <v>30</v>
      </c>
      <c r="R170" s="71">
        <f>(H170/30)/8</f>
        <v>133.33333333333334</v>
      </c>
      <c r="S170" s="71">
        <f>Q170*R170</f>
        <v>4000.0000000000005</v>
      </c>
      <c r="T170" s="73">
        <f>I170+J170+K170+L170+M170+O170+S170</f>
        <v>45960</v>
      </c>
      <c r="U170" s="73">
        <v>200</v>
      </c>
      <c r="V170" s="73">
        <f>H170*12%</f>
        <v>3840</v>
      </c>
      <c r="W170" s="73">
        <v>5000</v>
      </c>
      <c r="X170" s="73">
        <f>SUM(U170:W170)</f>
        <v>9040</v>
      </c>
      <c r="Y170" s="73">
        <f>T170-X170</f>
        <v>36920</v>
      </c>
    </row>
    <row r="171" spans="1:25" x14ac:dyDescent="0.3">
      <c r="A171" s="65" t="s">
        <v>828</v>
      </c>
      <c r="B171" s="66" t="s">
        <v>827</v>
      </c>
      <c r="C171" s="66" t="s">
        <v>207</v>
      </c>
      <c r="D171" s="67">
        <v>34</v>
      </c>
      <c r="E171" s="68">
        <v>43832</v>
      </c>
      <c r="F171" s="69" t="s">
        <v>206</v>
      </c>
      <c r="G171" s="69" t="str">
        <f>B171&amp;"@gmail.com"</f>
        <v>Name 170@gmail.com</v>
      </c>
      <c r="H171" s="70">
        <v>28000</v>
      </c>
      <c r="I171" s="71">
        <f>H171*18%</f>
        <v>5040</v>
      </c>
      <c r="J171" s="71">
        <f>H171*5%</f>
        <v>1400</v>
      </c>
      <c r="K171" s="71">
        <v>1000</v>
      </c>
      <c r="L171" s="71">
        <v>0</v>
      </c>
      <c r="M171" s="71">
        <v>1600</v>
      </c>
      <c r="N171" s="71">
        <v>29</v>
      </c>
      <c r="O171" s="71">
        <f>(H171/30)*N171</f>
        <v>27066.666666666668</v>
      </c>
      <c r="P171" s="72">
        <v>1</v>
      </c>
      <c r="Q171" s="72">
        <f>N171*P171</f>
        <v>29</v>
      </c>
      <c r="R171" s="71">
        <f>(H171/30)/8</f>
        <v>116.66666666666667</v>
      </c>
      <c r="S171" s="71">
        <f>Q171*R171</f>
        <v>3383.3333333333335</v>
      </c>
      <c r="T171" s="73">
        <f>I171+J171+K171+L171+M171+O171+S171</f>
        <v>39490.000000000007</v>
      </c>
      <c r="U171" s="73">
        <v>200</v>
      </c>
      <c r="V171" s="73">
        <f>H171*12%</f>
        <v>3360</v>
      </c>
      <c r="W171" s="73">
        <v>0</v>
      </c>
      <c r="X171" s="73">
        <f>SUM(U171:W171)</f>
        <v>3560</v>
      </c>
      <c r="Y171" s="73">
        <f>T171-X171</f>
        <v>35930.000000000007</v>
      </c>
    </row>
    <row r="172" spans="1:25" x14ac:dyDescent="0.3">
      <c r="A172" s="65" t="s">
        <v>826</v>
      </c>
      <c r="B172" s="66" t="s">
        <v>825</v>
      </c>
      <c r="C172" s="66" t="s">
        <v>214</v>
      </c>
      <c r="D172" s="67">
        <v>43</v>
      </c>
      <c r="E172" s="68">
        <v>43833</v>
      </c>
      <c r="F172" s="69" t="s">
        <v>213</v>
      </c>
      <c r="G172" s="69" t="str">
        <f>B172&amp;"@gmail.com"</f>
        <v>Name 171@gmail.com</v>
      </c>
      <c r="H172" s="70">
        <v>44000</v>
      </c>
      <c r="I172" s="71">
        <f>H172*18%</f>
        <v>7920</v>
      </c>
      <c r="J172" s="71">
        <f>H172*5%</f>
        <v>2200</v>
      </c>
      <c r="K172" s="71">
        <v>1000</v>
      </c>
      <c r="L172" s="71">
        <v>0</v>
      </c>
      <c r="M172" s="71">
        <v>1600</v>
      </c>
      <c r="N172" s="71">
        <v>28</v>
      </c>
      <c r="O172" s="71">
        <f>(H172/30)*N172</f>
        <v>41066.666666666672</v>
      </c>
      <c r="P172" s="72">
        <v>1</v>
      </c>
      <c r="Q172" s="72">
        <f>N172*P172</f>
        <v>28</v>
      </c>
      <c r="R172" s="71">
        <f>(H172/30)/8</f>
        <v>183.33333333333334</v>
      </c>
      <c r="S172" s="71">
        <f>Q172*R172</f>
        <v>5133.3333333333339</v>
      </c>
      <c r="T172" s="73">
        <f>I172+J172+K172+L172+M172+O172+S172</f>
        <v>58920.000000000007</v>
      </c>
      <c r="U172" s="73">
        <v>200</v>
      </c>
      <c r="V172" s="73">
        <f>H172*12%</f>
        <v>5280</v>
      </c>
      <c r="W172" s="73">
        <v>0</v>
      </c>
      <c r="X172" s="73">
        <f>SUM(U172:W172)</f>
        <v>5480</v>
      </c>
      <c r="Y172" s="73">
        <f>T172-X172</f>
        <v>53440.000000000007</v>
      </c>
    </row>
    <row r="173" spans="1:25" x14ac:dyDescent="0.3">
      <c r="A173" s="65" t="s">
        <v>824</v>
      </c>
      <c r="B173" s="66" t="s">
        <v>823</v>
      </c>
      <c r="C173" s="66" t="s">
        <v>210</v>
      </c>
      <c r="D173" s="67">
        <v>34</v>
      </c>
      <c r="E173" s="68">
        <v>43834</v>
      </c>
      <c r="F173" s="69" t="s">
        <v>206</v>
      </c>
      <c r="G173" s="69" t="str">
        <f>B173&amp;"@gmail.com"</f>
        <v>Name 172@gmail.com</v>
      </c>
      <c r="H173" s="70">
        <v>25000</v>
      </c>
      <c r="I173" s="71">
        <f>H173*18%</f>
        <v>4500</v>
      </c>
      <c r="J173" s="71">
        <f>H173*5%</f>
        <v>1250</v>
      </c>
      <c r="K173" s="71">
        <v>1000</v>
      </c>
      <c r="L173" s="71">
        <v>0</v>
      </c>
      <c r="M173" s="71">
        <v>1600</v>
      </c>
      <c r="N173" s="71">
        <v>27</v>
      </c>
      <c r="O173" s="71">
        <f>(H173/30)*N173</f>
        <v>22500</v>
      </c>
      <c r="P173" s="72">
        <v>1</v>
      </c>
      <c r="Q173" s="72">
        <f>N173*P173</f>
        <v>27</v>
      </c>
      <c r="R173" s="71">
        <f>(H173/30)/8</f>
        <v>104.16666666666667</v>
      </c>
      <c r="S173" s="71">
        <f>Q173*R173</f>
        <v>2812.5</v>
      </c>
      <c r="T173" s="73">
        <f>I173+J173+K173+L173+M173+O173+S173</f>
        <v>33662.5</v>
      </c>
      <c r="U173" s="73">
        <v>200</v>
      </c>
      <c r="V173" s="73">
        <f>H173*12%</f>
        <v>3000</v>
      </c>
      <c r="W173" s="73">
        <v>0</v>
      </c>
      <c r="X173" s="73">
        <f>SUM(U173:W173)</f>
        <v>3200</v>
      </c>
      <c r="Y173" s="73">
        <f>T173-X173</f>
        <v>30462.5</v>
      </c>
    </row>
    <row r="174" spans="1:25" x14ac:dyDescent="0.3">
      <c r="A174" s="65" t="s">
        <v>822</v>
      </c>
      <c r="B174" s="66" t="s">
        <v>821</v>
      </c>
      <c r="C174" s="66" t="s">
        <v>214</v>
      </c>
      <c r="D174" s="67">
        <v>43</v>
      </c>
      <c r="E174" s="68">
        <v>43835</v>
      </c>
      <c r="F174" s="69" t="s">
        <v>206</v>
      </c>
      <c r="G174" s="69" t="str">
        <f>B174&amp;"@gmail.com"</f>
        <v>Name 173@gmail.com</v>
      </c>
      <c r="H174" s="70">
        <v>50000</v>
      </c>
      <c r="I174" s="71">
        <f>H174*18%</f>
        <v>9000</v>
      </c>
      <c r="J174" s="71">
        <f>H174*5%</f>
        <v>2500</v>
      </c>
      <c r="K174" s="71">
        <v>1000</v>
      </c>
      <c r="L174" s="71">
        <v>0</v>
      </c>
      <c r="M174" s="71">
        <v>1600</v>
      </c>
      <c r="N174" s="71">
        <v>27</v>
      </c>
      <c r="O174" s="71">
        <f>(H174/30)*N174</f>
        <v>45000</v>
      </c>
      <c r="P174" s="72">
        <v>3</v>
      </c>
      <c r="Q174" s="72">
        <f>N174*P174</f>
        <v>81</v>
      </c>
      <c r="R174" s="71">
        <f>(H174/30)/8</f>
        <v>208.33333333333334</v>
      </c>
      <c r="S174" s="71">
        <f>Q174*R174</f>
        <v>16875</v>
      </c>
      <c r="T174" s="73">
        <f>I174+J174+K174+L174+M174+O174+S174</f>
        <v>75975</v>
      </c>
      <c r="U174" s="73">
        <v>201</v>
      </c>
      <c r="V174" s="73">
        <f>H174*12%</f>
        <v>6000</v>
      </c>
      <c r="W174" s="73">
        <v>0</v>
      </c>
      <c r="X174" s="73">
        <f>SUM(U174:W174)</f>
        <v>6201</v>
      </c>
      <c r="Y174" s="73">
        <f>T174-X174</f>
        <v>69774</v>
      </c>
    </row>
    <row r="175" spans="1:25" x14ac:dyDescent="0.3">
      <c r="A175" s="65" t="s">
        <v>820</v>
      </c>
      <c r="B175" s="66" t="s">
        <v>819</v>
      </c>
      <c r="C175" s="66" t="s">
        <v>214</v>
      </c>
      <c r="D175" s="67">
        <v>23</v>
      </c>
      <c r="E175" s="68">
        <v>43836</v>
      </c>
      <c r="F175" s="69" t="s">
        <v>213</v>
      </c>
      <c r="G175" s="69" t="str">
        <f>B175&amp;"@gmail.com"</f>
        <v>Name 174@gmail.com</v>
      </c>
      <c r="H175" s="70">
        <v>70000</v>
      </c>
      <c r="I175" s="71">
        <f>H175*18%</f>
        <v>12600</v>
      </c>
      <c r="J175" s="71">
        <f>H175*5%</f>
        <v>3500</v>
      </c>
      <c r="K175" s="71">
        <v>1000</v>
      </c>
      <c r="L175" s="71">
        <v>0</v>
      </c>
      <c r="M175" s="71">
        <v>1600</v>
      </c>
      <c r="N175" s="71">
        <v>27</v>
      </c>
      <c r="O175" s="71">
        <f>(H175/30)*N175</f>
        <v>63000.000000000007</v>
      </c>
      <c r="P175" s="72">
        <v>1</v>
      </c>
      <c r="Q175" s="72">
        <f>N175*P175</f>
        <v>27</v>
      </c>
      <c r="R175" s="71">
        <f>(H175/30)/8</f>
        <v>291.66666666666669</v>
      </c>
      <c r="S175" s="71">
        <f>Q175*R175</f>
        <v>7875.0000000000009</v>
      </c>
      <c r="T175" s="73">
        <f>I175+J175+K175+L175+M175+O175+S175</f>
        <v>89575</v>
      </c>
      <c r="U175" s="73">
        <v>202</v>
      </c>
      <c r="V175" s="73">
        <f>H175*12%</f>
        <v>8400</v>
      </c>
      <c r="W175" s="73">
        <v>0</v>
      </c>
      <c r="X175" s="73">
        <f>SUM(U175:W175)</f>
        <v>8602</v>
      </c>
      <c r="Y175" s="73">
        <f>T175-X175</f>
        <v>80973</v>
      </c>
    </row>
    <row r="176" spans="1:25" x14ac:dyDescent="0.3">
      <c r="A176" s="65" t="s">
        <v>818</v>
      </c>
      <c r="B176" s="66" t="s">
        <v>817</v>
      </c>
      <c r="C176" s="66" t="s">
        <v>214</v>
      </c>
      <c r="D176" s="67">
        <v>34</v>
      </c>
      <c r="E176" s="68">
        <v>43837</v>
      </c>
      <c r="F176" s="69" t="s">
        <v>213</v>
      </c>
      <c r="G176" s="69" t="str">
        <f>B176&amp;"@gmail.com"</f>
        <v>Name 175@gmail.com</v>
      </c>
      <c r="H176" s="70">
        <v>34000</v>
      </c>
      <c r="I176" s="71">
        <f>H176*18%</f>
        <v>6120</v>
      </c>
      <c r="J176" s="71">
        <f>H176*5%</f>
        <v>1700</v>
      </c>
      <c r="K176" s="71">
        <v>1000</v>
      </c>
      <c r="L176" s="71">
        <v>2000</v>
      </c>
      <c r="M176" s="71">
        <v>1600</v>
      </c>
      <c r="N176" s="71">
        <v>30</v>
      </c>
      <c r="O176" s="71">
        <f>(H176/30)*N176</f>
        <v>34000</v>
      </c>
      <c r="P176" s="72">
        <v>2</v>
      </c>
      <c r="Q176" s="72">
        <f>N176*P176</f>
        <v>60</v>
      </c>
      <c r="R176" s="71">
        <f>(H176/30)/8</f>
        <v>141.66666666666666</v>
      </c>
      <c r="S176" s="71">
        <f>Q176*R176</f>
        <v>8500</v>
      </c>
      <c r="T176" s="73">
        <f>I176+J176+K176+L176+M176+O176+S176</f>
        <v>54920</v>
      </c>
      <c r="U176" s="73">
        <v>203</v>
      </c>
      <c r="V176" s="73">
        <f>H176*12%</f>
        <v>4080</v>
      </c>
      <c r="W176" s="73">
        <v>0</v>
      </c>
      <c r="X176" s="73">
        <f>SUM(U176:W176)</f>
        <v>4283</v>
      </c>
      <c r="Y176" s="73">
        <f>T176-X176</f>
        <v>50637</v>
      </c>
    </row>
    <row r="177" spans="1:25" x14ac:dyDescent="0.3">
      <c r="A177" s="65" t="s">
        <v>816</v>
      </c>
      <c r="B177" s="66" t="s">
        <v>815</v>
      </c>
      <c r="C177" s="66" t="s">
        <v>214</v>
      </c>
      <c r="D177" s="67">
        <v>23</v>
      </c>
      <c r="E177" s="68">
        <v>43838</v>
      </c>
      <c r="F177" s="69" t="s">
        <v>213</v>
      </c>
      <c r="G177" s="69" t="str">
        <f>B177&amp;"@gmail.com"</f>
        <v>Name 176@gmail.com</v>
      </c>
      <c r="H177" s="70">
        <v>45000</v>
      </c>
      <c r="I177" s="71">
        <f>H177*18%</f>
        <v>8100</v>
      </c>
      <c r="J177" s="71">
        <f>H177*5%</f>
        <v>2250</v>
      </c>
      <c r="K177" s="71">
        <v>1000</v>
      </c>
      <c r="L177" s="71">
        <v>5000</v>
      </c>
      <c r="M177" s="71">
        <v>1600</v>
      </c>
      <c r="N177" s="71">
        <v>30</v>
      </c>
      <c r="O177" s="71">
        <f>(H177/30)*N177</f>
        <v>45000</v>
      </c>
      <c r="P177" s="72">
        <v>0</v>
      </c>
      <c r="Q177" s="72">
        <f>N177*P177</f>
        <v>0</v>
      </c>
      <c r="R177" s="71">
        <f>(H177/30)/8</f>
        <v>187.5</v>
      </c>
      <c r="S177" s="71">
        <f>Q177*R177</f>
        <v>0</v>
      </c>
      <c r="T177" s="73">
        <f>I177+J177+K177+L177+M177+O177+S177</f>
        <v>62950</v>
      </c>
      <c r="U177" s="73">
        <v>204</v>
      </c>
      <c r="V177" s="73">
        <f>H177*12%</f>
        <v>5400</v>
      </c>
      <c r="W177" s="73">
        <v>4000</v>
      </c>
      <c r="X177" s="73">
        <f>SUM(U177:W177)</f>
        <v>9604</v>
      </c>
      <c r="Y177" s="73">
        <f>T177-X177</f>
        <v>53346</v>
      </c>
    </row>
    <row r="178" spans="1:25" x14ac:dyDescent="0.3">
      <c r="A178" s="65" t="s">
        <v>814</v>
      </c>
      <c r="B178" s="66" t="s">
        <v>813</v>
      </c>
      <c r="C178" s="66" t="s">
        <v>214</v>
      </c>
      <c r="D178" s="67">
        <v>34</v>
      </c>
      <c r="E178" s="68">
        <v>43839</v>
      </c>
      <c r="F178" s="69" t="s">
        <v>213</v>
      </c>
      <c r="G178" s="69" t="str">
        <f>B178&amp;"@gmail.com"</f>
        <v>Name 177@gmail.com</v>
      </c>
      <c r="H178" s="70">
        <v>55000</v>
      </c>
      <c r="I178" s="71">
        <f>H178*18%</f>
        <v>9900</v>
      </c>
      <c r="J178" s="71">
        <f>H178*5%</f>
        <v>2750</v>
      </c>
      <c r="K178" s="71">
        <v>1000</v>
      </c>
      <c r="L178" s="71">
        <v>5000</v>
      </c>
      <c r="M178" s="71">
        <v>1600</v>
      </c>
      <c r="N178" s="71">
        <v>30</v>
      </c>
      <c r="O178" s="71">
        <f>(H178/30)*N178</f>
        <v>55000</v>
      </c>
      <c r="P178" s="72">
        <v>1</v>
      </c>
      <c r="Q178" s="72">
        <f>N178*P178</f>
        <v>30</v>
      </c>
      <c r="R178" s="71">
        <f>(H178/30)/8</f>
        <v>229.16666666666666</v>
      </c>
      <c r="S178" s="71">
        <f>Q178*R178</f>
        <v>6875</v>
      </c>
      <c r="T178" s="73">
        <f>I178+J178+K178+L178+M178+O178+S178</f>
        <v>82125</v>
      </c>
      <c r="U178" s="73">
        <v>205</v>
      </c>
      <c r="V178" s="73">
        <f>H178*12%</f>
        <v>6600</v>
      </c>
      <c r="W178" s="73">
        <v>0</v>
      </c>
      <c r="X178" s="73">
        <f>SUM(U178:W178)</f>
        <v>6805</v>
      </c>
      <c r="Y178" s="73">
        <f>T178-X178</f>
        <v>75320</v>
      </c>
    </row>
    <row r="179" spans="1:25" x14ac:dyDescent="0.3">
      <c r="A179" s="65" t="s">
        <v>812</v>
      </c>
      <c r="B179" s="66" t="s">
        <v>811</v>
      </c>
      <c r="C179" s="66" t="s">
        <v>210</v>
      </c>
      <c r="D179" s="67">
        <v>23</v>
      </c>
      <c r="E179" s="68">
        <v>43840</v>
      </c>
      <c r="F179" s="69" t="s">
        <v>206</v>
      </c>
      <c r="G179" s="69" t="str">
        <f>B179&amp;"@gmail.com"</f>
        <v>Name 178@gmail.com</v>
      </c>
      <c r="H179" s="70">
        <v>43000</v>
      </c>
      <c r="I179" s="71">
        <f>H179*18%</f>
        <v>7740</v>
      </c>
      <c r="J179" s="71">
        <f>H179*5%</f>
        <v>2150</v>
      </c>
      <c r="K179" s="71">
        <v>1000</v>
      </c>
      <c r="L179" s="71">
        <v>5000</v>
      </c>
      <c r="M179" s="71">
        <v>1600</v>
      </c>
      <c r="N179" s="71">
        <v>27</v>
      </c>
      <c r="O179" s="71">
        <f>(H179/30)*N179</f>
        <v>38700</v>
      </c>
      <c r="P179" s="72">
        <v>1</v>
      </c>
      <c r="Q179" s="72">
        <f>N179*P179</f>
        <v>27</v>
      </c>
      <c r="R179" s="71">
        <f>(H179/30)/8</f>
        <v>179.16666666666666</v>
      </c>
      <c r="S179" s="71">
        <f>Q179*R179</f>
        <v>4837.5</v>
      </c>
      <c r="T179" s="73">
        <f>I179+J179+K179+L179+M179+O179+S179</f>
        <v>61027.5</v>
      </c>
      <c r="U179" s="73">
        <v>200</v>
      </c>
      <c r="V179" s="73">
        <f>H179*12%</f>
        <v>5160</v>
      </c>
      <c r="W179" s="73">
        <v>0</v>
      </c>
      <c r="X179" s="73">
        <f>SUM(U179:W179)</f>
        <v>5360</v>
      </c>
      <c r="Y179" s="73">
        <f>T179-X179</f>
        <v>55667.5</v>
      </c>
    </row>
    <row r="180" spans="1:25" x14ac:dyDescent="0.3">
      <c r="A180" s="65" t="s">
        <v>810</v>
      </c>
      <c r="B180" s="66" t="s">
        <v>809</v>
      </c>
      <c r="C180" s="66" t="s">
        <v>207</v>
      </c>
      <c r="D180" s="67">
        <v>34</v>
      </c>
      <c r="E180" s="68">
        <v>43841</v>
      </c>
      <c r="F180" s="69" t="s">
        <v>206</v>
      </c>
      <c r="G180" s="69" t="str">
        <f>B180&amp;"@gmail.com"</f>
        <v>Name 179@gmail.com</v>
      </c>
      <c r="H180" s="70">
        <v>25000</v>
      </c>
      <c r="I180" s="71">
        <f>H180*18%</f>
        <v>4500</v>
      </c>
      <c r="J180" s="71">
        <f>H180*5%</f>
        <v>1250</v>
      </c>
      <c r="K180" s="71">
        <v>1000</v>
      </c>
      <c r="L180" s="71">
        <v>5000</v>
      </c>
      <c r="M180" s="71">
        <v>1600</v>
      </c>
      <c r="N180" s="71">
        <v>30</v>
      </c>
      <c r="O180" s="71">
        <f>(H180/30)*N180</f>
        <v>25000</v>
      </c>
      <c r="P180" s="72">
        <v>0</v>
      </c>
      <c r="Q180" s="72">
        <f>N180*P180</f>
        <v>0</v>
      </c>
      <c r="R180" s="71">
        <f>(H180/30)/8</f>
        <v>104.16666666666667</v>
      </c>
      <c r="S180" s="71">
        <f>Q180*R180</f>
        <v>0</v>
      </c>
      <c r="T180" s="73">
        <f>I180+J180+K180+L180+M180+O180+S180</f>
        <v>38350</v>
      </c>
      <c r="U180" s="73">
        <v>200</v>
      </c>
      <c r="V180" s="73">
        <f>H180*12%</f>
        <v>3000</v>
      </c>
      <c r="W180" s="73">
        <v>0</v>
      </c>
      <c r="X180" s="73">
        <f>SUM(U180:W180)</f>
        <v>3200</v>
      </c>
      <c r="Y180" s="73">
        <f>T180-X180</f>
        <v>35150</v>
      </c>
    </row>
    <row r="181" spans="1:25" x14ac:dyDescent="0.3">
      <c r="A181" s="65" t="s">
        <v>808</v>
      </c>
      <c r="B181" s="66" t="s">
        <v>807</v>
      </c>
      <c r="C181" s="66" t="s">
        <v>214</v>
      </c>
      <c r="D181" s="67">
        <v>45</v>
      </c>
      <c r="E181" s="68">
        <v>43842</v>
      </c>
      <c r="F181" s="69" t="s">
        <v>206</v>
      </c>
      <c r="G181" s="69" t="str">
        <f>B181&amp;"@gmail.com"</f>
        <v>Name 180@gmail.com</v>
      </c>
      <c r="H181" s="70">
        <v>28000</v>
      </c>
      <c r="I181" s="71">
        <f>H181*18%</f>
        <v>5040</v>
      </c>
      <c r="J181" s="71">
        <f>H181*5%</f>
        <v>1400</v>
      </c>
      <c r="K181" s="71">
        <v>1000</v>
      </c>
      <c r="L181" s="71">
        <v>5000</v>
      </c>
      <c r="M181" s="71">
        <v>1600</v>
      </c>
      <c r="N181" s="71">
        <v>20</v>
      </c>
      <c r="O181" s="71">
        <f>(H181/30)*N181</f>
        <v>18666.666666666668</v>
      </c>
      <c r="P181" s="72">
        <v>0</v>
      </c>
      <c r="Q181" s="72">
        <f>N181*P181</f>
        <v>0</v>
      </c>
      <c r="R181" s="71">
        <f>(H181/30)/8</f>
        <v>116.66666666666667</v>
      </c>
      <c r="S181" s="71">
        <f>Q181*R181</f>
        <v>0</v>
      </c>
      <c r="T181" s="73">
        <f>I181+J181+K181+L181+M181+O181+S181</f>
        <v>32706.666666666668</v>
      </c>
      <c r="U181" s="73">
        <v>200</v>
      </c>
      <c r="V181" s="73">
        <f>H181*12%</f>
        <v>3360</v>
      </c>
      <c r="W181" s="73">
        <v>0</v>
      </c>
      <c r="X181" s="73">
        <f>SUM(U181:W181)</f>
        <v>3560</v>
      </c>
      <c r="Y181" s="73">
        <f>T181-X181</f>
        <v>29146.666666666668</v>
      </c>
    </row>
    <row r="182" spans="1:25" x14ac:dyDescent="0.3">
      <c r="A182" s="65" t="s">
        <v>806</v>
      </c>
      <c r="B182" s="66" t="s">
        <v>805</v>
      </c>
      <c r="C182" s="66" t="s">
        <v>210</v>
      </c>
      <c r="D182" s="67">
        <v>54</v>
      </c>
      <c r="E182" s="68">
        <v>43843</v>
      </c>
      <c r="F182" s="69" t="s">
        <v>206</v>
      </c>
      <c r="G182" s="69" t="str">
        <f>B182&amp;"@gmail.com"</f>
        <v>Name 181@gmail.com</v>
      </c>
      <c r="H182" s="70">
        <v>40000</v>
      </c>
      <c r="I182" s="71">
        <f>H182*18%</f>
        <v>7200</v>
      </c>
      <c r="J182" s="71">
        <f>H182*5%</f>
        <v>2000</v>
      </c>
      <c r="K182" s="71">
        <v>1000</v>
      </c>
      <c r="L182" s="71">
        <v>5000</v>
      </c>
      <c r="M182" s="71">
        <v>1600</v>
      </c>
      <c r="N182" s="71">
        <v>28</v>
      </c>
      <c r="O182" s="71">
        <f>(H182/30)*N182</f>
        <v>37333.333333333328</v>
      </c>
      <c r="P182" s="72">
        <v>2</v>
      </c>
      <c r="Q182" s="72">
        <f>N182*P182</f>
        <v>56</v>
      </c>
      <c r="R182" s="71">
        <f>(H182/30)/8</f>
        <v>166.66666666666666</v>
      </c>
      <c r="S182" s="71">
        <f>Q182*R182</f>
        <v>9333.3333333333321</v>
      </c>
      <c r="T182" s="73">
        <f>I182+J182+K182+L182+M182+O182+S182</f>
        <v>63466.666666666657</v>
      </c>
      <c r="U182" s="73">
        <v>200</v>
      </c>
      <c r="V182" s="73">
        <f>H182*12%</f>
        <v>4800</v>
      </c>
      <c r="W182" s="73">
        <v>0</v>
      </c>
      <c r="X182" s="73">
        <f>SUM(U182:W182)</f>
        <v>5000</v>
      </c>
      <c r="Y182" s="73">
        <f>T182-X182</f>
        <v>58466.666666666657</v>
      </c>
    </row>
    <row r="183" spans="1:25" x14ac:dyDescent="0.3">
      <c r="A183" s="65" t="s">
        <v>804</v>
      </c>
      <c r="B183" s="66" t="s">
        <v>803</v>
      </c>
      <c r="C183" s="66" t="s">
        <v>210</v>
      </c>
      <c r="D183" s="67">
        <v>56</v>
      </c>
      <c r="E183" s="68">
        <v>43844</v>
      </c>
      <c r="F183" s="69" t="s">
        <v>206</v>
      </c>
      <c r="G183" s="69" t="str">
        <f>B183&amp;"@gmail.com"</f>
        <v>Name 182@gmail.com</v>
      </c>
      <c r="H183" s="70">
        <v>32000</v>
      </c>
      <c r="I183" s="71">
        <f>H183*18%</f>
        <v>5760</v>
      </c>
      <c r="J183" s="71">
        <f>H183*5%</f>
        <v>1600</v>
      </c>
      <c r="K183" s="71">
        <v>1000</v>
      </c>
      <c r="L183" s="71">
        <v>5000</v>
      </c>
      <c r="M183" s="71">
        <v>1600</v>
      </c>
      <c r="N183" s="71">
        <v>30</v>
      </c>
      <c r="O183" s="71">
        <f>(H183/30)*N183</f>
        <v>32000.000000000004</v>
      </c>
      <c r="P183" s="72">
        <v>1</v>
      </c>
      <c r="Q183" s="72">
        <f>N183*P183</f>
        <v>30</v>
      </c>
      <c r="R183" s="71">
        <f>(H183/30)/8</f>
        <v>133.33333333333334</v>
      </c>
      <c r="S183" s="71">
        <f>Q183*R183</f>
        <v>4000.0000000000005</v>
      </c>
      <c r="T183" s="73">
        <f>I183+J183+K183+L183+M183+O183+S183</f>
        <v>50960</v>
      </c>
      <c r="U183" s="73">
        <v>200</v>
      </c>
      <c r="V183" s="73">
        <f>H183*12%</f>
        <v>3840</v>
      </c>
      <c r="W183" s="73">
        <v>5000</v>
      </c>
      <c r="X183" s="73">
        <f>SUM(U183:W183)</f>
        <v>9040</v>
      </c>
      <c r="Y183" s="73">
        <f>T183-X183</f>
        <v>41920</v>
      </c>
    </row>
    <row r="184" spans="1:25" x14ac:dyDescent="0.3">
      <c r="A184" s="65" t="s">
        <v>802</v>
      </c>
      <c r="B184" s="66" t="s">
        <v>801</v>
      </c>
      <c r="C184" s="66" t="s">
        <v>207</v>
      </c>
      <c r="D184" s="67">
        <v>54</v>
      </c>
      <c r="E184" s="68">
        <v>43845</v>
      </c>
      <c r="F184" s="69" t="s">
        <v>206</v>
      </c>
      <c r="G184" s="69" t="str">
        <f>B184&amp;"@gmail.com"</f>
        <v>Name 183@gmail.com</v>
      </c>
      <c r="H184" s="70">
        <v>28000</v>
      </c>
      <c r="I184" s="71">
        <f>H184*18%</f>
        <v>5040</v>
      </c>
      <c r="J184" s="71">
        <f>H184*5%</f>
        <v>1400</v>
      </c>
      <c r="K184" s="71">
        <v>1000</v>
      </c>
      <c r="L184" s="71">
        <v>5000</v>
      </c>
      <c r="M184" s="71">
        <v>1600</v>
      </c>
      <c r="N184" s="71">
        <v>29</v>
      </c>
      <c r="O184" s="71">
        <f>(H184/30)*N184</f>
        <v>27066.666666666668</v>
      </c>
      <c r="P184" s="72">
        <v>1</v>
      </c>
      <c r="Q184" s="72">
        <f>N184*P184</f>
        <v>29</v>
      </c>
      <c r="R184" s="71">
        <f>(H184/30)/8</f>
        <v>116.66666666666667</v>
      </c>
      <c r="S184" s="71">
        <f>Q184*R184</f>
        <v>3383.3333333333335</v>
      </c>
      <c r="T184" s="73">
        <f>I184+J184+K184+L184+M184+O184+S184</f>
        <v>44490.000000000007</v>
      </c>
      <c r="U184" s="73">
        <v>200</v>
      </c>
      <c r="V184" s="73">
        <f>H184*12%</f>
        <v>3360</v>
      </c>
      <c r="W184" s="73">
        <v>0</v>
      </c>
      <c r="X184" s="73">
        <f>SUM(U184:W184)</f>
        <v>3560</v>
      </c>
      <c r="Y184" s="73">
        <f>T184-X184</f>
        <v>40930.000000000007</v>
      </c>
    </row>
    <row r="185" spans="1:25" x14ac:dyDescent="0.3">
      <c r="A185" s="65" t="s">
        <v>800</v>
      </c>
      <c r="B185" s="66" t="s">
        <v>799</v>
      </c>
      <c r="C185" s="66" t="s">
        <v>214</v>
      </c>
      <c r="D185" s="67">
        <v>34</v>
      </c>
      <c r="E185" s="68">
        <v>43846</v>
      </c>
      <c r="F185" s="69" t="s">
        <v>213</v>
      </c>
      <c r="G185" s="69" t="str">
        <f>B185&amp;"@gmail.com"</f>
        <v>Name 184@gmail.com</v>
      </c>
      <c r="H185" s="70">
        <v>44000</v>
      </c>
      <c r="I185" s="71">
        <f>H185*18%</f>
        <v>7920</v>
      </c>
      <c r="J185" s="71">
        <f>H185*5%</f>
        <v>2200</v>
      </c>
      <c r="K185" s="71">
        <v>1000</v>
      </c>
      <c r="L185" s="71">
        <v>5000</v>
      </c>
      <c r="M185" s="71">
        <v>1600</v>
      </c>
      <c r="N185" s="71">
        <v>28</v>
      </c>
      <c r="O185" s="71">
        <f>(H185/30)*N185</f>
        <v>41066.666666666672</v>
      </c>
      <c r="P185" s="72">
        <v>1</v>
      </c>
      <c r="Q185" s="72">
        <f>N185*P185</f>
        <v>28</v>
      </c>
      <c r="R185" s="71">
        <f>(H185/30)/8</f>
        <v>183.33333333333334</v>
      </c>
      <c r="S185" s="71">
        <f>Q185*R185</f>
        <v>5133.3333333333339</v>
      </c>
      <c r="T185" s="73">
        <f>I185+J185+K185+L185+M185+O185+S185</f>
        <v>63920.000000000007</v>
      </c>
      <c r="U185" s="73">
        <v>200</v>
      </c>
      <c r="V185" s="73">
        <f>H185*12%</f>
        <v>5280</v>
      </c>
      <c r="W185" s="73">
        <v>0</v>
      </c>
      <c r="X185" s="73">
        <f>SUM(U185:W185)</f>
        <v>5480</v>
      </c>
      <c r="Y185" s="73">
        <f>T185-X185</f>
        <v>58440.000000000007</v>
      </c>
    </row>
    <row r="186" spans="1:25" x14ac:dyDescent="0.3">
      <c r="A186" s="65" t="s">
        <v>798</v>
      </c>
      <c r="B186" s="66" t="s">
        <v>797</v>
      </c>
      <c r="C186" s="66" t="s">
        <v>210</v>
      </c>
      <c r="D186" s="67">
        <v>23</v>
      </c>
      <c r="E186" s="68">
        <v>43847</v>
      </c>
      <c r="F186" s="69" t="s">
        <v>206</v>
      </c>
      <c r="G186" s="69" t="str">
        <f>B186&amp;"@gmail.com"</f>
        <v>Name 185@gmail.com</v>
      </c>
      <c r="H186" s="70">
        <v>25000</v>
      </c>
      <c r="I186" s="71">
        <f>H186*18%</f>
        <v>4500</v>
      </c>
      <c r="J186" s="71">
        <f>H186*5%</f>
        <v>1250</v>
      </c>
      <c r="K186" s="71">
        <v>1000</v>
      </c>
      <c r="L186" s="71">
        <v>0</v>
      </c>
      <c r="M186" s="71">
        <v>1600</v>
      </c>
      <c r="N186" s="71">
        <v>27</v>
      </c>
      <c r="O186" s="71">
        <f>(H186/30)*N186</f>
        <v>22500</v>
      </c>
      <c r="P186" s="72">
        <v>1</v>
      </c>
      <c r="Q186" s="72">
        <f>N186*P186</f>
        <v>27</v>
      </c>
      <c r="R186" s="71">
        <f>(H186/30)/8</f>
        <v>104.16666666666667</v>
      </c>
      <c r="S186" s="71">
        <f>Q186*R186</f>
        <v>2812.5</v>
      </c>
      <c r="T186" s="73">
        <f>I186+J186+K186+L186+M186+O186+S186</f>
        <v>33662.5</v>
      </c>
      <c r="U186" s="73">
        <v>200</v>
      </c>
      <c r="V186" s="73">
        <f>H186*12%</f>
        <v>3000</v>
      </c>
      <c r="W186" s="73">
        <v>0</v>
      </c>
      <c r="X186" s="73">
        <f>SUM(U186:W186)</f>
        <v>3200</v>
      </c>
      <c r="Y186" s="73">
        <f>T186-X186</f>
        <v>30462.5</v>
      </c>
    </row>
    <row r="187" spans="1:25" x14ac:dyDescent="0.3">
      <c r="A187" s="65" t="s">
        <v>796</v>
      </c>
      <c r="B187" s="66" t="s">
        <v>795</v>
      </c>
      <c r="C187" s="66" t="s">
        <v>214</v>
      </c>
      <c r="D187" s="67">
        <v>34</v>
      </c>
      <c r="E187" s="68">
        <v>43848</v>
      </c>
      <c r="F187" s="69" t="s">
        <v>206</v>
      </c>
      <c r="G187" s="69" t="str">
        <f>B187&amp;"@gmail.com"</f>
        <v>Name 186@gmail.com</v>
      </c>
      <c r="H187" s="70">
        <v>50000</v>
      </c>
      <c r="I187" s="71">
        <f>H187*18%</f>
        <v>9000</v>
      </c>
      <c r="J187" s="71">
        <f>H187*5%</f>
        <v>2500</v>
      </c>
      <c r="K187" s="71">
        <v>1000</v>
      </c>
      <c r="L187" s="71">
        <v>0</v>
      </c>
      <c r="M187" s="71">
        <v>1600</v>
      </c>
      <c r="N187" s="71">
        <v>27</v>
      </c>
      <c r="O187" s="71">
        <f>(H187/30)*N187</f>
        <v>45000</v>
      </c>
      <c r="P187" s="72">
        <v>3</v>
      </c>
      <c r="Q187" s="72">
        <f>N187*P187</f>
        <v>81</v>
      </c>
      <c r="R187" s="71">
        <f>(H187/30)/8</f>
        <v>208.33333333333334</v>
      </c>
      <c r="S187" s="71">
        <f>Q187*R187</f>
        <v>16875</v>
      </c>
      <c r="T187" s="73">
        <f>I187+J187+K187+L187+M187+O187+S187</f>
        <v>75975</v>
      </c>
      <c r="U187" s="73">
        <v>201</v>
      </c>
      <c r="V187" s="73">
        <f>H187*12%</f>
        <v>6000</v>
      </c>
      <c r="W187" s="73">
        <v>0</v>
      </c>
      <c r="X187" s="73">
        <f>SUM(U187:W187)</f>
        <v>6201</v>
      </c>
      <c r="Y187" s="73">
        <f>T187-X187</f>
        <v>69774</v>
      </c>
    </row>
    <row r="188" spans="1:25" x14ac:dyDescent="0.3">
      <c r="A188" s="65" t="s">
        <v>794</v>
      </c>
      <c r="B188" s="66" t="s">
        <v>793</v>
      </c>
      <c r="C188" s="66" t="s">
        <v>214</v>
      </c>
      <c r="D188" s="67">
        <v>43</v>
      </c>
      <c r="E188" s="68">
        <v>43849</v>
      </c>
      <c r="F188" s="69" t="s">
        <v>213</v>
      </c>
      <c r="G188" s="69" t="str">
        <f>B188&amp;"@gmail.com"</f>
        <v>Name 187@gmail.com</v>
      </c>
      <c r="H188" s="70">
        <v>70000</v>
      </c>
      <c r="I188" s="71">
        <f>H188*18%</f>
        <v>12600</v>
      </c>
      <c r="J188" s="71">
        <f>H188*5%</f>
        <v>3500</v>
      </c>
      <c r="K188" s="71">
        <v>1000</v>
      </c>
      <c r="L188" s="71">
        <v>0</v>
      </c>
      <c r="M188" s="71">
        <v>1600</v>
      </c>
      <c r="N188" s="71">
        <v>27</v>
      </c>
      <c r="O188" s="71">
        <f>(H188/30)*N188</f>
        <v>63000.000000000007</v>
      </c>
      <c r="P188" s="72">
        <v>1</v>
      </c>
      <c r="Q188" s="72">
        <f>N188*P188</f>
        <v>27</v>
      </c>
      <c r="R188" s="71">
        <f>(H188/30)/8</f>
        <v>291.66666666666669</v>
      </c>
      <c r="S188" s="71">
        <f>Q188*R188</f>
        <v>7875.0000000000009</v>
      </c>
      <c r="T188" s="73">
        <f>I188+J188+K188+L188+M188+O188+S188</f>
        <v>89575</v>
      </c>
      <c r="U188" s="73">
        <v>202</v>
      </c>
      <c r="V188" s="73">
        <f>H188*12%</f>
        <v>8400</v>
      </c>
      <c r="W188" s="73">
        <v>0</v>
      </c>
      <c r="X188" s="73">
        <f>SUM(U188:W188)</f>
        <v>8602</v>
      </c>
      <c r="Y188" s="73">
        <f>T188-X188</f>
        <v>80973</v>
      </c>
    </row>
    <row r="189" spans="1:25" x14ac:dyDescent="0.3">
      <c r="A189" s="65" t="s">
        <v>792</v>
      </c>
      <c r="B189" s="66" t="s">
        <v>791</v>
      </c>
      <c r="C189" s="66" t="s">
        <v>214</v>
      </c>
      <c r="D189" s="67">
        <v>34</v>
      </c>
      <c r="E189" s="68">
        <v>43850</v>
      </c>
      <c r="F189" s="69" t="s">
        <v>213</v>
      </c>
      <c r="G189" s="69" t="str">
        <f>B189&amp;"@gmail.com"</f>
        <v>Name 188@gmail.com</v>
      </c>
      <c r="H189" s="70">
        <v>34000</v>
      </c>
      <c r="I189" s="71">
        <f>H189*18%</f>
        <v>6120</v>
      </c>
      <c r="J189" s="71">
        <f>H189*5%</f>
        <v>1700</v>
      </c>
      <c r="K189" s="71">
        <v>1000</v>
      </c>
      <c r="L189" s="71">
        <v>2000</v>
      </c>
      <c r="M189" s="71">
        <v>1600</v>
      </c>
      <c r="N189" s="71">
        <v>30</v>
      </c>
      <c r="O189" s="71">
        <f>(H189/30)*N189</f>
        <v>34000</v>
      </c>
      <c r="P189" s="72">
        <v>2</v>
      </c>
      <c r="Q189" s="72">
        <f>N189*P189</f>
        <v>60</v>
      </c>
      <c r="R189" s="71">
        <f>(H189/30)/8</f>
        <v>141.66666666666666</v>
      </c>
      <c r="S189" s="71">
        <f>Q189*R189</f>
        <v>8500</v>
      </c>
      <c r="T189" s="73">
        <f>I189+J189+K189+L189+M189+O189+S189</f>
        <v>54920</v>
      </c>
      <c r="U189" s="73">
        <v>203</v>
      </c>
      <c r="V189" s="73">
        <f>H189*12%</f>
        <v>4080</v>
      </c>
      <c r="W189" s="73">
        <v>0</v>
      </c>
      <c r="X189" s="73">
        <f>SUM(U189:W189)</f>
        <v>4283</v>
      </c>
      <c r="Y189" s="73">
        <f>T189-X189</f>
        <v>50637</v>
      </c>
    </row>
    <row r="190" spans="1:25" x14ac:dyDescent="0.3">
      <c r="A190" s="65" t="s">
        <v>790</v>
      </c>
      <c r="B190" s="66" t="s">
        <v>789</v>
      </c>
      <c r="C190" s="66" t="s">
        <v>214</v>
      </c>
      <c r="D190" s="67">
        <v>43</v>
      </c>
      <c r="E190" s="68">
        <v>43851</v>
      </c>
      <c r="F190" s="69" t="s">
        <v>213</v>
      </c>
      <c r="G190" s="69" t="str">
        <f>B190&amp;"@gmail.com"</f>
        <v>Name 189@gmail.com</v>
      </c>
      <c r="H190" s="70">
        <v>45000</v>
      </c>
      <c r="I190" s="71">
        <f>H190*18%</f>
        <v>8100</v>
      </c>
      <c r="J190" s="71">
        <f>H190*5%</f>
        <v>2250</v>
      </c>
      <c r="K190" s="71">
        <v>1000</v>
      </c>
      <c r="L190" s="71">
        <v>5000</v>
      </c>
      <c r="M190" s="71">
        <v>1600</v>
      </c>
      <c r="N190" s="71">
        <v>30</v>
      </c>
      <c r="O190" s="71">
        <f>(H190/30)*N190</f>
        <v>45000</v>
      </c>
      <c r="P190" s="72">
        <v>0</v>
      </c>
      <c r="Q190" s="72">
        <f>N190*P190</f>
        <v>0</v>
      </c>
      <c r="R190" s="71">
        <f>(H190/30)/8</f>
        <v>187.5</v>
      </c>
      <c r="S190" s="71">
        <f>Q190*R190</f>
        <v>0</v>
      </c>
      <c r="T190" s="73">
        <f>I190+J190+K190+L190+M190+O190+S190</f>
        <v>62950</v>
      </c>
      <c r="U190" s="73">
        <v>204</v>
      </c>
      <c r="V190" s="73">
        <f>H190*12%</f>
        <v>5400</v>
      </c>
      <c r="W190" s="73">
        <v>4000</v>
      </c>
      <c r="X190" s="73">
        <f>SUM(U190:W190)</f>
        <v>9604</v>
      </c>
      <c r="Y190" s="73">
        <f>T190-X190</f>
        <v>53346</v>
      </c>
    </row>
    <row r="191" spans="1:25" x14ac:dyDescent="0.3">
      <c r="A191" s="65" t="s">
        <v>788</v>
      </c>
      <c r="B191" s="66" t="s">
        <v>787</v>
      </c>
      <c r="C191" s="66" t="s">
        <v>214</v>
      </c>
      <c r="D191" s="67">
        <v>23</v>
      </c>
      <c r="E191" s="68">
        <v>43852</v>
      </c>
      <c r="F191" s="69" t="s">
        <v>213</v>
      </c>
      <c r="G191" s="69" t="str">
        <f>B191&amp;"@gmail.com"</f>
        <v>Name 190@gmail.com</v>
      </c>
      <c r="H191" s="70">
        <v>55000</v>
      </c>
      <c r="I191" s="71">
        <f>H191*18%</f>
        <v>9900</v>
      </c>
      <c r="J191" s="71">
        <f>H191*5%</f>
        <v>2750</v>
      </c>
      <c r="K191" s="71">
        <v>1000</v>
      </c>
      <c r="L191" s="71">
        <v>0</v>
      </c>
      <c r="M191" s="71">
        <v>1600</v>
      </c>
      <c r="N191" s="71">
        <v>30</v>
      </c>
      <c r="O191" s="71">
        <f>(H191/30)*N191</f>
        <v>55000</v>
      </c>
      <c r="P191" s="72">
        <v>1</v>
      </c>
      <c r="Q191" s="72">
        <f>N191*P191</f>
        <v>30</v>
      </c>
      <c r="R191" s="71">
        <f>(H191/30)/8</f>
        <v>229.16666666666666</v>
      </c>
      <c r="S191" s="71">
        <f>Q191*R191</f>
        <v>6875</v>
      </c>
      <c r="T191" s="73">
        <f>I191+J191+K191+L191+M191+O191+S191</f>
        <v>77125</v>
      </c>
      <c r="U191" s="73">
        <v>205</v>
      </c>
      <c r="V191" s="73">
        <f>H191*12%</f>
        <v>6600</v>
      </c>
      <c r="W191" s="73">
        <v>0</v>
      </c>
      <c r="X191" s="73">
        <f>SUM(U191:W191)</f>
        <v>6805</v>
      </c>
      <c r="Y191" s="73">
        <f>T191-X191</f>
        <v>70320</v>
      </c>
    </row>
    <row r="192" spans="1:25" x14ac:dyDescent="0.3">
      <c r="A192" s="65" t="s">
        <v>786</v>
      </c>
      <c r="B192" s="66" t="s">
        <v>785</v>
      </c>
      <c r="C192" s="66" t="s">
        <v>210</v>
      </c>
      <c r="D192" s="67">
        <v>34</v>
      </c>
      <c r="E192" s="68">
        <v>43853</v>
      </c>
      <c r="F192" s="69" t="s">
        <v>206</v>
      </c>
      <c r="G192" s="69" t="str">
        <f>B192&amp;"@gmail.com"</f>
        <v>Name 191@gmail.com</v>
      </c>
      <c r="H192" s="70">
        <v>43000</v>
      </c>
      <c r="I192" s="71">
        <f>H192*18%</f>
        <v>7740</v>
      </c>
      <c r="J192" s="71">
        <f>H192*5%</f>
        <v>2150</v>
      </c>
      <c r="K192" s="71">
        <v>1000</v>
      </c>
      <c r="L192" s="71">
        <v>0</v>
      </c>
      <c r="M192" s="71">
        <v>1600</v>
      </c>
      <c r="N192" s="71">
        <v>27</v>
      </c>
      <c r="O192" s="71">
        <f>(H192/30)*N192</f>
        <v>38700</v>
      </c>
      <c r="P192" s="72">
        <v>1</v>
      </c>
      <c r="Q192" s="72">
        <f>N192*P192</f>
        <v>27</v>
      </c>
      <c r="R192" s="71">
        <f>(H192/30)/8</f>
        <v>179.16666666666666</v>
      </c>
      <c r="S192" s="71">
        <f>Q192*R192</f>
        <v>4837.5</v>
      </c>
      <c r="T192" s="73">
        <f>I192+J192+K192+L192+M192+O192+S192</f>
        <v>56027.5</v>
      </c>
      <c r="U192" s="73">
        <v>200</v>
      </c>
      <c r="V192" s="73">
        <f>H192*12%</f>
        <v>5160</v>
      </c>
      <c r="W192" s="73">
        <v>0</v>
      </c>
      <c r="X192" s="73">
        <f>SUM(U192:W192)</f>
        <v>5360</v>
      </c>
      <c r="Y192" s="73">
        <f>T192-X192</f>
        <v>50667.5</v>
      </c>
    </row>
    <row r="193" spans="1:25" x14ac:dyDescent="0.3">
      <c r="A193" s="65" t="s">
        <v>784</v>
      </c>
      <c r="B193" s="66" t="s">
        <v>783</v>
      </c>
      <c r="C193" s="66" t="s">
        <v>207</v>
      </c>
      <c r="D193" s="67">
        <v>23</v>
      </c>
      <c r="E193" s="68">
        <v>43854</v>
      </c>
      <c r="F193" s="69" t="s">
        <v>206</v>
      </c>
      <c r="G193" s="69" t="str">
        <f>B193&amp;"@gmail.com"</f>
        <v>Name 192@gmail.com</v>
      </c>
      <c r="H193" s="70">
        <v>25000</v>
      </c>
      <c r="I193" s="71">
        <f>H193*18%</f>
        <v>4500</v>
      </c>
      <c r="J193" s="71">
        <f>H193*5%</f>
        <v>1250</v>
      </c>
      <c r="K193" s="71">
        <v>1000</v>
      </c>
      <c r="L193" s="71">
        <v>0</v>
      </c>
      <c r="M193" s="71">
        <v>1600</v>
      </c>
      <c r="N193" s="71">
        <v>30</v>
      </c>
      <c r="O193" s="71">
        <f>(H193/30)*N193</f>
        <v>25000</v>
      </c>
      <c r="P193" s="72">
        <v>0</v>
      </c>
      <c r="Q193" s="72">
        <f>N193*P193</f>
        <v>0</v>
      </c>
      <c r="R193" s="71">
        <f>(H193/30)/8</f>
        <v>104.16666666666667</v>
      </c>
      <c r="S193" s="71">
        <f>Q193*R193</f>
        <v>0</v>
      </c>
      <c r="T193" s="73">
        <f>I193+J193+K193+L193+M193+O193+S193</f>
        <v>33350</v>
      </c>
      <c r="U193" s="73">
        <v>200</v>
      </c>
      <c r="V193" s="73">
        <f>H193*12%</f>
        <v>3000</v>
      </c>
      <c r="W193" s="73">
        <v>0</v>
      </c>
      <c r="X193" s="73">
        <f>SUM(U193:W193)</f>
        <v>3200</v>
      </c>
      <c r="Y193" s="73">
        <f>T193-X193</f>
        <v>30150</v>
      </c>
    </row>
    <row r="194" spans="1:25" x14ac:dyDescent="0.3">
      <c r="A194" s="65" t="s">
        <v>782</v>
      </c>
      <c r="B194" s="66" t="s">
        <v>781</v>
      </c>
      <c r="C194" s="66" t="s">
        <v>214</v>
      </c>
      <c r="D194" s="67">
        <v>34</v>
      </c>
      <c r="E194" s="68">
        <v>43831</v>
      </c>
      <c r="F194" s="69" t="s">
        <v>206</v>
      </c>
      <c r="G194" s="69" t="str">
        <f>B194&amp;"@gmail.com"</f>
        <v>Name 193@gmail.com</v>
      </c>
      <c r="H194" s="70">
        <v>28000</v>
      </c>
      <c r="I194" s="71">
        <f>H194*18%</f>
        <v>5040</v>
      </c>
      <c r="J194" s="71">
        <f>H194*5%</f>
        <v>1400</v>
      </c>
      <c r="K194" s="71">
        <v>1000</v>
      </c>
      <c r="L194" s="71">
        <v>0</v>
      </c>
      <c r="M194" s="71">
        <v>1600</v>
      </c>
      <c r="N194" s="71">
        <v>20</v>
      </c>
      <c r="O194" s="71">
        <f>(H194/30)*N194</f>
        <v>18666.666666666668</v>
      </c>
      <c r="P194" s="72">
        <v>0</v>
      </c>
      <c r="Q194" s="72">
        <f>N194*P194</f>
        <v>0</v>
      </c>
      <c r="R194" s="71">
        <f>(H194/30)/8</f>
        <v>116.66666666666667</v>
      </c>
      <c r="S194" s="71">
        <f>Q194*R194</f>
        <v>0</v>
      </c>
      <c r="T194" s="73">
        <f>I194+J194+K194+L194+M194+O194+S194</f>
        <v>27706.666666666668</v>
      </c>
      <c r="U194" s="73">
        <v>200</v>
      </c>
      <c r="V194" s="73">
        <f>H194*12%</f>
        <v>3360</v>
      </c>
      <c r="W194" s="73">
        <v>0</v>
      </c>
      <c r="X194" s="73">
        <f>SUM(U194:W194)</f>
        <v>3560</v>
      </c>
      <c r="Y194" s="73">
        <f>T194-X194</f>
        <v>24146.666666666668</v>
      </c>
    </row>
    <row r="195" spans="1:25" x14ac:dyDescent="0.3">
      <c r="A195" s="65" t="s">
        <v>780</v>
      </c>
      <c r="B195" s="66" t="s">
        <v>779</v>
      </c>
      <c r="C195" s="66" t="s">
        <v>210</v>
      </c>
      <c r="D195" s="67">
        <v>23</v>
      </c>
      <c r="E195" s="68">
        <v>43832</v>
      </c>
      <c r="F195" s="69" t="s">
        <v>206</v>
      </c>
      <c r="G195" s="69" t="str">
        <f>B195&amp;"@gmail.com"</f>
        <v>Name 194@gmail.com</v>
      </c>
      <c r="H195" s="70">
        <v>40000</v>
      </c>
      <c r="I195" s="71">
        <f>H195*18%</f>
        <v>7200</v>
      </c>
      <c r="J195" s="71">
        <f>H195*5%</f>
        <v>2000</v>
      </c>
      <c r="K195" s="71">
        <v>1000</v>
      </c>
      <c r="L195" s="71">
        <v>0</v>
      </c>
      <c r="M195" s="71">
        <v>1600</v>
      </c>
      <c r="N195" s="71">
        <v>28</v>
      </c>
      <c r="O195" s="71">
        <f>(H195/30)*N195</f>
        <v>37333.333333333328</v>
      </c>
      <c r="P195" s="72">
        <v>2</v>
      </c>
      <c r="Q195" s="72">
        <f>N195*P195</f>
        <v>56</v>
      </c>
      <c r="R195" s="71">
        <f>(H195/30)/8</f>
        <v>166.66666666666666</v>
      </c>
      <c r="S195" s="71">
        <f>Q195*R195</f>
        <v>9333.3333333333321</v>
      </c>
      <c r="T195" s="73">
        <f>I195+J195+K195+L195+M195+O195+S195</f>
        <v>58466.666666666657</v>
      </c>
      <c r="U195" s="73">
        <v>200</v>
      </c>
      <c r="V195" s="73">
        <f>H195*12%</f>
        <v>4800</v>
      </c>
      <c r="W195" s="73">
        <v>0</v>
      </c>
      <c r="X195" s="73">
        <f>SUM(U195:W195)</f>
        <v>5000</v>
      </c>
      <c r="Y195" s="73">
        <f>T195-X195</f>
        <v>53466.666666666657</v>
      </c>
    </row>
    <row r="196" spans="1:25" x14ac:dyDescent="0.3">
      <c r="A196" s="65" t="s">
        <v>778</v>
      </c>
      <c r="B196" s="66" t="s">
        <v>777</v>
      </c>
      <c r="C196" s="66" t="s">
        <v>210</v>
      </c>
      <c r="D196" s="67">
        <v>34</v>
      </c>
      <c r="E196" s="68">
        <v>43833</v>
      </c>
      <c r="F196" s="69" t="s">
        <v>206</v>
      </c>
      <c r="G196" s="69" t="str">
        <f>B196&amp;"@gmail.com"</f>
        <v>Name 195@gmail.com</v>
      </c>
      <c r="H196" s="70">
        <v>32000</v>
      </c>
      <c r="I196" s="71">
        <f>H196*18%</f>
        <v>5760</v>
      </c>
      <c r="J196" s="71">
        <f>H196*5%</f>
        <v>1600</v>
      </c>
      <c r="K196" s="71">
        <v>1000</v>
      </c>
      <c r="L196" s="71">
        <v>0</v>
      </c>
      <c r="M196" s="71">
        <v>1600</v>
      </c>
      <c r="N196" s="71">
        <v>30</v>
      </c>
      <c r="O196" s="71">
        <f>(H196/30)*N196</f>
        <v>32000.000000000004</v>
      </c>
      <c r="P196" s="72">
        <v>1</v>
      </c>
      <c r="Q196" s="72">
        <f>N196*P196</f>
        <v>30</v>
      </c>
      <c r="R196" s="71">
        <f>(H196/30)/8</f>
        <v>133.33333333333334</v>
      </c>
      <c r="S196" s="71">
        <f>Q196*R196</f>
        <v>4000.0000000000005</v>
      </c>
      <c r="T196" s="73">
        <f>I196+J196+K196+L196+M196+O196+S196</f>
        <v>45960</v>
      </c>
      <c r="U196" s="73">
        <v>200</v>
      </c>
      <c r="V196" s="73">
        <f>H196*12%</f>
        <v>3840</v>
      </c>
      <c r="W196" s="73">
        <v>5000</v>
      </c>
      <c r="X196" s="73">
        <f>SUM(U196:W196)</f>
        <v>9040</v>
      </c>
      <c r="Y196" s="73">
        <f>T196-X196</f>
        <v>36920</v>
      </c>
    </row>
    <row r="197" spans="1:25" x14ac:dyDescent="0.3">
      <c r="A197" s="65" t="s">
        <v>776</v>
      </c>
      <c r="B197" s="66" t="s">
        <v>775</v>
      </c>
      <c r="C197" s="66" t="s">
        <v>207</v>
      </c>
      <c r="D197" s="67">
        <v>45</v>
      </c>
      <c r="E197" s="68">
        <v>43834</v>
      </c>
      <c r="F197" s="69" t="s">
        <v>206</v>
      </c>
      <c r="G197" s="69" t="str">
        <f>B197&amp;"@gmail.com"</f>
        <v>Name 196@gmail.com</v>
      </c>
      <c r="H197" s="70">
        <v>28000</v>
      </c>
      <c r="I197" s="71">
        <f>H197*18%</f>
        <v>5040</v>
      </c>
      <c r="J197" s="71">
        <f>H197*5%</f>
        <v>1400</v>
      </c>
      <c r="K197" s="71">
        <v>1000</v>
      </c>
      <c r="L197" s="71">
        <v>0</v>
      </c>
      <c r="M197" s="71">
        <v>1600</v>
      </c>
      <c r="N197" s="71">
        <v>29</v>
      </c>
      <c r="O197" s="71">
        <f>(H197/30)*N197</f>
        <v>27066.666666666668</v>
      </c>
      <c r="P197" s="72">
        <v>1</v>
      </c>
      <c r="Q197" s="72">
        <f>N197*P197</f>
        <v>29</v>
      </c>
      <c r="R197" s="71">
        <f>(H197/30)/8</f>
        <v>116.66666666666667</v>
      </c>
      <c r="S197" s="71">
        <f>Q197*R197</f>
        <v>3383.3333333333335</v>
      </c>
      <c r="T197" s="73">
        <f>I197+J197+K197+L197+M197+O197+S197</f>
        <v>39490.000000000007</v>
      </c>
      <c r="U197" s="73">
        <v>200</v>
      </c>
      <c r="V197" s="73">
        <f>H197*12%</f>
        <v>3360</v>
      </c>
      <c r="W197" s="73">
        <v>0</v>
      </c>
      <c r="X197" s="73">
        <f>SUM(U197:W197)</f>
        <v>3560</v>
      </c>
      <c r="Y197" s="73">
        <f>T197-X197</f>
        <v>35930.000000000007</v>
      </c>
    </row>
    <row r="198" spans="1:25" x14ac:dyDescent="0.3">
      <c r="A198" s="65" t="s">
        <v>774</v>
      </c>
      <c r="B198" s="66" t="s">
        <v>773</v>
      </c>
      <c r="C198" s="66" t="s">
        <v>214</v>
      </c>
      <c r="D198" s="67">
        <v>54</v>
      </c>
      <c r="E198" s="68">
        <v>43835</v>
      </c>
      <c r="F198" s="69" t="s">
        <v>213</v>
      </c>
      <c r="G198" s="69" t="str">
        <f>B198&amp;"@gmail.com"</f>
        <v>Name 197@gmail.com</v>
      </c>
      <c r="H198" s="70">
        <v>44000</v>
      </c>
      <c r="I198" s="71">
        <f>H198*18%</f>
        <v>7920</v>
      </c>
      <c r="J198" s="71">
        <f>H198*5%</f>
        <v>2200</v>
      </c>
      <c r="K198" s="71">
        <v>1000</v>
      </c>
      <c r="L198" s="71">
        <v>0</v>
      </c>
      <c r="M198" s="71">
        <v>1600</v>
      </c>
      <c r="N198" s="71">
        <v>28</v>
      </c>
      <c r="O198" s="71">
        <f>(H198/30)*N198</f>
        <v>41066.666666666672</v>
      </c>
      <c r="P198" s="72">
        <v>1</v>
      </c>
      <c r="Q198" s="72">
        <f>N198*P198</f>
        <v>28</v>
      </c>
      <c r="R198" s="71">
        <f>(H198/30)/8</f>
        <v>183.33333333333334</v>
      </c>
      <c r="S198" s="71">
        <f>Q198*R198</f>
        <v>5133.3333333333339</v>
      </c>
      <c r="T198" s="73">
        <f>I198+J198+K198+L198+M198+O198+S198</f>
        <v>58920.000000000007</v>
      </c>
      <c r="U198" s="73">
        <v>200</v>
      </c>
      <c r="V198" s="73">
        <f>H198*12%</f>
        <v>5280</v>
      </c>
      <c r="W198" s="73">
        <v>0</v>
      </c>
      <c r="X198" s="73">
        <f>SUM(U198:W198)</f>
        <v>5480</v>
      </c>
      <c r="Y198" s="73">
        <f>T198-X198</f>
        <v>53440.000000000007</v>
      </c>
    </row>
    <row r="199" spans="1:25" x14ac:dyDescent="0.3">
      <c r="A199" s="65" t="s">
        <v>772</v>
      </c>
      <c r="B199" s="66" t="s">
        <v>771</v>
      </c>
      <c r="C199" s="66" t="s">
        <v>210</v>
      </c>
      <c r="D199" s="67">
        <v>56</v>
      </c>
      <c r="E199" s="68">
        <v>43836</v>
      </c>
      <c r="F199" s="69" t="s">
        <v>206</v>
      </c>
      <c r="G199" s="69" t="str">
        <f>B199&amp;"@gmail.com"</f>
        <v>Name 198@gmail.com</v>
      </c>
      <c r="H199" s="70">
        <v>25000</v>
      </c>
      <c r="I199" s="71">
        <f>H199*18%</f>
        <v>4500</v>
      </c>
      <c r="J199" s="71">
        <f>H199*5%</f>
        <v>1250</v>
      </c>
      <c r="K199" s="71">
        <v>1000</v>
      </c>
      <c r="L199" s="71">
        <v>0</v>
      </c>
      <c r="M199" s="71">
        <v>1600</v>
      </c>
      <c r="N199" s="71">
        <v>27</v>
      </c>
      <c r="O199" s="71">
        <f>(H199/30)*N199</f>
        <v>22500</v>
      </c>
      <c r="P199" s="72">
        <v>1</v>
      </c>
      <c r="Q199" s="72">
        <f>N199*P199</f>
        <v>27</v>
      </c>
      <c r="R199" s="71">
        <f>(H199/30)/8</f>
        <v>104.16666666666667</v>
      </c>
      <c r="S199" s="71">
        <f>Q199*R199</f>
        <v>2812.5</v>
      </c>
      <c r="T199" s="73">
        <f>I199+J199+K199+L199+M199+O199+S199</f>
        <v>33662.5</v>
      </c>
      <c r="U199" s="73">
        <v>200</v>
      </c>
      <c r="V199" s="73">
        <f>H199*12%</f>
        <v>3000</v>
      </c>
      <c r="W199" s="73">
        <v>0</v>
      </c>
      <c r="X199" s="73">
        <f>SUM(U199:W199)</f>
        <v>3200</v>
      </c>
      <c r="Y199" s="73">
        <f>T199-X199</f>
        <v>30462.5</v>
      </c>
    </row>
    <row r="200" spans="1:25" x14ac:dyDescent="0.3">
      <c r="A200" s="65" t="s">
        <v>770</v>
      </c>
      <c r="B200" s="66" t="s">
        <v>769</v>
      </c>
      <c r="C200" s="66" t="s">
        <v>214</v>
      </c>
      <c r="D200" s="67">
        <v>54</v>
      </c>
      <c r="E200" s="68">
        <v>43837</v>
      </c>
      <c r="F200" s="69" t="s">
        <v>206</v>
      </c>
      <c r="G200" s="69" t="str">
        <f>B200&amp;"@gmail.com"</f>
        <v>Name 199@gmail.com</v>
      </c>
      <c r="H200" s="70">
        <v>50000</v>
      </c>
      <c r="I200" s="71">
        <f>H200*18%</f>
        <v>9000</v>
      </c>
      <c r="J200" s="71">
        <f>H200*5%</f>
        <v>2500</v>
      </c>
      <c r="K200" s="71">
        <v>1000</v>
      </c>
      <c r="L200" s="71">
        <v>0</v>
      </c>
      <c r="M200" s="71">
        <v>1600</v>
      </c>
      <c r="N200" s="71">
        <v>27</v>
      </c>
      <c r="O200" s="71">
        <f>(H200/30)*N200</f>
        <v>45000</v>
      </c>
      <c r="P200" s="72">
        <v>3</v>
      </c>
      <c r="Q200" s="72">
        <f>N200*P200</f>
        <v>81</v>
      </c>
      <c r="R200" s="71">
        <f>(H200/30)/8</f>
        <v>208.33333333333334</v>
      </c>
      <c r="S200" s="71">
        <f>Q200*R200</f>
        <v>16875</v>
      </c>
      <c r="T200" s="73">
        <f>I200+J200+K200+L200+M200+O200+S200</f>
        <v>75975</v>
      </c>
      <c r="U200" s="73">
        <v>201</v>
      </c>
      <c r="V200" s="73">
        <f>H200*12%</f>
        <v>6000</v>
      </c>
      <c r="W200" s="73">
        <v>0</v>
      </c>
      <c r="X200" s="73">
        <f>SUM(U200:W200)</f>
        <v>6201</v>
      </c>
      <c r="Y200" s="73">
        <f>T200-X200</f>
        <v>69774</v>
      </c>
    </row>
    <row r="201" spans="1:25" x14ac:dyDescent="0.3">
      <c r="A201" s="65" t="s">
        <v>768</v>
      </c>
      <c r="B201" s="66" t="s">
        <v>767</v>
      </c>
      <c r="C201" s="66" t="s">
        <v>214</v>
      </c>
      <c r="D201" s="67">
        <v>34</v>
      </c>
      <c r="E201" s="68">
        <v>43838</v>
      </c>
      <c r="F201" s="69" t="s">
        <v>213</v>
      </c>
      <c r="G201" s="69" t="str">
        <f>B201&amp;"@gmail.com"</f>
        <v>Name 200@gmail.com</v>
      </c>
      <c r="H201" s="70">
        <v>70000</v>
      </c>
      <c r="I201" s="71">
        <f>H201*18%</f>
        <v>12600</v>
      </c>
      <c r="J201" s="71">
        <f>H201*5%</f>
        <v>3500</v>
      </c>
      <c r="K201" s="71">
        <v>1000</v>
      </c>
      <c r="L201" s="71">
        <v>0</v>
      </c>
      <c r="M201" s="71">
        <v>1600</v>
      </c>
      <c r="N201" s="71">
        <v>27</v>
      </c>
      <c r="O201" s="71">
        <f>(H201/30)*N201</f>
        <v>63000.000000000007</v>
      </c>
      <c r="P201" s="72">
        <v>1</v>
      </c>
      <c r="Q201" s="72">
        <f>N201*P201</f>
        <v>27</v>
      </c>
      <c r="R201" s="71">
        <f>(H201/30)/8</f>
        <v>291.66666666666669</v>
      </c>
      <c r="S201" s="71">
        <f>Q201*R201</f>
        <v>7875.0000000000009</v>
      </c>
      <c r="T201" s="73">
        <f>I201+J201+K201+L201+M201+O201+S201</f>
        <v>89575</v>
      </c>
      <c r="U201" s="73">
        <v>202</v>
      </c>
      <c r="V201" s="73">
        <f>H201*12%</f>
        <v>8400</v>
      </c>
      <c r="W201" s="73">
        <v>0</v>
      </c>
      <c r="X201" s="73">
        <f>SUM(U201:W201)</f>
        <v>8602</v>
      </c>
      <c r="Y201" s="73">
        <f>T201-X201</f>
        <v>80973</v>
      </c>
    </row>
    <row r="202" spans="1:25" x14ac:dyDescent="0.3">
      <c r="A202" s="65" t="s">
        <v>766</v>
      </c>
      <c r="B202" s="66" t="s">
        <v>765</v>
      </c>
      <c r="C202" s="66" t="s">
        <v>214</v>
      </c>
      <c r="D202" s="67">
        <v>23</v>
      </c>
      <c r="E202" s="68">
        <v>43839</v>
      </c>
      <c r="F202" s="69" t="s">
        <v>213</v>
      </c>
      <c r="G202" s="69" t="str">
        <f>B202&amp;"@gmail.com"</f>
        <v>Name 201@gmail.com</v>
      </c>
      <c r="H202" s="70">
        <v>34000</v>
      </c>
      <c r="I202" s="71">
        <f>H202*18%</f>
        <v>6120</v>
      </c>
      <c r="J202" s="71">
        <f>H202*5%</f>
        <v>1700</v>
      </c>
      <c r="K202" s="71">
        <v>1000</v>
      </c>
      <c r="L202" s="71">
        <v>2000</v>
      </c>
      <c r="M202" s="71">
        <v>1600</v>
      </c>
      <c r="N202" s="71">
        <v>30</v>
      </c>
      <c r="O202" s="71">
        <f>(H202/30)*N202</f>
        <v>34000</v>
      </c>
      <c r="P202" s="72">
        <v>2</v>
      </c>
      <c r="Q202" s="72">
        <f>N202*P202</f>
        <v>60</v>
      </c>
      <c r="R202" s="71">
        <f>(H202/30)/8</f>
        <v>141.66666666666666</v>
      </c>
      <c r="S202" s="71">
        <f>Q202*R202</f>
        <v>8500</v>
      </c>
      <c r="T202" s="73">
        <f>I202+J202+K202+L202+M202+O202+S202</f>
        <v>54920</v>
      </c>
      <c r="U202" s="73">
        <v>203</v>
      </c>
      <c r="V202" s="73">
        <f>H202*12%</f>
        <v>4080</v>
      </c>
      <c r="W202" s="73">
        <v>0</v>
      </c>
      <c r="X202" s="73">
        <f>SUM(U202:W202)</f>
        <v>4283</v>
      </c>
      <c r="Y202" s="73">
        <f>T202-X202</f>
        <v>50637</v>
      </c>
    </row>
    <row r="203" spans="1:25" x14ac:dyDescent="0.3">
      <c r="A203" s="65" t="s">
        <v>764</v>
      </c>
      <c r="B203" s="66" t="s">
        <v>763</v>
      </c>
      <c r="C203" s="66" t="s">
        <v>214</v>
      </c>
      <c r="D203" s="67">
        <v>34</v>
      </c>
      <c r="E203" s="68">
        <v>43840</v>
      </c>
      <c r="F203" s="69" t="s">
        <v>213</v>
      </c>
      <c r="G203" s="69" t="str">
        <f>B203&amp;"@gmail.com"</f>
        <v>Name 202@gmail.com</v>
      </c>
      <c r="H203" s="70">
        <v>45000</v>
      </c>
      <c r="I203" s="71">
        <f>H203*18%</f>
        <v>8100</v>
      </c>
      <c r="J203" s="71">
        <f>H203*5%</f>
        <v>2250</v>
      </c>
      <c r="K203" s="71">
        <v>1000</v>
      </c>
      <c r="L203" s="71">
        <v>5000</v>
      </c>
      <c r="M203" s="71">
        <v>1600</v>
      </c>
      <c r="N203" s="71">
        <v>30</v>
      </c>
      <c r="O203" s="71">
        <f>(H203/30)*N203</f>
        <v>45000</v>
      </c>
      <c r="P203" s="72">
        <v>0</v>
      </c>
      <c r="Q203" s="72">
        <f>N203*P203</f>
        <v>0</v>
      </c>
      <c r="R203" s="71">
        <f>(H203/30)/8</f>
        <v>187.5</v>
      </c>
      <c r="S203" s="71">
        <f>Q203*R203</f>
        <v>0</v>
      </c>
      <c r="T203" s="73">
        <f>I203+J203+K203+L203+M203+O203+S203</f>
        <v>62950</v>
      </c>
      <c r="U203" s="73">
        <v>204</v>
      </c>
      <c r="V203" s="73">
        <f>H203*12%</f>
        <v>5400</v>
      </c>
      <c r="W203" s="73">
        <v>4000</v>
      </c>
      <c r="X203" s="73">
        <f>SUM(U203:W203)</f>
        <v>9604</v>
      </c>
      <c r="Y203" s="73">
        <f>T203-X203</f>
        <v>53346</v>
      </c>
    </row>
    <row r="204" spans="1:25" x14ac:dyDescent="0.3">
      <c r="A204" s="65" t="s">
        <v>762</v>
      </c>
      <c r="B204" s="66" t="s">
        <v>761</v>
      </c>
      <c r="C204" s="66" t="s">
        <v>214</v>
      </c>
      <c r="D204" s="67">
        <v>43</v>
      </c>
      <c r="E204" s="68">
        <v>43841</v>
      </c>
      <c r="F204" s="69" t="s">
        <v>213</v>
      </c>
      <c r="G204" s="69" t="str">
        <f>B204&amp;"@gmail.com"</f>
        <v>Name 203@gmail.com</v>
      </c>
      <c r="H204" s="70">
        <v>55000</v>
      </c>
      <c r="I204" s="71">
        <f>H204*18%</f>
        <v>9900</v>
      </c>
      <c r="J204" s="71">
        <f>H204*5%</f>
        <v>2750</v>
      </c>
      <c r="K204" s="71">
        <v>1000</v>
      </c>
      <c r="L204" s="71">
        <v>0</v>
      </c>
      <c r="M204" s="71">
        <v>1600</v>
      </c>
      <c r="N204" s="71">
        <v>30</v>
      </c>
      <c r="O204" s="71">
        <f>(H204/30)*N204</f>
        <v>55000</v>
      </c>
      <c r="P204" s="72">
        <v>1</v>
      </c>
      <c r="Q204" s="72">
        <f>N204*P204</f>
        <v>30</v>
      </c>
      <c r="R204" s="71">
        <f>(H204/30)/8</f>
        <v>229.16666666666666</v>
      </c>
      <c r="S204" s="71">
        <f>Q204*R204</f>
        <v>6875</v>
      </c>
      <c r="T204" s="73">
        <f>I204+J204+K204+L204+M204+O204+S204</f>
        <v>77125</v>
      </c>
      <c r="U204" s="73">
        <v>205</v>
      </c>
      <c r="V204" s="73">
        <f>H204*12%</f>
        <v>6600</v>
      </c>
      <c r="W204" s="73">
        <v>0</v>
      </c>
      <c r="X204" s="73">
        <f>SUM(U204:W204)</f>
        <v>6805</v>
      </c>
      <c r="Y204" s="73">
        <f>T204-X204</f>
        <v>70320</v>
      </c>
    </row>
    <row r="205" spans="1:25" x14ac:dyDescent="0.3">
      <c r="A205" s="65" t="s">
        <v>760</v>
      </c>
      <c r="B205" s="66" t="s">
        <v>759</v>
      </c>
      <c r="C205" s="66" t="s">
        <v>210</v>
      </c>
      <c r="D205" s="67">
        <v>34</v>
      </c>
      <c r="E205" s="68">
        <v>43842</v>
      </c>
      <c r="F205" s="69" t="s">
        <v>206</v>
      </c>
      <c r="G205" s="69" t="str">
        <f>B205&amp;"@gmail.com"</f>
        <v>Name 204@gmail.com</v>
      </c>
      <c r="H205" s="70">
        <v>43000</v>
      </c>
      <c r="I205" s="71">
        <f>H205*18%</f>
        <v>7740</v>
      </c>
      <c r="J205" s="71">
        <f>H205*5%</f>
        <v>2150</v>
      </c>
      <c r="K205" s="71">
        <v>1000</v>
      </c>
      <c r="L205" s="71">
        <v>0</v>
      </c>
      <c r="M205" s="71">
        <v>1600</v>
      </c>
      <c r="N205" s="71">
        <v>27</v>
      </c>
      <c r="O205" s="71">
        <f>(H205/30)*N205</f>
        <v>38700</v>
      </c>
      <c r="P205" s="72">
        <v>1</v>
      </c>
      <c r="Q205" s="72">
        <f>N205*P205</f>
        <v>27</v>
      </c>
      <c r="R205" s="71">
        <f>(H205/30)/8</f>
        <v>179.16666666666666</v>
      </c>
      <c r="S205" s="71">
        <f>Q205*R205</f>
        <v>4837.5</v>
      </c>
      <c r="T205" s="73">
        <f>I205+J205+K205+L205+M205+O205+S205</f>
        <v>56027.5</v>
      </c>
      <c r="U205" s="73">
        <v>200</v>
      </c>
      <c r="V205" s="73">
        <f>H205*12%</f>
        <v>5160</v>
      </c>
      <c r="W205" s="73">
        <v>0</v>
      </c>
      <c r="X205" s="73">
        <f>SUM(U205:W205)</f>
        <v>5360</v>
      </c>
      <c r="Y205" s="73">
        <f>T205-X205</f>
        <v>50667.5</v>
      </c>
    </row>
    <row r="206" spans="1:25" x14ac:dyDescent="0.3">
      <c r="A206" s="65" t="s">
        <v>758</v>
      </c>
      <c r="B206" s="66" t="s">
        <v>757</v>
      </c>
      <c r="C206" s="66" t="s">
        <v>207</v>
      </c>
      <c r="D206" s="67">
        <v>43</v>
      </c>
      <c r="E206" s="68">
        <v>43843</v>
      </c>
      <c r="F206" s="69" t="s">
        <v>206</v>
      </c>
      <c r="G206" s="69" t="str">
        <f>B206&amp;"@gmail.com"</f>
        <v>Name 205@gmail.com</v>
      </c>
      <c r="H206" s="70">
        <v>25000</v>
      </c>
      <c r="I206" s="71">
        <f>H206*18%</f>
        <v>4500</v>
      </c>
      <c r="J206" s="71">
        <f>H206*5%</f>
        <v>1250</v>
      </c>
      <c r="K206" s="71">
        <v>1000</v>
      </c>
      <c r="L206" s="71">
        <v>0</v>
      </c>
      <c r="M206" s="71">
        <v>1600</v>
      </c>
      <c r="N206" s="71">
        <v>30</v>
      </c>
      <c r="O206" s="71">
        <f>(H206/30)*N206</f>
        <v>25000</v>
      </c>
      <c r="P206" s="72">
        <v>0</v>
      </c>
      <c r="Q206" s="72">
        <f>N206*P206</f>
        <v>0</v>
      </c>
      <c r="R206" s="71">
        <f>(H206/30)/8</f>
        <v>104.16666666666667</v>
      </c>
      <c r="S206" s="71">
        <f>Q206*R206</f>
        <v>0</v>
      </c>
      <c r="T206" s="73">
        <f>I206+J206+K206+L206+M206+O206+S206</f>
        <v>33350</v>
      </c>
      <c r="U206" s="73">
        <v>200</v>
      </c>
      <c r="V206" s="73">
        <f>H206*12%</f>
        <v>3000</v>
      </c>
      <c r="W206" s="73">
        <v>0</v>
      </c>
      <c r="X206" s="73">
        <f>SUM(U206:W206)</f>
        <v>3200</v>
      </c>
      <c r="Y206" s="73">
        <f>T206-X206</f>
        <v>30150</v>
      </c>
    </row>
    <row r="207" spans="1:25" x14ac:dyDescent="0.3">
      <c r="A207" s="65" t="s">
        <v>756</v>
      </c>
      <c r="B207" s="66" t="s">
        <v>755</v>
      </c>
      <c r="C207" s="66" t="s">
        <v>214</v>
      </c>
      <c r="D207" s="67">
        <v>23</v>
      </c>
      <c r="E207" s="68">
        <v>43844</v>
      </c>
      <c r="F207" s="69" t="s">
        <v>206</v>
      </c>
      <c r="G207" s="69" t="str">
        <f>B207&amp;"@gmail.com"</f>
        <v>Name 206@gmail.com</v>
      </c>
      <c r="H207" s="70">
        <v>28000</v>
      </c>
      <c r="I207" s="71">
        <f>H207*18%</f>
        <v>5040</v>
      </c>
      <c r="J207" s="71">
        <f>H207*5%</f>
        <v>1400</v>
      </c>
      <c r="K207" s="71">
        <v>1000</v>
      </c>
      <c r="L207" s="71">
        <v>0</v>
      </c>
      <c r="M207" s="71">
        <v>1600</v>
      </c>
      <c r="N207" s="71">
        <v>20</v>
      </c>
      <c r="O207" s="71">
        <f>(H207/30)*N207</f>
        <v>18666.666666666668</v>
      </c>
      <c r="P207" s="72">
        <v>0</v>
      </c>
      <c r="Q207" s="72">
        <f>N207*P207</f>
        <v>0</v>
      </c>
      <c r="R207" s="71">
        <f>(H207/30)/8</f>
        <v>116.66666666666667</v>
      </c>
      <c r="S207" s="71">
        <f>Q207*R207</f>
        <v>0</v>
      </c>
      <c r="T207" s="73">
        <f>I207+J207+K207+L207+M207+O207+S207</f>
        <v>27706.666666666668</v>
      </c>
      <c r="U207" s="73">
        <v>200</v>
      </c>
      <c r="V207" s="73">
        <f>H207*12%</f>
        <v>3360</v>
      </c>
      <c r="W207" s="73">
        <v>0</v>
      </c>
      <c r="X207" s="73">
        <f>SUM(U207:W207)</f>
        <v>3560</v>
      </c>
      <c r="Y207" s="73">
        <f>T207-X207</f>
        <v>24146.666666666668</v>
      </c>
    </row>
    <row r="208" spans="1:25" x14ac:dyDescent="0.3">
      <c r="A208" s="65" t="s">
        <v>754</v>
      </c>
      <c r="B208" s="66" t="s">
        <v>753</v>
      </c>
      <c r="C208" s="66" t="s">
        <v>210</v>
      </c>
      <c r="D208" s="67">
        <v>34</v>
      </c>
      <c r="E208" s="68">
        <v>43845</v>
      </c>
      <c r="F208" s="69" t="s">
        <v>206</v>
      </c>
      <c r="G208" s="69" t="str">
        <f>B208&amp;"@gmail.com"</f>
        <v>Name 207@gmail.com</v>
      </c>
      <c r="H208" s="70">
        <v>40000</v>
      </c>
      <c r="I208" s="71">
        <f>H208*18%</f>
        <v>7200</v>
      </c>
      <c r="J208" s="71">
        <f>H208*5%</f>
        <v>2000</v>
      </c>
      <c r="K208" s="71">
        <v>1000</v>
      </c>
      <c r="L208" s="71">
        <v>0</v>
      </c>
      <c r="M208" s="71">
        <v>1600</v>
      </c>
      <c r="N208" s="71">
        <v>28</v>
      </c>
      <c r="O208" s="71">
        <f>(H208/30)*N208</f>
        <v>37333.333333333328</v>
      </c>
      <c r="P208" s="72">
        <v>2</v>
      </c>
      <c r="Q208" s="72">
        <f>N208*P208</f>
        <v>56</v>
      </c>
      <c r="R208" s="71">
        <f>(H208/30)/8</f>
        <v>166.66666666666666</v>
      </c>
      <c r="S208" s="71">
        <f>Q208*R208</f>
        <v>9333.3333333333321</v>
      </c>
      <c r="T208" s="73">
        <f>I208+J208+K208+L208+M208+O208+S208</f>
        <v>58466.666666666657</v>
      </c>
      <c r="U208" s="73">
        <v>200</v>
      </c>
      <c r="V208" s="73">
        <f>H208*12%</f>
        <v>4800</v>
      </c>
      <c r="W208" s="73">
        <v>0</v>
      </c>
      <c r="X208" s="73">
        <f>SUM(U208:W208)</f>
        <v>5000</v>
      </c>
      <c r="Y208" s="73">
        <f>T208-X208</f>
        <v>53466.666666666657</v>
      </c>
    </row>
    <row r="209" spans="1:25" x14ac:dyDescent="0.3">
      <c r="A209" s="65" t="s">
        <v>752</v>
      </c>
      <c r="B209" s="66" t="s">
        <v>751</v>
      </c>
      <c r="C209" s="66" t="s">
        <v>210</v>
      </c>
      <c r="D209" s="67">
        <v>23</v>
      </c>
      <c r="E209" s="68">
        <v>43846</v>
      </c>
      <c r="F209" s="69" t="s">
        <v>206</v>
      </c>
      <c r="G209" s="69" t="str">
        <f>B209&amp;"@gmail.com"</f>
        <v>Name 208@gmail.com</v>
      </c>
      <c r="H209" s="70">
        <v>32000</v>
      </c>
      <c r="I209" s="71">
        <f>H209*18%</f>
        <v>5760</v>
      </c>
      <c r="J209" s="71">
        <f>H209*5%</f>
        <v>1600</v>
      </c>
      <c r="K209" s="71">
        <v>1000</v>
      </c>
      <c r="L209" s="71">
        <v>0</v>
      </c>
      <c r="M209" s="71">
        <v>1600</v>
      </c>
      <c r="N209" s="71">
        <v>30</v>
      </c>
      <c r="O209" s="71">
        <f>(H209/30)*N209</f>
        <v>32000.000000000004</v>
      </c>
      <c r="P209" s="72">
        <v>1</v>
      </c>
      <c r="Q209" s="72">
        <f>N209*P209</f>
        <v>30</v>
      </c>
      <c r="R209" s="71">
        <f>(H209/30)/8</f>
        <v>133.33333333333334</v>
      </c>
      <c r="S209" s="71">
        <f>Q209*R209</f>
        <v>4000.0000000000005</v>
      </c>
      <c r="T209" s="73">
        <f>I209+J209+K209+L209+M209+O209+S209</f>
        <v>45960</v>
      </c>
      <c r="U209" s="73">
        <v>200</v>
      </c>
      <c r="V209" s="73">
        <f>H209*12%</f>
        <v>3840</v>
      </c>
      <c r="W209" s="73">
        <v>5000</v>
      </c>
      <c r="X209" s="73">
        <f>SUM(U209:W209)</f>
        <v>9040</v>
      </c>
      <c r="Y209" s="73">
        <f>T209-X209</f>
        <v>36920</v>
      </c>
    </row>
    <row r="210" spans="1:25" x14ac:dyDescent="0.3">
      <c r="A210" s="65" t="s">
        <v>750</v>
      </c>
      <c r="B210" s="66" t="s">
        <v>749</v>
      </c>
      <c r="C210" s="66" t="s">
        <v>207</v>
      </c>
      <c r="D210" s="67">
        <v>34</v>
      </c>
      <c r="E210" s="68">
        <v>43847</v>
      </c>
      <c r="F210" s="69" t="s">
        <v>206</v>
      </c>
      <c r="G210" s="69" t="str">
        <f>B210&amp;"@gmail.com"</f>
        <v>Name 209@gmail.com</v>
      </c>
      <c r="H210" s="70">
        <v>28000</v>
      </c>
      <c r="I210" s="71">
        <f>H210*18%</f>
        <v>5040</v>
      </c>
      <c r="J210" s="71">
        <f>H210*5%</f>
        <v>1400</v>
      </c>
      <c r="K210" s="71">
        <v>1000</v>
      </c>
      <c r="L210" s="71">
        <v>0</v>
      </c>
      <c r="M210" s="71">
        <v>1600</v>
      </c>
      <c r="N210" s="71">
        <v>29</v>
      </c>
      <c r="O210" s="71">
        <f>(H210/30)*N210</f>
        <v>27066.666666666668</v>
      </c>
      <c r="P210" s="72">
        <v>1</v>
      </c>
      <c r="Q210" s="72">
        <f>N210*P210</f>
        <v>29</v>
      </c>
      <c r="R210" s="71">
        <f>(H210/30)/8</f>
        <v>116.66666666666667</v>
      </c>
      <c r="S210" s="71">
        <f>Q210*R210</f>
        <v>3383.3333333333335</v>
      </c>
      <c r="T210" s="73">
        <f>I210+J210+K210+L210+M210+O210+S210</f>
        <v>39490.000000000007</v>
      </c>
      <c r="U210" s="73">
        <v>200</v>
      </c>
      <c r="V210" s="73">
        <f>H210*12%</f>
        <v>3360</v>
      </c>
      <c r="W210" s="73">
        <v>0</v>
      </c>
      <c r="X210" s="73">
        <f>SUM(U210:W210)</f>
        <v>3560</v>
      </c>
      <c r="Y210" s="73">
        <f>T210-X210</f>
        <v>35930.000000000007</v>
      </c>
    </row>
    <row r="211" spans="1:25" x14ac:dyDescent="0.3">
      <c r="A211" s="65" t="s">
        <v>748</v>
      </c>
      <c r="B211" s="66" t="s">
        <v>747</v>
      </c>
      <c r="C211" s="66" t="s">
        <v>214</v>
      </c>
      <c r="D211" s="67">
        <v>23</v>
      </c>
      <c r="E211" s="68">
        <v>43848</v>
      </c>
      <c r="F211" s="69" t="s">
        <v>213</v>
      </c>
      <c r="G211" s="69" t="str">
        <f>B211&amp;"@gmail.com"</f>
        <v>Name 210@gmail.com</v>
      </c>
      <c r="H211" s="70">
        <v>44000</v>
      </c>
      <c r="I211" s="71">
        <f>H211*18%</f>
        <v>7920</v>
      </c>
      <c r="J211" s="71">
        <f>H211*5%</f>
        <v>2200</v>
      </c>
      <c r="K211" s="71">
        <v>1000</v>
      </c>
      <c r="L211" s="71">
        <v>0</v>
      </c>
      <c r="M211" s="71">
        <v>1600</v>
      </c>
      <c r="N211" s="71">
        <v>28</v>
      </c>
      <c r="O211" s="71">
        <f>(H211/30)*N211</f>
        <v>41066.666666666672</v>
      </c>
      <c r="P211" s="72">
        <v>1</v>
      </c>
      <c r="Q211" s="72">
        <f>N211*P211</f>
        <v>28</v>
      </c>
      <c r="R211" s="71">
        <f>(H211/30)/8</f>
        <v>183.33333333333334</v>
      </c>
      <c r="S211" s="71">
        <f>Q211*R211</f>
        <v>5133.3333333333339</v>
      </c>
      <c r="T211" s="73">
        <f>I211+J211+K211+L211+M211+O211+S211</f>
        <v>58920.000000000007</v>
      </c>
      <c r="U211" s="73">
        <v>200</v>
      </c>
      <c r="V211" s="73">
        <f>H211*12%</f>
        <v>5280</v>
      </c>
      <c r="W211" s="73">
        <v>0</v>
      </c>
      <c r="X211" s="73">
        <f>SUM(U211:W211)</f>
        <v>5480</v>
      </c>
      <c r="Y211" s="73">
        <f>T211-X211</f>
        <v>53440.000000000007</v>
      </c>
    </row>
    <row r="212" spans="1:25" x14ac:dyDescent="0.3">
      <c r="A212" s="65" t="s">
        <v>746</v>
      </c>
      <c r="B212" s="66" t="s">
        <v>745</v>
      </c>
      <c r="C212" s="66" t="s">
        <v>210</v>
      </c>
      <c r="D212" s="67">
        <v>34</v>
      </c>
      <c r="E212" s="68">
        <v>43849</v>
      </c>
      <c r="F212" s="69" t="s">
        <v>206</v>
      </c>
      <c r="G212" s="69" t="str">
        <f>B212&amp;"@gmail.com"</f>
        <v>Name 211@gmail.com</v>
      </c>
      <c r="H212" s="70">
        <v>25000</v>
      </c>
      <c r="I212" s="71">
        <f>H212*18%</f>
        <v>4500</v>
      </c>
      <c r="J212" s="71">
        <f>H212*5%</f>
        <v>1250</v>
      </c>
      <c r="K212" s="71">
        <v>1000</v>
      </c>
      <c r="L212" s="71">
        <v>0</v>
      </c>
      <c r="M212" s="71">
        <v>1600</v>
      </c>
      <c r="N212" s="71">
        <v>27</v>
      </c>
      <c r="O212" s="71">
        <f>(H212/30)*N212</f>
        <v>22500</v>
      </c>
      <c r="P212" s="72">
        <v>1</v>
      </c>
      <c r="Q212" s="72">
        <f>N212*P212</f>
        <v>27</v>
      </c>
      <c r="R212" s="71">
        <f>(H212/30)/8</f>
        <v>104.16666666666667</v>
      </c>
      <c r="S212" s="71">
        <f>Q212*R212</f>
        <v>2812.5</v>
      </c>
      <c r="T212" s="73">
        <f>I212+J212+K212+L212+M212+O212+S212</f>
        <v>33662.5</v>
      </c>
      <c r="U212" s="73">
        <v>200</v>
      </c>
      <c r="V212" s="73">
        <f>H212*12%</f>
        <v>3000</v>
      </c>
      <c r="W212" s="73">
        <v>0</v>
      </c>
      <c r="X212" s="73">
        <f>SUM(U212:W212)</f>
        <v>3200</v>
      </c>
      <c r="Y212" s="73">
        <f>T212-X212</f>
        <v>30462.5</v>
      </c>
    </row>
    <row r="213" spans="1:25" x14ac:dyDescent="0.3">
      <c r="A213" s="65" t="s">
        <v>744</v>
      </c>
      <c r="B213" s="66" t="s">
        <v>743</v>
      </c>
      <c r="C213" s="66" t="s">
        <v>214</v>
      </c>
      <c r="D213" s="67">
        <v>45</v>
      </c>
      <c r="E213" s="68">
        <v>43850</v>
      </c>
      <c r="F213" s="69" t="s">
        <v>206</v>
      </c>
      <c r="G213" s="69" t="str">
        <f>B213&amp;"@gmail.com"</f>
        <v>Name 212@gmail.com</v>
      </c>
      <c r="H213" s="70">
        <v>50000</v>
      </c>
      <c r="I213" s="71">
        <f>H213*18%</f>
        <v>9000</v>
      </c>
      <c r="J213" s="71">
        <f>H213*5%</f>
        <v>2500</v>
      </c>
      <c r="K213" s="71">
        <v>1000</v>
      </c>
      <c r="L213" s="71">
        <v>0</v>
      </c>
      <c r="M213" s="71">
        <v>1600</v>
      </c>
      <c r="N213" s="71">
        <v>27</v>
      </c>
      <c r="O213" s="71">
        <f>(H213/30)*N213</f>
        <v>45000</v>
      </c>
      <c r="P213" s="72">
        <v>3</v>
      </c>
      <c r="Q213" s="72">
        <f>N213*P213</f>
        <v>81</v>
      </c>
      <c r="R213" s="71">
        <f>(H213/30)/8</f>
        <v>208.33333333333334</v>
      </c>
      <c r="S213" s="71">
        <f>Q213*R213</f>
        <v>16875</v>
      </c>
      <c r="T213" s="73">
        <f>I213+J213+K213+L213+M213+O213+S213</f>
        <v>75975</v>
      </c>
      <c r="U213" s="73">
        <v>201</v>
      </c>
      <c r="V213" s="73">
        <f>H213*12%</f>
        <v>6000</v>
      </c>
      <c r="W213" s="73">
        <v>0</v>
      </c>
      <c r="X213" s="73">
        <f>SUM(U213:W213)</f>
        <v>6201</v>
      </c>
      <c r="Y213" s="73">
        <f>T213-X213</f>
        <v>69774</v>
      </c>
    </row>
    <row r="214" spans="1:25" x14ac:dyDescent="0.3">
      <c r="A214" s="65" t="s">
        <v>742</v>
      </c>
      <c r="B214" s="66" t="s">
        <v>741</v>
      </c>
      <c r="C214" s="66" t="s">
        <v>214</v>
      </c>
      <c r="D214" s="67">
        <v>54</v>
      </c>
      <c r="E214" s="68">
        <v>43851</v>
      </c>
      <c r="F214" s="69" t="s">
        <v>213</v>
      </c>
      <c r="G214" s="69" t="str">
        <f>B214&amp;"@gmail.com"</f>
        <v>Name 213@gmail.com</v>
      </c>
      <c r="H214" s="70">
        <v>70000</v>
      </c>
      <c r="I214" s="71">
        <f>H214*18%</f>
        <v>12600</v>
      </c>
      <c r="J214" s="71">
        <f>H214*5%</f>
        <v>3500</v>
      </c>
      <c r="K214" s="71">
        <v>1000</v>
      </c>
      <c r="L214" s="71">
        <v>0</v>
      </c>
      <c r="M214" s="71">
        <v>1600</v>
      </c>
      <c r="N214" s="71">
        <v>27</v>
      </c>
      <c r="O214" s="71">
        <f>(H214/30)*N214</f>
        <v>63000.000000000007</v>
      </c>
      <c r="P214" s="72">
        <v>1</v>
      </c>
      <c r="Q214" s="72">
        <f>N214*P214</f>
        <v>27</v>
      </c>
      <c r="R214" s="71">
        <f>(H214/30)/8</f>
        <v>291.66666666666669</v>
      </c>
      <c r="S214" s="71">
        <f>Q214*R214</f>
        <v>7875.0000000000009</v>
      </c>
      <c r="T214" s="73">
        <f>I214+J214+K214+L214+M214+O214+S214</f>
        <v>89575</v>
      </c>
      <c r="U214" s="73">
        <v>202</v>
      </c>
      <c r="V214" s="73">
        <f>H214*12%</f>
        <v>8400</v>
      </c>
      <c r="W214" s="73">
        <v>0</v>
      </c>
      <c r="X214" s="73">
        <f>SUM(U214:W214)</f>
        <v>8602</v>
      </c>
      <c r="Y214" s="73">
        <f>T214-X214</f>
        <v>80973</v>
      </c>
    </row>
    <row r="215" spans="1:25" x14ac:dyDescent="0.3">
      <c r="A215" s="65" t="s">
        <v>740</v>
      </c>
      <c r="B215" s="66" t="s">
        <v>739</v>
      </c>
      <c r="C215" s="66" t="s">
        <v>214</v>
      </c>
      <c r="D215" s="67">
        <v>56</v>
      </c>
      <c r="E215" s="68">
        <v>43852</v>
      </c>
      <c r="F215" s="69" t="s">
        <v>213</v>
      </c>
      <c r="G215" s="69" t="str">
        <f>B215&amp;"@gmail.com"</f>
        <v>Name 214@gmail.com</v>
      </c>
      <c r="H215" s="70">
        <v>34000</v>
      </c>
      <c r="I215" s="71">
        <f>H215*18%</f>
        <v>6120</v>
      </c>
      <c r="J215" s="71">
        <f>H215*5%</f>
        <v>1700</v>
      </c>
      <c r="K215" s="71">
        <v>1000</v>
      </c>
      <c r="L215" s="71">
        <v>2000</v>
      </c>
      <c r="M215" s="71">
        <v>1600</v>
      </c>
      <c r="N215" s="71">
        <v>30</v>
      </c>
      <c r="O215" s="71">
        <f>(H215/30)*N215</f>
        <v>34000</v>
      </c>
      <c r="P215" s="72">
        <v>2</v>
      </c>
      <c r="Q215" s="72">
        <f>N215*P215</f>
        <v>60</v>
      </c>
      <c r="R215" s="71">
        <f>(H215/30)/8</f>
        <v>141.66666666666666</v>
      </c>
      <c r="S215" s="71">
        <f>Q215*R215</f>
        <v>8500</v>
      </c>
      <c r="T215" s="73">
        <f>I215+J215+K215+L215+M215+O215+S215</f>
        <v>54920</v>
      </c>
      <c r="U215" s="73">
        <v>203</v>
      </c>
      <c r="V215" s="73">
        <f>H215*12%</f>
        <v>4080</v>
      </c>
      <c r="W215" s="73">
        <v>0</v>
      </c>
      <c r="X215" s="73">
        <f>SUM(U215:W215)</f>
        <v>4283</v>
      </c>
      <c r="Y215" s="73">
        <f>T215-X215</f>
        <v>50637</v>
      </c>
    </row>
    <row r="216" spans="1:25" x14ac:dyDescent="0.3">
      <c r="A216" s="65" t="s">
        <v>738</v>
      </c>
      <c r="B216" s="66" t="s">
        <v>737</v>
      </c>
      <c r="C216" s="66" t="s">
        <v>214</v>
      </c>
      <c r="D216" s="67">
        <v>54</v>
      </c>
      <c r="E216" s="68">
        <v>43853</v>
      </c>
      <c r="F216" s="69" t="s">
        <v>213</v>
      </c>
      <c r="G216" s="69" t="str">
        <f>B216&amp;"@gmail.com"</f>
        <v>Name 215@gmail.com</v>
      </c>
      <c r="H216" s="70">
        <v>45000</v>
      </c>
      <c r="I216" s="71">
        <f>H216*18%</f>
        <v>8100</v>
      </c>
      <c r="J216" s="71">
        <f>H216*5%</f>
        <v>2250</v>
      </c>
      <c r="K216" s="71">
        <v>1000</v>
      </c>
      <c r="L216" s="71">
        <v>5000</v>
      </c>
      <c r="M216" s="71">
        <v>1600</v>
      </c>
      <c r="N216" s="71">
        <v>30</v>
      </c>
      <c r="O216" s="71">
        <f>(H216/30)*N216</f>
        <v>45000</v>
      </c>
      <c r="P216" s="72">
        <v>0</v>
      </c>
      <c r="Q216" s="72">
        <f>N216*P216</f>
        <v>0</v>
      </c>
      <c r="R216" s="71">
        <f>(H216/30)/8</f>
        <v>187.5</v>
      </c>
      <c r="S216" s="71">
        <f>Q216*R216</f>
        <v>0</v>
      </c>
      <c r="T216" s="73">
        <f>I216+J216+K216+L216+M216+O216+S216</f>
        <v>62950</v>
      </c>
      <c r="U216" s="73">
        <v>204</v>
      </c>
      <c r="V216" s="73">
        <f>H216*12%</f>
        <v>5400</v>
      </c>
      <c r="W216" s="73">
        <v>4000</v>
      </c>
      <c r="X216" s="73">
        <f>SUM(U216:W216)</f>
        <v>9604</v>
      </c>
      <c r="Y216" s="73">
        <f>T216-X216</f>
        <v>53346</v>
      </c>
    </row>
    <row r="217" spans="1:25" x14ac:dyDescent="0.3">
      <c r="A217" s="65" t="s">
        <v>736</v>
      </c>
      <c r="B217" s="66" t="s">
        <v>735</v>
      </c>
      <c r="C217" s="66" t="s">
        <v>214</v>
      </c>
      <c r="D217" s="67">
        <v>34</v>
      </c>
      <c r="E217" s="68">
        <v>43854</v>
      </c>
      <c r="F217" s="69" t="s">
        <v>213</v>
      </c>
      <c r="G217" s="69" t="str">
        <f>B217&amp;"@gmail.com"</f>
        <v>Name 216@gmail.com</v>
      </c>
      <c r="H217" s="70">
        <v>55000</v>
      </c>
      <c r="I217" s="71">
        <f>H217*18%</f>
        <v>9900</v>
      </c>
      <c r="J217" s="71">
        <f>H217*5%</f>
        <v>2750</v>
      </c>
      <c r="K217" s="71">
        <v>1000</v>
      </c>
      <c r="L217" s="71">
        <v>0</v>
      </c>
      <c r="M217" s="71">
        <v>1600</v>
      </c>
      <c r="N217" s="71">
        <v>30</v>
      </c>
      <c r="O217" s="71">
        <f>(H217/30)*N217</f>
        <v>55000</v>
      </c>
      <c r="P217" s="72">
        <v>1</v>
      </c>
      <c r="Q217" s="72">
        <f>N217*P217</f>
        <v>30</v>
      </c>
      <c r="R217" s="71">
        <f>(H217/30)/8</f>
        <v>229.16666666666666</v>
      </c>
      <c r="S217" s="71">
        <f>Q217*R217</f>
        <v>6875</v>
      </c>
      <c r="T217" s="73">
        <f>I217+J217+K217+L217+M217+O217+S217</f>
        <v>77125</v>
      </c>
      <c r="U217" s="73">
        <v>205</v>
      </c>
      <c r="V217" s="73">
        <f>H217*12%</f>
        <v>6600</v>
      </c>
      <c r="W217" s="73">
        <v>0</v>
      </c>
      <c r="X217" s="73">
        <f>SUM(U217:W217)</f>
        <v>6805</v>
      </c>
      <c r="Y217" s="73">
        <f>T217-X217</f>
        <v>70320</v>
      </c>
    </row>
    <row r="218" spans="1:25" x14ac:dyDescent="0.3">
      <c r="A218" s="65" t="s">
        <v>734</v>
      </c>
      <c r="B218" s="66" t="s">
        <v>733</v>
      </c>
      <c r="C218" s="66" t="s">
        <v>210</v>
      </c>
      <c r="D218" s="67">
        <v>23</v>
      </c>
      <c r="E218" s="68">
        <v>43831</v>
      </c>
      <c r="F218" s="69" t="s">
        <v>206</v>
      </c>
      <c r="G218" s="69" t="str">
        <f>B218&amp;"@gmail.com"</f>
        <v>Name 217@gmail.com</v>
      </c>
      <c r="H218" s="70">
        <v>43000</v>
      </c>
      <c r="I218" s="71">
        <f>H218*18%</f>
        <v>7740</v>
      </c>
      <c r="J218" s="71">
        <f>H218*5%</f>
        <v>2150</v>
      </c>
      <c r="K218" s="71">
        <v>1000</v>
      </c>
      <c r="L218" s="71">
        <v>0</v>
      </c>
      <c r="M218" s="71">
        <v>1600</v>
      </c>
      <c r="N218" s="71">
        <v>27</v>
      </c>
      <c r="O218" s="71">
        <f>(H218/30)*N218</f>
        <v>38700</v>
      </c>
      <c r="P218" s="72">
        <v>1</v>
      </c>
      <c r="Q218" s="72">
        <f>N218*P218</f>
        <v>27</v>
      </c>
      <c r="R218" s="71">
        <f>(H218/30)/8</f>
        <v>179.16666666666666</v>
      </c>
      <c r="S218" s="71">
        <f>Q218*R218</f>
        <v>4837.5</v>
      </c>
      <c r="T218" s="73">
        <f>I218+J218+K218+L218+M218+O218+S218</f>
        <v>56027.5</v>
      </c>
      <c r="U218" s="73">
        <v>200</v>
      </c>
      <c r="V218" s="73">
        <f>H218*12%</f>
        <v>5160</v>
      </c>
      <c r="W218" s="73">
        <v>0</v>
      </c>
      <c r="X218" s="73">
        <f>SUM(U218:W218)</f>
        <v>5360</v>
      </c>
      <c r="Y218" s="73">
        <f>T218-X218</f>
        <v>50667.5</v>
      </c>
    </row>
    <row r="219" spans="1:25" x14ac:dyDescent="0.3">
      <c r="A219" s="65" t="s">
        <v>732</v>
      </c>
      <c r="B219" s="66" t="s">
        <v>731</v>
      </c>
      <c r="C219" s="66" t="s">
        <v>207</v>
      </c>
      <c r="D219" s="67">
        <v>34</v>
      </c>
      <c r="E219" s="68">
        <v>43832</v>
      </c>
      <c r="F219" s="69" t="s">
        <v>206</v>
      </c>
      <c r="G219" s="69" t="str">
        <f>B219&amp;"@gmail.com"</f>
        <v>Name 218@gmail.com</v>
      </c>
      <c r="H219" s="70">
        <v>25000</v>
      </c>
      <c r="I219" s="71">
        <f>H219*18%</f>
        <v>4500</v>
      </c>
      <c r="J219" s="71">
        <f>H219*5%</f>
        <v>1250</v>
      </c>
      <c r="K219" s="71">
        <v>1000</v>
      </c>
      <c r="L219" s="71">
        <v>0</v>
      </c>
      <c r="M219" s="71">
        <v>1600</v>
      </c>
      <c r="N219" s="71">
        <v>30</v>
      </c>
      <c r="O219" s="71">
        <f>(H219/30)*N219</f>
        <v>25000</v>
      </c>
      <c r="P219" s="72">
        <v>0</v>
      </c>
      <c r="Q219" s="72">
        <f>N219*P219</f>
        <v>0</v>
      </c>
      <c r="R219" s="71">
        <f>(H219/30)/8</f>
        <v>104.16666666666667</v>
      </c>
      <c r="S219" s="71">
        <f>Q219*R219</f>
        <v>0</v>
      </c>
      <c r="T219" s="73">
        <f>I219+J219+K219+L219+M219+O219+S219</f>
        <v>33350</v>
      </c>
      <c r="U219" s="73">
        <v>200</v>
      </c>
      <c r="V219" s="73">
        <f>H219*12%</f>
        <v>3000</v>
      </c>
      <c r="W219" s="73">
        <v>0</v>
      </c>
      <c r="X219" s="73">
        <f>SUM(U219:W219)</f>
        <v>3200</v>
      </c>
      <c r="Y219" s="73">
        <f>T219-X219</f>
        <v>30150</v>
      </c>
    </row>
    <row r="220" spans="1:25" x14ac:dyDescent="0.3">
      <c r="A220" s="65" t="s">
        <v>730</v>
      </c>
      <c r="B220" s="66" t="s">
        <v>729</v>
      </c>
      <c r="C220" s="66" t="s">
        <v>214</v>
      </c>
      <c r="D220" s="67">
        <v>43</v>
      </c>
      <c r="E220" s="68">
        <v>43833</v>
      </c>
      <c r="F220" s="69" t="s">
        <v>206</v>
      </c>
      <c r="G220" s="69" t="str">
        <f>B220&amp;"@gmail.com"</f>
        <v>Name 219@gmail.com</v>
      </c>
      <c r="H220" s="70">
        <v>28000</v>
      </c>
      <c r="I220" s="71">
        <f>H220*18%</f>
        <v>5040</v>
      </c>
      <c r="J220" s="71">
        <f>H220*5%</f>
        <v>1400</v>
      </c>
      <c r="K220" s="71">
        <v>1000</v>
      </c>
      <c r="L220" s="71">
        <v>0</v>
      </c>
      <c r="M220" s="71">
        <v>1600</v>
      </c>
      <c r="N220" s="71">
        <v>20</v>
      </c>
      <c r="O220" s="71">
        <f>(H220/30)*N220</f>
        <v>18666.666666666668</v>
      </c>
      <c r="P220" s="72">
        <v>0</v>
      </c>
      <c r="Q220" s="72">
        <f>N220*P220</f>
        <v>0</v>
      </c>
      <c r="R220" s="71">
        <f>(H220/30)/8</f>
        <v>116.66666666666667</v>
      </c>
      <c r="S220" s="71">
        <f>Q220*R220</f>
        <v>0</v>
      </c>
      <c r="T220" s="73">
        <f>I220+J220+K220+L220+M220+O220+S220</f>
        <v>27706.666666666668</v>
      </c>
      <c r="U220" s="73">
        <v>200</v>
      </c>
      <c r="V220" s="73">
        <f>H220*12%</f>
        <v>3360</v>
      </c>
      <c r="W220" s="73">
        <v>0</v>
      </c>
      <c r="X220" s="73">
        <f>SUM(U220:W220)</f>
        <v>3560</v>
      </c>
      <c r="Y220" s="73">
        <f>T220-X220</f>
        <v>24146.666666666668</v>
      </c>
    </row>
    <row r="221" spans="1:25" x14ac:dyDescent="0.3">
      <c r="A221" s="65" t="s">
        <v>728</v>
      </c>
      <c r="B221" s="66" t="s">
        <v>727</v>
      </c>
      <c r="C221" s="66" t="s">
        <v>210</v>
      </c>
      <c r="D221" s="67">
        <v>34</v>
      </c>
      <c r="E221" s="68">
        <v>43834</v>
      </c>
      <c r="F221" s="69" t="s">
        <v>206</v>
      </c>
      <c r="G221" s="69" t="str">
        <f>B221&amp;"@gmail.com"</f>
        <v>Name 220@gmail.com</v>
      </c>
      <c r="H221" s="70">
        <v>40000</v>
      </c>
      <c r="I221" s="71">
        <f>H221*18%</f>
        <v>7200</v>
      </c>
      <c r="J221" s="71">
        <f>H221*5%</f>
        <v>2000</v>
      </c>
      <c r="K221" s="71">
        <v>1000</v>
      </c>
      <c r="L221" s="71">
        <v>0</v>
      </c>
      <c r="M221" s="71">
        <v>1600</v>
      </c>
      <c r="N221" s="71">
        <v>28</v>
      </c>
      <c r="O221" s="71">
        <f>(H221/30)*N221</f>
        <v>37333.333333333328</v>
      </c>
      <c r="P221" s="72">
        <v>2</v>
      </c>
      <c r="Q221" s="72">
        <f>N221*P221</f>
        <v>56</v>
      </c>
      <c r="R221" s="71">
        <f>(H221/30)/8</f>
        <v>166.66666666666666</v>
      </c>
      <c r="S221" s="71">
        <f>Q221*R221</f>
        <v>9333.3333333333321</v>
      </c>
      <c r="T221" s="73">
        <f>I221+J221+K221+L221+M221+O221+S221</f>
        <v>58466.666666666657</v>
      </c>
      <c r="U221" s="73">
        <v>200</v>
      </c>
      <c r="V221" s="73">
        <f>H221*12%</f>
        <v>4800</v>
      </c>
      <c r="W221" s="73">
        <v>0</v>
      </c>
      <c r="X221" s="73">
        <f>SUM(U221:W221)</f>
        <v>5000</v>
      </c>
      <c r="Y221" s="73">
        <f>T221-X221</f>
        <v>53466.666666666657</v>
      </c>
    </row>
    <row r="222" spans="1:25" x14ac:dyDescent="0.3">
      <c r="A222" s="65" t="s">
        <v>726</v>
      </c>
      <c r="B222" s="66" t="s">
        <v>725</v>
      </c>
      <c r="C222" s="66" t="s">
        <v>210</v>
      </c>
      <c r="D222" s="67">
        <v>43</v>
      </c>
      <c r="E222" s="68">
        <v>43835</v>
      </c>
      <c r="F222" s="69" t="s">
        <v>206</v>
      </c>
      <c r="G222" s="69" t="str">
        <f>B222&amp;"@gmail.com"</f>
        <v>Name 221@gmail.com</v>
      </c>
      <c r="H222" s="70">
        <v>32000</v>
      </c>
      <c r="I222" s="71">
        <f>H222*18%</f>
        <v>5760</v>
      </c>
      <c r="J222" s="71">
        <f>H222*5%</f>
        <v>1600</v>
      </c>
      <c r="K222" s="71">
        <v>1000</v>
      </c>
      <c r="L222" s="71">
        <v>0</v>
      </c>
      <c r="M222" s="71">
        <v>1600</v>
      </c>
      <c r="N222" s="71">
        <v>30</v>
      </c>
      <c r="O222" s="71">
        <f>(H222/30)*N222</f>
        <v>32000.000000000004</v>
      </c>
      <c r="P222" s="72">
        <v>1</v>
      </c>
      <c r="Q222" s="72">
        <f>N222*P222</f>
        <v>30</v>
      </c>
      <c r="R222" s="71">
        <f>(H222/30)/8</f>
        <v>133.33333333333334</v>
      </c>
      <c r="S222" s="71">
        <f>Q222*R222</f>
        <v>4000.0000000000005</v>
      </c>
      <c r="T222" s="73">
        <f>I222+J222+K222+L222+M222+O222+S222</f>
        <v>45960</v>
      </c>
      <c r="U222" s="73">
        <v>200</v>
      </c>
      <c r="V222" s="73">
        <f>H222*12%</f>
        <v>3840</v>
      </c>
      <c r="W222" s="73">
        <v>5000</v>
      </c>
      <c r="X222" s="73">
        <f>SUM(U222:W222)</f>
        <v>9040</v>
      </c>
      <c r="Y222" s="73">
        <f>T222-X222</f>
        <v>36920</v>
      </c>
    </row>
    <row r="223" spans="1:25" x14ac:dyDescent="0.3">
      <c r="A223" s="65" t="s">
        <v>724</v>
      </c>
      <c r="B223" s="66" t="s">
        <v>723</v>
      </c>
      <c r="C223" s="66" t="s">
        <v>207</v>
      </c>
      <c r="D223" s="67">
        <v>23</v>
      </c>
      <c r="E223" s="68">
        <v>43836</v>
      </c>
      <c r="F223" s="69" t="s">
        <v>206</v>
      </c>
      <c r="G223" s="69" t="str">
        <f>B223&amp;"@gmail.com"</f>
        <v>Name 222@gmail.com</v>
      </c>
      <c r="H223" s="70">
        <v>28000</v>
      </c>
      <c r="I223" s="71">
        <f>H223*18%</f>
        <v>5040</v>
      </c>
      <c r="J223" s="71">
        <f>H223*5%</f>
        <v>1400</v>
      </c>
      <c r="K223" s="71">
        <v>1000</v>
      </c>
      <c r="L223" s="71">
        <v>0</v>
      </c>
      <c r="M223" s="71">
        <v>1600</v>
      </c>
      <c r="N223" s="71">
        <v>29</v>
      </c>
      <c r="O223" s="71">
        <f>(H223/30)*N223</f>
        <v>27066.666666666668</v>
      </c>
      <c r="P223" s="72">
        <v>1</v>
      </c>
      <c r="Q223" s="72">
        <f>N223*P223</f>
        <v>29</v>
      </c>
      <c r="R223" s="71">
        <f>(H223/30)/8</f>
        <v>116.66666666666667</v>
      </c>
      <c r="S223" s="71">
        <f>Q223*R223</f>
        <v>3383.3333333333335</v>
      </c>
      <c r="T223" s="73">
        <f>I223+J223+K223+L223+M223+O223+S223</f>
        <v>39490.000000000007</v>
      </c>
      <c r="U223" s="73">
        <v>200</v>
      </c>
      <c r="V223" s="73">
        <f>H223*12%</f>
        <v>3360</v>
      </c>
      <c r="W223" s="73">
        <v>0</v>
      </c>
      <c r="X223" s="73">
        <f>SUM(U223:W223)</f>
        <v>3560</v>
      </c>
      <c r="Y223" s="73">
        <f>T223-X223</f>
        <v>35930.000000000007</v>
      </c>
    </row>
    <row r="224" spans="1:25" x14ac:dyDescent="0.3">
      <c r="A224" s="65" t="s">
        <v>722</v>
      </c>
      <c r="B224" s="66" t="s">
        <v>721</v>
      </c>
      <c r="C224" s="66" t="s">
        <v>214</v>
      </c>
      <c r="D224" s="67">
        <v>34</v>
      </c>
      <c r="E224" s="68">
        <v>43837</v>
      </c>
      <c r="F224" s="69" t="s">
        <v>213</v>
      </c>
      <c r="G224" s="69" t="str">
        <f>B224&amp;"@gmail.com"</f>
        <v>Name 223@gmail.com</v>
      </c>
      <c r="H224" s="70">
        <v>44000</v>
      </c>
      <c r="I224" s="71">
        <f>H224*18%</f>
        <v>7920</v>
      </c>
      <c r="J224" s="71">
        <f>H224*5%</f>
        <v>2200</v>
      </c>
      <c r="K224" s="71">
        <v>1000</v>
      </c>
      <c r="L224" s="71">
        <v>0</v>
      </c>
      <c r="M224" s="71">
        <v>1600</v>
      </c>
      <c r="N224" s="71">
        <v>28</v>
      </c>
      <c r="O224" s="71">
        <f>(H224/30)*N224</f>
        <v>41066.666666666672</v>
      </c>
      <c r="P224" s="72">
        <v>1</v>
      </c>
      <c r="Q224" s="72">
        <f>N224*P224</f>
        <v>28</v>
      </c>
      <c r="R224" s="71">
        <f>(H224/30)/8</f>
        <v>183.33333333333334</v>
      </c>
      <c r="S224" s="71">
        <f>Q224*R224</f>
        <v>5133.3333333333339</v>
      </c>
      <c r="T224" s="73">
        <f>I224+J224+K224+L224+M224+O224+S224</f>
        <v>58920.000000000007</v>
      </c>
      <c r="U224" s="73">
        <v>200</v>
      </c>
      <c r="V224" s="73">
        <f>H224*12%</f>
        <v>5280</v>
      </c>
      <c r="W224" s="73">
        <v>0</v>
      </c>
      <c r="X224" s="73">
        <f>SUM(U224:W224)</f>
        <v>5480</v>
      </c>
      <c r="Y224" s="73">
        <f>T224-X224</f>
        <v>53440.000000000007</v>
      </c>
    </row>
    <row r="225" spans="1:25" x14ac:dyDescent="0.3">
      <c r="A225" s="65" t="s">
        <v>720</v>
      </c>
      <c r="B225" s="66" t="s">
        <v>719</v>
      </c>
      <c r="C225" s="66" t="s">
        <v>210</v>
      </c>
      <c r="D225" s="67">
        <v>23</v>
      </c>
      <c r="E225" s="68">
        <v>43838</v>
      </c>
      <c r="F225" s="69" t="s">
        <v>206</v>
      </c>
      <c r="G225" s="69" t="str">
        <f>B225&amp;"@gmail.com"</f>
        <v>Name 224@gmail.com</v>
      </c>
      <c r="H225" s="70">
        <v>25000</v>
      </c>
      <c r="I225" s="71">
        <f>H225*18%</f>
        <v>4500</v>
      </c>
      <c r="J225" s="71">
        <f>H225*5%</f>
        <v>1250</v>
      </c>
      <c r="K225" s="71">
        <v>1000</v>
      </c>
      <c r="L225" s="71">
        <v>0</v>
      </c>
      <c r="M225" s="71">
        <v>1600</v>
      </c>
      <c r="N225" s="71">
        <v>27</v>
      </c>
      <c r="O225" s="71">
        <f>(H225/30)*N225</f>
        <v>22500</v>
      </c>
      <c r="P225" s="72">
        <v>1</v>
      </c>
      <c r="Q225" s="72">
        <f>N225*P225</f>
        <v>27</v>
      </c>
      <c r="R225" s="71">
        <f>(H225/30)/8</f>
        <v>104.16666666666667</v>
      </c>
      <c r="S225" s="71">
        <f>Q225*R225</f>
        <v>2812.5</v>
      </c>
      <c r="T225" s="73">
        <f>I225+J225+K225+L225+M225+O225+S225</f>
        <v>33662.5</v>
      </c>
      <c r="U225" s="73">
        <v>200</v>
      </c>
      <c r="V225" s="73">
        <f>H225*12%</f>
        <v>3000</v>
      </c>
      <c r="W225" s="73">
        <v>0</v>
      </c>
      <c r="X225" s="73">
        <f>SUM(U225:W225)</f>
        <v>3200</v>
      </c>
      <c r="Y225" s="73">
        <f>T225-X225</f>
        <v>30462.5</v>
      </c>
    </row>
    <row r="226" spans="1:25" x14ac:dyDescent="0.3">
      <c r="A226" s="65" t="s">
        <v>718</v>
      </c>
      <c r="B226" s="66" t="s">
        <v>717</v>
      </c>
      <c r="C226" s="66" t="s">
        <v>214</v>
      </c>
      <c r="D226" s="67">
        <v>34</v>
      </c>
      <c r="E226" s="68">
        <v>43839</v>
      </c>
      <c r="F226" s="69" t="s">
        <v>206</v>
      </c>
      <c r="G226" s="69" t="str">
        <f>B226&amp;"@gmail.com"</f>
        <v>Name 225@gmail.com</v>
      </c>
      <c r="H226" s="70">
        <v>50000</v>
      </c>
      <c r="I226" s="71">
        <f>H226*18%</f>
        <v>9000</v>
      </c>
      <c r="J226" s="71">
        <f>H226*5%</f>
        <v>2500</v>
      </c>
      <c r="K226" s="71">
        <v>1000</v>
      </c>
      <c r="L226" s="71">
        <v>0</v>
      </c>
      <c r="M226" s="71">
        <v>1600</v>
      </c>
      <c r="N226" s="71">
        <v>27</v>
      </c>
      <c r="O226" s="71">
        <f>(H226/30)*N226</f>
        <v>45000</v>
      </c>
      <c r="P226" s="72">
        <v>3</v>
      </c>
      <c r="Q226" s="72">
        <f>N226*P226</f>
        <v>81</v>
      </c>
      <c r="R226" s="71">
        <f>(H226/30)/8</f>
        <v>208.33333333333334</v>
      </c>
      <c r="S226" s="71">
        <f>Q226*R226</f>
        <v>16875</v>
      </c>
      <c r="T226" s="73">
        <f>I226+J226+K226+L226+M226+O226+S226</f>
        <v>75975</v>
      </c>
      <c r="U226" s="73">
        <v>201</v>
      </c>
      <c r="V226" s="73">
        <f>H226*12%</f>
        <v>6000</v>
      </c>
      <c r="W226" s="73">
        <v>0</v>
      </c>
      <c r="X226" s="73">
        <f>SUM(U226:W226)</f>
        <v>6201</v>
      </c>
      <c r="Y226" s="73">
        <f>T226-X226</f>
        <v>69774</v>
      </c>
    </row>
    <row r="227" spans="1:25" x14ac:dyDescent="0.3">
      <c r="A227" s="65" t="s">
        <v>716</v>
      </c>
      <c r="B227" s="66" t="s">
        <v>715</v>
      </c>
      <c r="C227" s="66" t="s">
        <v>214</v>
      </c>
      <c r="D227" s="67">
        <v>23</v>
      </c>
      <c r="E227" s="68">
        <v>43840</v>
      </c>
      <c r="F227" s="69" t="s">
        <v>213</v>
      </c>
      <c r="G227" s="69" t="str">
        <f>B227&amp;"@gmail.com"</f>
        <v>Name 226@gmail.com</v>
      </c>
      <c r="H227" s="70">
        <v>70000</v>
      </c>
      <c r="I227" s="71">
        <f>H227*18%</f>
        <v>12600</v>
      </c>
      <c r="J227" s="71">
        <f>H227*5%</f>
        <v>3500</v>
      </c>
      <c r="K227" s="71">
        <v>1000</v>
      </c>
      <c r="L227" s="71">
        <v>0</v>
      </c>
      <c r="M227" s="71">
        <v>1600</v>
      </c>
      <c r="N227" s="71">
        <v>27</v>
      </c>
      <c r="O227" s="71">
        <f>(H227/30)*N227</f>
        <v>63000.000000000007</v>
      </c>
      <c r="P227" s="72">
        <v>1</v>
      </c>
      <c r="Q227" s="72">
        <f>N227*P227</f>
        <v>27</v>
      </c>
      <c r="R227" s="71">
        <f>(H227/30)/8</f>
        <v>291.66666666666669</v>
      </c>
      <c r="S227" s="71">
        <f>Q227*R227</f>
        <v>7875.0000000000009</v>
      </c>
      <c r="T227" s="73">
        <f>I227+J227+K227+L227+M227+O227+S227</f>
        <v>89575</v>
      </c>
      <c r="U227" s="73">
        <v>202</v>
      </c>
      <c r="V227" s="73">
        <f>H227*12%</f>
        <v>8400</v>
      </c>
      <c r="W227" s="73">
        <v>0</v>
      </c>
      <c r="X227" s="73">
        <f>SUM(U227:W227)</f>
        <v>8602</v>
      </c>
      <c r="Y227" s="73">
        <f>T227-X227</f>
        <v>80973</v>
      </c>
    </row>
    <row r="228" spans="1:25" x14ac:dyDescent="0.3">
      <c r="A228" s="65" t="s">
        <v>714</v>
      </c>
      <c r="B228" s="66" t="s">
        <v>713</v>
      </c>
      <c r="C228" s="66" t="s">
        <v>214</v>
      </c>
      <c r="D228" s="67">
        <v>34</v>
      </c>
      <c r="E228" s="68">
        <v>43841</v>
      </c>
      <c r="F228" s="69" t="s">
        <v>213</v>
      </c>
      <c r="G228" s="69" t="str">
        <f>B228&amp;"@gmail.com"</f>
        <v>Name 227@gmail.com</v>
      </c>
      <c r="H228" s="70">
        <v>34000</v>
      </c>
      <c r="I228" s="71">
        <f>H228*18%</f>
        <v>6120</v>
      </c>
      <c r="J228" s="71">
        <f>H228*5%</f>
        <v>1700</v>
      </c>
      <c r="K228" s="71">
        <v>1000</v>
      </c>
      <c r="L228" s="71">
        <v>2000</v>
      </c>
      <c r="M228" s="71">
        <v>1600</v>
      </c>
      <c r="N228" s="71">
        <v>30</v>
      </c>
      <c r="O228" s="71">
        <f>(H228/30)*N228</f>
        <v>34000</v>
      </c>
      <c r="P228" s="72">
        <v>2</v>
      </c>
      <c r="Q228" s="72">
        <f>N228*P228</f>
        <v>60</v>
      </c>
      <c r="R228" s="71">
        <f>(H228/30)/8</f>
        <v>141.66666666666666</v>
      </c>
      <c r="S228" s="71">
        <f>Q228*R228</f>
        <v>8500</v>
      </c>
      <c r="T228" s="73">
        <f>I228+J228+K228+L228+M228+O228+S228</f>
        <v>54920</v>
      </c>
      <c r="U228" s="73">
        <v>203</v>
      </c>
      <c r="V228" s="73">
        <f>H228*12%</f>
        <v>4080</v>
      </c>
      <c r="W228" s="73">
        <v>0</v>
      </c>
      <c r="X228" s="73">
        <f>SUM(U228:W228)</f>
        <v>4283</v>
      </c>
      <c r="Y228" s="73">
        <f>T228-X228</f>
        <v>50637</v>
      </c>
    </row>
    <row r="229" spans="1:25" x14ac:dyDescent="0.3">
      <c r="A229" s="65" t="s">
        <v>712</v>
      </c>
      <c r="B229" s="66" t="s">
        <v>711</v>
      </c>
      <c r="C229" s="66" t="s">
        <v>214</v>
      </c>
      <c r="D229" s="67">
        <v>45</v>
      </c>
      <c r="E229" s="68">
        <v>43842</v>
      </c>
      <c r="F229" s="69" t="s">
        <v>213</v>
      </c>
      <c r="G229" s="69" t="str">
        <f>B229&amp;"@gmail.com"</f>
        <v>Name 228@gmail.com</v>
      </c>
      <c r="H229" s="70">
        <v>45000</v>
      </c>
      <c r="I229" s="71">
        <f>H229*18%</f>
        <v>8100</v>
      </c>
      <c r="J229" s="71">
        <f>H229*5%</f>
        <v>2250</v>
      </c>
      <c r="K229" s="71">
        <v>1000</v>
      </c>
      <c r="L229" s="71">
        <v>5000</v>
      </c>
      <c r="M229" s="71">
        <v>1600</v>
      </c>
      <c r="N229" s="71">
        <v>30</v>
      </c>
      <c r="O229" s="71">
        <f>(H229/30)*N229</f>
        <v>45000</v>
      </c>
      <c r="P229" s="72">
        <v>0</v>
      </c>
      <c r="Q229" s="72">
        <f>N229*P229</f>
        <v>0</v>
      </c>
      <c r="R229" s="71">
        <f>(H229/30)/8</f>
        <v>187.5</v>
      </c>
      <c r="S229" s="71">
        <f>Q229*R229</f>
        <v>0</v>
      </c>
      <c r="T229" s="73">
        <f>I229+J229+K229+L229+M229+O229+S229</f>
        <v>62950</v>
      </c>
      <c r="U229" s="73">
        <v>204</v>
      </c>
      <c r="V229" s="73">
        <f>H229*12%</f>
        <v>5400</v>
      </c>
      <c r="W229" s="73">
        <v>4000</v>
      </c>
      <c r="X229" s="73">
        <f>SUM(U229:W229)</f>
        <v>9604</v>
      </c>
      <c r="Y229" s="73">
        <f>T229-X229</f>
        <v>53346</v>
      </c>
    </row>
    <row r="230" spans="1:25" x14ac:dyDescent="0.3">
      <c r="A230" s="65" t="s">
        <v>710</v>
      </c>
      <c r="B230" s="66" t="s">
        <v>709</v>
      </c>
      <c r="C230" s="66" t="s">
        <v>214</v>
      </c>
      <c r="D230" s="67">
        <v>54</v>
      </c>
      <c r="E230" s="68">
        <v>43843</v>
      </c>
      <c r="F230" s="69" t="s">
        <v>213</v>
      </c>
      <c r="G230" s="69" t="str">
        <f>B230&amp;"@gmail.com"</f>
        <v>Name 229@gmail.com</v>
      </c>
      <c r="H230" s="70">
        <v>55000</v>
      </c>
      <c r="I230" s="71">
        <f>H230*18%</f>
        <v>9900</v>
      </c>
      <c r="J230" s="71">
        <f>H230*5%</f>
        <v>2750</v>
      </c>
      <c r="K230" s="71">
        <v>1000</v>
      </c>
      <c r="L230" s="71">
        <v>0</v>
      </c>
      <c r="M230" s="71">
        <v>1600</v>
      </c>
      <c r="N230" s="71">
        <v>30</v>
      </c>
      <c r="O230" s="71">
        <f>(H230/30)*N230</f>
        <v>55000</v>
      </c>
      <c r="P230" s="72">
        <v>1</v>
      </c>
      <c r="Q230" s="72">
        <f>N230*P230</f>
        <v>30</v>
      </c>
      <c r="R230" s="71">
        <f>(H230/30)/8</f>
        <v>229.16666666666666</v>
      </c>
      <c r="S230" s="71">
        <f>Q230*R230</f>
        <v>6875</v>
      </c>
      <c r="T230" s="73">
        <f>I230+J230+K230+L230+M230+O230+S230</f>
        <v>77125</v>
      </c>
      <c r="U230" s="73">
        <v>205</v>
      </c>
      <c r="V230" s="73">
        <f>H230*12%</f>
        <v>6600</v>
      </c>
      <c r="W230" s="73">
        <v>0</v>
      </c>
      <c r="X230" s="73">
        <f>SUM(U230:W230)</f>
        <v>6805</v>
      </c>
      <c r="Y230" s="73">
        <f>T230-X230</f>
        <v>70320</v>
      </c>
    </row>
    <row r="231" spans="1:25" x14ac:dyDescent="0.3">
      <c r="A231" s="65" t="s">
        <v>708</v>
      </c>
      <c r="B231" s="66" t="s">
        <v>707</v>
      </c>
      <c r="C231" s="66" t="s">
        <v>210</v>
      </c>
      <c r="D231" s="67">
        <v>56</v>
      </c>
      <c r="E231" s="68">
        <v>43844</v>
      </c>
      <c r="F231" s="69" t="s">
        <v>206</v>
      </c>
      <c r="G231" s="69" t="str">
        <f>B231&amp;"@gmail.com"</f>
        <v>Name 230@gmail.com</v>
      </c>
      <c r="H231" s="70">
        <v>43000</v>
      </c>
      <c r="I231" s="71">
        <f>H231*18%</f>
        <v>7740</v>
      </c>
      <c r="J231" s="71">
        <f>H231*5%</f>
        <v>2150</v>
      </c>
      <c r="K231" s="71">
        <v>1000</v>
      </c>
      <c r="L231" s="71">
        <v>0</v>
      </c>
      <c r="M231" s="71">
        <v>1600</v>
      </c>
      <c r="N231" s="71">
        <v>27</v>
      </c>
      <c r="O231" s="71">
        <f>(H231/30)*N231</f>
        <v>38700</v>
      </c>
      <c r="P231" s="72">
        <v>1</v>
      </c>
      <c r="Q231" s="72">
        <f>N231*P231</f>
        <v>27</v>
      </c>
      <c r="R231" s="71">
        <f>(H231/30)/8</f>
        <v>179.16666666666666</v>
      </c>
      <c r="S231" s="71">
        <f>Q231*R231</f>
        <v>4837.5</v>
      </c>
      <c r="T231" s="73">
        <f>I231+J231+K231+L231+M231+O231+S231</f>
        <v>56027.5</v>
      </c>
      <c r="U231" s="73">
        <v>200</v>
      </c>
      <c r="V231" s="73">
        <f>H231*12%</f>
        <v>5160</v>
      </c>
      <c r="W231" s="73">
        <v>0</v>
      </c>
      <c r="X231" s="73">
        <f>SUM(U231:W231)</f>
        <v>5360</v>
      </c>
      <c r="Y231" s="73">
        <f>T231-X231</f>
        <v>50667.5</v>
      </c>
    </row>
    <row r="232" spans="1:25" x14ac:dyDescent="0.3">
      <c r="A232" s="65" t="s">
        <v>706</v>
      </c>
      <c r="B232" s="66" t="s">
        <v>705</v>
      </c>
      <c r="C232" s="66" t="s">
        <v>207</v>
      </c>
      <c r="D232" s="67">
        <v>54</v>
      </c>
      <c r="E232" s="68">
        <v>43845</v>
      </c>
      <c r="F232" s="69" t="s">
        <v>206</v>
      </c>
      <c r="G232" s="69" t="str">
        <f>B232&amp;"@gmail.com"</f>
        <v>Name 231@gmail.com</v>
      </c>
      <c r="H232" s="70">
        <v>25000</v>
      </c>
      <c r="I232" s="71">
        <f>H232*18%</f>
        <v>4500</v>
      </c>
      <c r="J232" s="71">
        <f>H232*5%</f>
        <v>1250</v>
      </c>
      <c r="K232" s="71">
        <v>1000</v>
      </c>
      <c r="L232" s="71">
        <v>0</v>
      </c>
      <c r="M232" s="71">
        <v>1600</v>
      </c>
      <c r="N232" s="71">
        <v>30</v>
      </c>
      <c r="O232" s="71">
        <f>(H232/30)*N232</f>
        <v>25000</v>
      </c>
      <c r="P232" s="72">
        <v>0</v>
      </c>
      <c r="Q232" s="72">
        <f>N232*P232</f>
        <v>0</v>
      </c>
      <c r="R232" s="71">
        <f>(H232/30)/8</f>
        <v>104.16666666666667</v>
      </c>
      <c r="S232" s="71">
        <f>Q232*R232</f>
        <v>0</v>
      </c>
      <c r="T232" s="73">
        <f>I232+J232+K232+L232+M232+O232+S232</f>
        <v>33350</v>
      </c>
      <c r="U232" s="73">
        <v>200</v>
      </c>
      <c r="V232" s="73">
        <f>H232*12%</f>
        <v>3000</v>
      </c>
      <c r="W232" s="73">
        <v>0</v>
      </c>
      <c r="X232" s="73">
        <f>SUM(U232:W232)</f>
        <v>3200</v>
      </c>
      <c r="Y232" s="73">
        <f>T232-X232</f>
        <v>30150</v>
      </c>
    </row>
    <row r="233" spans="1:25" x14ac:dyDescent="0.3">
      <c r="A233" s="65" t="s">
        <v>704</v>
      </c>
      <c r="B233" s="66" t="s">
        <v>703</v>
      </c>
      <c r="C233" s="66" t="s">
        <v>214</v>
      </c>
      <c r="D233" s="67">
        <v>34</v>
      </c>
      <c r="E233" s="68">
        <v>43846</v>
      </c>
      <c r="F233" s="69" t="s">
        <v>206</v>
      </c>
      <c r="G233" s="69" t="str">
        <f>B233&amp;"@gmail.com"</f>
        <v>Name 232@gmail.com</v>
      </c>
      <c r="H233" s="70">
        <v>28000</v>
      </c>
      <c r="I233" s="71">
        <f>H233*18%</f>
        <v>5040</v>
      </c>
      <c r="J233" s="71">
        <f>H233*5%</f>
        <v>1400</v>
      </c>
      <c r="K233" s="71">
        <v>1000</v>
      </c>
      <c r="L233" s="71">
        <v>0</v>
      </c>
      <c r="M233" s="71">
        <v>1600</v>
      </c>
      <c r="N233" s="71">
        <v>20</v>
      </c>
      <c r="O233" s="71">
        <f>(H233/30)*N233</f>
        <v>18666.666666666668</v>
      </c>
      <c r="P233" s="72">
        <v>0</v>
      </c>
      <c r="Q233" s="72">
        <f>N233*P233</f>
        <v>0</v>
      </c>
      <c r="R233" s="71">
        <f>(H233/30)/8</f>
        <v>116.66666666666667</v>
      </c>
      <c r="S233" s="71">
        <f>Q233*R233</f>
        <v>0</v>
      </c>
      <c r="T233" s="73">
        <f>I233+J233+K233+L233+M233+O233+S233</f>
        <v>27706.666666666668</v>
      </c>
      <c r="U233" s="73">
        <v>200</v>
      </c>
      <c r="V233" s="73">
        <f>H233*12%</f>
        <v>3360</v>
      </c>
      <c r="W233" s="73">
        <v>0</v>
      </c>
      <c r="X233" s="73">
        <f>SUM(U233:W233)</f>
        <v>3560</v>
      </c>
      <c r="Y233" s="73">
        <f>T233-X233</f>
        <v>24146.666666666668</v>
      </c>
    </row>
    <row r="234" spans="1:25" x14ac:dyDescent="0.3">
      <c r="A234" s="65" t="s">
        <v>702</v>
      </c>
      <c r="B234" s="66" t="s">
        <v>701</v>
      </c>
      <c r="C234" s="66" t="s">
        <v>210</v>
      </c>
      <c r="D234" s="67">
        <v>23</v>
      </c>
      <c r="E234" s="68">
        <v>43847</v>
      </c>
      <c r="F234" s="69" t="s">
        <v>206</v>
      </c>
      <c r="G234" s="69" t="str">
        <f>B234&amp;"@gmail.com"</f>
        <v>Name 233@gmail.com</v>
      </c>
      <c r="H234" s="70">
        <v>40000</v>
      </c>
      <c r="I234" s="71">
        <f>H234*18%</f>
        <v>7200</v>
      </c>
      <c r="J234" s="71">
        <f>H234*5%</f>
        <v>2000</v>
      </c>
      <c r="K234" s="71">
        <v>1000</v>
      </c>
      <c r="L234" s="71">
        <v>0</v>
      </c>
      <c r="M234" s="71">
        <v>1600</v>
      </c>
      <c r="N234" s="71">
        <v>28</v>
      </c>
      <c r="O234" s="71">
        <f>(H234/30)*N234</f>
        <v>37333.333333333328</v>
      </c>
      <c r="P234" s="72">
        <v>2</v>
      </c>
      <c r="Q234" s="72">
        <f>N234*P234</f>
        <v>56</v>
      </c>
      <c r="R234" s="71">
        <f>(H234/30)/8</f>
        <v>166.66666666666666</v>
      </c>
      <c r="S234" s="71">
        <f>Q234*R234</f>
        <v>9333.3333333333321</v>
      </c>
      <c r="T234" s="73">
        <f>I234+J234+K234+L234+M234+O234+S234</f>
        <v>58466.666666666657</v>
      </c>
      <c r="U234" s="73">
        <v>200</v>
      </c>
      <c r="V234" s="73">
        <f>H234*12%</f>
        <v>4800</v>
      </c>
      <c r="W234" s="73">
        <v>0</v>
      </c>
      <c r="X234" s="73">
        <f>SUM(U234:W234)</f>
        <v>5000</v>
      </c>
      <c r="Y234" s="73">
        <f>T234-X234</f>
        <v>53466.666666666657</v>
      </c>
    </row>
    <row r="235" spans="1:25" x14ac:dyDescent="0.3">
      <c r="A235" s="65" t="s">
        <v>700</v>
      </c>
      <c r="B235" s="66" t="s">
        <v>699</v>
      </c>
      <c r="C235" s="66" t="s">
        <v>210</v>
      </c>
      <c r="D235" s="67">
        <v>34</v>
      </c>
      <c r="E235" s="68">
        <v>43848</v>
      </c>
      <c r="F235" s="69" t="s">
        <v>206</v>
      </c>
      <c r="G235" s="69" t="str">
        <f>B235&amp;"@gmail.com"</f>
        <v>Name 234@gmail.com</v>
      </c>
      <c r="H235" s="70">
        <v>32000</v>
      </c>
      <c r="I235" s="71">
        <f>H235*18%</f>
        <v>5760</v>
      </c>
      <c r="J235" s="71">
        <f>H235*5%</f>
        <v>1600</v>
      </c>
      <c r="K235" s="71">
        <v>1000</v>
      </c>
      <c r="L235" s="71">
        <v>0</v>
      </c>
      <c r="M235" s="71">
        <v>1600</v>
      </c>
      <c r="N235" s="71">
        <v>30</v>
      </c>
      <c r="O235" s="71">
        <f>(H235/30)*N235</f>
        <v>32000.000000000004</v>
      </c>
      <c r="P235" s="72">
        <v>1</v>
      </c>
      <c r="Q235" s="72">
        <f>N235*P235</f>
        <v>30</v>
      </c>
      <c r="R235" s="71">
        <f>(H235/30)/8</f>
        <v>133.33333333333334</v>
      </c>
      <c r="S235" s="71">
        <f>Q235*R235</f>
        <v>4000.0000000000005</v>
      </c>
      <c r="T235" s="73">
        <f>I235+J235+K235+L235+M235+O235+S235</f>
        <v>45960</v>
      </c>
      <c r="U235" s="73">
        <v>200</v>
      </c>
      <c r="V235" s="73">
        <f>H235*12%</f>
        <v>3840</v>
      </c>
      <c r="W235" s="73">
        <v>5000</v>
      </c>
      <c r="X235" s="73">
        <f>SUM(U235:W235)</f>
        <v>9040</v>
      </c>
      <c r="Y235" s="73">
        <f>T235-X235</f>
        <v>36920</v>
      </c>
    </row>
    <row r="236" spans="1:25" x14ac:dyDescent="0.3">
      <c r="A236" s="65" t="s">
        <v>698</v>
      </c>
      <c r="B236" s="66" t="s">
        <v>697</v>
      </c>
      <c r="C236" s="66" t="s">
        <v>207</v>
      </c>
      <c r="D236" s="67">
        <v>43</v>
      </c>
      <c r="E236" s="68">
        <v>43849</v>
      </c>
      <c r="F236" s="69" t="s">
        <v>206</v>
      </c>
      <c r="G236" s="69" t="str">
        <f>B236&amp;"@gmail.com"</f>
        <v>Name 235@gmail.com</v>
      </c>
      <c r="H236" s="70">
        <v>28000</v>
      </c>
      <c r="I236" s="71">
        <f>H236*18%</f>
        <v>5040</v>
      </c>
      <c r="J236" s="71">
        <f>H236*5%</f>
        <v>1400</v>
      </c>
      <c r="K236" s="71">
        <v>1000</v>
      </c>
      <c r="L236" s="71">
        <v>0</v>
      </c>
      <c r="M236" s="71">
        <v>1600</v>
      </c>
      <c r="N236" s="71">
        <v>29</v>
      </c>
      <c r="O236" s="71">
        <f>(H236/30)*N236</f>
        <v>27066.666666666668</v>
      </c>
      <c r="P236" s="72">
        <v>1</v>
      </c>
      <c r="Q236" s="72">
        <f>N236*P236</f>
        <v>29</v>
      </c>
      <c r="R236" s="71">
        <f>(H236/30)/8</f>
        <v>116.66666666666667</v>
      </c>
      <c r="S236" s="71">
        <f>Q236*R236</f>
        <v>3383.3333333333335</v>
      </c>
      <c r="T236" s="73">
        <f>I236+J236+K236+L236+M236+O236+S236</f>
        <v>39490.000000000007</v>
      </c>
      <c r="U236" s="73">
        <v>200</v>
      </c>
      <c r="V236" s="73">
        <f>H236*12%</f>
        <v>3360</v>
      </c>
      <c r="W236" s="73">
        <v>0</v>
      </c>
      <c r="X236" s="73">
        <f>SUM(U236:W236)</f>
        <v>3560</v>
      </c>
      <c r="Y236" s="73">
        <f>T236-X236</f>
        <v>35930.000000000007</v>
      </c>
    </row>
    <row r="237" spans="1:25" x14ac:dyDescent="0.3">
      <c r="A237" s="65" t="s">
        <v>696</v>
      </c>
      <c r="B237" s="66" t="s">
        <v>695</v>
      </c>
      <c r="C237" s="66" t="s">
        <v>214</v>
      </c>
      <c r="D237" s="67">
        <v>34</v>
      </c>
      <c r="E237" s="68">
        <v>43850</v>
      </c>
      <c r="F237" s="69" t="s">
        <v>213</v>
      </c>
      <c r="G237" s="69" t="str">
        <f>B237&amp;"@gmail.com"</f>
        <v>Name 236@gmail.com</v>
      </c>
      <c r="H237" s="70">
        <v>44000</v>
      </c>
      <c r="I237" s="71">
        <f>H237*18%</f>
        <v>7920</v>
      </c>
      <c r="J237" s="71">
        <f>H237*5%</f>
        <v>2200</v>
      </c>
      <c r="K237" s="71">
        <v>1000</v>
      </c>
      <c r="L237" s="71">
        <v>0</v>
      </c>
      <c r="M237" s="71">
        <v>1600</v>
      </c>
      <c r="N237" s="71">
        <v>28</v>
      </c>
      <c r="O237" s="71">
        <f>(H237/30)*N237</f>
        <v>41066.666666666672</v>
      </c>
      <c r="P237" s="72">
        <v>1</v>
      </c>
      <c r="Q237" s="72">
        <f>N237*P237</f>
        <v>28</v>
      </c>
      <c r="R237" s="71">
        <f>(H237/30)/8</f>
        <v>183.33333333333334</v>
      </c>
      <c r="S237" s="71">
        <f>Q237*R237</f>
        <v>5133.3333333333339</v>
      </c>
      <c r="T237" s="73">
        <f>I237+J237+K237+L237+M237+O237+S237</f>
        <v>58920.000000000007</v>
      </c>
      <c r="U237" s="73">
        <v>200</v>
      </c>
      <c r="V237" s="73">
        <f>H237*12%</f>
        <v>5280</v>
      </c>
      <c r="W237" s="73">
        <v>0</v>
      </c>
      <c r="X237" s="73">
        <f>SUM(U237:W237)</f>
        <v>5480</v>
      </c>
      <c r="Y237" s="73">
        <f>T237-X237</f>
        <v>53440.000000000007</v>
      </c>
    </row>
    <row r="238" spans="1:25" x14ac:dyDescent="0.3">
      <c r="A238" s="65" t="s">
        <v>694</v>
      </c>
      <c r="B238" s="66" t="s">
        <v>693</v>
      </c>
      <c r="C238" s="66" t="s">
        <v>210</v>
      </c>
      <c r="D238" s="67">
        <v>43</v>
      </c>
      <c r="E238" s="68">
        <v>43851</v>
      </c>
      <c r="F238" s="69" t="s">
        <v>206</v>
      </c>
      <c r="G238" s="69" t="str">
        <f>B238&amp;"@gmail.com"</f>
        <v>Name 237@gmail.com</v>
      </c>
      <c r="H238" s="70">
        <v>25000</v>
      </c>
      <c r="I238" s="71">
        <f>H238*18%</f>
        <v>4500</v>
      </c>
      <c r="J238" s="71">
        <f>H238*5%</f>
        <v>1250</v>
      </c>
      <c r="K238" s="71">
        <v>1000</v>
      </c>
      <c r="L238" s="71">
        <v>0</v>
      </c>
      <c r="M238" s="71">
        <v>1600</v>
      </c>
      <c r="N238" s="71">
        <v>27</v>
      </c>
      <c r="O238" s="71">
        <f>(H238/30)*N238</f>
        <v>22500</v>
      </c>
      <c r="P238" s="72">
        <v>1</v>
      </c>
      <c r="Q238" s="72">
        <f>N238*P238</f>
        <v>27</v>
      </c>
      <c r="R238" s="71">
        <f>(H238/30)/8</f>
        <v>104.16666666666667</v>
      </c>
      <c r="S238" s="71">
        <f>Q238*R238</f>
        <v>2812.5</v>
      </c>
      <c r="T238" s="73">
        <f>I238+J238+K238+L238+M238+O238+S238</f>
        <v>33662.5</v>
      </c>
      <c r="U238" s="73">
        <v>200</v>
      </c>
      <c r="V238" s="73">
        <f>H238*12%</f>
        <v>3000</v>
      </c>
      <c r="W238" s="73">
        <v>0</v>
      </c>
      <c r="X238" s="73">
        <f>SUM(U238:W238)</f>
        <v>3200</v>
      </c>
      <c r="Y238" s="73">
        <f>T238-X238</f>
        <v>30462.5</v>
      </c>
    </row>
    <row r="239" spans="1:25" x14ac:dyDescent="0.3">
      <c r="A239" s="65" t="s">
        <v>692</v>
      </c>
      <c r="B239" s="66" t="s">
        <v>691</v>
      </c>
      <c r="C239" s="66" t="s">
        <v>214</v>
      </c>
      <c r="D239" s="67">
        <v>23</v>
      </c>
      <c r="E239" s="68">
        <v>43852</v>
      </c>
      <c r="F239" s="69" t="s">
        <v>206</v>
      </c>
      <c r="G239" s="69" t="str">
        <f>B239&amp;"@gmail.com"</f>
        <v>Name 238@gmail.com</v>
      </c>
      <c r="H239" s="70">
        <v>50000</v>
      </c>
      <c r="I239" s="71">
        <f>H239*18%</f>
        <v>9000</v>
      </c>
      <c r="J239" s="71">
        <f>H239*5%</f>
        <v>2500</v>
      </c>
      <c r="K239" s="71">
        <v>1000</v>
      </c>
      <c r="L239" s="71">
        <v>0</v>
      </c>
      <c r="M239" s="71">
        <v>1600</v>
      </c>
      <c r="N239" s="71">
        <v>27</v>
      </c>
      <c r="O239" s="71">
        <f>(H239/30)*N239</f>
        <v>45000</v>
      </c>
      <c r="P239" s="72">
        <v>3</v>
      </c>
      <c r="Q239" s="72">
        <f>N239*P239</f>
        <v>81</v>
      </c>
      <c r="R239" s="71">
        <f>(H239/30)/8</f>
        <v>208.33333333333334</v>
      </c>
      <c r="S239" s="71">
        <f>Q239*R239</f>
        <v>16875</v>
      </c>
      <c r="T239" s="73">
        <f>I239+J239+K239+L239+M239+O239+S239</f>
        <v>75975</v>
      </c>
      <c r="U239" s="73">
        <v>201</v>
      </c>
      <c r="V239" s="73">
        <f>H239*12%</f>
        <v>6000</v>
      </c>
      <c r="W239" s="73">
        <v>0</v>
      </c>
      <c r="X239" s="73">
        <f>SUM(U239:W239)</f>
        <v>6201</v>
      </c>
      <c r="Y239" s="73">
        <f>T239-X239</f>
        <v>69774</v>
      </c>
    </row>
    <row r="240" spans="1:25" x14ac:dyDescent="0.3">
      <c r="A240" s="65" t="s">
        <v>690</v>
      </c>
      <c r="B240" s="66" t="s">
        <v>689</v>
      </c>
      <c r="C240" s="66" t="s">
        <v>214</v>
      </c>
      <c r="D240" s="67">
        <v>34</v>
      </c>
      <c r="E240" s="68">
        <v>43853</v>
      </c>
      <c r="F240" s="69" t="s">
        <v>213</v>
      </c>
      <c r="G240" s="69" t="str">
        <f>B240&amp;"@gmail.com"</f>
        <v>Name 239@gmail.com</v>
      </c>
      <c r="H240" s="70">
        <v>70000</v>
      </c>
      <c r="I240" s="71">
        <f>H240*18%</f>
        <v>12600</v>
      </c>
      <c r="J240" s="71">
        <f>H240*5%</f>
        <v>3500</v>
      </c>
      <c r="K240" s="71">
        <v>1000</v>
      </c>
      <c r="L240" s="71">
        <v>0</v>
      </c>
      <c r="M240" s="71">
        <v>1600</v>
      </c>
      <c r="N240" s="71">
        <v>27</v>
      </c>
      <c r="O240" s="71">
        <f>(H240/30)*N240</f>
        <v>63000.000000000007</v>
      </c>
      <c r="P240" s="72">
        <v>1</v>
      </c>
      <c r="Q240" s="72">
        <f>N240*P240</f>
        <v>27</v>
      </c>
      <c r="R240" s="71">
        <f>(H240/30)/8</f>
        <v>291.66666666666669</v>
      </c>
      <c r="S240" s="71">
        <f>Q240*R240</f>
        <v>7875.0000000000009</v>
      </c>
      <c r="T240" s="73">
        <f>I240+J240+K240+L240+M240+O240+S240</f>
        <v>89575</v>
      </c>
      <c r="U240" s="73">
        <v>202</v>
      </c>
      <c r="V240" s="73">
        <f>H240*12%</f>
        <v>8400</v>
      </c>
      <c r="W240" s="73">
        <v>0</v>
      </c>
      <c r="X240" s="73">
        <f>SUM(U240:W240)</f>
        <v>8602</v>
      </c>
      <c r="Y240" s="73">
        <f>T240-X240</f>
        <v>80973</v>
      </c>
    </row>
    <row r="241" spans="1:25" x14ac:dyDescent="0.3">
      <c r="A241" s="65" t="s">
        <v>688</v>
      </c>
      <c r="B241" s="66" t="s">
        <v>687</v>
      </c>
      <c r="C241" s="66" t="s">
        <v>214</v>
      </c>
      <c r="D241" s="67">
        <v>23</v>
      </c>
      <c r="E241" s="68">
        <v>43854</v>
      </c>
      <c r="F241" s="69" t="s">
        <v>213</v>
      </c>
      <c r="G241" s="69" t="str">
        <f>B241&amp;"@gmail.com"</f>
        <v>Name 240@gmail.com</v>
      </c>
      <c r="H241" s="70">
        <v>34000</v>
      </c>
      <c r="I241" s="71">
        <f>H241*18%</f>
        <v>6120</v>
      </c>
      <c r="J241" s="71">
        <f>H241*5%</f>
        <v>1700</v>
      </c>
      <c r="K241" s="71">
        <v>1000</v>
      </c>
      <c r="L241" s="71">
        <v>2000</v>
      </c>
      <c r="M241" s="71">
        <v>1600</v>
      </c>
      <c r="N241" s="71">
        <v>30</v>
      </c>
      <c r="O241" s="71">
        <f>(H241/30)*N241</f>
        <v>34000</v>
      </c>
      <c r="P241" s="72">
        <v>2</v>
      </c>
      <c r="Q241" s="72">
        <f>N241*P241</f>
        <v>60</v>
      </c>
      <c r="R241" s="71">
        <f>(H241/30)/8</f>
        <v>141.66666666666666</v>
      </c>
      <c r="S241" s="71">
        <f>Q241*R241</f>
        <v>8500</v>
      </c>
      <c r="T241" s="73">
        <f>I241+J241+K241+L241+M241+O241+S241</f>
        <v>54920</v>
      </c>
      <c r="U241" s="73">
        <v>203</v>
      </c>
      <c r="V241" s="73">
        <f>H241*12%</f>
        <v>4080</v>
      </c>
      <c r="W241" s="73">
        <v>0</v>
      </c>
      <c r="X241" s="73">
        <f>SUM(U241:W241)</f>
        <v>4283</v>
      </c>
      <c r="Y241" s="73">
        <f>T241-X241</f>
        <v>50637</v>
      </c>
    </row>
    <row r="242" spans="1:25" x14ac:dyDescent="0.3">
      <c r="A242" s="65" t="s">
        <v>686</v>
      </c>
      <c r="B242" s="66" t="s">
        <v>685</v>
      </c>
      <c r="C242" s="66" t="s">
        <v>214</v>
      </c>
      <c r="D242" s="67">
        <v>34</v>
      </c>
      <c r="E242" s="68">
        <v>43831</v>
      </c>
      <c r="F242" s="69" t="s">
        <v>213</v>
      </c>
      <c r="G242" s="69" t="str">
        <f>B242&amp;"@gmail.com"</f>
        <v>Name 241@gmail.com</v>
      </c>
      <c r="H242" s="70">
        <v>45000</v>
      </c>
      <c r="I242" s="71">
        <f>H242*18%</f>
        <v>8100</v>
      </c>
      <c r="J242" s="71">
        <f>H242*5%</f>
        <v>2250</v>
      </c>
      <c r="K242" s="71">
        <v>1000</v>
      </c>
      <c r="L242" s="71">
        <v>5000</v>
      </c>
      <c r="M242" s="71">
        <v>1600</v>
      </c>
      <c r="N242" s="71">
        <v>30</v>
      </c>
      <c r="O242" s="71">
        <f>(H242/30)*N242</f>
        <v>45000</v>
      </c>
      <c r="P242" s="72">
        <v>0</v>
      </c>
      <c r="Q242" s="72">
        <f>N242*P242</f>
        <v>0</v>
      </c>
      <c r="R242" s="71">
        <f>(H242/30)/8</f>
        <v>187.5</v>
      </c>
      <c r="S242" s="71">
        <f>Q242*R242</f>
        <v>0</v>
      </c>
      <c r="T242" s="73">
        <f>I242+J242+K242+L242+M242+O242+S242</f>
        <v>62950</v>
      </c>
      <c r="U242" s="73">
        <v>204</v>
      </c>
      <c r="V242" s="73">
        <f>H242*12%</f>
        <v>5400</v>
      </c>
      <c r="W242" s="73">
        <v>4000</v>
      </c>
      <c r="X242" s="73">
        <f>SUM(U242:W242)</f>
        <v>9604</v>
      </c>
      <c r="Y242" s="73">
        <f>T242-X242</f>
        <v>53346</v>
      </c>
    </row>
    <row r="243" spans="1:25" x14ac:dyDescent="0.3">
      <c r="A243" s="65" t="s">
        <v>684</v>
      </c>
      <c r="B243" s="66" t="s">
        <v>683</v>
      </c>
      <c r="C243" s="66" t="s">
        <v>214</v>
      </c>
      <c r="D243" s="67">
        <v>23</v>
      </c>
      <c r="E243" s="68">
        <v>43832</v>
      </c>
      <c r="F243" s="69" t="s">
        <v>213</v>
      </c>
      <c r="G243" s="69" t="str">
        <f>B243&amp;"@gmail.com"</f>
        <v>Name 242@gmail.com</v>
      </c>
      <c r="H243" s="70">
        <v>55000</v>
      </c>
      <c r="I243" s="71">
        <f>H243*18%</f>
        <v>9900</v>
      </c>
      <c r="J243" s="71">
        <f>H243*5%</f>
        <v>2750</v>
      </c>
      <c r="K243" s="71">
        <v>1000</v>
      </c>
      <c r="L243" s="71">
        <v>5000</v>
      </c>
      <c r="M243" s="71">
        <v>1600</v>
      </c>
      <c r="N243" s="71">
        <v>30</v>
      </c>
      <c r="O243" s="71">
        <f>(H243/30)*N243</f>
        <v>55000</v>
      </c>
      <c r="P243" s="72">
        <v>1</v>
      </c>
      <c r="Q243" s="72">
        <f>N243*P243</f>
        <v>30</v>
      </c>
      <c r="R243" s="71">
        <f>(H243/30)/8</f>
        <v>229.16666666666666</v>
      </c>
      <c r="S243" s="71">
        <f>Q243*R243</f>
        <v>6875</v>
      </c>
      <c r="T243" s="73">
        <f>I243+J243+K243+L243+M243+O243+S243</f>
        <v>82125</v>
      </c>
      <c r="U243" s="73">
        <v>205</v>
      </c>
      <c r="V243" s="73">
        <f>H243*12%</f>
        <v>6600</v>
      </c>
      <c r="W243" s="73">
        <v>0</v>
      </c>
      <c r="X243" s="73">
        <f>SUM(U243:W243)</f>
        <v>6805</v>
      </c>
      <c r="Y243" s="73">
        <f>T243-X243</f>
        <v>75320</v>
      </c>
    </row>
    <row r="244" spans="1:25" x14ac:dyDescent="0.3">
      <c r="A244" s="65" t="s">
        <v>682</v>
      </c>
      <c r="B244" s="66" t="s">
        <v>681</v>
      </c>
      <c r="C244" s="66" t="s">
        <v>210</v>
      </c>
      <c r="D244" s="67">
        <v>34</v>
      </c>
      <c r="E244" s="68">
        <v>43833</v>
      </c>
      <c r="F244" s="69" t="s">
        <v>206</v>
      </c>
      <c r="G244" s="69" t="str">
        <f>B244&amp;"@gmail.com"</f>
        <v>Name 243@gmail.com</v>
      </c>
      <c r="H244" s="70">
        <v>43000</v>
      </c>
      <c r="I244" s="71">
        <f>H244*18%</f>
        <v>7740</v>
      </c>
      <c r="J244" s="71">
        <f>H244*5%</f>
        <v>2150</v>
      </c>
      <c r="K244" s="71">
        <v>1000</v>
      </c>
      <c r="L244" s="71">
        <v>5000</v>
      </c>
      <c r="M244" s="71">
        <v>1600</v>
      </c>
      <c r="N244" s="71">
        <v>27</v>
      </c>
      <c r="O244" s="71">
        <f>(H244/30)*N244</f>
        <v>38700</v>
      </c>
      <c r="P244" s="72">
        <v>1</v>
      </c>
      <c r="Q244" s="72">
        <f>N244*P244</f>
        <v>27</v>
      </c>
      <c r="R244" s="71">
        <f>(H244/30)/8</f>
        <v>179.16666666666666</v>
      </c>
      <c r="S244" s="71">
        <f>Q244*R244</f>
        <v>4837.5</v>
      </c>
      <c r="T244" s="73">
        <f>I244+J244+K244+L244+M244+O244+S244</f>
        <v>61027.5</v>
      </c>
      <c r="U244" s="73">
        <v>200</v>
      </c>
      <c r="V244" s="73">
        <f>H244*12%</f>
        <v>5160</v>
      </c>
      <c r="W244" s="73">
        <v>0</v>
      </c>
      <c r="X244" s="73">
        <f>SUM(U244:W244)</f>
        <v>5360</v>
      </c>
      <c r="Y244" s="73">
        <f>T244-X244</f>
        <v>55667.5</v>
      </c>
    </row>
    <row r="245" spans="1:25" x14ac:dyDescent="0.3">
      <c r="A245" s="65" t="s">
        <v>680</v>
      </c>
      <c r="B245" s="66" t="s">
        <v>679</v>
      </c>
      <c r="C245" s="66" t="s">
        <v>207</v>
      </c>
      <c r="D245" s="67">
        <v>45</v>
      </c>
      <c r="E245" s="68">
        <v>43834</v>
      </c>
      <c r="F245" s="69" t="s">
        <v>206</v>
      </c>
      <c r="G245" s="69" t="str">
        <f>B245&amp;"@gmail.com"</f>
        <v>Name 244@gmail.com</v>
      </c>
      <c r="H245" s="70">
        <v>25000</v>
      </c>
      <c r="I245" s="71">
        <f>H245*18%</f>
        <v>4500</v>
      </c>
      <c r="J245" s="71">
        <f>H245*5%</f>
        <v>1250</v>
      </c>
      <c r="K245" s="71">
        <v>1000</v>
      </c>
      <c r="L245" s="71">
        <v>5000</v>
      </c>
      <c r="M245" s="71">
        <v>1600</v>
      </c>
      <c r="N245" s="71">
        <v>30</v>
      </c>
      <c r="O245" s="71">
        <f>(H245/30)*N245</f>
        <v>25000</v>
      </c>
      <c r="P245" s="72">
        <v>0</v>
      </c>
      <c r="Q245" s="72">
        <f>N245*P245</f>
        <v>0</v>
      </c>
      <c r="R245" s="71">
        <f>(H245/30)/8</f>
        <v>104.16666666666667</v>
      </c>
      <c r="S245" s="71">
        <f>Q245*R245</f>
        <v>0</v>
      </c>
      <c r="T245" s="73">
        <f>I245+J245+K245+L245+M245+O245+S245</f>
        <v>38350</v>
      </c>
      <c r="U245" s="73">
        <v>200</v>
      </c>
      <c r="V245" s="73">
        <f>H245*12%</f>
        <v>3000</v>
      </c>
      <c r="W245" s="73">
        <v>0</v>
      </c>
      <c r="X245" s="73">
        <f>SUM(U245:W245)</f>
        <v>3200</v>
      </c>
      <c r="Y245" s="73">
        <f>T245-X245</f>
        <v>35150</v>
      </c>
    </row>
    <row r="246" spans="1:25" x14ac:dyDescent="0.3">
      <c r="A246" s="65" t="s">
        <v>678</v>
      </c>
      <c r="B246" s="66" t="s">
        <v>677</v>
      </c>
      <c r="C246" s="66" t="s">
        <v>214</v>
      </c>
      <c r="D246" s="67">
        <v>54</v>
      </c>
      <c r="E246" s="68">
        <v>43835</v>
      </c>
      <c r="F246" s="69" t="s">
        <v>206</v>
      </c>
      <c r="G246" s="69" t="str">
        <f>B246&amp;"@gmail.com"</f>
        <v>Name 245@gmail.com</v>
      </c>
      <c r="H246" s="70">
        <v>28000</v>
      </c>
      <c r="I246" s="71">
        <f>H246*18%</f>
        <v>5040</v>
      </c>
      <c r="J246" s="71">
        <f>H246*5%</f>
        <v>1400</v>
      </c>
      <c r="K246" s="71">
        <v>1000</v>
      </c>
      <c r="L246" s="71">
        <v>5000</v>
      </c>
      <c r="M246" s="71">
        <v>1600</v>
      </c>
      <c r="N246" s="71">
        <v>20</v>
      </c>
      <c r="O246" s="71">
        <f>(H246/30)*N246</f>
        <v>18666.666666666668</v>
      </c>
      <c r="P246" s="72">
        <v>0</v>
      </c>
      <c r="Q246" s="72">
        <f>N246*P246</f>
        <v>0</v>
      </c>
      <c r="R246" s="71">
        <f>(H246/30)/8</f>
        <v>116.66666666666667</v>
      </c>
      <c r="S246" s="71">
        <f>Q246*R246</f>
        <v>0</v>
      </c>
      <c r="T246" s="73">
        <f>I246+J246+K246+L246+M246+O246+S246</f>
        <v>32706.666666666668</v>
      </c>
      <c r="U246" s="73">
        <v>200</v>
      </c>
      <c r="V246" s="73">
        <f>H246*12%</f>
        <v>3360</v>
      </c>
      <c r="W246" s="73">
        <v>0</v>
      </c>
      <c r="X246" s="73">
        <f>SUM(U246:W246)</f>
        <v>3560</v>
      </c>
      <c r="Y246" s="73">
        <f>T246-X246</f>
        <v>29146.666666666668</v>
      </c>
    </row>
    <row r="247" spans="1:25" x14ac:dyDescent="0.3">
      <c r="A247" s="65" t="s">
        <v>676</v>
      </c>
      <c r="B247" s="66" t="s">
        <v>675</v>
      </c>
      <c r="C247" s="66" t="s">
        <v>210</v>
      </c>
      <c r="D247" s="67">
        <v>56</v>
      </c>
      <c r="E247" s="68">
        <v>43836</v>
      </c>
      <c r="F247" s="69" t="s">
        <v>206</v>
      </c>
      <c r="G247" s="69" t="str">
        <f>B247&amp;"@gmail.com"</f>
        <v>Name 246@gmail.com</v>
      </c>
      <c r="H247" s="70">
        <v>40000</v>
      </c>
      <c r="I247" s="71">
        <f>H247*18%</f>
        <v>7200</v>
      </c>
      <c r="J247" s="71">
        <f>H247*5%</f>
        <v>2000</v>
      </c>
      <c r="K247" s="71">
        <v>1000</v>
      </c>
      <c r="L247" s="71">
        <v>5000</v>
      </c>
      <c r="M247" s="71">
        <v>1600</v>
      </c>
      <c r="N247" s="71">
        <v>28</v>
      </c>
      <c r="O247" s="71">
        <f>(H247/30)*N247</f>
        <v>37333.333333333328</v>
      </c>
      <c r="P247" s="72">
        <v>2</v>
      </c>
      <c r="Q247" s="72">
        <f>N247*P247</f>
        <v>56</v>
      </c>
      <c r="R247" s="71">
        <f>(H247/30)/8</f>
        <v>166.66666666666666</v>
      </c>
      <c r="S247" s="71">
        <f>Q247*R247</f>
        <v>9333.3333333333321</v>
      </c>
      <c r="T247" s="73">
        <f>I247+J247+K247+L247+M247+O247+S247</f>
        <v>63466.666666666657</v>
      </c>
      <c r="U247" s="73">
        <v>200</v>
      </c>
      <c r="V247" s="73">
        <f>H247*12%</f>
        <v>4800</v>
      </c>
      <c r="W247" s="73">
        <v>0</v>
      </c>
      <c r="X247" s="73">
        <f>SUM(U247:W247)</f>
        <v>5000</v>
      </c>
      <c r="Y247" s="73">
        <f>T247-X247</f>
        <v>58466.666666666657</v>
      </c>
    </row>
    <row r="248" spans="1:25" x14ac:dyDescent="0.3">
      <c r="A248" s="65" t="s">
        <v>674</v>
      </c>
      <c r="B248" s="66" t="s">
        <v>673</v>
      </c>
      <c r="C248" s="66" t="s">
        <v>210</v>
      </c>
      <c r="D248" s="67">
        <v>54</v>
      </c>
      <c r="E248" s="68">
        <v>43837</v>
      </c>
      <c r="F248" s="69" t="s">
        <v>206</v>
      </c>
      <c r="G248" s="69" t="str">
        <f>B248&amp;"@gmail.com"</f>
        <v>Name 247@gmail.com</v>
      </c>
      <c r="H248" s="70">
        <v>32000</v>
      </c>
      <c r="I248" s="71">
        <f>H248*18%</f>
        <v>5760</v>
      </c>
      <c r="J248" s="71">
        <f>H248*5%</f>
        <v>1600</v>
      </c>
      <c r="K248" s="71">
        <v>1000</v>
      </c>
      <c r="L248" s="71">
        <v>5000</v>
      </c>
      <c r="M248" s="71">
        <v>1600</v>
      </c>
      <c r="N248" s="71">
        <v>30</v>
      </c>
      <c r="O248" s="71">
        <f>(H248/30)*N248</f>
        <v>32000.000000000004</v>
      </c>
      <c r="P248" s="72">
        <v>1</v>
      </c>
      <c r="Q248" s="72">
        <f>N248*P248</f>
        <v>30</v>
      </c>
      <c r="R248" s="71">
        <f>(H248/30)/8</f>
        <v>133.33333333333334</v>
      </c>
      <c r="S248" s="71">
        <f>Q248*R248</f>
        <v>4000.0000000000005</v>
      </c>
      <c r="T248" s="73">
        <f>I248+J248+K248+L248+M248+O248+S248</f>
        <v>50960</v>
      </c>
      <c r="U248" s="73">
        <v>200</v>
      </c>
      <c r="V248" s="73">
        <f>H248*12%</f>
        <v>3840</v>
      </c>
      <c r="W248" s="73">
        <v>5000</v>
      </c>
      <c r="X248" s="73">
        <f>SUM(U248:W248)</f>
        <v>9040</v>
      </c>
      <c r="Y248" s="73">
        <f>T248-X248</f>
        <v>41920</v>
      </c>
    </row>
    <row r="249" spans="1:25" x14ac:dyDescent="0.3">
      <c r="A249" s="65" t="s">
        <v>672</v>
      </c>
      <c r="B249" s="66" t="s">
        <v>671</v>
      </c>
      <c r="C249" s="66" t="s">
        <v>207</v>
      </c>
      <c r="D249" s="67">
        <v>34</v>
      </c>
      <c r="E249" s="68">
        <v>43838</v>
      </c>
      <c r="F249" s="69" t="s">
        <v>206</v>
      </c>
      <c r="G249" s="69" t="str">
        <f>B249&amp;"@gmail.com"</f>
        <v>Name 248@gmail.com</v>
      </c>
      <c r="H249" s="70">
        <v>28000</v>
      </c>
      <c r="I249" s="71">
        <f>H249*18%</f>
        <v>5040</v>
      </c>
      <c r="J249" s="71">
        <f>H249*5%</f>
        <v>1400</v>
      </c>
      <c r="K249" s="71">
        <v>1000</v>
      </c>
      <c r="L249" s="71">
        <v>5000</v>
      </c>
      <c r="M249" s="71">
        <v>1600</v>
      </c>
      <c r="N249" s="71">
        <v>29</v>
      </c>
      <c r="O249" s="71">
        <f>(H249/30)*N249</f>
        <v>27066.666666666668</v>
      </c>
      <c r="P249" s="72">
        <v>1</v>
      </c>
      <c r="Q249" s="72">
        <f>N249*P249</f>
        <v>29</v>
      </c>
      <c r="R249" s="71">
        <f>(H249/30)/8</f>
        <v>116.66666666666667</v>
      </c>
      <c r="S249" s="71">
        <f>Q249*R249</f>
        <v>3383.3333333333335</v>
      </c>
      <c r="T249" s="73">
        <f>I249+J249+K249+L249+M249+O249+S249</f>
        <v>44490.000000000007</v>
      </c>
      <c r="U249" s="73">
        <v>200</v>
      </c>
      <c r="V249" s="73">
        <f>H249*12%</f>
        <v>3360</v>
      </c>
      <c r="W249" s="73">
        <v>0</v>
      </c>
      <c r="X249" s="73">
        <f>SUM(U249:W249)</f>
        <v>3560</v>
      </c>
      <c r="Y249" s="73">
        <f>T249-X249</f>
        <v>40930.000000000007</v>
      </c>
    </row>
    <row r="250" spans="1:25" x14ac:dyDescent="0.3">
      <c r="A250" s="65" t="s">
        <v>670</v>
      </c>
      <c r="B250" s="66" t="s">
        <v>669</v>
      </c>
      <c r="C250" s="66" t="s">
        <v>214</v>
      </c>
      <c r="D250" s="67">
        <v>23</v>
      </c>
      <c r="E250" s="68">
        <v>43839</v>
      </c>
      <c r="F250" s="69" t="s">
        <v>213</v>
      </c>
      <c r="G250" s="69" t="str">
        <f>B250&amp;"@gmail.com"</f>
        <v>Name 249@gmail.com</v>
      </c>
      <c r="H250" s="70">
        <v>44000</v>
      </c>
      <c r="I250" s="71">
        <f>H250*18%</f>
        <v>7920</v>
      </c>
      <c r="J250" s="71">
        <f>H250*5%</f>
        <v>2200</v>
      </c>
      <c r="K250" s="71">
        <v>1000</v>
      </c>
      <c r="L250" s="71">
        <v>5000</v>
      </c>
      <c r="M250" s="71">
        <v>1600</v>
      </c>
      <c r="N250" s="71">
        <v>28</v>
      </c>
      <c r="O250" s="71">
        <f>(H250/30)*N250</f>
        <v>41066.666666666672</v>
      </c>
      <c r="P250" s="72">
        <v>1</v>
      </c>
      <c r="Q250" s="72">
        <f>N250*P250</f>
        <v>28</v>
      </c>
      <c r="R250" s="71">
        <f>(H250/30)/8</f>
        <v>183.33333333333334</v>
      </c>
      <c r="S250" s="71">
        <f>Q250*R250</f>
        <v>5133.3333333333339</v>
      </c>
      <c r="T250" s="73">
        <f>I250+J250+K250+L250+M250+O250+S250</f>
        <v>63920.000000000007</v>
      </c>
      <c r="U250" s="73">
        <v>200</v>
      </c>
      <c r="V250" s="73">
        <f>H250*12%</f>
        <v>5280</v>
      </c>
      <c r="W250" s="73">
        <v>0</v>
      </c>
      <c r="X250" s="73">
        <f>SUM(U250:W250)</f>
        <v>5480</v>
      </c>
      <c r="Y250" s="73">
        <f>T250-X250</f>
        <v>58440.000000000007</v>
      </c>
    </row>
    <row r="251" spans="1:25" x14ac:dyDescent="0.3">
      <c r="A251" s="65" t="s">
        <v>668</v>
      </c>
      <c r="B251" s="66" t="s">
        <v>667</v>
      </c>
      <c r="C251" s="66" t="s">
        <v>210</v>
      </c>
      <c r="D251" s="67">
        <v>34</v>
      </c>
      <c r="E251" s="68">
        <v>43840</v>
      </c>
      <c r="F251" s="69" t="s">
        <v>206</v>
      </c>
      <c r="G251" s="69" t="str">
        <f>B251&amp;"@gmail.com"</f>
        <v>Name 250@gmail.com</v>
      </c>
      <c r="H251" s="70">
        <v>25000</v>
      </c>
      <c r="I251" s="71">
        <f>H251*18%</f>
        <v>4500</v>
      </c>
      <c r="J251" s="71">
        <f>H251*5%</f>
        <v>1250</v>
      </c>
      <c r="K251" s="71">
        <v>1000</v>
      </c>
      <c r="L251" s="71">
        <v>0</v>
      </c>
      <c r="M251" s="71">
        <v>1600</v>
      </c>
      <c r="N251" s="71">
        <v>27</v>
      </c>
      <c r="O251" s="71">
        <f>(H251/30)*N251</f>
        <v>22500</v>
      </c>
      <c r="P251" s="72">
        <v>1</v>
      </c>
      <c r="Q251" s="72">
        <f>N251*P251</f>
        <v>27</v>
      </c>
      <c r="R251" s="71">
        <f>(H251/30)/8</f>
        <v>104.16666666666667</v>
      </c>
      <c r="S251" s="71">
        <f>Q251*R251</f>
        <v>2812.5</v>
      </c>
      <c r="T251" s="73">
        <f>I251+J251+K251+L251+M251+O251+S251</f>
        <v>33662.5</v>
      </c>
      <c r="U251" s="73">
        <v>200</v>
      </c>
      <c r="V251" s="73">
        <f>H251*12%</f>
        <v>3000</v>
      </c>
      <c r="W251" s="73">
        <v>0</v>
      </c>
      <c r="X251" s="73">
        <f>SUM(U251:W251)</f>
        <v>3200</v>
      </c>
      <c r="Y251" s="73">
        <f>T251-X251</f>
        <v>30462.5</v>
      </c>
    </row>
    <row r="252" spans="1:25" x14ac:dyDescent="0.3">
      <c r="A252" s="65" t="s">
        <v>666</v>
      </c>
      <c r="B252" s="66" t="s">
        <v>665</v>
      </c>
      <c r="C252" s="66" t="s">
        <v>214</v>
      </c>
      <c r="D252" s="67">
        <v>43</v>
      </c>
      <c r="E252" s="68">
        <v>43841</v>
      </c>
      <c r="F252" s="69" t="s">
        <v>206</v>
      </c>
      <c r="G252" s="69" t="str">
        <f>B252&amp;"@gmail.com"</f>
        <v>Name 251@gmail.com</v>
      </c>
      <c r="H252" s="70">
        <v>50000</v>
      </c>
      <c r="I252" s="71">
        <f>H252*18%</f>
        <v>9000</v>
      </c>
      <c r="J252" s="71">
        <f>H252*5%</f>
        <v>2500</v>
      </c>
      <c r="K252" s="71">
        <v>1000</v>
      </c>
      <c r="L252" s="71">
        <v>0</v>
      </c>
      <c r="M252" s="71">
        <v>1600</v>
      </c>
      <c r="N252" s="71">
        <v>27</v>
      </c>
      <c r="O252" s="71">
        <f>(H252/30)*N252</f>
        <v>45000</v>
      </c>
      <c r="P252" s="72">
        <v>3</v>
      </c>
      <c r="Q252" s="72">
        <f>N252*P252</f>
        <v>81</v>
      </c>
      <c r="R252" s="71">
        <f>(H252/30)/8</f>
        <v>208.33333333333334</v>
      </c>
      <c r="S252" s="71">
        <f>Q252*R252</f>
        <v>16875</v>
      </c>
      <c r="T252" s="73">
        <f>I252+J252+K252+L252+M252+O252+S252</f>
        <v>75975</v>
      </c>
      <c r="U252" s="73">
        <v>201</v>
      </c>
      <c r="V252" s="73">
        <f>H252*12%</f>
        <v>6000</v>
      </c>
      <c r="W252" s="73">
        <v>0</v>
      </c>
      <c r="X252" s="73">
        <f>SUM(U252:W252)</f>
        <v>6201</v>
      </c>
      <c r="Y252" s="73">
        <f>T252-X252</f>
        <v>69774</v>
      </c>
    </row>
    <row r="253" spans="1:25" x14ac:dyDescent="0.3">
      <c r="A253" s="65" t="s">
        <v>664</v>
      </c>
      <c r="B253" s="66" t="s">
        <v>663</v>
      </c>
      <c r="C253" s="66" t="s">
        <v>214</v>
      </c>
      <c r="D253" s="67">
        <v>34</v>
      </c>
      <c r="E253" s="68">
        <v>43842</v>
      </c>
      <c r="F253" s="69" t="s">
        <v>213</v>
      </c>
      <c r="G253" s="69" t="str">
        <f>B253&amp;"@gmail.com"</f>
        <v>Name 252@gmail.com</v>
      </c>
      <c r="H253" s="70">
        <v>70000</v>
      </c>
      <c r="I253" s="71">
        <f>H253*18%</f>
        <v>12600</v>
      </c>
      <c r="J253" s="71">
        <f>H253*5%</f>
        <v>3500</v>
      </c>
      <c r="K253" s="71">
        <v>1000</v>
      </c>
      <c r="L253" s="71">
        <v>0</v>
      </c>
      <c r="M253" s="71">
        <v>1600</v>
      </c>
      <c r="N253" s="71">
        <v>27</v>
      </c>
      <c r="O253" s="71">
        <f>(H253/30)*N253</f>
        <v>63000.000000000007</v>
      </c>
      <c r="P253" s="72">
        <v>1</v>
      </c>
      <c r="Q253" s="72">
        <f>N253*P253</f>
        <v>27</v>
      </c>
      <c r="R253" s="71">
        <f>(H253/30)/8</f>
        <v>291.66666666666669</v>
      </c>
      <c r="S253" s="71">
        <f>Q253*R253</f>
        <v>7875.0000000000009</v>
      </c>
      <c r="T253" s="73">
        <f>I253+J253+K253+L253+M253+O253+S253</f>
        <v>89575</v>
      </c>
      <c r="U253" s="73">
        <v>202</v>
      </c>
      <c r="V253" s="73">
        <f>H253*12%</f>
        <v>8400</v>
      </c>
      <c r="W253" s="73">
        <v>0</v>
      </c>
      <c r="X253" s="73">
        <f>SUM(U253:W253)</f>
        <v>8602</v>
      </c>
      <c r="Y253" s="73">
        <f>T253-X253</f>
        <v>80973</v>
      </c>
    </row>
    <row r="254" spans="1:25" x14ac:dyDescent="0.3">
      <c r="A254" s="65" t="s">
        <v>662</v>
      </c>
      <c r="B254" s="66" t="s">
        <v>661</v>
      </c>
      <c r="C254" s="66" t="s">
        <v>214</v>
      </c>
      <c r="D254" s="67">
        <v>43</v>
      </c>
      <c r="E254" s="68">
        <v>43843</v>
      </c>
      <c r="F254" s="69" t="s">
        <v>213</v>
      </c>
      <c r="G254" s="69" t="str">
        <f>B254&amp;"@gmail.com"</f>
        <v>Name 253@gmail.com</v>
      </c>
      <c r="H254" s="70">
        <v>34000</v>
      </c>
      <c r="I254" s="71">
        <f>H254*18%</f>
        <v>6120</v>
      </c>
      <c r="J254" s="71">
        <f>H254*5%</f>
        <v>1700</v>
      </c>
      <c r="K254" s="71">
        <v>1000</v>
      </c>
      <c r="L254" s="71">
        <v>2000</v>
      </c>
      <c r="M254" s="71">
        <v>1600</v>
      </c>
      <c r="N254" s="71">
        <v>30</v>
      </c>
      <c r="O254" s="71">
        <f>(H254/30)*N254</f>
        <v>34000</v>
      </c>
      <c r="P254" s="72">
        <v>2</v>
      </c>
      <c r="Q254" s="72">
        <f>N254*P254</f>
        <v>60</v>
      </c>
      <c r="R254" s="71">
        <f>(H254/30)/8</f>
        <v>141.66666666666666</v>
      </c>
      <c r="S254" s="71">
        <f>Q254*R254</f>
        <v>8500</v>
      </c>
      <c r="T254" s="73">
        <f>I254+J254+K254+L254+M254+O254+S254</f>
        <v>54920</v>
      </c>
      <c r="U254" s="73">
        <v>203</v>
      </c>
      <c r="V254" s="73">
        <f>H254*12%</f>
        <v>4080</v>
      </c>
      <c r="W254" s="73">
        <v>0</v>
      </c>
      <c r="X254" s="73">
        <f>SUM(U254:W254)</f>
        <v>4283</v>
      </c>
      <c r="Y254" s="73">
        <f>T254-X254</f>
        <v>50637</v>
      </c>
    </row>
    <row r="255" spans="1:25" x14ac:dyDescent="0.3">
      <c r="A255" s="65" t="s">
        <v>660</v>
      </c>
      <c r="B255" s="66" t="s">
        <v>659</v>
      </c>
      <c r="C255" s="66" t="s">
        <v>214</v>
      </c>
      <c r="D255" s="67">
        <v>23</v>
      </c>
      <c r="E255" s="68">
        <v>43844</v>
      </c>
      <c r="F255" s="69" t="s">
        <v>213</v>
      </c>
      <c r="G255" s="69" t="str">
        <f>B255&amp;"@gmail.com"</f>
        <v>Name 254@gmail.com</v>
      </c>
      <c r="H255" s="70">
        <v>45000</v>
      </c>
      <c r="I255" s="71">
        <f>H255*18%</f>
        <v>8100</v>
      </c>
      <c r="J255" s="71">
        <f>H255*5%</f>
        <v>2250</v>
      </c>
      <c r="K255" s="71">
        <v>1000</v>
      </c>
      <c r="L255" s="71">
        <v>5000</v>
      </c>
      <c r="M255" s="71">
        <v>1600</v>
      </c>
      <c r="N255" s="71">
        <v>30</v>
      </c>
      <c r="O255" s="71">
        <f>(H255/30)*N255</f>
        <v>45000</v>
      </c>
      <c r="P255" s="72">
        <v>0</v>
      </c>
      <c r="Q255" s="72">
        <f>N255*P255</f>
        <v>0</v>
      </c>
      <c r="R255" s="71">
        <f>(H255/30)/8</f>
        <v>187.5</v>
      </c>
      <c r="S255" s="71">
        <f>Q255*R255</f>
        <v>0</v>
      </c>
      <c r="T255" s="73">
        <f>I255+J255+K255+L255+M255+O255+S255</f>
        <v>62950</v>
      </c>
      <c r="U255" s="73">
        <v>204</v>
      </c>
      <c r="V255" s="73">
        <f>H255*12%</f>
        <v>5400</v>
      </c>
      <c r="W255" s="73">
        <v>4000</v>
      </c>
      <c r="X255" s="73">
        <f>SUM(U255:W255)</f>
        <v>9604</v>
      </c>
      <c r="Y255" s="73">
        <f>T255-X255</f>
        <v>53346</v>
      </c>
    </row>
    <row r="256" spans="1:25" x14ac:dyDescent="0.3">
      <c r="A256" s="65" t="s">
        <v>658</v>
      </c>
      <c r="B256" s="66" t="s">
        <v>657</v>
      </c>
      <c r="C256" s="66" t="s">
        <v>214</v>
      </c>
      <c r="D256" s="67">
        <v>34</v>
      </c>
      <c r="E256" s="68">
        <v>43845</v>
      </c>
      <c r="F256" s="69" t="s">
        <v>213</v>
      </c>
      <c r="G256" s="69" t="str">
        <f>B256&amp;"@gmail.com"</f>
        <v>Name 255@gmail.com</v>
      </c>
      <c r="H256" s="70">
        <v>55000</v>
      </c>
      <c r="I256" s="71">
        <f>H256*18%</f>
        <v>9900</v>
      </c>
      <c r="J256" s="71">
        <f>H256*5%</f>
        <v>2750</v>
      </c>
      <c r="K256" s="71">
        <v>1000</v>
      </c>
      <c r="L256" s="71">
        <v>0</v>
      </c>
      <c r="M256" s="71">
        <v>1600</v>
      </c>
      <c r="N256" s="71">
        <v>30</v>
      </c>
      <c r="O256" s="71">
        <f>(H256/30)*N256</f>
        <v>55000</v>
      </c>
      <c r="P256" s="72">
        <v>1</v>
      </c>
      <c r="Q256" s="72">
        <f>N256*P256</f>
        <v>30</v>
      </c>
      <c r="R256" s="71">
        <f>(H256/30)/8</f>
        <v>229.16666666666666</v>
      </c>
      <c r="S256" s="71">
        <f>Q256*R256</f>
        <v>6875</v>
      </c>
      <c r="T256" s="73">
        <f>I256+J256+K256+L256+M256+O256+S256</f>
        <v>77125</v>
      </c>
      <c r="U256" s="73">
        <v>205</v>
      </c>
      <c r="V256" s="73">
        <f>H256*12%</f>
        <v>6600</v>
      </c>
      <c r="W256" s="73">
        <v>0</v>
      </c>
      <c r="X256" s="73">
        <f>SUM(U256:W256)</f>
        <v>6805</v>
      </c>
      <c r="Y256" s="73">
        <f>T256-X256</f>
        <v>70320</v>
      </c>
    </row>
    <row r="257" spans="1:25" x14ac:dyDescent="0.3">
      <c r="A257" s="65" t="s">
        <v>656</v>
      </c>
      <c r="B257" s="66" t="s">
        <v>655</v>
      </c>
      <c r="C257" s="66" t="s">
        <v>210</v>
      </c>
      <c r="D257" s="67">
        <v>23</v>
      </c>
      <c r="E257" s="68">
        <v>43846</v>
      </c>
      <c r="F257" s="69" t="s">
        <v>206</v>
      </c>
      <c r="G257" s="69" t="str">
        <f>B257&amp;"@gmail.com"</f>
        <v>Name 256@gmail.com</v>
      </c>
      <c r="H257" s="70">
        <v>43000</v>
      </c>
      <c r="I257" s="71">
        <f>H257*18%</f>
        <v>7740</v>
      </c>
      <c r="J257" s="71">
        <f>H257*5%</f>
        <v>2150</v>
      </c>
      <c r="K257" s="71">
        <v>1000</v>
      </c>
      <c r="L257" s="71">
        <v>0</v>
      </c>
      <c r="M257" s="71">
        <v>1600</v>
      </c>
      <c r="N257" s="71">
        <v>27</v>
      </c>
      <c r="O257" s="71">
        <f>(H257/30)*N257</f>
        <v>38700</v>
      </c>
      <c r="P257" s="72">
        <v>1</v>
      </c>
      <c r="Q257" s="72">
        <f>N257*P257</f>
        <v>27</v>
      </c>
      <c r="R257" s="71">
        <f>(H257/30)/8</f>
        <v>179.16666666666666</v>
      </c>
      <c r="S257" s="71">
        <f>Q257*R257</f>
        <v>4837.5</v>
      </c>
      <c r="T257" s="73">
        <f>I257+J257+K257+L257+M257+O257+S257</f>
        <v>56027.5</v>
      </c>
      <c r="U257" s="73">
        <v>200</v>
      </c>
      <c r="V257" s="73">
        <f>H257*12%</f>
        <v>5160</v>
      </c>
      <c r="W257" s="73">
        <v>0</v>
      </c>
      <c r="X257" s="73">
        <f>SUM(U257:W257)</f>
        <v>5360</v>
      </c>
      <c r="Y257" s="73">
        <f>T257-X257</f>
        <v>50667.5</v>
      </c>
    </row>
    <row r="258" spans="1:25" x14ac:dyDescent="0.3">
      <c r="A258" s="65" t="s">
        <v>654</v>
      </c>
      <c r="B258" s="66" t="s">
        <v>653</v>
      </c>
      <c r="C258" s="66" t="s">
        <v>207</v>
      </c>
      <c r="D258" s="67">
        <v>34</v>
      </c>
      <c r="E258" s="68">
        <v>43847</v>
      </c>
      <c r="F258" s="69" t="s">
        <v>206</v>
      </c>
      <c r="G258" s="69" t="str">
        <f>B258&amp;"@gmail.com"</f>
        <v>Name 257@gmail.com</v>
      </c>
      <c r="H258" s="70">
        <v>25000</v>
      </c>
      <c r="I258" s="71">
        <f>H258*18%</f>
        <v>4500</v>
      </c>
      <c r="J258" s="71">
        <f>H258*5%</f>
        <v>1250</v>
      </c>
      <c r="K258" s="71">
        <v>1000</v>
      </c>
      <c r="L258" s="71">
        <v>0</v>
      </c>
      <c r="M258" s="71">
        <v>1600</v>
      </c>
      <c r="N258" s="71">
        <v>30</v>
      </c>
      <c r="O258" s="71">
        <f>(H258/30)*N258</f>
        <v>25000</v>
      </c>
      <c r="P258" s="72">
        <v>0</v>
      </c>
      <c r="Q258" s="72">
        <f>N258*P258</f>
        <v>0</v>
      </c>
      <c r="R258" s="71">
        <f>(H258/30)/8</f>
        <v>104.16666666666667</v>
      </c>
      <c r="S258" s="71">
        <f>Q258*R258</f>
        <v>0</v>
      </c>
      <c r="T258" s="73">
        <f>I258+J258+K258+L258+M258+O258+S258</f>
        <v>33350</v>
      </c>
      <c r="U258" s="73">
        <v>200</v>
      </c>
      <c r="V258" s="73">
        <f>H258*12%</f>
        <v>3000</v>
      </c>
      <c r="W258" s="73">
        <v>0</v>
      </c>
      <c r="X258" s="73">
        <f>SUM(U258:W258)</f>
        <v>3200</v>
      </c>
      <c r="Y258" s="73">
        <f>T258-X258</f>
        <v>30150</v>
      </c>
    </row>
    <row r="259" spans="1:25" x14ac:dyDescent="0.3">
      <c r="A259" s="65" t="s">
        <v>652</v>
      </c>
      <c r="B259" s="66" t="s">
        <v>651</v>
      </c>
      <c r="C259" s="66" t="s">
        <v>214</v>
      </c>
      <c r="D259" s="67">
        <v>23</v>
      </c>
      <c r="E259" s="68">
        <v>43848</v>
      </c>
      <c r="F259" s="69" t="s">
        <v>206</v>
      </c>
      <c r="G259" s="69" t="str">
        <f>B259&amp;"@gmail.com"</f>
        <v>Name 258@gmail.com</v>
      </c>
      <c r="H259" s="70">
        <v>28000</v>
      </c>
      <c r="I259" s="71">
        <f>H259*18%</f>
        <v>5040</v>
      </c>
      <c r="J259" s="71">
        <f>H259*5%</f>
        <v>1400</v>
      </c>
      <c r="K259" s="71">
        <v>1000</v>
      </c>
      <c r="L259" s="71">
        <v>0</v>
      </c>
      <c r="M259" s="71">
        <v>1600</v>
      </c>
      <c r="N259" s="71">
        <v>20</v>
      </c>
      <c r="O259" s="71">
        <f>(H259/30)*N259</f>
        <v>18666.666666666668</v>
      </c>
      <c r="P259" s="72">
        <v>0</v>
      </c>
      <c r="Q259" s="72">
        <f>N259*P259</f>
        <v>0</v>
      </c>
      <c r="R259" s="71">
        <f>(H259/30)/8</f>
        <v>116.66666666666667</v>
      </c>
      <c r="S259" s="71">
        <f>Q259*R259</f>
        <v>0</v>
      </c>
      <c r="T259" s="73">
        <f>I259+J259+K259+L259+M259+O259+S259</f>
        <v>27706.666666666668</v>
      </c>
      <c r="U259" s="73">
        <v>200</v>
      </c>
      <c r="V259" s="73">
        <f>H259*12%</f>
        <v>3360</v>
      </c>
      <c r="W259" s="73">
        <v>0</v>
      </c>
      <c r="X259" s="73">
        <f>SUM(U259:W259)</f>
        <v>3560</v>
      </c>
      <c r="Y259" s="73">
        <f>T259-X259</f>
        <v>24146.666666666668</v>
      </c>
    </row>
    <row r="260" spans="1:25" x14ac:dyDescent="0.3">
      <c r="A260" s="65" t="s">
        <v>650</v>
      </c>
      <c r="B260" s="66" t="s">
        <v>649</v>
      </c>
      <c r="C260" s="66" t="s">
        <v>210</v>
      </c>
      <c r="D260" s="67">
        <v>34</v>
      </c>
      <c r="E260" s="68">
        <v>43849</v>
      </c>
      <c r="F260" s="69" t="s">
        <v>206</v>
      </c>
      <c r="G260" s="69" t="str">
        <f>B260&amp;"@gmail.com"</f>
        <v>Name 259@gmail.com</v>
      </c>
      <c r="H260" s="70">
        <v>40000</v>
      </c>
      <c r="I260" s="71">
        <f>H260*18%</f>
        <v>7200</v>
      </c>
      <c r="J260" s="71">
        <f>H260*5%</f>
        <v>2000</v>
      </c>
      <c r="K260" s="71">
        <v>1000</v>
      </c>
      <c r="L260" s="71">
        <v>0</v>
      </c>
      <c r="M260" s="71">
        <v>1600</v>
      </c>
      <c r="N260" s="71">
        <v>28</v>
      </c>
      <c r="O260" s="71">
        <f>(H260/30)*N260</f>
        <v>37333.333333333328</v>
      </c>
      <c r="P260" s="72">
        <v>2</v>
      </c>
      <c r="Q260" s="72">
        <f>N260*P260</f>
        <v>56</v>
      </c>
      <c r="R260" s="71">
        <f>(H260/30)/8</f>
        <v>166.66666666666666</v>
      </c>
      <c r="S260" s="71">
        <f>Q260*R260</f>
        <v>9333.3333333333321</v>
      </c>
      <c r="T260" s="73">
        <f>I260+J260+K260+L260+M260+O260+S260</f>
        <v>58466.666666666657</v>
      </c>
      <c r="U260" s="73">
        <v>200</v>
      </c>
      <c r="V260" s="73">
        <f>H260*12%</f>
        <v>4800</v>
      </c>
      <c r="W260" s="73">
        <v>0</v>
      </c>
      <c r="X260" s="73">
        <f>SUM(U260:W260)</f>
        <v>5000</v>
      </c>
      <c r="Y260" s="73">
        <f>T260-X260</f>
        <v>53466.666666666657</v>
      </c>
    </row>
    <row r="261" spans="1:25" x14ac:dyDescent="0.3">
      <c r="A261" s="65" t="s">
        <v>648</v>
      </c>
      <c r="B261" s="66" t="s">
        <v>647</v>
      </c>
      <c r="C261" s="66" t="s">
        <v>210</v>
      </c>
      <c r="D261" s="67">
        <v>45</v>
      </c>
      <c r="E261" s="68">
        <v>43850</v>
      </c>
      <c r="F261" s="69" t="s">
        <v>206</v>
      </c>
      <c r="G261" s="69" t="str">
        <f>B261&amp;"@gmail.com"</f>
        <v>Name 260@gmail.com</v>
      </c>
      <c r="H261" s="70">
        <v>32000</v>
      </c>
      <c r="I261" s="71">
        <f>H261*18%</f>
        <v>5760</v>
      </c>
      <c r="J261" s="71">
        <f>H261*5%</f>
        <v>1600</v>
      </c>
      <c r="K261" s="71">
        <v>1000</v>
      </c>
      <c r="L261" s="71">
        <v>0</v>
      </c>
      <c r="M261" s="71">
        <v>1600</v>
      </c>
      <c r="N261" s="71">
        <v>30</v>
      </c>
      <c r="O261" s="71">
        <f>(H261/30)*N261</f>
        <v>32000.000000000004</v>
      </c>
      <c r="P261" s="72">
        <v>1</v>
      </c>
      <c r="Q261" s="72">
        <f>N261*P261</f>
        <v>30</v>
      </c>
      <c r="R261" s="71">
        <f>(H261/30)/8</f>
        <v>133.33333333333334</v>
      </c>
      <c r="S261" s="71">
        <f>Q261*R261</f>
        <v>4000.0000000000005</v>
      </c>
      <c r="T261" s="73">
        <f>I261+J261+K261+L261+M261+O261+S261</f>
        <v>45960</v>
      </c>
      <c r="U261" s="73">
        <v>200</v>
      </c>
      <c r="V261" s="73">
        <f>H261*12%</f>
        <v>3840</v>
      </c>
      <c r="W261" s="73">
        <v>5000</v>
      </c>
      <c r="X261" s="73">
        <f>SUM(U261:W261)</f>
        <v>9040</v>
      </c>
      <c r="Y261" s="73">
        <f>T261-X261</f>
        <v>36920</v>
      </c>
    </row>
    <row r="262" spans="1:25" x14ac:dyDescent="0.3">
      <c r="A262" s="65" t="s">
        <v>646</v>
      </c>
      <c r="B262" s="66" t="s">
        <v>645</v>
      </c>
      <c r="C262" s="66" t="s">
        <v>207</v>
      </c>
      <c r="D262" s="67">
        <v>54</v>
      </c>
      <c r="E262" s="68">
        <v>43851</v>
      </c>
      <c r="F262" s="69" t="s">
        <v>206</v>
      </c>
      <c r="G262" s="69" t="str">
        <f>B262&amp;"@gmail.com"</f>
        <v>Name 261@gmail.com</v>
      </c>
      <c r="H262" s="70">
        <v>28000</v>
      </c>
      <c r="I262" s="71">
        <f>H262*18%</f>
        <v>5040</v>
      </c>
      <c r="J262" s="71">
        <f>H262*5%</f>
        <v>1400</v>
      </c>
      <c r="K262" s="71">
        <v>1000</v>
      </c>
      <c r="L262" s="71">
        <v>0</v>
      </c>
      <c r="M262" s="71">
        <v>1600</v>
      </c>
      <c r="N262" s="71">
        <v>29</v>
      </c>
      <c r="O262" s="71">
        <f>(H262/30)*N262</f>
        <v>27066.666666666668</v>
      </c>
      <c r="P262" s="72">
        <v>1</v>
      </c>
      <c r="Q262" s="72">
        <f>N262*P262</f>
        <v>29</v>
      </c>
      <c r="R262" s="71">
        <f>(H262/30)/8</f>
        <v>116.66666666666667</v>
      </c>
      <c r="S262" s="71">
        <f>Q262*R262</f>
        <v>3383.3333333333335</v>
      </c>
      <c r="T262" s="73">
        <f>I262+J262+K262+L262+M262+O262+S262</f>
        <v>39490.000000000007</v>
      </c>
      <c r="U262" s="73">
        <v>200</v>
      </c>
      <c r="V262" s="73">
        <f>H262*12%</f>
        <v>3360</v>
      </c>
      <c r="W262" s="73">
        <v>0</v>
      </c>
      <c r="X262" s="73">
        <f>SUM(U262:W262)</f>
        <v>3560</v>
      </c>
      <c r="Y262" s="73">
        <f>T262-X262</f>
        <v>35930.000000000007</v>
      </c>
    </row>
    <row r="263" spans="1:25" x14ac:dyDescent="0.3">
      <c r="A263" s="65" t="s">
        <v>644</v>
      </c>
      <c r="B263" s="66" t="s">
        <v>643</v>
      </c>
      <c r="C263" s="66" t="s">
        <v>214</v>
      </c>
      <c r="D263" s="67">
        <v>56</v>
      </c>
      <c r="E263" s="68">
        <v>43852</v>
      </c>
      <c r="F263" s="69" t="s">
        <v>213</v>
      </c>
      <c r="G263" s="69" t="str">
        <f>B263&amp;"@gmail.com"</f>
        <v>Name 262@gmail.com</v>
      </c>
      <c r="H263" s="70">
        <v>44000</v>
      </c>
      <c r="I263" s="71">
        <f>H263*18%</f>
        <v>7920</v>
      </c>
      <c r="J263" s="71">
        <f>H263*5%</f>
        <v>2200</v>
      </c>
      <c r="K263" s="71">
        <v>1000</v>
      </c>
      <c r="L263" s="71">
        <v>0</v>
      </c>
      <c r="M263" s="71">
        <v>1600</v>
      </c>
      <c r="N263" s="71">
        <v>28</v>
      </c>
      <c r="O263" s="71">
        <f>(H263/30)*N263</f>
        <v>41066.666666666672</v>
      </c>
      <c r="P263" s="72">
        <v>1</v>
      </c>
      <c r="Q263" s="72">
        <f>N263*P263</f>
        <v>28</v>
      </c>
      <c r="R263" s="71">
        <f>(H263/30)/8</f>
        <v>183.33333333333334</v>
      </c>
      <c r="S263" s="71">
        <f>Q263*R263</f>
        <v>5133.3333333333339</v>
      </c>
      <c r="T263" s="73">
        <f>I263+J263+K263+L263+M263+O263+S263</f>
        <v>58920.000000000007</v>
      </c>
      <c r="U263" s="73">
        <v>200</v>
      </c>
      <c r="V263" s="73">
        <f>H263*12%</f>
        <v>5280</v>
      </c>
      <c r="W263" s="73">
        <v>0</v>
      </c>
      <c r="X263" s="73">
        <f>SUM(U263:W263)</f>
        <v>5480</v>
      </c>
      <c r="Y263" s="73">
        <f>T263-X263</f>
        <v>53440.000000000007</v>
      </c>
    </row>
    <row r="264" spans="1:25" x14ac:dyDescent="0.3">
      <c r="A264" s="65" t="s">
        <v>642</v>
      </c>
      <c r="B264" s="66" t="s">
        <v>641</v>
      </c>
      <c r="C264" s="66" t="s">
        <v>210</v>
      </c>
      <c r="D264" s="67">
        <v>54</v>
      </c>
      <c r="E264" s="68">
        <v>43853</v>
      </c>
      <c r="F264" s="69" t="s">
        <v>206</v>
      </c>
      <c r="G264" s="69" t="str">
        <f>B264&amp;"@gmail.com"</f>
        <v>Name 263@gmail.com</v>
      </c>
      <c r="H264" s="70">
        <v>25000</v>
      </c>
      <c r="I264" s="71">
        <f>H264*18%</f>
        <v>4500</v>
      </c>
      <c r="J264" s="71">
        <f>H264*5%</f>
        <v>1250</v>
      </c>
      <c r="K264" s="71">
        <v>1000</v>
      </c>
      <c r="L264" s="71">
        <v>0</v>
      </c>
      <c r="M264" s="71">
        <v>1600</v>
      </c>
      <c r="N264" s="71">
        <v>27</v>
      </c>
      <c r="O264" s="71">
        <f>(H264/30)*N264</f>
        <v>22500</v>
      </c>
      <c r="P264" s="72">
        <v>1</v>
      </c>
      <c r="Q264" s="72">
        <f>N264*P264</f>
        <v>27</v>
      </c>
      <c r="R264" s="71">
        <f>(H264/30)/8</f>
        <v>104.16666666666667</v>
      </c>
      <c r="S264" s="71">
        <f>Q264*R264</f>
        <v>2812.5</v>
      </c>
      <c r="T264" s="73">
        <f>I264+J264+K264+L264+M264+O264+S264</f>
        <v>33662.5</v>
      </c>
      <c r="U264" s="73">
        <v>200</v>
      </c>
      <c r="V264" s="73">
        <f>H264*12%</f>
        <v>3000</v>
      </c>
      <c r="W264" s="73">
        <v>0</v>
      </c>
      <c r="X264" s="73">
        <f>SUM(U264:W264)</f>
        <v>3200</v>
      </c>
      <c r="Y264" s="73">
        <f>T264-X264</f>
        <v>30462.5</v>
      </c>
    </row>
    <row r="265" spans="1:25" x14ac:dyDescent="0.3">
      <c r="A265" s="65" t="s">
        <v>640</v>
      </c>
      <c r="B265" s="66" t="s">
        <v>639</v>
      </c>
      <c r="C265" s="66" t="s">
        <v>214</v>
      </c>
      <c r="D265" s="67">
        <v>34</v>
      </c>
      <c r="E265" s="68">
        <v>43854</v>
      </c>
      <c r="F265" s="69" t="s">
        <v>206</v>
      </c>
      <c r="G265" s="69" t="str">
        <f>B265&amp;"@gmail.com"</f>
        <v>Name 264@gmail.com</v>
      </c>
      <c r="H265" s="70">
        <v>50000</v>
      </c>
      <c r="I265" s="71">
        <f>H265*18%</f>
        <v>9000</v>
      </c>
      <c r="J265" s="71">
        <f>H265*5%</f>
        <v>2500</v>
      </c>
      <c r="K265" s="71">
        <v>1000</v>
      </c>
      <c r="L265" s="71">
        <v>0</v>
      </c>
      <c r="M265" s="71">
        <v>1600</v>
      </c>
      <c r="N265" s="71">
        <v>27</v>
      </c>
      <c r="O265" s="71">
        <f>(H265/30)*N265</f>
        <v>45000</v>
      </c>
      <c r="P265" s="72">
        <v>3</v>
      </c>
      <c r="Q265" s="72">
        <f>N265*P265</f>
        <v>81</v>
      </c>
      <c r="R265" s="71">
        <f>(H265/30)/8</f>
        <v>208.33333333333334</v>
      </c>
      <c r="S265" s="71">
        <f>Q265*R265</f>
        <v>16875</v>
      </c>
      <c r="T265" s="73">
        <f>I265+J265+K265+L265+M265+O265+S265</f>
        <v>75975</v>
      </c>
      <c r="U265" s="73">
        <v>201</v>
      </c>
      <c r="V265" s="73">
        <f>H265*12%</f>
        <v>6000</v>
      </c>
      <c r="W265" s="73">
        <v>0</v>
      </c>
      <c r="X265" s="73">
        <f>SUM(U265:W265)</f>
        <v>6201</v>
      </c>
      <c r="Y265" s="73">
        <f>T265-X265</f>
        <v>69774</v>
      </c>
    </row>
    <row r="266" spans="1:25" x14ac:dyDescent="0.3">
      <c r="A266" s="65" t="s">
        <v>638</v>
      </c>
      <c r="B266" s="66" t="s">
        <v>637</v>
      </c>
      <c r="C266" s="66" t="s">
        <v>214</v>
      </c>
      <c r="D266" s="67">
        <v>23</v>
      </c>
      <c r="E266" s="68">
        <v>43831</v>
      </c>
      <c r="F266" s="69" t="s">
        <v>213</v>
      </c>
      <c r="G266" s="69" t="str">
        <f>B266&amp;"@gmail.com"</f>
        <v>Name 265@gmail.com</v>
      </c>
      <c r="H266" s="70">
        <v>70000</v>
      </c>
      <c r="I266" s="71">
        <f>H266*18%</f>
        <v>12600</v>
      </c>
      <c r="J266" s="71">
        <f>H266*5%</f>
        <v>3500</v>
      </c>
      <c r="K266" s="71">
        <v>1000</v>
      </c>
      <c r="L266" s="71">
        <v>0</v>
      </c>
      <c r="M266" s="71">
        <v>1600</v>
      </c>
      <c r="N266" s="71">
        <v>27</v>
      </c>
      <c r="O266" s="71">
        <f>(H266/30)*N266</f>
        <v>63000.000000000007</v>
      </c>
      <c r="P266" s="72">
        <v>1</v>
      </c>
      <c r="Q266" s="72">
        <f>N266*P266</f>
        <v>27</v>
      </c>
      <c r="R266" s="71">
        <f>(H266/30)/8</f>
        <v>291.66666666666669</v>
      </c>
      <c r="S266" s="71">
        <f>Q266*R266</f>
        <v>7875.0000000000009</v>
      </c>
      <c r="T266" s="73">
        <f>I266+J266+K266+L266+M266+O266+S266</f>
        <v>89575</v>
      </c>
      <c r="U266" s="73">
        <v>202</v>
      </c>
      <c r="V266" s="73">
        <f>H266*12%</f>
        <v>8400</v>
      </c>
      <c r="W266" s="73">
        <v>0</v>
      </c>
      <c r="X266" s="73">
        <f>SUM(U266:W266)</f>
        <v>8602</v>
      </c>
      <c r="Y266" s="73">
        <f>T266-X266</f>
        <v>80973</v>
      </c>
    </row>
    <row r="267" spans="1:25" x14ac:dyDescent="0.3">
      <c r="A267" s="65" t="s">
        <v>636</v>
      </c>
      <c r="B267" s="66" t="s">
        <v>635</v>
      </c>
      <c r="C267" s="66" t="s">
        <v>214</v>
      </c>
      <c r="D267" s="67">
        <v>34</v>
      </c>
      <c r="E267" s="68">
        <v>43832</v>
      </c>
      <c r="F267" s="69" t="s">
        <v>213</v>
      </c>
      <c r="G267" s="69" t="str">
        <f>B267&amp;"@gmail.com"</f>
        <v>Name 266@gmail.com</v>
      </c>
      <c r="H267" s="70">
        <v>34000</v>
      </c>
      <c r="I267" s="71">
        <f>H267*18%</f>
        <v>6120</v>
      </c>
      <c r="J267" s="71">
        <f>H267*5%</f>
        <v>1700</v>
      </c>
      <c r="K267" s="71">
        <v>1000</v>
      </c>
      <c r="L267" s="71">
        <v>2000</v>
      </c>
      <c r="M267" s="71">
        <v>1600</v>
      </c>
      <c r="N267" s="71">
        <v>30</v>
      </c>
      <c r="O267" s="71">
        <f>(H267/30)*N267</f>
        <v>34000</v>
      </c>
      <c r="P267" s="72">
        <v>2</v>
      </c>
      <c r="Q267" s="72">
        <f>N267*P267</f>
        <v>60</v>
      </c>
      <c r="R267" s="71">
        <f>(H267/30)/8</f>
        <v>141.66666666666666</v>
      </c>
      <c r="S267" s="71">
        <f>Q267*R267</f>
        <v>8500</v>
      </c>
      <c r="T267" s="73">
        <f>I267+J267+K267+L267+M267+O267+S267</f>
        <v>54920</v>
      </c>
      <c r="U267" s="73">
        <v>203</v>
      </c>
      <c r="V267" s="73">
        <f>H267*12%</f>
        <v>4080</v>
      </c>
      <c r="W267" s="73">
        <v>0</v>
      </c>
      <c r="X267" s="73">
        <f>SUM(U267:W267)</f>
        <v>4283</v>
      </c>
      <c r="Y267" s="73">
        <f>T267-X267</f>
        <v>50637</v>
      </c>
    </row>
    <row r="268" spans="1:25" x14ac:dyDescent="0.3">
      <c r="A268" s="65" t="s">
        <v>634</v>
      </c>
      <c r="B268" s="66" t="s">
        <v>633</v>
      </c>
      <c r="C268" s="66" t="s">
        <v>214</v>
      </c>
      <c r="D268" s="67">
        <v>43</v>
      </c>
      <c r="E268" s="68">
        <v>43833</v>
      </c>
      <c r="F268" s="69" t="s">
        <v>213</v>
      </c>
      <c r="G268" s="69" t="str">
        <f>B268&amp;"@gmail.com"</f>
        <v>Name 267@gmail.com</v>
      </c>
      <c r="H268" s="70">
        <v>45000</v>
      </c>
      <c r="I268" s="71">
        <f>H268*18%</f>
        <v>8100</v>
      </c>
      <c r="J268" s="71">
        <f>H268*5%</f>
        <v>2250</v>
      </c>
      <c r="K268" s="71">
        <v>1000</v>
      </c>
      <c r="L268" s="71">
        <v>5000</v>
      </c>
      <c r="M268" s="71">
        <v>1600</v>
      </c>
      <c r="N268" s="71">
        <v>30</v>
      </c>
      <c r="O268" s="71">
        <f>(H268/30)*N268</f>
        <v>45000</v>
      </c>
      <c r="P268" s="72">
        <v>0</v>
      </c>
      <c r="Q268" s="72">
        <f>N268*P268</f>
        <v>0</v>
      </c>
      <c r="R268" s="71">
        <f>(H268/30)/8</f>
        <v>187.5</v>
      </c>
      <c r="S268" s="71">
        <f>Q268*R268</f>
        <v>0</v>
      </c>
      <c r="T268" s="73">
        <f>I268+J268+K268+L268+M268+O268+S268</f>
        <v>62950</v>
      </c>
      <c r="U268" s="73">
        <v>204</v>
      </c>
      <c r="V268" s="73">
        <f>H268*12%</f>
        <v>5400</v>
      </c>
      <c r="W268" s="73">
        <v>4000</v>
      </c>
      <c r="X268" s="73">
        <f>SUM(U268:W268)</f>
        <v>9604</v>
      </c>
      <c r="Y268" s="73">
        <f>T268-X268</f>
        <v>53346</v>
      </c>
    </row>
    <row r="269" spans="1:25" x14ac:dyDescent="0.3">
      <c r="A269" s="65" t="s">
        <v>632</v>
      </c>
      <c r="B269" s="66" t="s">
        <v>631</v>
      </c>
      <c r="C269" s="66" t="s">
        <v>214</v>
      </c>
      <c r="D269" s="67">
        <v>34</v>
      </c>
      <c r="E269" s="68">
        <v>43834</v>
      </c>
      <c r="F269" s="69" t="s">
        <v>213</v>
      </c>
      <c r="G269" s="69" t="str">
        <f>B269&amp;"@gmail.com"</f>
        <v>Name 268@gmail.com</v>
      </c>
      <c r="H269" s="70">
        <v>55000</v>
      </c>
      <c r="I269" s="71">
        <f>H269*18%</f>
        <v>9900</v>
      </c>
      <c r="J269" s="71">
        <f>H269*5%</f>
        <v>2750</v>
      </c>
      <c r="K269" s="71">
        <v>1000</v>
      </c>
      <c r="L269" s="71">
        <v>5000</v>
      </c>
      <c r="M269" s="71">
        <v>1600</v>
      </c>
      <c r="N269" s="71">
        <v>30</v>
      </c>
      <c r="O269" s="71">
        <f>(H269/30)*N269</f>
        <v>55000</v>
      </c>
      <c r="P269" s="72">
        <v>1</v>
      </c>
      <c r="Q269" s="72">
        <f>N269*P269</f>
        <v>30</v>
      </c>
      <c r="R269" s="71">
        <f>(H269/30)/8</f>
        <v>229.16666666666666</v>
      </c>
      <c r="S269" s="71">
        <f>Q269*R269</f>
        <v>6875</v>
      </c>
      <c r="T269" s="73">
        <f>I269+J269+K269+L269+M269+O269+S269</f>
        <v>82125</v>
      </c>
      <c r="U269" s="73">
        <v>205</v>
      </c>
      <c r="V269" s="73">
        <f>H269*12%</f>
        <v>6600</v>
      </c>
      <c r="W269" s="73">
        <v>0</v>
      </c>
      <c r="X269" s="73">
        <f>SUM(U269:W269)</f>
        <v>6805</v>
      </c>
      <c r="Y269" s="73">
        <f>T269-X269</f>
        <v>75320</v>
      </c>
    </row>
    <row r="270" spans="1:25" x14ac:dyDescent="0.3">
      <c r="A270" s="65" t="s">
        <v>630</v>
      </c>
      <c r="B270" s="66" t="s">
        <v>629</v>
      </c>
      <c r="C270" s="66" t="s">
        <v>210</v>
      </c>
      <c r="D270" s="67">
        <v>43</v>
      </c>
      <c r="E270" s="68">
        <v>43835</v>
      </c>
      <c r="F270" s="69" t="s">
        <v>206</v>
      </c>
      <c r="G270" s="69" t="str">
        <f>B270&amp;"@gmail.com"</f>
        <v>Name 269@gmail.com</v>
      </c>
      <c r="H270" s="70">
        <v>43000</v>
      </c>
      <c r="I270" s="71">
        <f>H270*18%</f>
        <v>7740</v>
      </c>
      <c r="J270" s="71">
        <f>H270*5%</f>
        <v>2150</v>
      </c>
      <c r="K270" s="71">
        <v>1000</v>
      </c>
      <c r="L270" s="71">
        <v>5000</v>
      </c>
      <c r="M270" s="71">
        <v>1600</v>
      </c>
      <c r="N270" s="71">
        <v>27</v>
      </c>
      <c r="O270" s="71">
        <f>(H270/30)*N270</f>
        <v>38700</v>
      </c>
      <c r="P270" s="72">
        <v>1</v>
      </c>
      <c r="Q270" s="72">
        <f>N270*P270</f>
        <v>27</v>
      </c>
      <c r="R270" s="71">
        <f>(H270/30)/8</f>
        <v>179.16666666666666</v>
      </c>
      <c r="S270" s="71">
        <f>Q270*R270</f>
        <v>4837.5</v>
      </c>
      <c r="T270" s="73">
        <f>I270+J270+K270+L270+M270+O270+S270</f>
        <v>61027.5</v>
      </c>
      <c r="U270" s="73">
        <v>200</v>
      </c>
      <c r="V270" s="73">
        <f>H270*12%</f>
        <v>5160</v>
      </c>
      <c r="W270" s="73">
        <v>0</v>
      </c>
      <c r="X270" s="73">
        <f>SUM(U270:W270)</f>
        <v>5360</v>
      </c>
      <c r="Y270" s="73">
        <f>T270-X270</f>
        <v>55667.5</v>
      </c>
    </row>
    <row r="271" spans="1:25" x14ac:dyDescent="0.3">
      <c r="A271" s="65" t="s">
        <v>628</v>
      </c>
      <c r="B271" s="66" t="s">
        <v>627</v>
      </c>
      <c r="C271" s="66" t="s">
        <v>207</v>
      </c>
      <c r="D271" s="67">
        <v>23</v>
      </c>
      <c r="E271" s="68">
        <v>43836</v>
      </c>
      <c r="F271" s="69" t="s">
        <v>206</v>
      </c>
      <c r="G271" s="69" t="str">
        <f>B271&amp;"@gmail.com"</f>
        <v>Name 270@gmail.com</v>
      </c>
      <c r="H271" s="70">
        <v>25000</v>
      </c>
      <c r="I271" s="71">
        <f>H271*18%</f>
        <v>4500</v>
      </c>
      <c r="J271" s="71">
        <f>H271*5%</f>
        <v>1250</v>
      </c>
      <c r="K271" s="71">
        <v>1000</v>
      </c>
      <c r="L271" s="71">
        <v>5000</v>
      </c>
      <c r="M271" s="71">
        <v>1600</v>
      </c>
      <c r="N271" s="71">
        <v>30</v>
      </c>
      <c r="O271" s="71">
        <f>(H271/30)*N271</f>
        <v>25000</v>
      </c>
      <c r="P271" s="72">
        <v>0</v>
      </c>
      <c r="Q271" s="72">
        <f>N271*P271</f>
        <v>0</v>
      </c>
      <c r="R271" s="71">
        <f>(H271/30)/8</f>
        <v>104.16666666666667</v>
      </c>
      <c r="S271" s="71">
        <f>Q271*R271</f>
        <v>0</v>
      </c>
      <c r="T271" s="73">
        <f>I271+J271+K271+L271+M271+O271+S271</f>
        <v>38350</v>
      </c>
      <c r="U271" s="73">
        <v>200</v>
      </c>
      <c r="V271" s="73">
        <f>H271*12%</f>
        <v>3000</v>
      </c>
      <c r="W271" s="73">
        <v>0</v>
      </c>
      <c r="X271" s="73">
        <f>SUM(U271:W271)</f>
        <v>3200</v>
      </c>
      <c r="Y271" s="73">
        <f>T271-X271</f>
        <v>35150</v>
      </c>
    </row>
    <row r="272" spans="1:25" x14ac:dyDescent="0.3">
      <c r="A272" s="65" t="s">
        <v>626</v>
      </c>
      <c r="B272" s="66" t="s">
        <v>625</v>
      </c>
      <c r="C272" s="66" t="s">
        <v>214</v>
      </c>
      <c r="D272" s="67">
        <v>34</v>
      </c>
      <c r="E272" s="68">
        <v>43837</v>
      </c>
      <c r="F272" s="69" t="s">
        <v>206</v>
      </c>
      <c r="G272" s="69" t="str">
        <f>B272&amp;"@gmail.com"</f>
        <v>Name 271@gmail.com</v>
      </c>
      <c r="H272" s="70">
        <v>28000</v>
      </c>
      <c r="I272" s="71">
        <f>H272*18%</f>
        <v>5040</v>
      </c>
      <c r="J272" s="71">
        <f>H272*5%</f>
        <v>1400</v>
      </c>
      <c r="K272" s="71">
        <v>1000</v>
      </c>
      <c r="L272" s="71">
        <v>5000</v>
      </c>
      <c r="M272" s="71">
        <v>1600</v>
      </c>
      <c r="N272" s="71">
        <v>20</v>
      </c>
      <c r="O272" s="71">
        <f>(H272/30)*N272</f>
        <v>18666.666666666668</v>
      </c>
      <c r="P272" s="72">
        <v>0</v>
      </c>
      <c r="Q272" s="72">
        <f>N272*P272</f>
        <v>0</v>
      </c>
      <c r="R272" s="71">
        <f>(H272/30)/8</f>
        <v>116.66666666666667</v>
      </c>
      <c r="S272" s="71">
        <f>Q272*R272</f>
        <v>0</v>
      </c>
      <c r="T272" s="73">
        <f>I272+J272+K272+L272+M272+O272+S272</f>
        <v>32706.666666666668</v>
      </c>
      <c r="U272" s="73">
        <v>200</v>
      </c>
      <c r="V272" s="73">
        <f>H272*12%</f>
        <v>3360</v>
      </c>
      <c r="W272" s="73">
        <v>0</v>
      </c>
      <c r="X272" s="73">
        <f>SUM(U272:W272)</f>
        <v>3560</v>
      </c>
      <c r="Y272" s="73">
        <f>T272-X272</f>
        <v>29146.666666666668</v>
      </c>
    </row>
    <row r="273" spans="1:25" x14ac:dyDescent="0.3">
      <c r="A273" s="65" t="s">
        <v>624</v>
      </c>
      <c r="B273" s="66" t="s">
        <v>623</v>
      </c>
      <c r="C273" s="66" t="s">
        <v>210</v>
      </c>
      <c r="D273" s="67">
        <v>23</v>
      </c>
      <c r="E273" s="68">
        <v>43838</v>
      </c>
      <c r="F273" s="69" t="s">
        <v>206</v>
      </c>
      <c r="G273" s="69" t="str">
        <f>B273&amp;"@gmail.com"</f>
        <v>Name 272@gmail.com</v>
      </c>
      <c r="H273" s="70">
        <v>40000</v>
      </c>
      <c r="I273" s="71">
        <f>H273*18%</f>
        <v>7200</v>
      </c>
      <c r="J273" s="71">
        <f>H273*5%</f>
        <v>2000</v>
      </c>
      <c r="K273" s="71">
        <v>1000</v>
      </c>
      <c r="L273" s="71">
        <v>5000</v>
      </c>
      <c r="M273" s="71">
        <v>1600</v>
      </c>
      <c r="N273" s="71">
        <v>28</v>
      </c>
      <c r="O273" s="71">
        <f>(H273/30)*N273</f>
        <v>37333.333333333328</v>
      </c>
      <c r="P273" s="72">
        <v>2</v>
      </c>
      <c r="Q273" s="72">
        <f>N273*P273</f>
        <v>56</v>
      </c>
      <c r="R273" s="71">
        <f>(H273/30)/8</f>
        <v>166.66666666666666</v>
      </c>
      <c r="S273" s="71">
        <f>Q273*R273</f>
        <v>9333.3333333333321</v>
      </c>
      <c r="T273" s="73">
        <f>I273+J273+K273+L273+M273+O273+S273</f>
        <v>63466.666666666657</v>
      </c>
      <c r="U273" s="73">
        <v>200</v>
      </c>
      <c r="V273" s="73">
        <f>H273*12%</f>
        <v>4800</v>
      </c>
      <c r="W273" s="73">
        <v>0</v>
      </c>
      <c r="X273" s="73">
        <f>SUM(U273:W273)</f>
        <v>5000</v>
      </c>
      <c r="Y273" s="73">
        <f>T273-X273</f>
        <v>58466.666666666657</v>
      </c>
    </row>
    <row r="274" spans="1:25" x14ac:dyDescent="0.3">
      <c r="A274" s="65" t="s">
        <v>622</v>
      </c>
      <c r="B274" s="66" t="s">
        <v>621</v>
      </c>
      <c r="C274" s="66" t="s">
        <v>210</v>
      </c>
      <c r="D274" s="67">
        <v>34</v>
      </c>
      <c r="E274" s="68">
        <v>43839</v>
      </c>
      <c r="F274" s="69" t="s">
        <v>206</v>
      </c>
      <c r="G274" s="69" t="str">
        <f>B274&amp;"@gmail.com"</f>
        <v>Name 273@gmail.com</v>
      </c>
      <c r="H274" s="70">
        <v>32000</v>
      </c>
      <c r="I274" s="71">
        <f>H274*18%</f>
        <v>5760</v>
      </c>
      <c r="J274" s="71">
        <f>H274*5%</f>
        <v>1600</v>
      </c>
      <c r="K274" s="71">
        <v>1000</v>
      </c>
      <c r="L274" s="71">
        <v>5000</v>
      </c>
      <c r="M274" s="71">
        <v>1600</v>
      </c>
      <c r="N274" s="71">
        <v>30</v>
      </c>
      <c r="O274" s="71">
        <f>(H274/30)*N274</f>
        <v>32000.000000000004</v>
      </c>
      <c r="P274" s="72">
        <v>1</v>
      </c>
      <c r="Q274" s="72">
        <f>N274*P274</f>
        <v>30</v>
      </c>
      <c r="R274" s="71">
        <f>(H274/30)/8</f>
        <v>133.33333333333334</v>
      </c>
      <c r="S274" s="71">
        <f>Q274*R274</f>
        <v>4000.0000000000005</v>
      </c>
      <c r="T274" s="73">
        <f>I274+J274+K274+L274+M274+O274+S274</f>
        <v>50960</v>
      </c>
      <c r="U274" s="73">
        <v>200</v>
      </c>
      <c r="V274" s="73">
        <f>H274*12%</f>
        <v>3840</v>
      </c>
      <c r="W274" s="73">
        <v>5000</v>
      </c>
      <c r="X274" s="73">
        <f>SUM(U274:W274)</f>
        <v>9040</v>
      </c>
      <c r="Y274" s="73">
        <f>T274-X274</f>
        <v>41920</v>
      </c>
    </row>
    <row r="275" spans="1:25" x14ac:dyDescent="0.3">
      <c r="A275" s="65" t="s">
        <v>620</v>
      </c>
      <c r="B275" s="66" t="s">
        <v>619</v>
      </c>
      <c r="C275" s="66" t="s">
        <v>207</v>
      </c>
      <c r="D275" s="67">
        <v>23</v>
      </c>
      <c r="E275" s="68">
        <v>43840</v>
      </c>
      <c r="F275" s="69" t="s">
        <v>206</v>
      </c>
      <c r="G275" s="69" t="str">
        <f>B275&amp;"@gmail.com"</f>
        <v>Name 274@gmail.com</v>
      </c>
      <c r="H275" s="70">
        <v>28000</v>
      </c>
      <c r="I275" s="71">
        <f>H275*18%</f>
        <v>5040</v>
      </c>
      <c r="J275" s="71">
        <f>H275*5%</f>
        <v>1400</v>
      </c>
      <c r="K275" s="71">
        <v>1000</v>
      </c>
      <c r="L275" s="71">
        <v>5000</v>
      </c>
      <c r="M275" s="71">
        <v>1600</v>
      </c>
      <c r="N275" s="71">
        <v>29</v>
      </c>
      <c r="O275" s="71">
        <f>(H275/30)*N275</f>
        <v>27066.666666666668</v>
      </c>
      <c r="P275" s="72">
        <v>1</v>
      </c>
      <c r="Q275" s="72">
        <f>N275*P275</f>
        <v>29</v>
      </c>
      <c r="R275" s="71">
        <f>(H275/30)/8</f>
        <v>116.66666666666667</v>
      </c>
      <c r="S275" s="71">
        <f>Q275*R275</f>
        <v>3383.3333333333335</v>
      </c>
      <c r="T275" s="73">
        <f>I275+J275+K275+L275+M275+O275+S275</f>
        <v>44490.000000000007</v>
      </c>
      <c r="U275" s="73">
        <v>200</v>
      </c>
      <c r="V275" s="73">
        <f>H275*12%</f>
        <v>3360</v>
      </c>
      <c r="W275" s="73">
        <v>0</v>
      </c>
      <c r="X275" s="73">
        <f>SUM(U275:W275)</f>
        <v>3560</v>
      </c>
      <c r="Y275" s="73">
        <f>T275-X275</f>
        <v>40930.000000000007</v>
      </c>
    </row>
    <row r="276" spans="1:25" x14ac:dyDescent="0.3">
      <c r="A276" s="65" t="s">
        <v>618</v>
      </c>
      <c r="B276" s="66" t="s">
        <v>617</v>
      </c>
      <c r="C276" s="66" t="s">
        <v>214</v>
      </c>
      <c r="D276" s="67">
        <v>34</v>
      </c>
      <c r="E276" s="68">
        <v>43841</v>
      </c>
      <c r="F276" s="69" t="s">
        <v>213</v>
      </c>
      <c r="G276" s="69" t="str">
        <f>B276&amp;"@gmail.com"</f>
        <v>Name 275@gmail.com</v>
      </c>
      <c r="H276" s="70">
        <v>44000</v>
      </c>
      <c r="I276" s="71">
        <f>H276*18%</f>
        <v>7920</v>
      </c>
      <c r="J276" s="71">
        <f>H276*5%</f>
        <v>2200</v>
      </c>
      <c r="K276" s="71">
        <v>1000</v>
      </c>
      <c r="L276" s="71">
        <v>5000</v>
      </c>
      <c r="M276" s="71">
        <v>1600</v>
      </c>
      <c r="N276" s="71">
        <v>28</v>
      </c>
      <c r="O276" s="71">
        <f>(H276/30)*N276</f>
        <v>41066.666666666672</v>
      </c>
      <c r="P276" s="72">
        <v>1</v>
      </c>
      <c r="Q276" s="72">
        <f>N276*P276</f>
        <v>28</v>
      </c>
      <c r="R276" s="71">
        <f>(H276/30)/8</f>
        <v>183.33333333333334</v>
      </c>
      <c r="S276" s="71">
        <f>Q276*R276</f>
        <v>5133.3333333333339</v>
      </c>
      <c r="T276" s="73">
        <f>I276+J276+K276+L276+M276+O276+S276</f>
        <v>63920.000000000007</v>
      </c>
      <c r="U276" s="73">
        <v>200</v>
      </c>
      <c r="V276" s="73">
        <f>H276*12%</f>
        <v>5280</v>
      </c>
      <c r="W276" s="73">
        <v>0</v>
      </c>
      <c r="X276" s="73">
        <f>SUM(U276:W276)</f>
        <v>5480</v>
      </c>
      <c r="Y276" s="73">
        <f>T276-X276</f>
        <v>58440.000000000007</v>
      </c>
    </row>
    <row r="277" spans="1:25" x14ac:dyDescent="0.3">
      <c r="A277" s="65" t="s">
        <v>616</v>
      </c>
      <c r="B277" s="66" t="s">
        <v>615</v>
      </c>
      <c r="C277" s="66" t="s">
        <v>210</v>
      </c>
      <c r="D277" s="67">
        <v>45</v>
      </c>
      <c r="E277" s="68">
        <v>43842</v>
      </c>
      <c r="F277" s="69" t="s">
        <v>206</v>
      </c>
      <c r="G277" s="69" t="str">
        <f>B277&amp;"@gmail.com"</f>
        <v>Name 276@gmail.com</v>
      </c>
      <c r="H277" s="70">
        <v>25000</v>
      </c>
      <c r="I277" s="71">
        <f>H277*18%</f>
        <v>4500</v>
      </c>
      <c r="J277" s="71">
        <f>H277*5%</f>
        <v>1250</v>
      </c>
      <c r="K277" s="71">
        <v>1000</v>
      </c>
      <c r="L277" s="71">
        <v>0</v>
      </c>
      <c r="M277" s="71">
        <v>1600</v>
      </c>
      <c r="N277" s="71">
        <v>27</v>
      </c>
      <c r="O277" s="71">
        <f>(H277/30)*N277</f>
        <v>22500</v>
      </c>
      <c r="P277" s="72">
        <v>1</v>
      </c>
      <c r="Q277" s="72">
        <f>N277*P277</f>
        <v>27</v>
      </c>
      <c r="R277" s="71">
        <f>(H277/30)/8</f>
        <v>104.16666666666667</v>
      </c>
      <c r="S277" s="71">
        <f>Q277*R277</f>
        <v>2812.5</v>
      </c>
      <c r="T277" s="73">
        <f>I277+J277+K277+L277+M277+O277+S277</f>
        <v>33662.5</v>
      </c>
      <c r="U277" s="73">
        <v>200</v>
      </c>
      <c r="V277" s="73">
        <f>H277*12%</f>
        <v>3000</v>
      </c>
      <c r="W277" s="73">
        <v>0</v>
      </c>
      <c r="X277" s="73">
        <f>SUM(U277:W277)</f>
        <v>3200</v>
      </c>
      <c r="Y277" s="73">
        <f>T277-X277</f>
        <v>30462.5</v>
      </c>
    </row>
    <row r="278" spans="1:25" x14ac:dyDescent="0.3">
      <c r="A278" s="65" t="s">
        <v>614</v>
      </c>
      <c r="B278" s="66" t="s">
        <v>613</v>
      </c>
      <c r="C278" s="66" t="s">
        <v>214</v>
      </c>
      <c r="D278" s="67">
        <v>54</v>
      </c>
      <c r="E278" s="68">
        <v>43843</v>
      </c>
      <c r="F278" s="69" t="s">
        <v>206</v>
      </c>
      <c r="G278" s="69" t="str">
        <f>B278&amp;"@gmail.com"</f>
        <v>Name 277@gmail.com</v>
      </c>
      <c r="H278" s="70">
        <v>50000</v>
      </c>
      <c r="I278" s="71">
        <f>H278*18%</f>
        <v>9000</v>
      </c>
      <c r="J278" s="71">
        <f>H278*5%</f>
        <v>2500</v>
      </c>
      <c r="K278" s="71">
        <v>1000</v>
      </c>
      <c r="L278" s="71">
        <v>0</v>
      </c>
      <c r="M278" s="71">
        <v>1600</v>
      </c>
      <c r="N278" s="71">
        <v>27</v>
      </c>
      <c r="O278" s="71">
        <f>(H278/30)*N278</f>
        <v>45000</v>
      </c>
      <c r="P278" s="72">
        <v>3</v>
      </c>
      <c r="Q278" s="72">
        <f>N278*P278</f>
        <v>81</v>
      </c>
      <c r="R278" s="71">
        <f>(H278/30)/8</f>
        <v>208.33333333333334</v>
      </c>
      <c r="S278" s="71">
        <f>Q278*R278</f>
        <v>16875</v>
      </c>
      <c r="T278" s="73">
        <f>I278+J278+K278+L278+M278+O278+S278</f>
        <v>75975</v>
      </c>
      <c r="U278" s="73">
        <v>201</v>
      </c>
      <c r="V278" s="73">
        <f>H278*12%</f>
        <v>6000</v>
      </c>
      <c r="W278" s="73">
        <v>0</v>
      </c>
      <c r="X278" s="73">
        <f>SUM(U278:W278)</f>
        <v>6201</v>
      </c>
      <c r="Y278" s="73">
        <f>T278-X278</f>
        <v>69774</v>
      </c>
    </row>
    <row r="279" spans="1:25" x14ac:dyDescent="0.3">
      <c r="A279" s="65" t="s">
        <v>612</v>
      </c>
      <c r="B279" s="66" t="s">
        <v>611</v>
      </c>
      <c r="C279" s="66" t="s">
        <v>214</v>
      </c>
      <c r="D279" s="67">
        <v>56</v>
      </c>
      <c r="E279" s="68">
        <v>43844</v>
      </c>
      <c r="F279" s="69" t="s">
        <v>213</v>
      </c>
      <c r="G279" s="69" t="str">
        <f>B279&amp;"@gmail.com"</f>
        <v>Name 278@gmail.com</v>
      </c>
      <c r="H279" s="70">
        <v>70000</v>
      </c>
      <c r="I279" s="71">
        <f>H279*18%</f>
        <v>12600</v>
      </c>
      <c r="J279" s="71">
        <f>H279*5%</f>
        <v>3500</v>
      </c>
      <c r="K279" s="71">
        <v>1000</v>
      </c>
      <c r="L279" s="71">
        <v>0</v>
      </c>
      <c r="M279" s="71">
        <v>1600</v>
      </c>
      <c r="N279" s="71">
        <v>27</v>
      </c>
      <c r="O279" s="71">
        <f>(H279/30)*N279</f>
        <v>63000.000000000007</v>
      </c>
      <c r="P279" s="72">
        <v>1</v>
      </c>
      <c r="Q279" s="72">
        <f>N279*P279</f>
        <v>27</v>
      </c>
      <c r="R279" s="71">
        <f>(H279/30)/8</f>
        <v>291.66666666666669</v>
      </c>
      <c r="S279" s="71">
        <f>Q279*R279</f>
        <v>7875.0000000000009</v>
      </c>
      <c r="T279" s="73">
        <f>I279+J279+K279+L279+M279+O279+S279</f>
        <v>89575</v>
      </c>
      <c r="U279" s="73">
        <v>202</v>
      </c>
      <c r="V279" s="73">
        <f>H279*12%</f>
        <v>8400</v>
      </c>
      <c r="W279" s="73">
        <v>0</v>
      </c>
      <c r="X279" s="73">
        <f>SUM(U279:W279)</f>
        <v>8602</v>
      </c>
      <c r="Y279" s="73">
        <f>T279-X279</f>
        <v>80973</v>
      </c>
    </row>
    <row r="280" spans="1:25" x14ac:dyDescent="0.3">
      <c r="A280" s="65" t="s">
        <v>610</v>
      </c>
      <c r="B280" s="66" t="s">
        <v>609</v>
      </c>
      <c r="C280" s="66" t="s">
        <v>214</v>
      </c>
      <c r="D280" s="67">
        <v>54</v>
      </c>
      <c r="E280" s="68">
        <v>43845</v>
      </c>
      <c r="F280" s="69" t="s">
        <v>213</v>
      </c>
      <c r="G280" s="69" t="str">
        <f>B280&amp;"@gmail.com"</f>
        <v>Name 279@gmail.com</v>
      </c>
      <c r="H280" s="70">
        <v>34000</v>
      </c>
      <c r="I280" s="71">
        <f>H280*18%</f>
        <v>6120</v>
      </c>
      <c r="J280" s="71">
        <f>H280*5%</f>
        <v>1700</v>
      </c>
      <c r="K280" s="71">
        <v>1000</v>
      </c>
      <c r="L280" s="71">
        <v>2000</v>
      </c>
      <c r="M280" s="71">
        <v>1600</v>
      </c>
      <c r="N280" s="71">
        <v>30</v>
      </c>
      <c r="O280" s="71">
        <f>(H280/30)*N280</f>
        <v>34000</v>
      </c>
      <c r="P280" s="72">
        <v>2</v>
      </c>
      <c r="Q280" s="72">
        <f>N280*P280</f>
        <v>60</v>
      </c>
      <c r="R280" s="71">
        <f>(H280/30)/8</f>
        <v>141.66666666666666</v>
      </c>
      <c r="S280" s="71">
        <f>Q280*R280</f>
        <v>8500</v>
      </c>
      <c r="T280" s="73">
        <f>I280+J280+K280+L280+M280+O280+S280</f>
        <v>54920</v>
      </c>
      <c r="U280" s="73">
        <v>203</v>
      </c>
      <c r="V280" s="73">
        <f>H280*12%</f>
        <v>4080</v>
      </c>
      <c r="W280" s="73">
        <v>0</v>
      </c>
      <c r="X280" s="73">
        <f>SUM(U280:W280)</f>
        <v>4283</v>
      </c>
      <c r="Y280" s="73">
        <f>T280-X280</f>
        <v>50637</v>
      </c>
    </row>
    <row r="281" spans="1:25" x14ac:dyDescent="0.3">
      <c r="A281" s="65" t="s">
        <v>608</v>
      </c>
      <c r="B281" s="66" t="s">
        <v>607</v>
      </c>
      <c r="C281" s="66" t="s">
        <v>214</v>
      </c>
      <c r="D281" s="67">
        <v>34</v>
      </c>
      <c r="E281" s="68">
        <v>43846</v>
      </c>
      <c r="F281" s="69" t="s">
        <v>213</v>
      </c>
      <c r="G281" s="69" t="str">
        <f>B281&amp;"@gmail.com"</f>
        <v>Name 280@gmail.com</v>
      </c>
      <c r="H281" s="70">
        <v>45000</v>
      </c>
      <c r="I281" s="71">
        <f>H281*18%</f>
        <v>8100</v>
      </c>
      <c r="J281" s="71">
        <f>H281*5%</f>
        <v>2250</v>
      </c>
      <c r="K281" s="71">
        <v>1000</v>
      </c>
      <c r="L281" s="71">
        <v>5000</v>
      </c>
      <c r="M281" s="71">
        <v>1600</v>
      </c>
      <c r="N281" s="71">
        <v>30</v>
      </c>
      <c r="O281" s="71">
        <f>(H281/30)*N281</f>
        <v>45000</v>
      </c>
      <c r="P281" s="72">
        <v>0</v>
      </c>
      <c r="Q281" s="72">
        <f>N281*P281</f>
        <v>0</v>
      </c>
      <c r="R281" s="71">
        <f>(H281/30)/8</f>
        <v>187.5</v>
      </c>
      <c r="S281" s="71">
        <f>Q281*R281</f>
        <v>0</v>
      </c>
      <c r="T281" s="73">
        <f>I281+J281+K281+L281+M281+O281+S281</f>
        <v>62950</v>
      </c>
      <c r="U281" s="73">
        <v>204</v>
      </c>
      <c r="V281" s="73">
        <f>H281*12%</f>
        <v>5400</v>
      </c>
      <c r="W281" s="73">
        <v>4000</v>
      </c>
      <c r="X281" s="73">
        <f>SUM(U281:W281)</f>
        <v>9604</v>
      </c>
      <c r="Y281" s="73">
        <f>T281-X281</f>
        <v>53346</v>
      </c>
    </row>
    <row r="282" spans="1:25" x14ac:dyDescent="0.3">
      <c r="A282" s="65" t="s">
        <v>606</v>
      </c>
      <c r="B282" s="66" t="s">
        <v>605</v>
      </c>
      <c r="C282" s="66" t="s">
        <v>214</v>
      </c>
      <c r="D282" s="67">
        <v>23</v>
      </c>
      <c r="E282" s="68">
        <v>43847</v>
      </c>
      <c r="F282" s="69" t="s">
        <v>213</v>
      </c>
      <c r="G282" s="69" t="str">
        <f>B282&amp;"@gmail.com"</f>
        <v>Name 281@gmail.com</v>
      </c>
      <c r="H282" s="70">
        <v>55000</v>
      </c>
      <c r="I282" s="71">
        <f>H282*18%</f>
        <v>9900</v>
      </c>
      <c r="J282" s="71">
        <f>H282*5%</f>
        <v>2750</v>
      </c>
      <c r="K282" s="71">
        <v>1000</v>
      </c>
      <c r="L282" s="71">
        <v>0</v>
      </c>
      <c r="M282" s="71">
        <v>1600</v>
      </c>
      <c r="N282" s="71">
        <v>30</v>
      </c>
      <c r="O282" s="71">
        <f>(H282/30)*N282</f>
        <v>55000</v>
      </c>
      <c r="P282" s="72">
        <v>1</v>
      </c>
      <c r="Q282" s="72">
        <f>N282*P282</f>
        <v>30</v>
      </c>
      <c r="R282" s="71">
        <f>(H282/30)/8</f>
        <v>229.16666666666666</v>
      </c>
      <c r="S282" s="71">
        <f>Q282*R282</f>
        <v>6875</v>
      </c>
      <c r="T282" s="73">
        <f>I282+J282+K282+L282+M282+O282+S282</f>
        <v>77125</v>
      </c>
      <c r="U282" s="73">
        <v>205</v>
      </c>
      <c r="V282" s="73">
        <f>H282*12%</f>
        <v>6600</v>
      </c>
      <c r="W282" s="73">
        <v>0</v>
      </c>
      <c r="X282" s="73">
        <f>SUM(U282:W282)</f>
        <v>6805</v>
      </c>
      <c r="Y282" s="73">
        <f>T282-X282</f>
        <v>70320</v>
      </c>
    </row>
    <row r="283" spans="1:25" x14ac:dyDescent="0.3">
      <c r="A283" s="65" t="s">
        <v>604</v>
      </c>
      <c r="B283" s="66" t="s">
        <v>603</v>
      </c>
      <c r="C283" s="66" t="s">
        <v>210</v>
      </c>
      <c r="D283" s="67">
        <v>34</v>
      </c>
      <c r="E283" s="68">
        <v>43848</v>
      </c>
      <c r="F283" s="69" t="s">
        <v>206</v>
      </c>
      <c r="G283" s="69" t="str">
        <f>B283&amp;"@gmail.com"</f>
        <v>Name 282@gmail.com</v>
      </c>
      <c r="H283" s="70">
        <v>43000</v>
      </c>
      <c r="I283" s="71">
        <f>H283*18%</f>
        <v>7740</v>
      </c>
      <c r="J283" s="71">
        <f>H283*5%</f>
        <v>2150</v>
      </c>
      <c r="K283" s="71">
        <v>1000</v>
      </c>
      <c r="L283" s="71">
        <v>0</v>
      </c>
      <c r="M283" s="71">
        <v>1600</v>
      </c>
      <c r="N283" s="71">
        <v>27</v>
      </c>
      <c r="O283" s="71">
        <f>(H283/30)*N283</f>
        <v>38700</v>
      </c>
      <c r="P283" s="72">
        <v>1</v>
      </c>
      <c r="Q283" s="72">
        <f>N283*P283</f>
        <v>27</v>
      </c>
      <c r="R283" s="71">
        <f>(H283/30)/8</f>
        <v>179.16666666666666</v>
      </c>
      <c r="S283" s="71">
        <f>Q283*R283</f>
        <v>4837.5</v>
      </c>
      <c r="T283" s="73">
        <f>I283+J283+K283+L283+M283+O283+S283</f>
        <v>56027.5</v>
      </c>
      <c r="U283" s="73">
        <v>200</v>
      </c>
      <c r="V283" s="73">
        <f>H283*12%</f>
        <v>5160</v>
      </c>
      <c r="W283" s="73">
        <v>0</v>
      </c>
      <c r="X283" s="73">
        <f>SUM(U283:W283)</f>
        <v>5360</v>
      </c>
      <c r="Y283" s="73">
        <f>T283-X283</f>
        <v>50667.5</v>
      </c>
    </row>
    <row r="284" spans="1:25" x14ac:dyDescent="0.3">
      <c r="A284" s="65" t="s">
        <v>602</v>
      </c>
      <c r="B284" s="66" t="s">
        <v>601</v>
      </c>
      <c r="C284" s="66" t="s">
        <v>207</v>
      </c>
      <c r="D284" s="67">
        <v>43</v>
      </c>
      <c r="E284" s="68">
        <v>43849</v>
      </c>
      <c r="F284" s="69" t="s">
        <v>206</v>
      </c>
      <c r="G284" s="69" t="str">
        <f>B284&amp;"@gmail.com"</f>
        <v>Name 283@gmail.com</v>
      </c>
      <c r="H284" s="70">
        <v>25000</v>
      </c>
      <c r="I284" s="71">
        <f>H284*18%</f>
        <v>4500</v>
      </c>
      <c r="J284" s="71">
        <f>H284*5%</f>
        <v>1250</v>
      </c>
      <c r="K284" s="71">
        <v>1000</v>
      </c>
      <c r="L284" s="71">
        <v>0</v>
      </c>
      <c r="M284" s="71">
        <v>1600</v>
      </c>
      <c r="N284" s="71">
        <v>30</v>
      </c>
      <c r="O284" s="71">
        <f>(H284/30)*N284</f>
        <v>25000</v>
      </c>
      <c r="P284" s="72">
        <v>0</v>
      </c>
      <c r="Q284" s="72">
        <f>N284*P284</f>
        <v>0</v>
      </c>
      <c r="R284" s="71">
        <f>(H284/30)/8</f>
        <v>104.16666666666667</v>
      </c>
      <c r="S284" s="71">
        <f>Q284*R284</f>
        <v>0</v>
      </c>
      <c r="T284" s="73">
        <f>I284+J284+K284+L284+M284+O284+S284</f>
        <v>33350</v>
      </c>
      <c r="U284" s="73">
        <v>200</v>
      </c>
      <c r="V284" s="73">
        <f>H284*12%</f>
        <v>3000</v>
      </c>
      <c r="W284" s="73">
        <v>0</v>
      </c>
      <c r="X284" s="73">
        <f>SUM(U284:W284)</f>
        <v>3200</v>
      </c>
      <c r="Y284" s="73">
        <f>T284-X284</f>
        <v>30150</v>
      </c>
    </row>
    <row r="285" spans="1:25" x14ac:dyDescent="0.3">
      <c r="A285" s="65" t="s">
        <v>600</v>
      </c>
      <c r="B285" s="66" t="s">
        <v>599</v>
      </c>
      <c r="C285" s="66" t="s">
        <v>214</v>
      </c>
      <c r="D285" s="67">
        <v>34</v>
      </c>
      <c r="E285" s="68">
        <v>43850</v>
      </c>
      <c r="F285" s="69" t="s">
        <v>206</v>
      </c>
      <c r="G285" s="69" t="str">
        <f>B285&amp;"@gmail.com"</f>
        <v>Name 284@gmail.com</v>
      </c>
      <c r="H285" s="70">
        <v>28000</v>
      </c>
      <c r="I285" s="71">
        <f>H285*18%</f>
        <v>5040</v>
      </c>
      <c r="J285" s="71">
        <f>H285*5%</f>
        <v>1400</v>
      </c>
      <c r="K285" s="71">
        <v>1000</v>
      </c>
      <c r="L285" s="71">
        <v>0</v>
      </c>
      <c r="M285" s="71">
        <v>1600</v>
      </c>
      <c r="N285" s="71">
        <v>20</v>
      </c>
      <c r="O285" s="71">
        <f>(H285/30)*N285</f>
        <v>18666.666666666668</v>
      </c>
      <c r="P285" s="72">
        <v>0</v>
      </c>
      <c r="Q285" s="72">
        <f>N285*P285</f>
        <v>0</v>
      </c>
      <c r="R285" s="71">
        <f>(H285/30)/8</f>
        <v>116.66666666666667</v>
      </c>
      <c r="S285" s="71">
        <f>Q285*R285</f>
        <v>0</v>
      </c>
      <c r="T285" s="73">
        <f>I285+J285+K285+L285+M285+O285+S285</f>
        <v>27706.666666666668</v>
      </c>
      <c r="U285" s="73">
        <v>200</v>
      </c>
      <c r="V285" s="73">
        <f>H285*12%</f>
        <v>3360</v>
      </c>
      <c r="W285" s="73">
        <v>0</v>
      </c>
      <c r="X285" s="73">
        <f>SUM(U285:W285)</f>
        <v>3560</v>
      </c>
      <c r="Y285" s="73">
        <f>T285-X285</f>
        <v>24146.666666666668</v>
      </c>
    </row>
    <row r="286" spans="1:25" x14ac:dyDescent="0.3">
      <c r="A286" s="65" t="s">
        <v>598</v>
      </c>
      <c r="B286" s="66" t="s">
        <v>597</v>
      </c>
      <c r="C286" s="66" t="s">
        <v>210</v>
      </c>
      <c r="D286" s="67">
        <v>43</v>
      </c>
      <c r="E286" s="68">
        <v>43851</v>
      </c>
      <c r="F286" s="69" t="s">
        <v>206</v>
      </c>
      <c r="G286" s="69" t="str">
        <f>B286&amp;"@gmail.com"</f>
        <v>Name 285@gmail.com</v>
      </c>
      <c r="H286" s="70">
        <v>40000</v>
      </c>
      <c r="I286" s="71">
        <f>H286*18%</f>
        <v>7200</v>
      </c>
      <c r="J286" s="71">
        <f>H286*5%</f>
        <v>2000</v>
      </c>
      <c r="K286" s="71">
        <v>1000</v>
      </c>
      <c r="L286" s="71">
        <v>0</v>
      </c>
      <c r="M286" s="71">
        <v>1600</v>
      </c>
      <c r="N286" s="71">
        <v>28</v>
      </c>
      <c r="O286" s="71">
        <f>(H286/30)*N286</f>
        <v>37333.333333333328</v>
      </c>
      <c r="P286" s="72">
        <v>2</v>
      </c>
      <c r="Q286" s="72">
        <f>N286*P286</f>
        <v>56</v>
      </c>
      <c r="R286" s="71">
        <f>(H286/30)/8</f>
        <v>166.66666666666666</v>
      </c>
      <c r="S286" s="71">
        <f>Q286*R286</f>
        <v>9333.3333333333321</v>
      </c>
      <c r="T286" s="73">
        <f>I286+J286+K286+L286+M286+O286+S286</f>
        <v>58466.666666666657</v>
      </c>
      <c r="U286" s="73">
        <v>200</v>
      </c>
      <c r="V286" s="73">
        <f>H286*12%</f>
        <v>4800</v>
      </c>
      <c r="W286" s="73">
        <v>0</v>
      </c>
      <c r="X286" s="73">
        <f>SUM(U286:W286)</f>
        <v>5000</v>
      </c>
      <c r="Y286" s="73">
        <f>T286-X286</f>
        <v>53466.666666666657</v>
      </c>
    </row>
    <row r="287" spans="1:25" x14ac:dyDescent="0.3">
      <c r="A287" s="65" t="s">
        <v>596</v>
      </c>
      <c r="B287" s="66" t="s">
        <v>595</v>
      </c>
      <c r="C287" s="66" t="s">
        <v>210</v>
      </c>
      <c r="D287" s="67">
        <v>23</v>
      </c>
      <c r="E287" s="68">
        <v>43852</v>
      </c>
      <c r="F287" s="69" t="s">
        <v>206</v>
      </c>
      <c r="G287" s="69" t="str">
        <f>B287&amp;"@gmail.com"</f>
        <v>Name 286@gmail.com</v>
      </c>
      <c r="H287" s="70">
        <v>32000</v>
      </c>
      <c r="I287" s="71">
        <f>H287*18%</f>
        <v>5760</v>
      </c>
      <c r="J287" s="71">
        <f>H287*5%</f>
        <v>1600</v>
      </c>
      <c r="K287" s="71">
        <v>1000</v>
      </c>
      <c r="L287" s="71">
        <v>0</v>
      </c>
      <c r="M287" s="71">
        <v>1600</v>
      </c>
      <c r="N287" s="71">
        <v>30</v>
      </c>
      <c r="O287" s="71">
        <f>(H287/30)*N287</f>
        <v>32000.000000000004</v>
      </c>
      <c r="P287" s="72">
        <v>1</v>
      </c>
      <c r="Q287" s="72">
        <f>N287*P287</f>
        <v>30</v>
      </c>
      <c r="R287" s="71">
        <f>(H287/30)/8</f>
        <v>133.33333333333334</v>
      </c>
      <c r="S287" s="71">
        <f>Q287*R287</f>
        <v>4000.0000000000005</v>
      </c>
      <c r="T287" s="73">
        <f>I287+J287+K287+L287+M287+O287+S287</f>
        <v>45960</v>
      </c>
      <c r="U287" s="73">
        <v>200</v>
      </c>
      <c r="V287" s="73">
        <f>H287*12%</f>
        <v>3840</v>
      </c>
      <c r="W287" s="73">
        <v>5000</v>
      </c>
      <c r="X287" s="73">
        <f>SUM(U287:W287)</f>
        <v>9040</v>
      </c>
      <c r="Y287" s="73">
        <f>T287-X287</f>
        <v>36920</v>
      </c>
    </row>
    <row r="288" spans="1:25" x14ac:dyDescent="0.3">
      <c r="A288" s="65" t="s">
        <v>594</v>
      </c>
      <c r="B288" s="66" t="s">
        <v>593</v>
      </c>
      <c r="C288" s="66" t="s">
        <v>207</v>
      </c>
      <c r="D288" s="67">
        <v>34</v>
      </c>
      <c r="E288" s="68">
        <v>43853</v>
      </c>
      <c r="F288" s="69" t="s">
        <v>206</v>
      </c>
      <c r="G288" s="69" t="str">
        <f>B288&amp;"@gmail.com"</f>
        <v>Name 287@gmail.com</v>
      </c>
      <c r="H288" s="70">
        <v>28000</v>
      </c>
      <c r="I288" s="71">
        <f>H288*18%</f>
        <v>5040</v>
      </c>
      <c r="J288" s="71">
        <f>H288*5%</f>
        <v>1400</v>
      </c>
      <c r="K288" s="71">
        <v>1000</v>
      </c>
      <c r="L288" s="71">
        <v>0</v>
      </c>
      <c r="M288" s="71">
        <v>1600</v>
      </c>
      <c r="N288" s="71">
        <v>29</v>
      </c>
      <c r="O288" s="71">
        <f>(H288/30)*N288</f>
        <v>27066.666666666668</v>
      </c>
      <c r="P288" s="72">
        <v>1</v>
      </c>
      <c r="Q288" s="72">
        <f>N288*P288</f>
        <v>29</v>
      </c>
      <c r="R288" s="71">
        <f>(H288/30)/8</f>
        <v>116.66666666666667</v>
      </c>
      <c r="S288" s="71">
        <f>Q288*R288</f>
        <v>3383.3333333333335</v>
      </c>
      <c r="T288" s="73">
        <f>I288+J288+K288+L288+M288+O288+S288</f>
        <v>39490.000000000007</v>
      </c>
      <c r="U288" s="73">
        <v>200</v>
      </c>
      <c r="V288" s="73">
        <f>H288*12%</f>
        <v>3360</v>
      </c>
      <c r="W288" s="73">
        <v>0</v>
      </c>
      <c r="X288" s="73">
        <f>SUM(U288:W288)</f>
        <v>3560</v>
      </c>
      <c r="Y288" s="73">
        <f>T288-X288</f>
        <v>35930.000000000007</v>
      </c>
    </row>
    <row r="289" spans="1:25" x14ac:dyDescent="0.3">
      <c r="A289" s="65" t="s">
        <v>592</v>
      </c>
      <c r="B289" s="66" t="s">
        <v>591</v>
      </c>
      <c r="C289" s="66" t="s">
        <v>214</v>
      </c>
      <c r="D289" s="67">
        <v>23</v>
      </c>
      <c r="E289" s="68">
        <v>43854</v>
      </c>
      <c r="F289" s="69" t="s">
        <v>213</v>
      </c>
      <c r="G289" s="69" t="str">
        <f>B289&amp;"@gmail.com"</f>
        <v>Name 288@gmail.com</v>
      </c>
      <c r="H289" s="70">
        <v>44000</v>
      </c>
      <c r="I289" s="71">
        <f>H289*18%</f>
        <v>7920</v>
      </c>
      <c r="J289" s="71">
        <f>H289*5%</f>
        <v>2200</v>
      </c>
      <c r="K289" s="71">
        <v>1000</v>
      </c>
      <c r="L289" s="71">
        <v>0</v>
      </c>
      <c r="M289" s="71">
        <v>1600</v>
      </c>
      <c r="N289" s="71">
        <v>28</v>
      </c>
      <c r="O289" s="71">
        <f>(H289/30)*N289</f>
        <v>41066.666666666672</v>
      </c>
      <c r="P289" s="72">
        <v>1</v>
      </c>
      <c r="Q289" s="72">
        <f>N289*P289</f>
        <v>28</v>
      </c>
      <c r="R289" s="71">
        <f>(H289/30)/8</f>
        <v>183.33333333333334</v>
      </c>
      <c r="S289" s="71">
        <f>Q289*R289</f>
        <v>5133.3333333333339</v>
      </c>
      <c r="T289" s="73">
        <f>I289+J289+K289+L289+M289+O289+S289</f>
        <v>58920.000000000007</v>
      </c>
      <c r="U289" s="73">
        <v>200</v>
      </c>
      <c r="V289" s="73">
        <f>H289*12%</f>
        <v>5280</v>
      </c>
      <c r="W289" s="73">
        <v>0</v>
      </c>
      <c r="X289" s="73">
        <f>SUM(U289:W289)</f>
        <v>5480</v>
      </c>
      <c r="Y289" s="73">
        <f>T289-X289</f>
        <v>53440.000000000007</v>
      </c>
    </row>
    <row r="290" spans="1:25" x14ac:dyDescent="0.3">
      <c r="A290" s="65" t="s">
        <v>590</v>
      </c>
      <c r="B290" s="66" t="s">
        <v>589</v>
      </c>
      <c r="C290" s="66" t="s">
        <v>210</v>
      </c>
      <c r="D290" s="67">
        <v>34</v>
      </c>
      <c r="E290" s="68">
        <v>43831</v>
      </c>
      <c r="F290" s="69" t="s">
        <v>206</v>
      </c>
      <c r="G290" s="69" t="str">
        <f>B290&amp;"@gmail.com"</f>
        <v>Name 289@gmail.com</v>
      </c>
      <c r="H290" s="70">
        <v>25000</v>
      </c>
      <c r="I290" s="71">
        <f>H290*18%</f>
        <v>4500</v>
      </c>
      <c r="J290" s="71">
        <f>H290*5%</f>
        <v>1250</v>
      </c>
      <c r="K290" s="71">
        <v>1000</v>
      </c>
      <c r="L290" s="71">
        <v>0</v>
      </c>
      <c r="M290" s="71">
        <v>1600</v>
      </c>
      <c r="N290" s="71">
        <v>27</v>
      </c>
      <c r="O290" s="71">
        <f>(H290/30)*N290</f>
        <v>22500</v>
      </c>
      <c r="P290" s="72">
        <v>1</v>
      </c>
      <c r="Q290" s="72">
        <f>N290*P290</f>
        <v>27</v>
      </c>
      <c r="R290" s="71">
        <f>(H290/30)/8</f>
        <v>104.16666666666667</v>
      </c>
      <c r="S290" s="71">
        <f>Q290*R290</f>
        <v>2812.5</v>
      </c>
      <c r="T290" s="73">
        <f>I290+J290+K290+L290+M290+O290+S290</f>
        <v>33662.5</v>
      </c>
      <c r="U290" s="73">
        <v>200</v>
      </c>
      <c r="V290" s="73">
        <f>H290*12%</f>
        <v>3000</v>
      </c>
      <c r="W290" s="73">
        <v>0</v>
      </c>
      <c r="X290" s="73">
        <f>SUM(U290:W290)</f>
        <v>3200</v>
      </c>
      <c r="Y290" s="73">
        <f>T290-X290</f>
        <v>30462.5</v>
      </c>
    </row>
    <row r="291" spans="1:25" x14ac:dyDescent="0.3">
      <c r="A291" s="65" t="s">
        <v>588</v>
      </c>
      <c r="B291" s="66" t="s">
        <v>587</v>
      </c>
      <c r="C291" s="66" t="s">
        <v>214</v>
      </c>
      <c r="D291" s="67">
        <v>23</v>
      </c>
      <c r="E291" s="68">
        <v>43832</v>
      </c>
      <c r="F291" s="69" t="s">
        <v>206</v>
      </c>
      <c r="G291" s="69" t="str">
        <f>B291&amp;"@gmail.com"</f>
        <v>Name 290@gmail.com</v>
      </c>
      <c r="H291" s="70">
        <v>50000</v>
      </c>
      <c r="I291" s="71">
        <f>H291*18%</f>
        <v>9000</v>
      </c>
      <c r="J291" s="71">
        <f>H291*5%</f>
        <v>2500</v>
      </c>
      <c r="K291" s="71">
        <v>1000</v>
      </c>
      <c r="L291" s="71">
        <v>0</v>
      </c>
      <c r="M291" s="71">
        <v>1600</v>
      </c>
      <c r="N291" s="71">
        <v>27</v>
      </c>
      <c r="O291" s="71">
        <f>(H291/30)*N291</f>
        <v>45000</v>
      </c>
      <c r="P291" s="72">
        <v>3</v>
      </c>
      <c r="Q291" s="72">
        <f>N291*P291</f>
        <v>81</v>
      </c>
      <c r="R291" s="71">
        <f>(H291/30)/8</f>
        <v>208.33333333333334</v>
      </c>
      <c r="S291" s="71">
        <f>Q291*R291</f>
        <v>16875</v>
      </c>
      <c r="T291" s="73">
        <f>I291+J291+K291+L291+M291+O291+S291</f>
        <v>75975</v>
      </c>
      <c r="U291" s="73">
        <v>201</v>
      </c>
      <c r="V291" s="73">
        <f>H291*12%</f>
        <v>6000</v>
      </c>
      <c r="W291" s="73">
        <v>0</v>
      </c>
      <c r="X291" s="73">
        <f>SUM(U291:W291)</f>
        <v>6201</v>
      </c>
      <c r="Y291" s="73">
        <f>T291-X291</f>
        <v>69774</v>
      </c>
    </row>
    <row r="292" spans="1:25" x14ac:dyDescent="0.3">
      <c r="A292" s="65" t="s">
        <v>586</v>
      </c>
      <c r="B292" s="66" t="s">
        <v>585</v>
      </c>
      <c r="C292" s="66" t="s">
        <v>214</v>
      </c>
      <c r="D292" s="67">
        <v>34</v>
      </c>
      <c r="E292" s="68">
        <v>43833</v>
      </c>
      <c r="F292" s="69" t="s">
        <v>213</v>
      </c>
      <c r="G292" s="69" t="str">
        <f>B292&amp;"@gmail.com"</f>
        <v>Name 291@gmail.com</v>
      </c>
      <c r="H292" s="70">
        <v>70000</v>
      </c>
      <c r="I292" s="71">
        <f>H292*18%</f>
        <v>12600</v>
      </c>
      <c r="J292" s="71">
        <f>H292*5%</f>
        <v>3500</v>
      </c>
      <c r="K292" s="71">
        <v>1000</v>
      </c>
      <c r="L292" s="71">
        <v>0</v>
      </c>
      <c r="M292" s="71">
        <v>1600</v>
      </c>
      <c r="N292" s="71">
        <v>27</v>
      </c>
      <c r="O292" s="71">
        <f>(H292/30)*N292</f>
        <v>63000.000000000007</v>
      </c>
      <c r="P292" s="72">
        <v>1</v>
      </c>
      <c r="Q292" s="72">
        <f>N292*P292</f>
        <v>27</v>
      </c>
      <c r="R292" s="71">
        <f>(H292/30)/8</f>
        <v>291.66666666666669</v>
      </c>
      <c r="S292" s="71">
        <f>Q292*R292</f>
        <v>7875.0000000000009</v>
      </c>
      <c r="T292" s="73">
        <f>I292+J292+K292+L292+M292+O292+S292</f>
        <v>89575</v>
      </c>
      <c r="U292" s="73">
        <v>202</v>
      </c>
      <c r="V292" s="73">
        <f>H292*12%</f>
        <v>8400</v>
      </c>
      <c r="W292" s="73">
        <v>0</v>
      </c>
      <c r="X292" s="73">
        <f>SUM(U292:W292)</f>
        <v>8602</v>
      </c>
      <c r="Y292" s="73">
        <f>T292-X292</f>
        <v>80973</v>
      </c>
    </row>
    <row r="293" spans="1:25" x14ac:dyDescent="0.3">
      <c r="A293" s="65" t="s">
        <v>584</v>
      </c>
      <c r="B293" s="66" t="s">
        <v>583</v>
      </c>
      <c r="C293" s="66" t="s">
        <v>214</v>
      </c>
      <c r="D293" s="67">
        <v>45</v>
      </c>
      <c r="E293" s="68">
        <v>43834</v>
      </c>
      <c r="F293" s="69" t="s">
        <v>213</v>
      </c>
      <c r="G293" s="69" t="str">
        <f>B293&amp;"@gmail.com"</f>
        <v>Name 292@gmail.com</v>
      </c>
      <c r="H293" s="70">
        <v>34000</v>
      </c>
      <c r="I293" s="71">
        <f>H293*18%</f>
        <v>6120</v>
      </c>
      <c r="J293" s="71">
        <f>H293*5%</f>
        <v>1700</v>
      </c>
      <c r="K293" s="71">
        <v>1000</v>
      </c>
      <c r="L293" s="71">
        <v>2000</v>
      </c>
      <c r="M293" s="71">
        <v>1600</v>
      </c>
      <c r="N293" s="71">
        <v>30</v>
      </c>
      <c r="O293" s="71">
        <f>(H293/30)*N293</f>
        <v>34000</v>
      </c>
      <c r="P293" s="72">
        <v>2</v>
      </c>
      <c r="Q293" s="72">
        <f>N293*P293</f>
        <v>60</v>
      </c>
      <c r="R293" s="71">
        <f>(H293/30)/8</f>
        <v>141.66666666666666</v>
      </c>
      <c r="S293" s="71">
        <f>Q293*R293</f>
        <v>8500</v>
      </c>
      <c r="T293" s="73">
        <f>I293+J293+K293+L293+M293+O293+S293</f>
        <v>54920</v>
      </c>
      <c r="U293" s="73">
        <v>203</v>
      </c>
      <c r="V293" s="73">
        <f>H293*12%</f>
        <v>4080</v>
      </c>
      <c r="W293" s="73">
        <v>0</v>
      </c>
      <c r="X293" s="73">
        <f>SUM(U293:W293)</f>
        <v>4283</v>
      </c>
      <c r="Y293" s="73">
        <f>T293-X293</f>
        <v>50637</v>
      </c>
    </row>
    <row r="294" spans="1:25" x14ac:dyDescent="0.3">
      <c r="A294" s="65" t="s">
        <v>582</v>
      </c>
      <c r="B294" s="66" t="s">
        <v>581</v>
      </c>
      <c r="C294" s="66" t="s">
        <v>214</v>
      </c>
      <c r="D294" s="67">
        <v>54</v>
      </c>
      <c r="E294" s="68">
        <v>43835</v>
      </c>
      <c r="F294" s="69" t="s">
        <v>213</v>
      </c>
      <c r="G294" s="69" t="str">
        <f>B294&amp;"@gmail.com"</f>
        <v>Name 293@gmail.com</v>
      </c>
      <c r="H294" s="70">
        <v>45000</v>
      </c>
      <c r="I294" s="71">
        <f>H294*18%</f>
        <v>8100</v>
      </c>
      <c r="J294" s="71">
        <f>H294*5%</f>
        <v>2250</v>
      </c>
      <c r="K294" s="71">
        <v>1000</v>
      </c>
      <c r="L294" s="71">
        <v>5000</v>
      </c>
      <c r="M294" s="71">
        <v>1600</v>
      </c>
      <c r="N294" s="71">
        <v>30</v>
      </c>
      <c r="O294" s="71">
        <f>(H294/30)*N294</f>
        <v>45000</v>
      </c>
      <c r="P294" s="72">
        <v>0</v>
      </c>
      <c r="Q294" s="72">
        <f>N294*P294</f>
        <v>0</v>
      </c>
      <c r="R294" s="71">
        <f>(H294/30)/8</f>
        <v>187.5</v>
      </c>
      <c r="S294" s="71">
        <f>Q294*R294</f>
        <v>0</v>
      </c>
      <c r="T294" s="73">
        <f>I294+J294+K294+L294+M294+O294+S294</f>
        <v>62950</v>
      </c>
      <c r="U294" s="73">
        <v>204</v>
      </c>
      <c r="V294" s="73">
        <f>H294*12%</f>
        <v>5400</v>
      </c>
      <c r="W294" s="73">
        <v>4000</v>
      </c>
      <c r="X294" s="73">
        <f>SUM(U294:W294)</f>
        <v>9604</v>
      </c>
      <c r="Y294" s="73">
        <f>T294-X294</f>
        <v>53346</v>
      </c>
    </row>
    <row r="295" spans="1:25" x14ac:dyDescent="0.3">
      <c r="A295" s="65" t="s">
        <v>580</v>
      </c>
      <c r="B295" s="66" t="s">
        <v>579</v>
      </c>
      <c r="C295" s="66" t="s">
        <v>214</v>
      </c>
      <c r="D295" s="67">
        <v>56</v>
      </c>
      <c r="E295" s="68">
        <v>43836</v>
      </c>
      <c r="F295" s="69" t="s">
        <v>213</v>
      </c>
      <c r="G295" s="69" t="str">
        <f>B295&amp;"@gmail.com"</f>
        <v>Name 294@gmail.com</v>
      </c>
      <c r="H295" s="70">
        <v>55000</v>
      </c>
      <c r="I295" s="71">
        <f>H295*18%</f>
        <v>9900</v>
      </c>
      <c r="J295" s="71">
        <f>H295*5%</f>
        <v>2750</v>
      </c>
      <c r="K295" s="71">
        <v>1000</v>
      </c>
      <c r="L295" s="71">
        <v>0</v>
      </c>
      <c r="M295" s="71">
        <v>1600</v>
      </c>
      <c r="N295" s="71">
        <v>30</v>
      </c>
      <c r="O295" s="71">
        <f>(H295/30)*N295</f>
        <v>55000</v>
      </c>
      <c r="P295" s="72">
        <v>1</v>
      </c>
      <c r="Q295" s="72">
        <f>N295*P295</f>
        <v>30</v>
      </c>
      <c r="R295" s="71">
        <f>(H295/30)/8</f>
        <v>229.16666666666666</v>
      </c>
      <c r="S295" s="71">
        <f>Q295*R295</f>
        <v>6875</v>
      </c>
      <c r="T295" s="73">
        <f>I295+J295+K295+L295+M295+O295+S295</f>
        <v>77125</v>
      </c>
      <c r="U295" s="73">
        <v>205</v>
      </c>
      <c r="V295" s="73">
        <f>H295*12%</f>
        <v>6600</v>
      </c>
      <c r="W295" s="73">
        <v>0</v>
      </c>
      <c r="X295" s="73">
        <f>SUM(U295:W295)</f>
        <v>6805</v>
      </c>
      <c r="Y295" s="73">
        <f>T295-X295</f>
        <v>70320</v>
      </c>
    </row>
    <row r="296" spans="1:25" x14ac:dyDescent="0.3">
      <c r="A296" s="65" t="s">
        <v>578</v>
      </c>
      <c r="B296" s="66" t="s">
        <v>577</v>
      </c>
      <c r="C296" s="66" t="s">
        <v>210</v>
      </c>
      <c r="D296" s="67">
        <v>54</v>
      </c>
      <c r="E296" s="68">
        <v>43837</v>
      </c>
      <c r="F296" s="69" t="s">
        <v>206</v>
      </c>
      <c r="G296" s="69" t="str">
        <f>B296&amp;"@gmail.com"</f>
        <v>Name 295@gmail.com</v>
      </c>
      <c r="H296" s="70">
        <v>43000</v>
      </c>
      <c r="I296" s="71">
        <f>H296*18%</f>
        <v>7740</v>
      </c>
      <c r="J296" s="71">
        <f>H296*5%</f>
        <v>2150</v>
      </c>
      <c r="K296" s="71">
        <v>1000</v>
      </c>
      <c r="L296" s="71">
        <v>0</v>
      </c>
      <c r="M296" s="71">
        <v>1600</v>
      </c>
      <c r="N296" s="71">
        <v>27</v>
      </c>
      <c r="O296" s="71">
        <f>(H296/30)*N296</f>
        <v>38700</v>
      </c>
      <c r="P296" s="72">
        <v>1</v>
      </c>
      <c r="Q296" s="72">
        <f>N296*P296</f>
        <v>27</v>
      </c>
      <c r="R296" s="71">
        <f>(H296/30)/8</f>
        <v>179.16666666666666</v>
      </c>
      <c r="S296" s="71">
        <f>Q296*R296</f>
        <v>4837.5</v>
      </c>
      <c r="T296" s="73">
        <f>I296+J296+K296+L296+M296+O296+S296</f>
        <v>56027.5</v>
      </c>
      <c r="U296" s="73">
        <v>200</v>
      </c>
      <c r="V296" s="73">
        <f>H296*12%</f>
        <v>5160</v>
      </c>
      <c r="W296" s="73">
        <v>0</v>
      </c>
      <c r="X296" s="73">
        <f>SUM(U296:W296)</f>
        <v>5360</v>
      </c>
      <c r="Y296" s="73">
        <f>T296-X296</f>
        <v>50667.5</v>
      </c>
    </row>
    <row r="297" spans="1:25" x14ac:dyDescent="0.3">
      <c r="A297" s="65" t="s">
        <v>576</v>
      </c>
      <c r="B297" s="66" t="s">
        <v>575</v>
      </c>
      <c r="C297" s="66" t="s">
        <v>207</v>
      </c>
      <c r="D297" s="67">
        <v>34</v>
      </c>
      <c r="E297" s="68">
        <v>43838</v>
      </c>
      <c r="F297" s="69" t="s">
        <v>206</v>
      </c>
      <c r="G297" s="69" t="str">
        <f>B297&amp;"@gmail.com"</f>
        <v>Name 296@gmail.com</v>
      </c>
      <c r="H297" s="70">
        <v>25000</v>
      </c>
      <c r="I297" s="71">
        <f>H297*18%</f>
        <v>4500</v>
      </c>
      <c r="J297" s="71">
        <f>H297*5%</f>
        <v>1250</v>
      </c>
      <c r="K297" s="71">
        <v>1000</v>
      </c>
      <c r="L297" s="71">
        <v>0</v>
      </c>
      <c r="M297" s="71">
        <v>1600</v>
      </c>
      <c r="N297" s="71">
        <v>30</v>
      </c>
      <c r="O297" s="71">
        <f>(H297/30)*N297</f>
        <v>25000</v>
      </c>
      <c r="P297" s="72">
        <v>0</v>
      </c>
      <c r="Q297" s="72">
        <f>N297*P297</f>
        <v>0</v>
      </c>
      <c r="R297" s="71">
        <f>(H297/30)/8</f>
        <v>104.16666666666667</v>
      </c>
      <c r="S297" s="71">
        <f>Q297*R297</f>
        <v>0</v>
      </c>
      <c r="T297" s="73">
        <f>I297+J297+K297+L297+M297+O297+S297</f>
        <v>33350</v>
      </c>
      <c r="U297" s="73">
        <v>200</v>
      </c>
      <c r="V297" s="73">
        <f>H297*12%</f>
        <v>3000</v>
      </c>
      <c r="W297" s="73">
        <v>0</v>
      </c>
      <c r="X297" s="73">
        <f>SUM(U297:W297)</f>
        <v>3200</v>
      </c>
      <c r="Y297" s="73">
        <f>T297-X297</f>
        <v>30150</v>
      </c>
    </row>
    <row r="298" spans="1:25" x14ac:dyDescent="0.3">
      <c r="A298" s="65" t="s">
        <v>574</v>
      </c>
      <c r="B298" s="66" t="s">
        <v>573</v>
      </c>
      <c r="C298" s="66" t="s">
        <v>214</v>
      </c>
      <c r="D298" s="67">
        <v>23</v>
      </c>
      <c r="E298" s="68">
        <v>43839</v>
      </c>
      <c r="F298" s="69" t="s">
        <v>206</v>
      </c>
      <c r="G298" s="69" t="str">
        <f>B298&amp;"@gmail.com"</f>
        <v>Name 297@gmail.com</v>
      </c>
      <c r="H298" s="70">
        <v>28000</v>
      </c>
      <c r="I298" s="71">
        <f>H298*18%</f>
        <v>5040</v>
      </c>
      <c r="J298" s="71">
        <f>H298*5%</f>
        <v>1400</v>
      </c>
      <c r="K298" s="71">
        <v>1000</v>
      </c>
      <c r="L298" s="71">
        <v>0</v>
      </c>
      <c r="M298" s="71">
        <v>1600</v>
      </c>
      <c r="N298" s="71">
        <v>20</v>
      </c>
      <c r="O298" s="71">
        <f>(H298/30)*N298</f>
        <v>18666.666666666668</v>
      </c>
      <c r="P298" s="72">
        <v>0</v>
      </c>
      <c r="Q298" s="72">
        <f>N298*P298</f>
        <v>0</v>
      </c>
      <c r="R298" s="71">
        <f>(H298/30)/8</f>
        <v>116.66666666666667</v>
      </c>
      <c r="S298" s="71">
        <f>Q298*R298</f>
        <v>0</v>
      </c>
      <c r="T298" s="73">
        <f>I298+J298+K298+L298+M298+O298+S298</f>
        <v>27706.666666666668</v>
      </c>
      <c r="U298" s="73">
        <v>200</v>
      </c>
      <c r="V298" s="73">
        <f>H298*12%</f>
        <v>3360</v>
      </c>
      <c r="W298" s="73">
        <v>0</v>
      </c>
      <c r="X298" s="73">
        <f>SUM(U298:W298)</f>
        <v>3560</v>
      </c>
      <c r="Y298" s="73">
        <f>T298-X298</f>
        <v>24146.666666666668</v>
      </c>
    </row>
    <row r="299" spans="1:25" x14ac:dyDescent="0.3">
      <c r="A299" s="65" t="s">
        <v>572</v>
      </c>
      <c r="B299" s="66" t="s">
        <v>571</v>
      </c>
      <c r="C299" s="66" t="s">
        <v>210</v>
      </c>
      <c r="D299" s="67">
        <v>34</v>
      </c>
      <c r="E299" s="68">
        <v>43840</v>
      </c>
      <c r="F299" s="69" t="s">
        <v>206</v>
      </c>
      <c r="G299" s="69" t="str">
        <f>B299&amp;"@gmail.com"</f>
        <v>Name 298@gmail.com</v>
      </c>
      <c r="H299" s="70">
        <v>40000</v>
      </c>
      <c r="I299" s="71">
        <f>H299*18%</f>
        <v>7200</v>
      </c>
      <c r="J299" s="71">
        <f>H299*5%</f>
        <v>2000</v>
      </c>
      <c r="K299" s="71">
        <v>1000</v>
      </c>
      <c r="L299" s="71">
        <v>0</v>
      </c>
      <c r="M299" s="71">
        <v>1600</v>
      </c>
      <c r="N299" s="71">
        <v>28</v>
      </c>
      <c r="O299" s="71">
        <f>(H299/30)*N299</f>
        <v>37333.333333333328</v>
      </c>
      <c r="P299" s="72">
        <v>2</v>
      </c>
      <c r="Q299" s="72">
        <f>N299*P299</f>
        <v>56</v>
      </c>
      <c r="R299" s="71">
        <f>(H299/30)/8</f>
        <v>166.66666666666666</v>
      </c>
      <c r="S299" s="71">
        <f>Q299*R299</f>
        <v>9333.3333333333321</v>
      </c>
      <c r="T299" s="73">
        <f>I299+J299+K299+L299+M299+O299+S299</f>
        <v>58466.666666666657</v>
      </c>
      <c r="U299" s="73">
        <v>200</v>
      </c>
      <c r="V299" s="73">
        <f>H299*12%</f>
        <v>4800</v>
      </c>
      <c r="W299" s="73">
        <v>0</v>
      </c>
      <c r="X299" s="73">
        <f>SUM(U299:W299)</f>
        <v>5000</v>
      </c>
      <c r="Y299" s="73">
        <f>T299-X299</f>
        <v>53466.666666666657</v>
      </c>
    </row>
    <row r="300" spans="1:25" x14ac:dyDescent="0.3">
      <c r="A300" s="65" t="s">
        <v>570</v>
      </c>
      <c r="B300" s="66" t="s">
        <v>569</v>
      </c>
      <c r="C300" s="66" t="s">
        <v>210</v>
      </c>
      <c r="D300" s="67">
        <v>43</v>
      </c>
      <c r="E300" s="68">
        <v>43841</v>
      </c>
      <c r="F300" s="69" t="s">
        <v>206</v>
      </c>
      <c r="G300" s="69" t="str">
        <f>B300&amp;"@gmail.com"</f>
        <v>Name 299@gmail.com</v>
      </c>
      <c r="H300" s="70">
        <v>32000</v>
      </c>
      <c r="I300" s="71">
        <f>H300*18%</f>
        <v>5760</v>
      </c>
      <c r="J300" s="71">
        <f>H300*5%</f>
        <v>1600</v>
      </c>
      <c r="K300" s="71">
        <v>1000</v>
      </c>
      <c r="L300" s="71">
        <v>0</v>
      </c>
      <c r="M300" s="71">
        <v>1600</v>
      </c>
      <c r="N300" s="71">
        <v>30</v>
      </c>
      <c r="O300" s="71">
        <f>(H300/30)*N300</f>
        <v>32000.000000000004</v>
      </c>
      <c r="P300" s="72">
        <v>1</v>
      </c>
      <c r="Q300" s="72">
        <f>N300*P300</f>
        <v>30</v>
      </c>
      <c r="R300" s="71">
        <f>(H300/30)/8</f>
        <v>133.33333333333334</v>
      </c>
      <c r="S300" s="71">
        <f>Q300*R300</f>
        <v>4000.0000000000005</v>
      </c>
      <c r="T300" s="73">
        <f>I300+J300+K300+L300+M300+O300+S300</f>
        <v>45960</v>
      </c>
      <c r="U300" s="73">
        <v>200</v>
      </c>
      <c r="V300" s="73">
        <f>H300*12%</f>
        <v>3840</v>
      </c>
      <c r="W300" s="73">
        <v>5000</v>
      </c>
      <c r="X300" s="73">
        <f>SUM(U300:W300)</f>
        <v>9040</v>
      </c>
      <c r="Y300" s="73">
        <f>T300-X300</f>
        <v>36920</v>
      </c>
    </row>
    <row r="301" spans="1:25" x14ac:dyDescent="0.3">
      <c r="A301" s="65" t="s">
        <v>568</v>
      </c>
      <c r="B301" s="66" t="s">
        <v>567</v>
      </c>
      <c r="C301" s="66" t="s">
        <v>207</v>
      </c>
      <c r="D301" s="67">
        <v>34</v>
      </c>
      <c r="E301" s="68">
        <v>43842</v>
      </c>
      <c r="F301" s="69" t="s">
        <v>206</v>
      </c>
      <c r="G301" s="69" t="str">
        <f>B301&amp;"@gmail.com"</f>
        <v>Name 300@gmail.com</v>
      </c>
      <c r="H301" s="70">
        <v>28000</v>
      </c>
      <c r="I301" s="71">
        <f>H301*18%</f>
        <v>5040</v>
      </c>
      <c r="J301" s="71">
        <f>H301*5%</f>
        <v>1400</v>
      </c>
      <c r="K301" s="71">
        <v>1000</v>
      </c>
      <c r="L301" s="71">
        <v>0</v>
      </c>
      <c r="M301" s="71">
        <v>1600</v>
      </c>
      <c r="N301" s="71">
        <v>29</v>
      </c>
      <c r="O301" s="71">
        <f>(H301/30)*N301</f>
        <v>27066.666666666668</v>
      </c>
      <c r="P301" s="72">
        <v>1</v>
      </c>
      <c r="Q301" s="72">
        <f>N301*P301</f>
        <v>29</v>
      </c>
      <c r="R301" s="71">
        <f>(H301/30)/8</f>
        <v>116.66666666666667</v>
      </c>
      <c r="S301" s="71">
        <f>Q301*R301</f>
        <v>3383.3333333333335</v>
      </c>
      <c r="T301" s="73">
        <f>I301+J301+K301+L301+M301+O301+S301</f>
        <v>39490.000000000007</v>
      </c>
      <c r="U301" s="73">
        <v>200</v>
      </c>
      <c r="V301" s="73">
        <f>H301*12%</f>
        <v>3360</v>
      </c>
      <c r="W301" s="73">
        <v>0</v>
      </c>
      <c r="X301" s="73">
        <f>SUM(U301:W301)</f>
        <v>3560</v>
      </c>
      <c r="Y301" s="73">
        <f>T301-X301</f>
        <v>35930.000000000007</v>
      </c>
    </row>
    <row r="302" spans="1:25" x14ac:dyDescent="0.3">
      <c r="A302" s="65" t="s">
        <v>566</v>
      </c>
      <c r="B302" s="66" t="s">
        <v>565</v>
      </c>
      <c r="C302" s="66" t="s">
        <v>214</v>
      </c>
      <c r="D302" s="67">
        <v>43</v>
      </c>
      <c r="E302" s="68">
        <v>43843</v>
      </c>
      <c r="F302" s="69" t="s">
        <v>213</v>
      </c>
      <c r="G302" s="69" t="str">
        <f>B302&amp;"@gmail.com"</f>
        <v>Name 301@gmail.com</v>
      </c>
      <c r="H302" s="70">
        <v>44000</v>
      </c>
      <c r="I302" s="71">
        <f>H302*18%</f>
        <v>7920</v>
      </c>
      <c r="J302" s="71">
        <f>H302*5%</f>
        <v>2200</v>
      </c>
      <c r="K302" s="71">
        <v>1000</v>
      </c>
      <c r="L302" s="71">
        <v>0</v>
      </c>
      <c r="M302" s="71">
        <v>1600</v>
      </c>
      <c r="N302" s="71">
        <v>28</v>
      </c>
      <c r="O302" s="71">
        <f>(H302/30)*N302</f>
        <v>41066.666666666672</v>
      </c>
      <c r="P302" s="72">
        <v>1</v>
      </c>
      <c r="Q302" s="72">
        <f>N302*P302</f>
        <v>28</v>
      </c>
      <c r="R302" s="71">
        <f>(H302/30)/8</f>
        <v>183.33333333333334</v>
      </c>
      <c r="S302" s="71">
        <f>Q302*R302</f>
        <v>5133.3333333333339</v>
      </c>
      <c r="T302" s="73">
        <f>I302+J302+K302+L302+M302+O302+S302</f>
        <v>58920.000000000007</v>
      </c>
      <c r="U302" s="73">
        <v>200</v>
      </c>
      <c r="V302" s="73">
        <f>H302*12%</f>
        <v>5280</v>
      </c>
      <c r="W302" s="73">
        <v>0</v>
      </c>
      <c r="X302" s="73">
        <f>SUM(U302:W302)</f>
        <v>5480</v>
      </c>
      <c r="Y302" s="73">
        <f>T302-X302</f>
        <v>53440.000000000007</v>
      </c>
    </row>
    <row r="303" spans="1:25" x14ac:dyDescent="0.3">
      <c r="A303" s="65" t="s">
        <v>564</v>
      </c>
      <c r="B303" s="66" t="s">
        <v>563</v>
      </c>
      <c r="C303" s="66" t="s">
        <v>210</v>
      </c>
      <c r="D303" s="67">
        <v>23</v>
      </c>
      <c r="E303" s="68">
        <v>43844</v>
      </c>
      <c r="F303" s="69" t="s">
        <v>206</v>
      </c>
      <c r="G303" s="69" t="str">
        <f>B303&amp;"@gmail.com"</f>
        <v>Name 302@gmail.com</v>
      </c>
      <c r="H303" s="70">
        <v>25000</v>
      </c>
      <c r="I303" s="71">
        <f>H303*18%</f>
        <v>4500</v>
      </c>
      <c r="J303" s="71">
        <f>H303*5%</f>
        <v>1250</v>
      </c>
      <c r="K303" s="71">
        <v>1000</v>
      </c>
      <c r="L303" s="71">
        <v>0</v>
      </c>
      <c r="M303" s="71">
        <v>1600</v>
      </c>
      <c r="N303" s="71">
        <v>27</v>
      </c>
      <c r="O303" s="71">
        <f>(H303/30)*N303</f>
        <v>22500</v>
      </c>
      <c r="P303" s="72">
        <v>1</v>
      </c>
      <c r="Q303" s="72">
        <f>N303*P303</f>
        <v>27</v>
      </c>
      <c r="R303" s="71">
        <f>(H303/30)/8</f>
        <v>104.16666666666667</v>
      </c>
      <c r="S303" s="71">
        <f>Q303*R303</f>
        <v>2812.5</v>
      </c>
      <c r="T303" s="73">
        <f>I303+J303+K303+L303+M303+O303+S303</f>
        <v>33662.5</v>
      </c>
      <c r="U303" s="73">
        <v>200</v>
      </c>
      <c r="V303" s="73">
        <f>H303*12%</f>
        <v>3000</v>
      </c>
      <c r="W303" s="73">
        <v>0</v>
      </c>
      <c r="X303" s="73">
        <f>SUM(U303:W303)</f>
        <v>3200</v>
      </c>
      <c r="Y303" s="73">
        <f>T303-X303</f>
        <v>30462.5</v>
      </c>
    </row>
    <row r="304" spans="1:25" x14ac:dyDescent="0.3">
      <c r="A304" s="65" t="s">
        <v>562</v>
      </c>
      <c r="B304" s="66" t="s">
        <v>561</v>
      </c>
      <c r="C304" s="66" t="s">
        <v>214</v>
      </c>
      <c r="D304" s="67">
        <v>34</v>
      </c>
      <c r="E304" s="68">
        <v>43845</v>
      </c>
      <c r="F304" s="69" t="s">
        <v>206</v>
      </c>
      <c r="G304" s="69" t="str">
        <f>B304&amp;"@gmail.com"</f>
        <v>Name 303@gmail.com</v>
      </c>
      <c r="H304" s="70">
        <v>50000</v>
      </c>
      <c r="I304" s="71">
        <f>H304*18%</f>
        <v>9000</v>
      </c>
      <c r="J304" s="71">
        <f>H304*5%</f>
        <v>2500</v>
      </c>
      <c r="K304" s="71">
        <v>1000</v>
      </c>
      <c r="L304" s="71">
        <v>0</v>
      </c>
      <c r="M304" s="71">
        <v>1600</v>
      </c>
      <c r="N304" s="71">
        <v>27</v>
      </c>
      <c r="O304" s="71">
        <f>(H304/30)*N304</f>
        <v>45000</v>
      </c>
      <c r="P304" s="72">
        <v>3</v>
      </c>
      <c r="Q304" s="72">
        <f>N304*P304</f>
        <v>81</v>
      </c>
      <c r="R304" s="71">
        <f>(H304/30)/8</f>
        <v>208.33333333333334</v>
      </c>
      <c r="S304" s="71">
        <f>Q304*R304</f>
        <v>16875</v>
      </c>
      <c r="T304" s="73">
        <f>I304+J304+K304+L304+M304+O304+S304</f>
        <v>75975</v>
      </c>
      <c r="U304" s="73">
        <v>201</v>
      </c>
      <c r="V304" s="73">
        <f>H304*12%</f>
        <v>6000</v>
      </c>
      <c r="W304" s="73">
        <v>0</v>
      </c>
      <c r="X304" s="73">
        <f>SUM(U304:W304)</f>
        <v>6201</v>
      </c>
      <c r="Y304" s="73">
        <f>T304-X304</f>
        <v>69774</v>
      </c>
    </row>
    <row r="305" spans="1:25" x14ac:dyDescent="0.3">
      <c r="A305" s="65" t="s">
        <v>560</v>
      </c>
      <c r="B305" s="66" t="s">
        <v>559</v>
      </c>
      <c r="C305" s="66" t="s">
        <v>214</v>
      </c>
      <c r="D305" s="67">
        <v>23</v>
      </c>
      <c r="E305" s="68">
        <v>43846</v>
      </c>
      <c r="F305" s="69" t="s">
        <v>213</v>
      </c>
      <c r="G305" s="69" t="str">
        <f>B305&amp;"@gmail.com"</f>
        <v>Name 304@gmail.com</v>
      </c>
      <c r="H305" s="70">
        <v>70000</v>
      </c>
      <c r="I305" s="71">
        <f>H305*18%</f>
        <v>12600</v>
      </c>
      <c r="J305" s="71">
        <f>H305*5%</f>
        <v>3500</v>
      </c>
      <c r="K305" s="71">
        <v>1000</v>
      </c>
      <c r="L305" s="71">
        <v>0</v>
      </c>
      <c r="M305" s="71">
        <v>1600</v>
      </c>
      <c r="N305" s="71">
        <v>27</v>
      </c>
      <c r="O305" s="71">
        <f>(H305/30)*N305</f>
        <v>63000.000000000007</v>
      </c>
      <c r="P305" s="72">
        <v>1</v>
      </c>
      <c r="Q305" s="72">
        <f>N305*P305</f>
        <v>27</v>
      </c>
      <c r="R305" s="71">
        <f>(H305/30)/8</f>
        <v>291.66666666666669</v>
      </c>
      <c r="S305" s="71">
        <f>Q305*R305</f>
        <v>7875.0000000000009</v>
      </c>
      <c r="T305" s="73">
        <f>I305+J305+K305+L305+M305+O305+S305</f>
        <v>89575</v>
      </c>
      <c r="U305" s="73">
        <v>202</v>
      </c>
      <c r="V305" s="73">
        <f>H305*12%</f>
        <v>8400</v>
      </c>
      <c r="W305" s="73">
        <v>0</v>
      </c>
      <c r="X305" s="73">
        <f>SUM(U305:W305)</f>
        <v>8602</v>
      </c>
      <c r="Y305" s="73">
        <f>T305-X305</f>
        <v>80973</v>
      </c>
    </row>
    <row r="306" spans="1:25" x14ac:dyDescent="0.3">
      <c r="A306" s="65" t="s">
        <v>558</v>
      </c>
      <c r="B306" s="66" t="s">
        <v>557</v>
      </c>
      <c r="C306" s="66" t="s">
        <v>214</v>
      </c>
      <c r="D306" s="67">
        <v>34</v>
      </c>
      <c r="E306" s="68">
        <v>43847</v>
      </c>
      <c r="F306" s="69" t="s">
        <v>213</v>
      </c>
      <c r="G306" s="69" t="str">
        <f>B306&amp;"@gmail.com"</f>
        <v>Name 305@gmail.com</v>
      </c>
      <c r="H306" s="70">
        <v>34000</v>
      </c>
      <c r="I306" s="71">
        <f>H306*18%</f>
        <v>6120</v>
      </c>
      <c r="J306" s="71">
        <f>H306*5%</f>
        <v>1700</v>
      </c>
      <c r="K306" s="71">
        <v>1000</v>
      </c>
      <c r="L306" s="71">
        <v>2000</v>
      </c>
      <c r="M306" s="71">
        <v>1600</v>
      </c>
      <c r="N306" s="71">
        <v>30</v>
      </c>
      <c r="O306" s="71">
        <f>(H306/30)*N306</f>
        <v>34000</v>
      </c>
      <c r="P306" s="72">
        <v>2</v>
      </c>
      <c r="Q306" s="72">
        <f>N306*P306</f>
        <v>60</v>
      </c>
      <c r="R306" s="71">
        <f>(H306/30)/8</f>
        <v>141.66666666666666</v>
      </c>
      <c r="S306" s="71">
        <f>Q306*R306</f>
        <v>8500</v>
      </c>
      <c r="T306" s="73">
        <f>I306+J306+K306+L306+M306+O306+S306</f>
        <v>54920</v>
      </c>
      <c r="U306" s="73">
        <v>203</v>
      </c>
      <c r="V306" s="73">
        <f>H306*12%</f>
        <v>4080</v>
      </c>
      <c r="W306" s="73">
        <v>0</v>
      </c>
      <c r="X306" s="73">
        <f>SUM(U306:W306)</f>
        <v>4283</v>
      </c>
      <c r="Y306" s="73">
        <f>T306-X306</f>
        <v>50637</v>
      </c>
    </row>
    <row r="307" spans="1:25" x14ac:dyDescent="0.3">
      <c r="A307" s="65" t="s">
        <v>556</v>
      </c>
      <c r="B307" s="66" t="s">
        <v>555</v>
      </c>
      <c r="C307" s="66" t="s">
        <v>214</v>
      </c>
      <c r="D307" s="67">
        <v>23</v>
      </c>
      <c r="E307" s="68">
        <v>43848</v>
      </c>
      <c r="F307" s="69" t="s">
        <v>213</v>
      </c>
      <c r="G307" s="69" t="str">
        <f>B307&amp;"@gmail.com"</f>
        <v>Name 306@gmail.com</v>
      </c>
      <c r="H307" s="70">
        <v>45000</v>
      </c>
      <c r="I307" s="71">
        <f>H307*18%</f>
        <v>8100</v>
      </c>
      <c r="J307" s="71">
        <f>H307*5%</f>
        <v>2250</v>
      </c>
      <c r="K307" s="71">
        <v>1000</v>
      </c>
      <c r="L307" s="71">
        <v>5000</v>
      </c>
      <c r="M307" s="71">
        <v>1600</v>
      </c>
      <c r="N307" s="71">
        <v>30</v>
      </c>
      <c r="O307" s="71">
        <f>(H307/30)*N307</f>
        <v>45000</v>
      </c>
      <c r="P307" s="72">
        <v>0</v>
      </c>
      <c r="Q307" s="72">
        <f>N307*P307</f>
        <v>0</v>
      </c>
      <c r="R307" s="71">
        <f>(H307/30)/8</f>
        <v>187.5</v>
      </c>
      <c r="S307" s="71">
        <f>Q307*R307</f>
        <v>0</v>
      </c>
      <c r="T307" s="73">
        <f>I307+J307+K307+L307+M307+O307+S307</f>
        <v>62950</v>
      </c>
      <c r="U307" s="73">
        <v>204</v>
      </c>
      <c r="V307" s="73">
        <f>H307*12%</f>
        <v>5400</v>
      </c>
      <c r="W307" s="73">
        <v>4000</v>
      </c>
      <c r="X307" s="73">
        <f>SUM(U307:W307)</f>
        <v>9604</v>
      </c>
      <c r="Y307" s="73">
        <f>T307-X307</f>
        <v>53346</v>
      </c>
    </row>
    <row r="308" spans="1:25" x14ac:dyDescent="0.3">
      <c r="A308" s="65" t="s">
        <v>554</v>
      </c>
      <c r="B308" s="66" t="s">
        <v>553</v>
      </c>
      <c r="C308" s="66" t="s">
        <v>214</v>
      </c>
      <c r="D308" s="67">
        <v>34</v>
      </c>
      <c r="E308" s="68">
        <v>43849</v>
      </c>
      <c r="F308" s="69" t="s">
        <v>213</v>
      </c>
      <c r="G308" s="69" t="str">
        <f>B308&amp;"@gmail.com"</f>
        <v>Name 307@gmail.com</v>
      </c>
      <c r="H308" s="70">
        <v>55000</v>
      </c>
      <c r="I308" s="71">
        <f>H308*18%</f>
        <v>9900</v>
      </c>
      <c r="J308" s="71">
        <f>H308*5%</f>
        <v>2750</v>
      </c>
      <c r="K308" s="71">
        <v>1000</v>
      </c>
      <c r="L308" s="71">
        <v>0</v>
      </c>
      <c r="M308" s="71">
        <v>1600</v>
      </c>
      <c r="N308" s="71">
        <v>30</v>
      </c>
      <c r="O308" s="71">
        <f>(H308/30)*N308</f>
        <v>55000</v>
      </c>
      <c r="P308" s="72">
        <v>1</v>
      </c>
      <c r="Q308" s="72">
        <f>N308*P308</f>
        <v>30</v>
      </c>
      <c r="R308" s="71">
        <f>(H308/30)/8</f>
        <v>229.16666666666666</v>
      </c>
      <c r="S308" s="71">
        <f>Q308*R308</f>
        <v>6875</v>
      </c>
      <c r="T308" s="73">
        <f>I308+J308+K308+L308+M308+O308+S308</f>
        <v>77125</v>
      </c>
      <c r="U308" s="73">
        <v>205</v>
      </c>
      <c r="V308" s="73">
        <f>H308*12%</f>
        <v>6600</v>
      </c>
      <c r="W308" s="73">
        <v>0</v>
      </c>
      <c r="X308" s="73">
        <f>SUM(U308:W308)</f>
        <v>6805</v>
      </c>
      <c r="Y308" s="73">
        <f>T308-X308</f>
        <v>70320</v>
      </c>
    </row>
    <row r="309" spans="1:25" x14ac:dyDescent="0.3">
      <c r="A309" s="65" t="s">
        <v>552</v>
      </c>
      <c r="B309" s="66" t="s">
        <v>551</v>
      </c>
      <c r="C309" s="66" t="s">
        <v>210</v>
      </c>
      <c r="D309" s="67">
        <v>45</v>
      </c>
      <c r="E309" s="68">
        <v>43850</v>
      </c>
      <c r="F309" s="69" t="s">
        <v>206</v>
      </c>
      <c r="G309" s="69" t="str">
        <f>B309&amp;"@gmail.com"</f>
        <v>Name 308@gmail.com</v>
      </c>
      <c r="H309" s="70">
        <v>43000</v>
      </c>
      <c r="I309" s="71">
        <f>H309*18%</f>
        <v>7740</v>
      </c>
      <c r="J309" s="71">
        <f>H309*5%</f>
        <v>2150</v>
      </c>
      <c r="K309" s="71">
        <v>1000</v>
      </c>
      <c r="L309" s="71">
        <v>0</v>
      </c>
      <c r="M309" s="71">
        <v>1600</v>
      </c>
      <c r="N309" s="71">
        <v>27</v>
      </c>
      <c r="O309" s="71">
        <f>(H309/30)*N309</f>
        <v>38700</v>
      </c>
      <c r="P309" s="72">
        <v>1</v>
      </c>
      <c r="Q309" s="72">
        <f>N309*P309</f>
        <v>27</v>
      </c>
      <c r="R309" s="71">
        <f>(H309/30)/8</f>
        <v>179.16666666666666</v>
      </c>
      <c r="S309" s="71">
        <f>Q309*R309</f>
        <v>4837.5</v>
      </c>
      <c r="T309" s="73">
        <f>I309+J309+K309+L309+M309+O309+S309</f>
        <v>56027.5</v>
      </c>
      <c r="U309" s="73">
        <v>200</v>
      </c>
      <c r="V309" s="73">
        <f>H309*12%</f>
        <v>5160</v>
      </c>
      <c r="W309" s="73">
        <v>0</v>
      </c>
      <c r="X309" s="73">
        <f>SUM(U309:W309)</f>
        <v>5360</v>
      </c>
      <c r="Y309" s="73">
        <f>T309-X309</f>
        <v>50667.5</v>
      </c>
    </row>
    <row r="310" spans="1:25" x14ac:dyDescent="0.3">
      <c r="A310" s="65" t="s">
        <v>550</v>
      </c>
      <c r="B310" s="66" t="s">
        <v>549</v>
      </c>
      <c r="C310" s="66" t="s">
        <v>207</v>
      </c>
      <c r="D310" s="67">
        <v>54</v>
      </c>
      <c r="E310" s="68">
        <v>43851</v>
      </c>
      <c r="F310" s="69" t="s">
        <v>206</v>
      </c>
      <c r="G310" s="69" t="str">
        <f>B310&amp;"@gmail.com"</f>
        <v>Name 309@gmail.com</v>
      </c>
      <c r="H310" s="70">
        <v>25000</v>
      </c>
      <c r="I310" s="71">
        <f>H310*18%</f>
        <v>4500</v>
      </c>
      <c r="J310" s="71">
        <f>H310*5%</f>
        <v>1250</v>
      </c>
      <c r="K310" s="71">
        <v>1000</v>
      </c>
      <c r="L310" s="71">
        <v>0</v>
      </c>
      <c r="M310" s="71">
        <v>1600</v>
      </c>
      <c r="N310" s="71">
        <v>30</v>
      </c>
      <c r="O310" s="71">
        <f>(H310/30)*N310</f>
        <v>25000</v>
      </c>
      <c r="P310" s="72">
        <v>0</v>
      </c>
      <c r="Q310" s="72">
        <f>N310*P310</f>
        <v>0</v>
      </c>
      <c r="R310" s="71">
        <f>(H310/30)/8</f>
        <v>104.16666666666667</v>
      </c>
      <c r="S310" s="71">
        <f>Q310*R310</f>
        <v>0</v>
      </c>
      <c r="T310" s="73">
        <f>I310+J310+K310+L310+M310+O310+S310</f>
        <v>33350</v>
      </c>
      <c r="U310" s="73">
        <v>200</v>
      </c>
      <c r="V310" s="73">
        <f>H310*12%</f>
        <v>3000</v>
      </c>
      <c r="W310" s="73">
        <v>0</v>
      </c>
      <c r="X310" s="73">
        <f>SUM(U310:W310)</f>
        <v>3200</v>
      </c>
      <c r="Y310" s="73">
        <f>T310-X310</f>
        <v>30150</v>
      </c>
    </row>
    <row r="311" spans="1:25" x14ac:dyDescent="0.3">
      <c r="A311" s="65" t="s">
        <v>548</v>
      </c>
      <c r="B311" s="66" t="s">
        <v>547</v>
      </c>
      <c r="C311" s="66" t="s">
        <v>214</v>
      </c>
      <c r="D311" s="67">
        <v>56</v>
      </c>
      <c r="E311" s="68">
        <v>43852</v>
      </c>
      <c r="F311" s="69" t="s">
        <v>206</v>
      </c>
      <c r="G311" s="69" t="str">
        <f>B311&amp;"@gmail.com"</f>
        <v>Name 310@gmail.com</v>
      </c>
      <c r="H311" s="70">
        <v>28000</v>
      </c>
      <c r="I311" s="71">
        <f>H311*18%</f>
        <v>5040</v>
      </c>
      <c r="J311" s="71">
        <f>H311*5%</f>
        <v>1400</v>
      </c>
      <c r="K311" s="71">
        <v>1000</v>
      </c>
      <c r="L311" s="71">
        <v>0</v>
      </c>
      <c r="M311" s="71">
        <v>1600</v>
      </c>
      <c r="N311" s="71">
        <v>20</v>
      </c>
      <c r="O311" s="71">
        <f>(H311/30)*N311</f>
        <v>18666.666666666668</v>
      </c>
      <c r="P311" s="72">
        <v>0</v>
      </c>
      <c r="Q311" s="72">
        <f>N311*P311</f>
        <v>0</v>
      </c>
      <c r="R311" s="71">
        <f>(H311/30)/8</f>
        <v>116.66666666666667</v>
      </c>
      <c r="S311" s="71">
        <f>Q311*R311</f>
        <v>0</v>
      </c>
      <c r="T311" s="73">
        <f>I311+J311+K311+L311+M311+O311+S311</f>
        <v>27706.666666666668</v>
      </c>
      <c r="U311" s="73">
        <v>200</v>
      </c>
      <c r="V311" s="73">
        <f>H311*12%</f>
        <v>3360</v>
      </c>
      <c r="W311" s="73">
        <v>0</v>
      </c>
      <c r="X311" s="73">
        <f>SUM(U311:W311)</f>
        <v>3560</v>
      </c>
      <c r="Y311" s="73">
        <f>T311-X311</f>
        <v>24146.666666666668</v>
      </c>
    </row>
    <row r="312" spans="1:25" x14ac:dyDescent="0.3">
      <c r="A312" s="65" t="s">
        <v>546</v>
      </c>
      <c r="B312" s="66" t="s">
        <v>545</v>
      </c>
      <c r="C312" s="66" t="s">
        <v>210</v>
      </c>
      <c r="D312" s="67">
        <v>54</v>
      </c>
      <c r="E312" s="68">
        <v>43853</v>
      </c>
      <c r="F312" s="69" t="s">
        <v>206</v>
      </c>
      <c r="G312" s="69" t="str">
        <f>B312&amp;"@gmail.com"</f>
        <v>Name 311@gmail.com</v>
      </c>
      <c r="H312" s="70">
        <v>40000</v>
      </c>
      <c r="I312" s="71">
        <f>H312*18%</f>
        <v>7200</v>
      </c>
      <c r="J312" s="71">
        <f>H312*5%</f>
        <v>2000</v>
      </c>
      <c r="K312" s="71">
        <v>1000</v>
      </c>
      <c r="L312" s="71">
        <v>0</v>
      </c>
      <c r="M312" s="71">
        <v>1600</v>
      </c>
      <c r="N312" s="71">
        <v>28</v>
      </c>
      <c r="O312" s="71">
        <f>(H312/30)*N312</f>
        <v>37333.333333333328</v>
      </c>
      <c r="P312" s="72">
        <v>2</v>
      </c>
      <c r="Q312" s="72">
        <f>N312*P312</f>
        <v>56</v>
      </c>
      <c r="R312" s="71">
        <f>(H312/30)/8</f>
        <v>166.66666666666666</v>
      </c>
      <c r="S312" s="71">
        <f>Q312*R312</f>
        <v>9333.3333333333321</v>
      </c>
      <c r="T312" s="73">
        <f>I312+J312+K312+L312+M312+O312+S312</f>
        <v>58466.666666666657</v>
      </c>
      <c r="U312" s="73">
        <v>200</v>
      </c>
      <c r="V312" s="73">
        <f>H312*12%</f>
        <v>4800</v>
      </c>
      <c r="W312" s="73">
        <v>0</v>
      </c>
      <c r="X312" s="73">
        <f>SUM(U312:W312)</f>
        <v>5000</v>
      </c>
      <c r="Y312" s="73">
        <f>T312-X312</f>
        <v>53466.666666666657</v>
      </c>
    </row>
    <row r="313" spans="1:25" x14ac:dyDescent="0.3">
      <c r="A313" s="65" t="s">
        <v>544</v>
      </c>
      <c r="B313" s="66" t="s">
        <v>543</v>
      </c>
      <c r="C313" s="66" t="s">
        <v>210</v>
      </c>
      <c r="D313" s="67">
        <v>34</v>
      </c>
      <c r="E313" s="68">
        <v>43854</v>
      </c>
      <c r="F313" s="69" t="s">
        <v>206</v>
      </c>
      <c r="G313" s="69" t="str">
        <f>B313&amp;"@gmail.com"</f>
        <v>Name 312@gmail.com</v>
      </c>
      <c r="H313" s="70">
        <v>32000</v>
      </c>
      <c r="I313" s="71">
        <f>H313*18%</f>
        <v>5760</v>
      </c>
      <c r="J313" s="71">
        <f>H313*5%</f>
        <v>1600</v>
      </c>
      <c r="K313" s="71">
        <v>1000</v>
      </c>
      <c r="L313" s="71">
        <v>0</v>
      </c>
      <c r="M313" s="71">
        <v>1600</v>
      </c>
      <c r="N313" s="71">
        <v>30</v>
      </c>
      <c r="O313" s="71">
        <f>(H313/30)*N313</f>
        <v>32000.000000000004</v>
      </c>
      <c r="P313" s="72">
        <v>1</v>
      </c>
      <c r="Q313" s="72">
        <f>N313*P313</f>
        <v>30</v>
      </c>
      <c r="R313" s="71">
        <f>(H313/30)/8</f>
        <v>133.33333333333334</v>
      </c>
      <c r="S313" s="71">
        <f>Q313*R313</f>
        <v>4000.0000000000005</v>
      </c>
      <c r="T313" s="73">
        <f>I313+J313+K313+L313+M313+O313+S313</f>
        <v>45960</v>
      </c>
      <c r="U313" s="73">
        <v>200</v>
      </c>
      <c r="V313" s="73">
        <f>H313*12%</f>
        <v>3840</v>
      </c>
      <c r="W313" s="73">
        <v>5000</v>
      </c>
      <c r="X313" s="73">
        <f>SUM(U313:W313)</f>
        <v>9040</v>
      </c>
      <c r="Y313" s="73">
        <f>T313-X313</f>
        <v>36920</v>
      </c>
    </row>
    <row r="314" spans="1:25" x14ac:dyDescent="0.3">
      <c r="A314" s="65" t="s">
        <v>542</v>
      </c>
      <c r="B314" s="66" t="s">
        <v>541</v>
      </c>
      <c r="C314" s="66" t="s">
        <v>207</v>
      </c>
      <c r="D314" s="67">
        <v>23</v>
      </c>
      <c r="E314" s="68">
        <v>43831</v>
      </c>
      <c r="F314" s="69" t="s">
        <v>206</v>
      </c>
      <c r="G314" s="69" t="str">
        <f>B314&amp;"@gmail.com"</f>
        <v>Name 313@gmail.com</v>
      </c>
      <c r="H314" s="70">
        <v>28000</v>
      </c>
      <c r="I314" s="71">
        <f>H314*18%</f>
        <v>5040</v>
      </c>
      <c r="J314" s="71">
        <f>H314*5%</f>
        <v>1400</v>
      </c>
      <c r="K314" s="71">
        <v>1000</v>
      </c>
      <c r="L314" s="71">
        <v>0</v>
      </c>
      <c r="M314" s="71">
        <v>1600</v>
      </c>
      <c r="N314" s="71">
        <v>29</v>
      </c>
      <c r="O314" s="71">
        <f>(H314/30)*N314</f>
        <v>27066.666666666668</v>
      </c>
      <c r="P314" s="72">
        <v>1</v>
      </c>
      <c r="Q314" s="72">
        <f>N314*P314</f>
        <v>29</v>
      </c>
      <c r="R314" s="71">
        <f>(H314/30)/8</f>
        <v>116.66666666666667</v>
      </c>
      <c r="S314" s="71">
        <f>Q314*R314</f>
        <v>3383.3333333333335</v>
      </c>
      <c r="T314" s="73">
        <f>I314+J314+K314+L314+M314+O314+S314</f>
        <v>39490.000000000007</v>
      </c>
      <c r="U314" s="73">
        <v>200</v>
      </c>
      <c r="V314" s="73">
        <f>H314*12%</f>
        <v>3360</v>
      </c>
      <c r="W314" s="73">
        <v>0</v>
      </c>
      <c r="X314" s="73">
        <f>SUM(U314:W314)</f>
        <v>3560</v>
      </c>
      <c r="Y314" s="73">
        <f>T314-X314</f>
        <v>35930.000000000007</v>
      </c>
    </row>
    <row r="315" spans="1:25" x14ac:dyDescent="0.3">
      <c r="A315" s="65" t="s">
        <v>540</v>
      </c>
      <c r="B315" s="66" t="s">
        <v>539</v>
      </c>
      <c r="C315" s="66" t="s">
        <v>214</v>
      </c>
      <c r="D315" s="67">
        <v>34</v>
      </c>
      <c r="E315" s="68">
        <v>43832</v>
      </c>
      <c r="F315" s="69" t="s">
        <v>213</v>
      </c>
      <c r="G315" s="69" t="str">
        <f>B315&amp;"@gmail.com"</f>
        <v>Name 314@gmail.com</v>
      </c>
      <c r="H315" s="70">
        <v>44000</v>
      </c>
      <c r="I315" s="71">
        <f>H315*18%</f>
        <v>7920</v>
      </c>
      <c r="J315" s="71">
        <f>H315*5%</f>
        <v>2200</v>
      </c>
      <c r="K315" s="71">
        <v>1000</v>
      </c>
      <c r="L315" s="71">
        <v>0</v>
      </c>
      <c r="M315" s="71">
        <v>1600</v>
      </c>
      <c r="N315" s="71">
        <v>28</v>
      </c>
      <c r="O315" s="71">
        <f>(H315/30)*N315</f>
        <v>41066.666666666672</v>
      </c>
      <c r="P315" s="72">
        <v>1</v>
      </c>
      <c r="Q315" s="72">
        <f>N315*P315</f>
        <v>28</v>
      </c>
      <c r="R315" s="71">
        <f>(H315/30)/8</f>
        <v>183.33333333333334</v>
      </c>
      <c r="S315" s="71">
        <f>Q315*R315</f>
        <v>5133.3333333333339</v>
      </c>
      <c r="T315" s="73">
        <f>I315+J315+K315+L315+M315+O315+S315</f>
        <v>58920.000000000007</v>
      </c>
      <c r="U315" s="73">
        <v>200</v>
      </c>
      <c r="V315" s="73">
        <f>H315*12%</f>
        <v>5280</v>
      </c>
      <c r="W315" s="73">
        <v>0</v>
      </c>
      <c r="X315" s="73">
        <f>SUM(U315:W315)</f>
        <v>5480</v>
      </c>
      <c r="Y315" s="73">
        <f>T315-X315</f>
        <v>53440.000000000007</v>
      </c>
    </row>
    <row r="316" spans="1:25" x14ac:dyDescent="0.3">
      <c r="A316" s="65" t="s">
        <v>538</v>
      </c>
      <c r="B316" s="66" t="s">
        <v>537</v>
      </c>
      <c r="C316" s="66" t="s">
        <v>210</v>
      </c>
      <c r="D316" s="67">
        <v>43</v>
      </c>
      <c r="E316" s="68">
        <v>43833</v>
      </c>
      <c r="F316" s="69" t="s">
        <v>206</v>
      </c>
      <c r="G316" s="69" t="str">
        <f>B316&amp;"@gmail.com"</f>
        <v>Name 315@gmail.com</v>
      </c>
      <c r="H316" s="70">
        <v>25000</v>
      </c>
      <c r="I316" s="71">
        <f>H316*18%</f>
        <v>4500</v>
      </c>
      <c r="J316" s="71">
        <f>H316*5%</f>
        <v>1250</v>
      </c>
      <c r="K316" s="71">
        <v>1000</v>
      </c>
      <c r="L316" s="71">
        <v>0</v>
      </c>
      <c r="M316" s="71">
        <v>1600</v>
      </c>
      <c r="N316" s="71">
        <v>27</v>
      </c>
      <c r="O316" s="71">
        <f>(H316/30)*N316</f>
        <v>22500</v>
      </c>
      <c r="P316" s="72">
        <v>1</v>
      </c>
      <c r="Q316" s="72">
        <f>N316*P316</f>
        <v>27</v>
      </c>
      <c r="R316" s="71">
        <f>(H316/30)/8</f>
        <v>104.16666666666667</v>
      </c>
      <c r="S316" s="71">
        <f>Q316*R316</f>
        <v>2812.5</v>
      </c>
      <c r="T316" s="73">
        <f>I316+J316+K316+L316+M316+O316+S316</f>
        <v>33662.5</v>
      </c>
      <c r="U316" s="73">
        <v>200</v>
      </c>
      <c r="V316" s="73">
        <f>H316*12%</f>
        <v>3000</v>
      </c>
      <c r="W316" s="73">
        <v>0</v>
      </c>
      <c r="X316" s="73">
        <f>SUM(U316:W316)</f>
        <v>3200</v>
      </c>
      <c r="Y316" s="73">
        <f>T316-X316</f>
        <v>30462.5</v>
      </c>
    </row>
    <row r="317" spans="1:25" x14ac:dyDescent="0.3">
      <c r="A317" s="65" t="s">
        <v>536</v>
      </c>
      <c r="B317" s="66" t="s">
        <v>535</v>
      </c>
      <c r="C317" s="66" t="s">
        <v>214</v>
      </c>
      <c r="D317" s="67">
        <v>34</v>
      </c>
      <c r="E317" s="68">
        <v>43834</v>
      </c>
      <c r="F317" s="69" t="s">
        <v>206</v>
      </c>
      <c r="G317" s="69" t="str">
        <f>B317&amp;"@gmail.com"</f>
        <v>Name 316@gmail.com</v>
      </c>
      <c r="H317" s="70">
        <v>50000</v>
      </c>
      <c r="I317" s="71">
        <f>H317*18%</f>
        <v>9000</v>
      </c>
      <c r="J317" s="71">
        <f>H317*5%</f>
        <v>2500</v>
      </c>
      <c r="K317" s="71">
        <v>1000</v>
      </c>
      <c r="L317" s="71">
        <v>0</v>
      </c>
      <c r="M317" s="71">
        <v>1600</v>
      </c>
      <c r="N317" s="71">
        <v>27</v>
      </c>
      <c r="O317" s="71">
        <f>(H317/30)*N317</f>
        <v>45000</v>
      </c>
      <c r="P317" s="72">
        <v>3</v>
      </c>
      <c r="Q317" s="72">
        <f>N317*P317</f>
        <v>81</v>
      </c>
      <c r="R317" s="71">
        <f>(H317/30)/8</f>
        <v>208.33333333333334</v>
      </c>
      <c r="S317" s="71">
        <f>Q317*R317</f>
        <v>16875</v>
      </c>
      <c r="T317" s="73">
        <f>I317+J317+K317+L317+M317+O317+S317</f>
        <v>75975</v>
      </c>
      <c r="U317" s="73">
        <v>201</v>
      </c>
      <c r="V317" s="73">
        <f>H317*12%</f>
        <v>6000</v>
      </c>
      <c r="W317" s="73">
        <v>0</v>
      </c>
      <c r="X317" s="73">
        <f>SUM(U317:W317)</f>
        <v>6201</v>
      </c>
      <c r="Y317" s="73">
        <f>T317-X317</f>
        <v>69774</v>
      </c>
    </row>
    <row r="318" spans="1:25" x14ac:dyDescent="0.3">
      <c r="A318" s="65" t="s">
        <v>534</v>
      </c>
      <c r="B318" s="66" t="s">
        <v>533</v>
      </c>
      <c r="C318" s="66" t="s">
        <v>214</v>
      </c>
      <c r="D318" s="67">
        <v>43</v>
      </c>
      <c r="E318" s="68">
        <v>43835</v>
      </c>
      <c r="F318" s="69" t="s">
        <v>213</v>
      </c>
      <c r="G318" s="69" t="str">
        <f>B318&amp;"@gmail.com"</f>
        <v>Name 317@gmail.com</v>
      </c>
      <c r="H318" s="70">
        <v>70000</v>
      </c>
      <c r="I318" s="71">
        <f>H318*18%</f>
        <v>12600</v>
      </c>
      <c r="J318" s="71">
        <f>H318*5%</f>
        <v>3500</v>
      </c>
      <c r="K318" s="71">
        <v>1000</v>
      </c>
      <c r="L318" s="71">
        <v>0</v>
      </c>
      <c r="M318" s="71">
        <v>1600</v>
      </c>
      <c r="N318" s="71">
        <v>27</v>
      </c>
      <c r="O318" s="71">
        <f>(H318/30)*N318</f>
        <v>63000.000000000007</v>
      </c>
      <c r="P318" s="72">
        <v>1</v>
      </c>
      <c r="Q318" s="72">
        <f>N318*P318</f>
        <v>27</v>
      </c>
      <c r="R318" s="71">
        <f>(H318/30)/8</f>
        <v>291.66666666666669</v>
      </c>
      <c r="S318" s="71">
        <f>Q318*R318</f>
        <v>7875.0000000000009</v>
      </c>
      <c r="T318" s="73">
        <f>I318+J318+K318+L318+M318+O318+S318</f>
        <v>89575</v>
      </c>
      <c r="U318" s="73">
        <v>202</v>
      </c>
      <c r="V318" s="73">
        <f>H318*12%</f>
        <v>8400</v>
      </c>
      <c r="W318" s="73">
        <v>0</v>
      </c>
      <c r="X318" s="73">
        <f>SUM(U318:W318)</f>
        <v>8602</v>
      </c>
      <c r="Y318" s="73">
        <f>T318-X318</f>
        <v>80973</v>
      </c>
    </row>
    <row r="319" spans="1:25" x14ac:dyDescent="0.3">
      <c r="A319" s="65" t="s">
        <v>532</v>
      </c>
      <c r="B319" s="66" t="s">
        <v>531</v>
      </c>
      <c r="C319" s="66" t="s">
        <v>214</v>
      </c>
      <c r="D319" s="67">
        <v>23</v>
      </c>
      <c r="E319" s="68">
        <v>43836</v>
      </c>
      <c r="F319" s="69" t="s">
        <v>213</v>
      </c>
      <c r="G319" s="69" t="str">
        <f>B319&amp;"@gmail.com"</f>
        <v>Name 318@gmail.com</v>
      </c>
      <c r="H319" s="70">
        <v>34000</v>
      </c>
      <c r="I319" s="71">
        <f>H319*18%</f>
        <v>6120</v>
      </c>
      <c r="J319" s="71">
        <f>H319*5%</f>
        <v>1700</v>
      </c>
      <c r="K319" s="71">
        <v>1000</v>
      </c>
      <c r="L319" s="71">
        <v>2000</v>
      </c>
      <c r="M319" s="71">
        <v>1600</v>
      </c>
      <c r="N319" s="71">
        <v>30</v>
      </c>
      <c r="O319" s="71">
        <f>(H319/30)*N319</f>
        <v>34000</v>
      </c>
      <c r="P319" s="72">
        <v>2</v>
      </c>
      <c r="Q319" s="72">
        <f>N319*P319</f>
        <v>60</v>
      </c>
      <c r="R319" s="71">
        <f>(H319/30)/8</f>
        <v>141.66666666666666</v>
      </c>
      <c r="S319" s="71">
        <f>Q319*R319</f>
        <v>8500</v>
      </c>
      <c r="T319" s="73">
        <f>I319+J319+K319+L319+M319+O319+S319</f>
        <v>54920</v>
      </c>
      <c r="U319" s="73">
        <v>203</v>
      </c>
      <c r="V319" s="73">
        <f>H319*12%</f>
        <v>4080</v>
      </c>
      <c r="W319" s="73">
        <v>0</v>
      </c>
      <c r="X319" s="73">
        <f>SUM(U319:W319)</f>
        <v>4283</v>
      </c>
      <c r="Y319" s="73">
        <f>T319-X319</f>
        <v>50637</v>
      </c>
    </row>
    <row r="320" spans="1:25" x14ac:dyDescent="0.3">
      <c r="A320" s="65" t="s">
        <v>530</v>
      </c>
      <c r="B320" s="66" t="s">
        <v>529</v>
      </c>
      <c r="C320" s="66" t="s">
        <v>214</v>
      </c>
      <c r="D320" s="67">
        <v>34</v>
      </c>
      <c r="E320" s="68">
        <v>43837</v>
      </c>
      <c r="F320" s="69" t="s">
        <v>213</v>
      </c>
      <c r="G320" s="69" t="str">
        <f>B320&amp;"@gmail.com"</f>
        <v>Name 319@gmail.com</v>
      </c>
      <c r="H320" s="70">
        <v>45000</v>
      </c>
      <c r="I320" s="71">
        <f>H320*18%</f>
        <v>8100</v>
      </c>
      <c r="J320" s="71">
        <f>H320*5%</f>
        <v>2250</v>
      </c>
      <c r="K320" s="71">
        <v>1000</v>
      </c>
      <c r="L320" s="71">
        <v>5000</v>
      </c>
      <c r="M320" s="71">
        <v>1600</v>
      </c>
      <c r="N320" s="71">
        <v>30</v>
      </c>
      <c r="O320" s="71">
        <f>(H320/30)*N320</f>
        <v>45000</v>
      </c>
      <c r="P320" s="72">
        <v>0</v>
      </c>
      <c r="Q320" s="72">
        <f>N320*P320</f>
        <v>0</v>
      </c>
      <c r="R320" s="71">
        <f>(H320/30)/8</f>
        <v>187.5</v>
      </c>
      <c r="S320" s="71">
        <f>Q320*R320</f>
        <v>0</v>
      </c>
      <c r="T320" s="73">
        <f>I320+J320+K320+L320+M320+O320+S320</f>
        <v>62950</v>
      </c>
      <c r="U320" s="73">
        <v>204</v>
      </c>
      <c r="V320" s="73">
        <f>H320*12%</f>
        <v>5400</v>
      </c>
      <c r="W320" s="73">
        <v>4000</v>
      </c>
      <c r="X320" s="73">
        <f>SUM(U320:W320)</f>
        <v>9604</v>
      </c>
      <c r="Y320" s="73">
        <f>T320-X320</f>
        <v>53346</v>
      </c>
    </row>
    <row r="321" spans="1:25" x14ac:dyDescent="0.3">
      <c r="A321" s="65" t="s">
        <v>528</v>
      </c>
      <c r="B321" s="66" t="s">
        <v>527</v>
      </c>
      <c r="C321" s="66" t="s">
        <v>214</v>
      </c>
      <c r="D321" s="67">
        <v>23</v>
      </c>
      <c r="E321" s="68">
        <v>43838</v>
      </c>
      <c r="F321" s="69" t="s">
        <v>213</v>
      </c>
      <c r="G321" s="69" t="str">
        <f>B321&amp;"@gmail.com"</f>
        <v>Name 320@gmail.com</v>
      </c>
      <c r="H321" s="70">
        <v>55000</v>
      </c>
      <c r="I321" s="71">
        <f>H321*18%</f>
        <v>9900</v>
      </c>
      <c r="J321" s="71">
        <f>H321*5%</f>
        <v>2750</v>
      </c>
      <c r="K321" s="71">
        <v>1000</v>
      </c>
      <c r="L321" s="71">
        <v>5000</v>
      </c>
      <c r="M321" s="71">
        <v>1600</v>
      </c>
      <c r="N321" s="71">
        <v>30</v>
      </c>
      <c r="O321" s="71">
        <f>(H321/30)*N321</f>
        <v>55000</v>
      </c>
      <c r="P321" s="72">
        <v>1</v>
      </c>
      <c r="Q321" s="72">
        <f>N321*P321</f>
        <v>30</v>
      </c>
      <c r="R321" s="71">
        <f>(H321/30)/8</f>
        <v>229.16666666666666</v>
      </c>
      <c r="S321" s="71">
        <f>Q321*R321</f>
        <v>6875</v>
      </c>
      <c r="T321" s="73">
        <f>I321+J321+K321+L321+M321+O321+S321</f>
        <v>82125</v>
      </c>
      <c r="U321" s="73">
        <v>205</v>
      </c>
      <c r="V321" s="73">
        <f>H321*12%</f>
        <v>6600</v>
      </c>
      <c r="W321" s="73">
        <v>0</v>
      </c>
      <c r="X321" s="73">
        <f>SUM(U321:W321)</f>
        <v>6805</v>
      </c>
      <c r="Y321" s="73">
        <f>T321-X321</f>
        <v>75320</v>
      </c>
    </row>
    <row r="322" spans="1:25" x14ac:dyDescent="0.3">
      <c r="A322" s="65" t="s">
        <v>526</v>
      </c>
      <c r="B322" s="66" t="s">
        <v>525</v>
      </c>
      <c r="C322" s="66" t="s">
        <v>210</v>
      </c>
      <c r="D322" s="67">
        <v>34</v>
      </c>
      <c r="E322" s="68">
        <v>43839</v>
      </c>
      <c r="F322" s="69" t="s">
        <v>206</v>
      </c>
      <c r="G322" s="69" t="str">
        <f>B322&amp;"@gmail.com"</f>
        <v>Name 321@gmail.com</v>
      </c>
      <c r="H322" s="70">
        <v>43000</v>
      </c>
      <c r="I322" s="71">
        <f>H322*18%</f>
        <v>7740</v>
      </c>
      <c r="J322" s="71">
        <f>H322*5%</f>
        <v>2150</v>
      </c>
      <c r="K322" s="71">
        <v>1000</v>
      </c>
      <c r="L322" s="71">
        <v>5000</v>
      </c>
      <c r="M322" s="71">
        <v>1600</v>
      </c>
      <c r="N322" s="71">
        <v>27</v>
      </c>
      <c r="O322" s="71">
        <f>(H322/30)*N322</f>
        <v>38700</v>
      </c>
      <c r="P322" s="72">
        <v>1</v>
      </c>
      <c r="Q322" s="72">
        <f>N322*P322</f>
        <v>27</v>
      </c>
      <c r="R322" s="71">
        <f>(H322/30)/8</f>
        <v>179.16666666666666</v>
      </c>
      <c r="S322" s="71">
        <f>Q322*R322</f>
        <v>4837.5</v>
      </c>
      <c r="T322" s="73">
        <f>I322+J322+K322+L322+M322+O322+S322</f>
        <v>61027.5</v>
      </c>
      <c r="U322" s="73">
        <v>200</v>
      </c>
      <c r="V322" s="73">
        <f>H322*12%</f>
        <v>5160</v>
      </c>
      <c r="W322" s="73">
        <v>0</v>
      </c>
      <c r="X322" s="73">
        <f>SUM(U322:W322)</f>
        <v>5360</v>
      </c>
      <c r="Y322" s="73">
        <f>T322-X322</f>
        <v>55667.5</v>
      </c>
    </row>
    <row r="323" spans="1:25" x14ac:dyDescent="0.3">
      <c r="A323" s="65" t="s">
        <v>524</v>
      </c>
      <c r="B323" s="66" t="s">
        <v>523</v>
      </c>
      <c r="C323" s="66" t="s">
        <v>207</v>
      </c>
      <c r="D323" s="67">
        <v>23</v>
      </c>
      <c r="E323" s="68">
        <v>43840</v>
      </c>
      <c r="F323" s="69" t="s">
        <v>206</v>
      </c>
      <c r="G323" s="69" t="str">
        <f>B323&amp;"@gmail.com"</f>
        <v>Name 322@gmail.com</v>
      </c>
      <c r="H323" s="70">
        <v>25000</v>
      </c>
      <c r="I323" s="71">
        <f>H323*18%</f>
        <v>4500</v>
      </c>
      <c r="J323" s="71">
        <f>H323*5%</f>
        <v>1250</v>
      </c>
      <c r="K323" s="71">
        <v>1000</v>
      </c>
      <c r="L323" s="71">
        <v>5000</v>
      </c>
      <c r="M323" s="71">
        <v>1600</v>
      </c>
      <c r="N323" s="71">
        <v>30</v>
      </c>
      <c r="O323" s="71">
        <f>(H323/30)*N323</f>
        <v>25000</v>
      </c>
      <c r="P323" s="72">
        <v>0</v>
      </c>
      <c r="Q323" s="72">
        <f>N323*P323</f>
        <v>0</v>
      </c>
      <c r="R323" s="71">
        <f>(H323/30)/8</f>
        <v>104.16666666666667</v>
      </c>
      <c r="S323" s="71">
        <f>Q323*R323</f>
        <v>0</v>
      </c>
      <c r="T323" s="73">
        <f>I323+J323+K323+L323+M323+O323+S323</f>
        <v>38350</v>
      </c>
      <c r="U323" s="73">
        <v>200</v>
      </c>
      <c r="V323" s="73">
        <f>H323*12%</f>
        <v>3000</v>
      </c>
      <c r="W323" s="73">
        <v>0</v>
      </c>
      <c r="X323" s="73">
        <f>SUM(U323:W323)</f>
        <v>3200</v>
      </c>
      <c r="Y323" s="73">
        <f>T323-X323</f>
        <v>35150</v>
      </c>
    </row>
    <row r="324" spans="1:25" x14ac:dyDescent="0.3">
      <c r="A324" s="65" t="s">
        <v>522</v>
      </c>
      <c r="B324" s="66" t="s">
        <v>521</v>
      </c>
      <c r="C324" s="66" t="s">
        <v>214</v>
      </c>
      <c r="D324" s="67">
        <v>34</v>
      </c>
      <c r="E324" s="68">
        <v>43841</v>
      </c>
      <c r="F324" s="69" t="s">
        <v>206</v>
      </c>
      <c r="G324" s="69" t="str">
        <f>B324&amp;"@gmail.com"</f>
        <v>Name 323@gmail.com</v>
      </c>
      <c r="H324" s="70">
        <v>28000</v>
      </c>
      <c r="I324" s="71">
        <f>H324*18%</f>
        <v>5040</v>
      </c>
      <c r="J324" s="71">
        <f>H324*5%</f>
        <v>1400</v>
      </c>
      <c r="K324" s="71">
        <v>1000</v>
      </c>
      <c r="L324" s="71">
        <v>5000</v>
      </c>
      <c r="M324" s="71">
        <v>1600</v>
      </c>
      <c r="N324" s="71">
        <v>20</v>
      </c>
      <c r="O324" s="71">
        <f>(H324/30)*N324</f>
        <v>18666.666666666668</v>
      </c>
      <c r="P324" s="72">
        <v>0</v>
      </c>
      <c r="Q324" s="72">
        <f>N324*P324</f>
        <v>0</v>
      </c>
      <c r="R324" s="71">
        <f>(H324/30)/8</f>
        <v>116.66666666666667</v>
      </c>
      <c r="S324" s="71">
        <f>Q324*R324</f>
        <v>0</v>
      </c>
      <c r="T324" s="73">
        <f>I324+J324+K324+L324+M324+O324+S324</f>
        <v>32706.666666666668</v>
      </c>
      <c r="U324" s="73">
        <v>200</v>
      </c>
      <c r="V324" s="73">
        <f>H324*12%</f>
        <v>3360</v>
      </c>
      <c r="W324" s="73">
        <v>0</v>
      </c>
      <c r="X324" s="73">
        <f>SUM(U324:W324)</f>
        <v>3560</v>
      </c>
      <c r="Y324" s="73">
        <f>T324-X324</f>
        <v>29146.666666666668</v>
      </c>
    </row>
    <row r="325" spans="1:25" x14ac:dyDescent="0.3">
      <c r="A325" s="65" t="s">
        <v>520</v>
      </c>
      <c r="B325" s="66" t="s">
        <v>519</v>
      </c>
      <c r="C325" s="66" t="s">
        <v>210</v>
      </c>
      <c r="D325" s="67">
        <v>45</v>
      </c>
      <c r="E325" s="68">
        <v>43842</v>
      </c>
      <c r="F325" s="69" t="s">
        <v>206</v>
      </c>
      <c r="G325" s="69" t="str">
        <f>B325&amp;"@gmail.com"</f>
        <v>Name 324@gmail.com</v>
      </c>
      <c r="H325" s="70">
        <v>40000</v>
      </c>
      <c r="I325" s="71">
        <f>H325*18%</f>
        <v>7200</v>
      </c>
      <c r="J325" s="71">
        <f>H325*5%</f>
        <v>2000</v>
      </c>
      <c r="K325" s="71">
        <v>1000</v>
      </c>
      <c r="L325" s="71">
        <v>5000</v>
      </c>
      <c r="M325" s="71">
        <v>1600</v>
      </c>
      <c r="N325" s="71">
        <v>28</v>
      </c>
      <c r="O325" s="71">
        <f>(H325/30)*N325</f>
        <v>37333.333333333328</v>
      </c>
      <c r="P325" s="72">
        <v>2</v>
      </c>
      <c r="Q325" s="72">
        <f>N325*P325</f>
        <v>56</v>
      </c>
      <c r="R325" s="71">
        <f>(H325/30)/8</f>
        <v>166.66666666666666</v>
      </c>
      <c r="S325" s="71">
        <f>Q325*R325</f>
        <v>9333.3333333333321</v>
      </c>
      <c r="T325" s="73">
        <f>I325+J325+K325+L325+M325+O325+S325</f>
        <v>63466.666666666657</v>
      </c>
      <c r="U325" s="73">
        <v>200</v>
      </c>
      <c r="V325" s="73">
        <f>H325*12%</f>
        <v>4800</v>
      </c>
      <c r="W325" s="73">
        <v>0</v>
      </c>
      <c r="X325" s="73">
        <f>SUM(U325:W325)</f>
        <v>5000</v>
      </c>
      <c r="Y325" s="73">
        <f>T325-X325</f>
        <v>58466.666666666657</v>
      </c>
    </row>
    <row r="326" spans="1:25" x14ac:dyDescent="0.3">
      <c r="A326" s="65" t="s">
        <v>518</v>
      </c>
      <c r="B326" s="66" t="s">
        <v>517</v>
      </c>
      <c r="C326" s="66" t="s">
        <v>210</v>
      </c>
      <c r="D326" s="67">
        <v>54</v>
      </c>
      <c r="E326" s="68">
        <v>43843</v>
      </c>
      <c r="F326" s="69" t="s">
        <v>206</v>
      </c>
      <c r="G326" s="69" t="str">
        <f>B326&amp;"@gmail.com"</f>
        <v>Name 325@gmail.com</v>
      </c>
      <c r="H326" s="70">
        <v>32000</v>
      </c>
      <c r="I326" s="71">
        <f>H326*18%</f>
        <v>5760</v>
      </c>
      <c r="J326" s="71">
        <f>H326*5%</f>
        <v>1600</v>
      </c>
      <c r="K326" s="71">
        <v>1000</v>
      </c>
      <c r="L326" s="71">
        <v>5000</v>
      </c>
      <c r="M326" s="71">
        <v>1600</v>
      </c>
      <c r="N326" s="71">
        <v>30</v>
      </c>
      <c r="O326" s="71">
        <f>(H326/30)*N326</f>
        <v>32000.000000000004</v>
      </c>
      <c r="P326" s="72">
        <v>1</v>
      </c>
      <c r="Q326" s="72">
        <f>N326*P326</f>
        <v>30</v>
      </c>
      <c r="R326" s="71">
        <f>(H326/30)/8</f>
        <v>133.33333333333334</v>
      </c>
      <c r="S326" s="71">
        <f>Q326*R326</f>
        <v>4000.0000000000005</v>
      </c>
      <c r="T326" s="73">
        <f>I326+J326+K326+L326+M326+O326+S326</f>
        <v>50960</v>
      </c>
      <c r="U326" s="73">
        <v>200</v>
      </c>
      <c r="V326" s="73">
        <f>H326*12%</f>
        <v>3840</v>
      </c>
      <c r="W326" s="73">
        <v>5000</v>
      </c>
      <c r="X326" s="73">
        <f>SUM(U326:W326)</f>
        <v>9040</v>
      </c>
      <c r="Y326" s="73">
        <f>T326-X326</f>
        <v>41920</v>
      </c>
    </row>
    <row r="327" spans="1:25" x14ac:dyDescent="0.3">
      <c r="A327" s="65" t="s">
        <v>516</v>
      </c>
      <c r="B327" s="66" t="s">
        <v>515</v>
      </c>
      <c r="C327" s="66" t="s">
        <v>207</v>
      </c>
      <c r="D327" s="67">
        <v>56</v>
      </c>
      <c r="E327" s="68">
        <v>43844</v>
      </c>
      <c r="F327" s="69" t="s">
        <v>206</v>
      </c>
      <c r="G327" s="69" t="str">
        <f>B327&amp;"@gmail.com"</f>
        <v>Name 326@gmail.com</v>
      </c>
      <c r="H327" s="70">
        <v>28000</v>
      </c>
      <c r="I327" s="71">
        <f>H327*18%</f>
        <v>5040</v>
      </c>
      <c r="J327" s="71">
        <f>H327*5%</f>
        <v>1400</v>
      </c>
      <c r="K327" s="71">
        <v>1000</v>
      </c>
      <c r="L327" s="71">
        <v>5000</v>
      </c>
      <c r="M327" s="71">
        <v>1600</v>
      </c>
      <c r="N327" s="71">
        <v>29</v>
      </c>
      <c r="O327" s="71">
        <f>(H327/30)*N327</f>
        <v>27066.666666666668</v>
      </c>
      <c r="P327" s="72">
        <v>1</v>
      </c>
      <c r="Q327" s="72">
        <f>N327*P327</f>
        <v>29</v>
      </c>
      <c r="R327" s="71">
        <f>(H327/30)/8</f>
        <v>116.66666666666667</v>
      </c>
      <c r="S327" s="71">
        <f>Q327*R327</f>
        <v>3383.3333333333335</v>
      </c>
      <c r="T327" s="73">
        <f>I327+J327+K327+L327+M327+O327+S327</f>
        <v>44490.000000000007</v>
      </c>
      <c r="U327" s="73">
        <v>200</v>
      </c>
      <c r="V327" s="73">
        <f>H327*12%</f>
        <v>3360</v>
      </c>
      <c r="W327" s="73">
        <v>0</v>
      </c>
      <c r="X327" s="73">
        <f>SUM(U327:W327)</f>
        <v>3560</v>
      </c>
      <c r="Y327" s="73">
        <f>T327-X327</f>
        <v>40930.000000000007</v>
      </c>
    </row>
    <row r="328" spans="1:25" x14ac:dyDescent="0.3">
      <c r="A328" s="65" t="s">
        <v>514</v>
      </c>
      <c r="B328" s="66" t="s">
        <v>513</v>
      </c>
      <c r="C328" s="66" t="s">
        <v>214</v>
      </c>
      <c r="D328" s="67">
        <v>54</v>
      </c>
      <c r="E328" s="68">
        <v>43845</v>
      </c>
      <c r="F328" s="69" t="s">
        <v>213</v>
      </c>
      <c r="G328" s="69" t="str">
        <f>B328&amp;"@gmail.com"</f>
        <v>Name 327@gmail.com</v>
      </c>
      <c r="H328" s="70">
        <v>44000</v>
      </c>
      <c r="I328" s="71">
        <f>H328*18%</f>
        <v>7920</v>
      </c>
      <c r="J328" s="71">
        <f>H328*5%</f>
        <v>2200</v>
      </c>
      <c r="K328" s="71">
        <v>1000</v>
      </c>
      <c r="L328" s="71">
        <v>5000</v>
      </c>
      <c r="M328" s="71">
        <v>1600</v>
      </c>
      <c r="N328" s="71">
        <v>28</v>
      </c>
      <c r="O328" s="71">
        <f>(H328/30)*N328</f>
        <v>41066.666666666672</v>
      </c>
      <c r="P328" s="72">
        <v>1</v>
      </c>
      <c r="Q328" s="72">
        <f>N328*P328</f>
        <v>28</v>
      </c>
      <c r="R328" s="71">
        <f>(H328/30)/8</f>
        <v>183.33333333333334</v>
      </c>
      <c r="S328" s="71">
        <f>Q328*R328</f>
        <v>5133.3333333333339</v>
      </c>
      <c r="T328" s="73">
        <f>I328+J328+K328+L328+M328+O328+S328</f>
        <v>63920.000000000007</v>
      </c>
      <c r="U328" s="73">
        <v>200</v>
      </c>
      <c r="V328" s="73">
        <f>H328*12%</f>
        <v>5280</v>
      </c>
      <c r="W328" s="73">
        <v>0</v>
      </c>
      <c r="X328" s="73">
        <f>SUM(U328:W328)</f>
        <v>5480</v>
      </c>
      <c r="Y328" s="73">
        <f>T328-X328</f>
        <v>58440.000000000007</v>
      </c>
    </row>
    <row r="329" spans="1:25" x14ac:dyDescent="0.3">
      <c r="A329" s="65" t="s">
        <v>512</v>
      </c>
      <c r="B329" s="66" t="s">
        <v>511</v>
      </c>
      <c r="C329" s="66" t="s">
        <v>210</v>
      </c>
      <c r="D329" s="67">
        <v>34</v>
      </c>
      <c r="E329" s="68">
        <v>43846</v>
      </c>
      <c r="F329" s="69" t="s">
        <v>206</v>
      </c>
      <c r="G329" s="69" t="str">
        <f>B329&amp;"@gmail.com"</f>
        <v>Name 328@gmail.com</v>
      </c>
      <c r="H329" s="70">
        <v>25000</v>
      </c>
      <c r="I329" s="71">
        <f>H329*18%</f>
        <v>4500</v>
      </c>
      <c r="J329" s="71">
        <f>H329*5%</f>
        <v>1250</v>
      </c>
      <c r="K329" s="71">
        <v>1000</v>
      </c>
      <c r="L329" s="71">
        <v>5000</v>
      </c>
      <c r="M329" s="71">
        <v>1600</v>
      </c>
      <c r="N329" s="71">
        <v>27</v>
      </c>
      <c r="O329" s="71">
        <f>(H329/30)*N329</f>
        <v>22500</v>
      </c>
      <c r="P329" s="72">
        <v>1</v>
      </c>
      <c r="Q329" s="72">
        <f>N329*P329</f>
        <v>27</v>
      </c>
      <c r="R329" s="71">
        <f>(H329/30)/8</f>
        <v>104.16666666666667</v>
      </c>
      <c r="S329" s="71">
        <f>Q329*R329</f>
        <v>2812.5</v>
      </c>
      <c r="T329" s="73">
        <f>I329+J329+K329+L329+M329+O329+S329</f>
        <v>38662.5</v>
      </c>
      <c r="U329" s="73">
        <v>200</v>
      </c>
      <c r="V329" s="73">
        <f>H329*12%</f>
        <v>3000</v>
      </c>
      <c r="W329" s="73">
        <v>0</v>
      </c>
      <c r="X329" s="73">
        <f>SUM(U329:W329)</f>
        <v>3200</v>
      </c>
      <c r="Y329" s="73">
        <f>T329-X329</f>
        <v>35462.5</v>
      </c>
    </row>
    <row r="330" spans="1:25" x14ac:dyDescent="0.3">
      <c r="A330" s="65" t="s">
        <v>510</v>
      </c>
      <c r="B330" s="66" t="s">
        <v>509</v>
      </c>
      <c r="C330" s="66" t="s">
        <v>214</v>
      </c>
      <c r="D330" s="67">
        <v>23</v>
      </c>
      <c r="E330" s="68">
        <v>43847</v>
      </c>
      <c r="F330" s="69" t="s">
        <v>206</v>
      </c>
      <c r="G330" s="69" t="str">
        <f>B330&amp;"@gmail.com"</f>
        <v>Name 329@gmail.com</v>
      </c>
      <c r="H330" s="70">
        <v>50000</v>
      </c>
      <c r="I330" s="71">
        <f>H330*18%</f>
        <v>9000</v>
      </c>
      <c r="J330" s="71">
        <f>H330*5%</f>
        <v>2500</v>
      </c>
      <c r="K330" s="71">
        <v>1000</v>
      </c>
      <c r="L330" s="71">
        <v>5000</v>
      </c>
      <c r="M330" s="71">
        <v>1600</v>
      </c>
      <c r="N330" s="71">
        <v>27</v>
      </c>
      <c r="O330" s="71">
        <f>(H330/30)*N330</f>
        <v>45000</v>
      </c>
      <c r="P330" s="72">
        <v>3</v>
      </c>
      <c r="Q330" s="72">
        <f>N330*P330</f>
        <v>81</v>
      </c>
      <c r="R330" s="71">
        <f>(H330/30)/8</f>
        <v>208.33333333333334</v>
      </c>
      <c r="S330" s="71">
        <f>Q330*R330</f>
        <v>16875</v>
      </c>
      <c r="T330" s="73">
        <f>I330+J330+K330+L330+M330+O330+S330</f>
        <v>80975</v>
      </c>
      <c r="U330" s="73">
        <v>201</v>
      </c>
      <c r="V330" s="73">
        <f>H330*12%</f>
        <v>6000</v>
      </c>
      <c r="W330" s="73">
        <v>0</v>
      </c>
      <c r="X330" s="73">
        <f>SUM(U330:W330)</f>
        <v>6201</v>
      </c>
      <c r="Y330" s="73">
        <f>T330-X330</f>
        <v>74774</v>
      </c>
    </row>
    <row r="331" spans="1:25" x14ac:dyDescent="0.3">
      <c r="A331" s="65" t="s">
        <v>508</v>
      </c>
      <c r="B331" s="66" t="s">
        <v>507</v>
      </c>
      <c r="C331" s="66" t="s">
        <v>214</v>
      </c>
      <c r="D331" s="67">
        <v>34</v>
      </c>
      <c r="E331" s="68">
        <v>43848</v>
      </c>
      <c r="F331" s="69" t="s">
        <v>213</v>
      </c>
      <c r="G331" s="69" t="str">
        <f>B331&amp;"@gmail.com"</f>
        <v>Name 330@gmail.com</v>
      </c>
      <c r="H331" s="70">
        <v>70000</v>
      </c>
      <c r="I331" s="71">
        <f>H331*18%</f>
        <v>12600</v>
      </c>
      <c r="J331" s="71">
        <f>H331*5%</f>
        <v>3500</v>
      </c>
      <c r="K331" s="71">
        <v>1000</v>
      </c>
      <c r="L331" s="71">
        <v>0</v>
      </c>
      <c r="M331" s="71">
        <v>1600</v>
      </c>
      <c r="N331" s="71">
        <v>27</v>
      </c>
      <c r="O331" s="71">
        <f>(H331/30)*N331</f>
        <v>63000.000000000007</v>
      </c>
      <c r="P331" s="72">
        <v>1</v>
      </c>
      <c r="Q331" s="72">
        <f>N331*P331</f>
        <v>27</v>
      </c>
      <c r="R331" s="71">
        <f>(H331/30)/8</f>
        <v>291.66666666666669</v>
      </c>
      <c r="S331" s="71">
        <f>Q331*R331</f>
        <v>7875.0000000000009</v>
      </c>
      <c r="T331" s="73">
        <f>I331+J331+K331+L331+M331+O331+S331</f>
        <v>89575</v>
      </c>
      <c r="U331" s="73">
        <v>202</v>
      </c>
      <c r="V331" s="73">
        <f>H331*12%</f>
        <v>8400</v>
      </c>
      <c r="W331" s="73">
        <v>0</v>
      </c>
      <c r="X331" s="73">
        <f>SUM(U331:W331)</f>
        <v>8602</v>
      </c>
      <c r="Y331" s="73">
        <f>T331-X331</f>
        <v>80973</v>
      </c>
    </row>
    <row r="332" spans="1:25" x14ac:dyDescent="0.3">
      <c r="A332" s="65" t="s">
        <v>506</v>
      </c>
      <c r="B332" s="66" t="s">
        <v>505</v>
      </c>
      <c r="C332" s="66" t="s">
        <v>214</v>
      </c>
      <c r="D332" s="67">
        <v>43</v>
      </c>
      <c r="E332" s="68">
        <v>43849</v>
      </c>
      <c r="F332" s="69" t="s">
        <v>213</v>
      </c>
      <c r="G332" s="69" t="str">
        <f>B332&amp;"@gmail.com"</f>
        <v>Name 331@gmail.com</v>
      </c>
      <c r="H332" s="70">
        <v>34000</v>
      </c>
      <c r="I332" s="71">
        <f>H332*18%</f>
        <v>6120</v>
      </c>
      <c r="J332" s="71">
        <f>H332*5%</f>
        <v>1700</v>
      </c>
      <c r="K332" s="71">
        <v>1000</v>
      </c>
      <c r="L332" s="71">
        <v>2000</v>
      </c>
      <c r="M332" s="71">
        <v>1600</v>
      </c>
      <c r="N332" s="71">
        <v>30</v>
      </c>
      <c r="O332" s="71">
        <f>(H332/30)*N332</f>
        <v>34000</v>
      </c>
      <c r="P332" s="72">
        <v>2</v>
      </c>
      <c r="Q332" s="72">
        <f>N332*P332</f>
        <v>60</v>
      </c>
      <c r="R332" s="71">
        <f>(H332/30)/8</f>
        <v>141.66666666666666</v>
      </c>
      <c r="S332" s="71">
        <f>Q332*R332</f>
        <v>8500</v>
      </c>
      <c r="T332" s="73">
        <f>I332+J332+K332+L332+M332+O332+S332</f>
        <v>54920</v>
      </c>
      <c r="U332" s="73">
        <v>203</v>
      </c>
      <c r="V332" s="73">
        <f>H332*12%</f>
        <v>4080</v>
      </c>
      <c r="W332" s="73">
        <v>0</v>
      </c>
      <c r="X332" s="73">
        <f>SUM(U332:W332)</f>
        <v>4283</v>
      </c>
      <c r="Y332" s="73">
        <f>T332-X332</f>
        <v>50637</v>
      </c>
    </row>
    <row r="333" spans="1:25" x14ac:dyDescent="0.3">
      <c r="A333" s="65" t="s">
        <v>504</v>
      </c>
      <c r="B333" s="66" t="s">
        <v>503</v>
      </c>
      <c r="C333" s="66" t="s">
        <v>214</v>
      </c>
      <c r="D333" s="67">
        <v>34</v>
      </c>
      <c r="E333" s="68">
        <v>43850</v>
      </c>
      <c r="F333" s="69" t="s">
        <v>213</v>
      </c>
      <c r="G333" s="69" t="str">
        <f>B333&amp;"@gmail.com"</f>
        <v>Name 332@gmail.com</v>
      </c>
      <c r="H333" s="70">
        <v>45000</v>
      </c>
      <c r="I333" s="71">
        <f>H333*18%</f>
        <v>8100</v>
      </c>
      <c r="J333" s="71">
        <f>H333*5%</f>
        <v>2250</v>
      </c>
      <c r="K333" s="71">
        <v>1000</v>
      </c>
      <c r="L333" s="71">
        <v>5000</v>
      </c>
      <c r="M333" s="71">
        <v>1600</v>
      </c>
      <c r="N333" s="71">
        <v>30</v>
      </c>
      <c r="O333" s="71">
        <f>(H333/30)*N333</f>
        <v>45000</v>
      </c>
      <c r="P333" s="72">
        <v>0</v>
      </c>
      <c r="Q333" s="72">
        <f>N333*P333</f>
        <v>0</v>
      </c>
      <c r="R333" s="71">
        <f>(H333/30)/8</f>
        <v>187.5</v>
      </c>
      <c r="S333" s="71">
        <f>Q333*R333</f>
        <v>0</v>
      </c>
      <c r="T333" s="73">
        <f>I333+J333+K333+L333+M333+O333+S333</f>
        <v>62950</v>
      </c>
      <c r="U333" s="73">
        <v>204</v>
      </c>
      <c r="V333" s="73">
        <f>H333*12%</f>
        <v>5400</v>
      </c>
      <c r="W333" s="73">
        <v>4000</v>
      </c>
      <c r="X333" s="73">
        <f>SUM(U333:W333)</f>
        <v>9604</v>
      </c>
      <c r="Y333" s="73">
        <f>T333-X333</f>
        <v>53346</v>
      </c>
    </row>
    <row r="334" spans="1:25" x14ac:dyDescent="0.3">
      <c r="A334" s="65" t="s">
        <v>502</v>
      </c>
      <c r="B334" s="66" t="s">
        <v>501</v>
      </c>
      <c r="C334" s="66" t="s">
        <v>214</v>
      </c>
      <c r="D334" s="67">
        <v>43</v>
      </c>
      <c r="E334" s="68">
        <v>43851</v>
      </c>
      <c r="F334" s="69" t="s">
        <v>213</v>
      </c>
      <c r="G334" s="69" t="str">
        <f>B334&amp;"@gmail.com"</f>
        <v>Name 333@gmail.com</v>
      </c>
      <c r="H334" s="70">
        <v>55000</v>
      </c>
      <c r="I334" s="71">
        <f>H334*18%</f>
        <v>9900</v>
      </c>
      <c r="J334" s="71">
        <f>H334*5%</f>
        <v>2750</v>
      </c>
      <c r="K334" s="71">
        <v>1000</v>
      </c>
      <c r="L334" s="71">
        <v>0</v>
      </c>
      <c r="M334" s="71">
        <v>1600</v>
      </c>
      <c r="N334" s="71">
        <v>30</v>
      </c>
      <c r="O334" s="71">
        <f>(H334/30)*N334</f>
        <v>55000</v>
      </c>
      <c r="P334" s="72">
        <v>1</v>
      </c>
      <c r="Q334" s="72">
        <f>N334*P334</f>
        <v>30</v>
      </c>
      <c r="R334" s="71">
        <f>(H334/30)/8</f>
        <v>229.16666666666666</v>
      </c>
      <c r="S334" s="71">
        <f>Q334*R334</f>
        <v>6875</v>
      </c>
      <c r="T334" s="73">
        <f>I334+J334+K334+L334+M334+O334+S334</f>
        <v>77125</v>
      </c>
      <c r="U334" s="73">
        <v>205</v>
      </c>
      <c r="V334" s="73">
        <f>H334*12%</f>
        <v>6600</v>
      </c>
      <c r="W334" s="73">
        <v>0</v>
      </c>
      <c r="X334" s="73">
        <f>SUM(U334:W334)</f>
        <v>6805</v>
      </c>
      <c r="Y334" s="73">
        <f>T334-X334</f>
        <v>70320</v>
      </c>
    </row>
    <row r="335" spans="1:25" x14ac:dyDescent="0.3">
      <c r="A335" s="65" t="s">
        <v>500</v>
      </c>
      <c r="B335" s="66" t="s">
        <v>499</v>
      </c>
      <c r="C335" s="66" t="s">
        <v>210</v>
      </c>
      <c r="D335" s="67">
        <v>23</v>
      </c>
      <c r="E335" s="68">
        <v>43852</v>
      </c>
      <c r="F335" s="69" t="s">
        <v>206</v>
      </c>
      <c r="G335" s="69" t="str">
        <f>B335&amp;"@gmail.com"</f>
        <v>Name 334@gmail.com</v>
      </c>
      <c r="H335" s="70">
        <v>43000</v>
      </c>
      <c r="I335" s="71">
        <f>H335*18%</f>
        <v>7740</v>
      </c>
      <c r="J335" s="71">
        <f>H335*5%</f>
        <v>2150</v>
      </c>
      <c r="K335" s="71">
        <v>1000</v>
      </c>
      <c r="L335" s="71">
        <v>0</v>
      </c>
      <c r="M335" s="71">
        <v>1600</v>
      </c>
      <c r="N335" s="71">
        <v>27</v>
      </c>
      <c r="O335" s="71">
        <f>(H335/30)*N335</f>
        <v>38700</v>
      </c>
      <c r="P335" s="72">
        <v>1</v>
      </c>
      <c r="Q335" s="72">
        <f>N335*P335</f>
        <v>27</v>
      </c>
      <c r="R335" s="71">
        <f>(H335/30)/8</f>
        <v>179.16666666666666</v>
      </c>
      <c r="S335" s="71">
        <f>Q335*R335</f>
        <v>4837.5</v>
      </c>
      <c r="T335" s="73">
        <f>I335+J335+K335+L335+M335+O335+S335</f>
        <v>56027.5</v>
      </c>
      <c r="U335" s="73">
        <v>200</v>
      </c>
      <c r="V335" s="73">
        <f>H335*12%</f>
        <v>5160</v>
      </c>
      <c r="W335" s="73">
        <v>0</v>
      </c>
      <c r="X335" s="73">
        <f>SUM(U335:W335)</f>
        <v>5360</v>
      </c>
      <c r="Y335" s="73">
        <f>T335-X335</f>
        <v>50667.5</v>
      </c>
    </row>
    <row r="336" spans="1:25" x14ac:dyDescent="0.3">
      <c r="A336" s="65" t="s">
        <v>498</v>
      </c>
      <c r="B336" s="66" t="s">
        <v>497</v>
      </c>
      <c r="C336" s="66" t="s">
        <v>207</v>
      </c>
      <c r="D336" s="67">
        <v>34</v>
      </c>
      <c r="E336" s="68">
        <v>43853</v>
      </c>
      <c r="F336" s="69" t="s">
        <v>206</v>
      </c>
      <c r="G336" s="69" t="str">
        <f>B336&amp;"@gmail.com"</f>
        <v>Name 335@gmail.com</v>
      </c>
      <c r="H336" s="70">
        <v>25000</v>
      </c>
      <c r="I336" s="71">
        <f>H336*18%</f>
        <v>4500</v>
      </c>
      <c r="J336" s="71">
        <f>H336*5%</f>
        <v>1250</v>
      </c>
      <c r="K336" s="71">
        <v>1000</v>
      </c>
      <c r="L336" s="71">
        <v>0</v>
      </c>
      <c r="M336" s="71">
        <v>1600</v>
      </c>
      <c r="N336" s="71">
        <v>30</v>
      </c>
      <c r="O336" s="71">
        <f>(H336/30)*N336</f>
        <v>25000</v>
      </c>
      <c r="P336" s="72">
        <v>0</v>
      </c>
      <c r="Q336" s="72">
        <f>N336*P336</f>
        <v>0</v>
      </c>
      <c r="R336" s="71">
        <f>(H336/30)/8</f>
        <v>104.16666666666667</v>
      </c>
      <c r="S336" s="71">
        <f>Q336*R336</f>
        <v>0</v>
      </c>
      <c r="T336" s="73">
        <f>I336+J336+K336+L336+M336+O336+S336</f>
        <v>33350</v>
      </c>
      <c r="U336" s="73">
        <v>200</v>
      </c>
      <c r="V336" s="73">
        <f>H336*12%</f>
        <v>3000</v>
      </c>
      <c r="W336" s="73">
        <v>0</v>
      </c>
      <c r="X336" s="73">
        <f>SUM(U336:W336)</f>
        <v>3200</v>
      </c>
      <c r="Y336" s="73">
        <f>T336-X336</f>
        <v>30150</v>
      </c>
    </row>
    <row r="337" spans="1:25" x14ac:dyDescent="0.3">
      <c r="A337" s="65" t="s">
        <v>496</v>
      </c>
      <c r="B337" s="66" t="s">
        <v>495</v>
      </c>
      <c r="C337" s="66" t="s">
        <v>214</v>
      </c>
      <c r="D337" s="67">
        <v>23</v>
      </c>
      <c r="E337" s="68">
        <v>43854</v>
      </c>
      <c r="F337" s="69" t="s">
        <v>206</v>
      </c>
      <c r="G337" s="69" t="str">
        <f>B337&amp;"@gmail.com"</f>
        <v>Name 336@gmail.com</v>
      </c>
      <c r="H337" s="70">
        <v>28000</v>
      </c>
      <c r="I337" s="71">
        <f>H337*18%</f>
        <v>5040</v>
      </c>
      <c r="J337" s="71">
        <f>H337*5%</f>
        <v>1400</v>
      </c>
      <c r="K337" s="71">
        <v>1000</v>
      </c>
      <c r="L337" s="71">
        <v>0</v>
      </c>
      <c r="M337" s="71">
        <v>1600</v>
      </c>
      <c r="N337" s="71">
        <v>20</v>
      </c>
      <c r="O337" s="71">
        <f>(H337/30)*N337</f>
        <v>18666.666666666668</v>
      </c>
      <c r="P337" s="72">
        <v>0</v>
      </c>
      <c r="Q337" s="72">
        <f>N337*P337</f>
        <v>0</v>
      </c>
      <c r="R337" s="71">
        <f>(H337/30)/8</f>
        <v>116.66666666666667</v>
      </c>
      <c r="S337" s="71">
        <f>Q337*R337</f>
        <v>0</v>
      </c>
      <c r="T337" s="73">
        <f>I337+J337+K337+L337+M337+O337+S337</f>
        <v>27706.666666666668</v>
      </c>
      <c r="U337" s="73">
        <v>200</v>
      </c>
      <c r="V337" s="73">
        <f>H337*12%</f>
        <v>3360</v>
      </c>
      <c r="W337" s="73">
        <v>0</v>
      </c>
      <c r="X337" s="73">
        <f>SUM(U337:W337)</f>
        <v>3560</v>
      </c>
      <c r="Y337" s="73">
        <f>T337-X337</f>
        <v>24146.666666666668</v>
      </c>
    </row>
    <row r="338" spans="1:25" x14ac:dyDescent="0.3">
      <c r="A338" s="65" t="s">
        <v>494</v>
      </c>
      <c r="B338" s="66" t="s">
        <v>493</v>
      </c>
      <c r="C338" s="66" t="s">
        <v>210</v>
      </c>
      <c r="D338" s="67">
        <v>34</v>
      </c>
      <c r="E338" s="68">
        <v>43831</v>
      </c>
      <c r="F338" s="69" t="s">
        <v>206</v>
      </c>
      <c r="G338" s="69" t="str">
        <f>B338&amp;"@gmail.com"</f>
        <v>Name 337@gmail.com</v>
      </c>
      <c r="H338" s="70">
        <v>40000</v>
      </c>
      <c r="I338" s="71">
        <f>H338*18%</f>
        <v>7200</v>
      </c>
      <c r="J338" s="71">
        <f>H338*5%</f>
        <v>2000</v>
      </c>
      <c r="K338" s="71">
        <v>1000</v>
      </c>
      <c r="L338" s="71">
        <v>0</v>
      </c>
      <c r="M338" s="71">
        <v>1600</v>
      </c>
      <c r="N338" s="71">
        <v>28</v>
      </c>
      <c r="O338" s="71">
        <f>(H338/30)*N338</f>
        <v>37333.333333333328</v>
      </c>
      <c r="P338" s="72">
        <v>2</v>
      </c>
      <c r="Q338" s="72">
        <f>N338*P338</f>
        <v>56</v>
      </c>
      <c r="R338" s="71">
        <f>(H338/30)/8</f>
        <v>166.66666666666666</v>
      </c>
      <c r="S338" s="71">
        <f>Q338*R338</f>
        <v>9333.3333333333321</v>
      </c>
      <c r="T338" s="73">
        <f>I338+J338+K338+L338+M338+O338+S338</f>
        <v>58466.666666666657</v>
      </c>
      <c r="U338" s="73">
        <v>200</v>
      </c>
      <c r="V338" s="73">
        <f>H338*12%</f>
        <v>4800</v>
      </c>
      <c r="W338" s="73">
        <v>0</v>
      </c>
      <c r="X338" s="73">
        <f>SUM(U338:W338)</f>
        <v>5000</v>
      </c>
      <c r="Y338" s="73">
        <f>T338-X338</f>
        <v>53466.666666666657</v>
      </c>
    </row>
    <row r="339" spans="1:25" x14ac:dyDescent="0.3">
      <c r="A339" s="65" t="s">
        <v>492</v>
      </c>
      <c r="B339" s="66" t="s">
        <v>491</v>
      </c>
      <c r="C339" s="66" t="s">
        <v>210</v>
      </c>
      <c r="D339" s="67">
        <v>23</v>
      </c>
      <c r="E339" s="68">
        <v>43832</v>
      </c>
      <c r="F339" s="69" t="s">
        <v>206</v>
      </c>
      <c r="G339" s="69" t="str">
        <f>B339&amp;"@gmail.com"</f>
        <v>Name 338@gmail.com</v>
      </c>
      <c r="H339" s="70">
        <v>32000</v>
      </c>
      <c r="I339" s="71">
        <f>H339*18%</f>
        <v>5760</v>
      </c>
      <c r="J339" s="71">
        <f>H339*5%</f>
        <v>1600</v>
      </c>
      <c r="K339" s="71">
        <v>1000</v>
      </c>
      <c r="L339" s="71">
        <v>0</v>
      </c>
      <c r="M339" s="71">
        <v>1600</v>
      </c>
      <c r="N339" s="71">
        <v>30</v>
      </c>
      <c r="O339" s="71">
        <f>(H339/30)*N339</f>
        <v>32000.000000000004</v>
      </c>
      <c r="P339" s="72">
        <v>1</v>
      </c>
      <c r="Q339" s="72">
        <f>N339*P339</f>
        <v>30</v>
      </c>
      <c r="R339" s="71">
        <f>(H339/30)/8</f>
        <v>133.33333333333334</v>
      </c>
      <c r="S339" s="71">
        <f>Q339*R339</f>
        <v>4000.0000000000005</v>
      </c>
      <c r="T339" s="73">
        <f>I339+J339+K339+L339+M339+O339+S339</f>
        <v>45960</v>
      </c>
      <c r="U339" s="73">
        <v>200</v>
      </c>
      <c r="V339" s="73">
        <f>H339*12%</f>
        <v>3840</v>
      </c>
      <c r="W339" s="73">
        <v>5000</v>
      </c>
      <c r="X339" s="73">
        <f>SUM(U339:W339)</f>
        <v>9040</v>
      </c>
      <c r="Y339" s="73">
        <f>T339-X339</f>
        <v>36920</v>
      </c>
    </row>
    <row r="340" spans="1:25" x14ac:dyDescent="0.3">
      <c r="A340" s="65" t="s">
        <v>490</v>
      </c>
      <c r="B340" s="66" t="s">
        <v>489</v>
      </c>
      <c r="C340" s="66" t="s">
        <v>207</v>
      </c>
      <c r="D340" s="67">
        <v>34</v>
      </c>
      <c r="E340" s="68">
        <v>43833</v>
      </c>
      <c r="F340" s="69" t="s">
        <v>206</v>
      </c>
      <c r="G340" s="69" t="str">
        <f>B340&amp;"@gmail.com"</f>
        <v>Name 339@gmail.com</v>
      </c>
      <c r="H340" s="70">
        <v>28000</v>
      </c>
      <c r="I340" s="71">
        <f>H340*18%</f>
        <v>5040</v>
      </c>
      <c r="J340" s="71">
        <f>H340*5%</f>
        <v>1400</v>
      </c>
      <c r="K340" s="71">
        <v>1000</v>
      </c>
      <c r="L340" s="71">
        <v>0</v>
      </c>
      <c r="M340" s="71">
        <v>1600</v>
      </c>
      <c r="N340" s="71">
        <v>29</v>
      </c>
      <c r="O340" s="71">
        <f>(H340/30)*N340</f>
        <v>27066.666666666668</v>
      </c>
      <c r="P340" s="72">
        <v>1</v>
      </c>
      <c r="Q340" s="72">
        <f>N340*P340</f>
        <v>29</v>
      </c>
      <c r="R340" s="71">
        <f>(H340/30)/8</f>
        <v>116.66666666666667</v>
      </c>
      <c r="S340" s="71">
        <f>Q340*R340</f>
        <v>3383.3333333333335</v>
      </c>
      <c r="T340" s="73">
        <f>I340+J340+K340+L340+M340+O340+S340</f>
        <v>39490.000000000007</v>
      </c>
      <c r="U340" s="73">
        <v>200</v>
      </c>
      <c r="V340" s="73">
        <f>H340*12%</f>
        <v>3360</v>
      </c>
      <c r="W340" s="73">
        <v>0</v>
      </c>
      <c r="X340" s="73">
        <f>SUM(U340:W340)</f>
        <v>3560</v>
      </c>
      <c r="Y340" s="73">
        <f>T340-X340</f>
        <v>35930.000000000007</v>
      </c>
    </row>
    <row r="341" spans="1:25" x14ac:dyDescent="0.3">
      <c r="A341" s="65" t="s">
        <v>488</v>
      </c>
      <c r="B341" s="66" t="s">
        <v>487</v>
      </c>
      <c r="C341" s="66" t="s">
        <v>214</v>
      </c>
      <c r="D341" s="67">
        <v>45</v>
      </c>
      <c r="E341" s="68">
        <v>43834</v>
      </c>
      <c r="F341" s="69" t="s">
        <v>213</v>
      </c>
      <c r="G341" s="69" t="str">
        <f>B341&amp;"@gmail.com"</f>
        <v>Name 340@gmail.com</v>
      </c>
      <c r="H341" s="70">
        <v>44000</v>
      </c>
      <c r="I341" s="71">
        <f>H341*18%</f>
        <v>7920</v>
      </c>
      <c r="J341" s="71">
        <f>H341*5%</f>
        <v>2200</v>
      </c>
      <c r="K341" s="71">
        <v>1000</v>
      </c>
      <c r="L341" s="71">
        <v>0</v>
      </c>
      <c r="M341" s="71">
        <v>1600</v>
      </c>
      <c r="N341" s="71">
        <v>28</v>
      </c>
      <c r="O341" s="71">
        <f>(H341/30)*N341</f>
        <v>41066.666666666672</v>
      </c>
      <c r="P341" s="72">
        <v>1</v>
      </c>
      <c r="Q341" s="72">
        <f>N341*P341</f>
        <v>28</v>
      </c>
      <c r="R341" s="71">
        <f>(H341/30)/8</f>
        <v>183.33333333333334</v>
      </c>
      <c r="S341" s="71">
        <f>Q341*R341</f>
        <v>5133.3333333333339</v>
      </c>
      <c r="T341" s="73">
        <f>I341+J341+K341+L341+M341+O341+S341</f>
        <v>58920.000000000007</v>
      </c>
      <c r="U341" s="73">
        <v>200</v>
      </c>
      <c r="V341" s="73">
        <f>H341*12%</f>
        <v>5280</v>
      </c>
      <c r="W341" s="73">
        <v>0</v>
      </c>
      <c r="X341" s="73">
        <f>SUM(U341:W341)</f>
        <v>5480</v>
      </c>
      <c r="Y341" s="73">
        <f>T341-X341</f>
        <v>53440.000000000007</v>
      </c>
    </row>
    <row r="342" spans="1:25" x14ac:dyDescent="0.3">
      <c r="A342" s="65" t="s">
        <v>486</v>
      </c>
      <c r="B342" s="66" t="s">
        <v>485</v>
      </c>
      <c r="C342" s="66" t="s">
        <v>210</v>
      </c>
      <c r="D342" s="67">
        <v>54</v>
      </c>
      <c r="E342" s="68">
        <v>43835</v>
      </c>
      <c r="F342" s="69" t="s">
        <v>206</v>
      </c>
      <c r="G342" s="69" t="str">
        <f>B342&amp;"@gmail.com"</f>
        <v>Name 341@gmail.com</v>
      </c>
      <c r="H342" s="70">
        <v>25000</v>
      </c>
      <c r="I342" s="71">
        <f>H342*18%</f>
        <v>4500</v>
      </c>
      <c r="J342" s="71">
        <f>H342*5%</f>
        <v>1250</v>
      </c>
      <c r="K342" s="71">
        <v>1000</v>
      </c>
      <c r="L342" s="71">
        <v>0</v>
      </c>
      <c r="M342" s="71">
        <v>1600</v>
      </c>
      <c r="N342" s="71">
        <v>27</v>
      </c>
      <c r="O342" s="71">
        <f>(H342/30)*N342</f>
        <v>22500</v>
      </c>
      <c r="P342" s="72">
        <v>1</v>
      </c>
      <c r="Q342" s="72">
        <f>N342*P342</f>
        <v>27</v>
      </c>
      <c r="R342" s="71">
        <f>(H342/30)/8</f>
        <v>104.16666666666667</v>
      </c>
      <c r="S342" s="71">
        <f>Q342*R342</f>
        <v>2812.5</v>
      </c>
      <c r="T342" s="73">
        <f>I342+J342+K342+L342+M342+O342+S342</f>
        <v>33662.5</v>
      </c>
      <c r="U342" s="73">
        <v>200</v>
      </c>
      <c r="V342" s="73">
        <f>H342*12%</f>
        <v>3000</v>
      </c>
      <c r="W342" s="73">
        <v>0</v>
      </c>
      <c r="X342" s="73">
        <f>SUM(U342:W342)</f>
        <v>3200</v>
      </c>
      <c r="Y342" s="73">
        <f>T342-X342</f>
        <v>30462.5</v>
      </c>
    </row>
    <row r="343" spans="1:25" x14ac:dyDescent="0.3">
      <c r="A343" s="65" t="s">
        <v>484</v>
      </c>
      <c r="B343" s="66" t="s">
        <v>483</v>
      </c>
      <c r="C343" s="66" t="s">
        <v>214</v>
      </c>
      <c r="D343" s="67">
        <v>56</v>
      </c>
      <c r="E343" s="68">
        <v>43836</v>
      </c>
      <c r="F343" s="69" t="s">
        <v>206</v>
      </c>
      <c r="G343" s="69" t="str">
        <f>B343&amp;"@gmail.com"</f>
        <v>Name 342@gmail.com</v>
      </c>
      <c r="H343" s="70">
        <v>50000</v>
      </c>
      <c r="I343" s="71">
        <f>H343*18%</f>
        <v>9000</v>
      </c>
      <c r="J343" s="71">
        <f>H343*5%</f>
        <v>2500</v>
      </c>
      <c r="K343" s="71">
        <v>1000</v>
      </c>
      <c r="L343" s="71">
        <v>0</v>
      </c>
      <c r="M343" s="71">
        <v>1600</v>
      </c>
      <c r="N343" s="71">
        <v>27</v>
      </c>
      <c r="O343" s="71">
        <f>(H343/30)*N343</f>
        <v>45000</v>
      </c>
      <c r="P343" s="72">
        <v>3</v>
      </c>
      <c r="Q343" s="72">
        <f>N343*P343</f>
        <v>81</v>
      </c>
      <c r="R343" s="71">
        <f>(H343/30)/8</f>
        <v>208.33333333333334</v>
      </c>
      <c r="S343" s="71">
        <f>Q343*R343</f>
        <v>16875</v>
      </c>
      <c r="T343" s="73">
        <f>I343+J343+K343+L343+M343+O343+S343</f>
        <v>75975</v>
      </c>
      <c r="U343" s="73">
        <v>201</v>
      </c>
      <c r="V343" s="73">
        <f>H343*12%</f>
        <v>6000</v>
      </c>
      <c r="W343" s="73">
        <v>0</v>
      </c>
      <c r="X343" s="73">
        <f>SUM(U343:W343)</f>
        <v>6201</v>
      </c>
      <c r="Y343" s="73">
        <f>T343-X343</f>
        <v>69774</v>
      </c>
    </row>
    <row r="344" spans="1:25" x14ac:dyDescent="0.3">
      <c r="A344" s="65" t="s">
        <v>482</v>
      </c>
      <c r="B344" s="66" t="s">
        <v>481</v>
      </c>
      <c r="C344" s="66" t="s">
        <v>214</v>
      </c>
      <c r="D344" s="67">
        <v>54</v>
      </c>
      <c r="E344" s="68">
        <v>43837</v>
      </c>
      <c r="F344" s="69" t="s">
        <v>213</v>
      </c>
      <c r="G344" s="69" t="str">
        <f>B344&amp;"@gmail.com"</f>
        <v>Name 343@gmail.com</v>
      </c>
      <c r="H344" s="70">
        <v>70000</v>
      </c>
      <c r="I344" s="71">
        <f>H344*18%</f>
        <v>12600</v>
      </c>
      <c r="J344" s="71">
        <f>H344*5%</f>
        <v>3500</v>
      </c>
      <c r="K344" s="71">
        <v>1000</v>
      </c>
      <c r="L344" s="71">
        <v>0</v>
      </c>
      <c r="M344" s="71">
        <v>1600</v>
      </c>
      <c r="N344" s="71">
        <v>27</v>
      </c>
      <c r="O344" s="71">
        <f>(H344/30)*N344</f>
        <v>63000.000000000007</v>
      </c>
      <c r="P344" s="72">
        <v>1</v>
      </c>
      <c r="Q344" s="72">
        <f>N344*P344</f>
        <v>27</v>
      </c>
      <c r="R344" s="71">
        <f>(H344/30)/8</f>
        <v>291.66666666666669</v>
      </c>
      <c r="S344" s="71">
        <f>Q344*R344</f>
        <v>7875.0000000000009</v>
      </c>
      <c r="T344" s="73">
        <f>I344+J344+K344+L344+M344+O344+S344</f>
        <v>89575</v>
      </c>
      <c r="U344" s="73">
        <v>202</v>
      </c>
      <c r="V344" s="73">
        <f>H344*12%</f>
        <v>8400</v>
      </c>
      <c r="W344" s="73">
        <v>0</v>
      </c>
      <c r="X344" s="73">
        <f>SUM(U344:W344)</f>
        <v>8602</v>
      </c>
      <c r="Y344" s="73">
        <f>T344-X344</f>
        <v>80973</v>
      </c>
    </row>
    <row r="345" spans="1:25" x14ac:dyDescent="0.3">
      <c r="A345" s="65" t="s">
        <v>480</v>
      </c>
      <c r="B345" s="66" t="s">
        <v>479</v>
      </c>
      <c r="C345" s="66" t="s">
        <v>214</v>
      </c>
      <c r="D345" s="67">
        <v>34</v>
      </c>
      <c r="E345" s="68">
        <v>43838</v>
      </c>
      <c r="F345" s="69" t="s">
        <v>213</v>
      </c>
      <c r="G345" s="69" t="str">
        <f>B345&amp;"@gmail.com"</f>
        <v>Name 344@gmail.com</v>
      </c>
      <c r="H345" s="70">
        <v>34000</v>
      </c>
      <c r="I345" s="71">
        <f>H345*18%</f>
        <v>6120</v>
      </c>
      <c r="J345" s="71">
        <f>H345*5%</f>
        <v>1700</v>
      </c>
      <c r="K345" s="71">
        <v>1000</v>
      </c>
      <c r="L345" s="71">
        <v>2000</v>
      </c>
      <c r="M345" s="71">
        <v>1600</v>
      </c>
      <c r="N345" s="71">
        <v>30</v>
      </c>
      <c r="O345" s="71">
        <f>(H345/30)*N345</f>
        <v>34000</v>
      </c>
      <c r="P345" s="72">
        <v>2</v>
      </c>
      <c r="Q345" s="72">
        <f>N345*P345</f>
        <v>60</v>
      </c>
      <c r="R345" s="71">
        <f>(H345/30)/8</f>
        <v>141.66666666666666</v>
      </c>
      <c r="S345" s="71">
        <f>Q345*R345</f>
        <v>8500</v>
      </c>
      <c r="T345" s="73">
        <f>I345+J345+K345+L345+M345+O345+S345</f>
        <v>54920</v>
      </c>
      <c r="U345" s="73">
        <v>203</v>
      </c>
      <c r="V345" s="73">
        <f>H345*12%</f>
        <v>4080</v>
      </c>
      <c r="W345" s="73">
        <v>0</v>
      </c>
      <c r="X345" s="73">
        <f>SUM(U345:W345)</f>
        <v>4283</v>
      </c>
      <c r="Y345" s="73">
        <f>T345-X345</f>
        <v>50637</v>
      </c>
    </row>
    <row r="346" spans="1:25" x14ac:dyDescent="0.3">
      <c r="A346" s="65" t="s">
        <v>478</v>
      </c>
      <c r="B346" s="66" t="s">
        <v>477</v>
      </c>
      <c r="C346" s="66" t="s">
        <v>214</v>
      </c>
      <c r="D346" s="67">
        <v>23</v>
      </c>
      <c r="E346" s="68">
        <v>43839</v>
      </c>
      <c r="F346" s="69" t="s">
        <v>213</v>
      </c>
      <c r="G346" s="69" t="str">
        <f>B346&amp;"@gmail.com"</f>
        <v>Name 345@gmail.com</v>
      </c>
      <c r="H346" s="70">
        <v>45000</v>
      </c>
      <c r="I346" s="71">
        <f>H346*18%</f>
        <v>8100</v>
      </c>
      <c r="J346" s="71">
        <f>H346*5%</f>
        <v>2250</v>
      </c>
      <c r="K346" s="71">
        <v>1000</v>
      </c>
      <c r="L346" s="71">
        <v>5000</v>
      </c>
      <c r="M346" s="71">
        <v>1600</v>
      </c>
      <c r="N346" s="71">
        <v>30</v>
      </c>
      <c r="O346" s="71">
        <f>(H346/30)*N346</f>
        <v>45000</v>
      </c>
      <c r="P346" s="72">
        <v>0</v>
      </c>
      <c r="Q346" s="72">
        <f>N346*P346</f>
        <v>0</v>
      </c>
      <c r="R346" s="71">
        <f>(H346/30)/8</f>
        <v>187.5</v>
      </c>
      <c r="S346" s="71">
        <f>Q346*R346</f>
        <v>0</v>
      </c>
      <c r="T346" s="73">
        <f>I346+J346+K346+L346+M346+O346+S346</f>
        <v>62950</v>
      </c>
      <c r="U346" s="73">
        <v>204</v>
      </c>
      <c r="V346" s="73">
        <f>H346*12%</f>
        <v>5400</v>
      </c>
      <c r="W346" s="73">
        <v>4000</v>
      </c>
      <c r="X346" s="73">
        <f>SUM(U346:W346)</f>
        <v>9604</v>
      </c>
      <c r="Y346" s="73">
        <f>T346-X346</f>
        <v>53346</v>
      </c>
    </row>
    <row r="347" spans="1:25" x14ac:dyDescent="0.3">
      <c r="A347" s="65" t="s">
        <v>476</v>
      </c>
      <c r="B347" s="66" t="s">
        <v>475</v>
      </c>
      <c r="C347" s="66" t="s">
        <v>214</v>
      </c>
      <c r="D347" s="67">
        <v>34</v>
      </c>
      <c r="E347" s="68">
        <v>43840</v>
      </c>
      <c r="F347" s="69" t="s">
        <v>213</v>
      </c>
      <c r="G347" s="69" t="str">
        <f>B347&amp;"@gmail.com"</f>
        <v>Name 346@gmail.com</v>
      </c>
      <c r="H347" s="70">
        <v>55000</v>
      </c>
      <c r="I347" s="71">
        <f>H347*18%</f>
        <v>9900</v>
      </c>
      <c r="J347" s="71">
        <f>H347*5%</f>
        <v>2750</v>
      </c>
      <c r="K347" s="71">
        <v>1000</v>
      </c>
      <c r="L347" s="71">
        <v>0</v>
      </c>
      <c r="M347" s="71">
        <v>1600</v>
      </c>
      <c r="N347" s="71">
        <v>30</v>
      </c>
      <c r="O347" s="71">
        <f>(H347/30)*N347</f>
        <v>55000</v>
      </c>
      <c r="P347" s="72">
        <v>1</v>
      </c>
      <c r="Q347" s="72">
        <f>N347*P347</f>
        <v>30</v>
      </c>
      <c r="R347" s="71">
        <f>(H347/30)/8</f>
        <v>229.16666666666666</v>
      </c>
      <c r="S347" s="71">
        <f>Q347*R347</f>
        <v>6875</v>
      </c>
      <c r="T347" s="73">
        <f>I347+J347+K347+L347+M347+O347+S347</f>
        <v>77125</v>
      </c>
      <c r="U347" s="73">
        <v>205</v>
      </c>
      <c r="V347" s="73">
        <f>H347*12%</f>
        <v>6600</v>
      </c>
      <c r="W347" s="73">
        <v>0</v>
      </c>
      <c r="X347" s="73">
        <f>SUM(U347:W347)</f>
        <v>6805</v>
      </c>
      <c r="Y347" s="73">
        <f>T347-X347</f>
        <v>70320</v>
      </c>
    </row>
    <row r="348" spans="1:25" x14ac:dyDescent="0.3">
      <c r="A348" s="65" t="s">
        <v>474</v>
      </c>
      <c r="B348" s="66" t="s">
        <v>473</v>
      </c>
      <c r="C348" s="66" t="s">
        <v>210</v>
      </c>
      <c r="D348" s="67">
        <v>43</v>
      </c>
      <c r="E348" s="68">
        <v>43841</v>
      </c>
      <c r="F348" s="69" t="s">
        <v>206</v>
      </c>
      <c r="G348" s="69" t="str">
        <f>B348&amp;"@gmail.com"</f>
        <v>Name 347@gmail.com</v>
      </c>
      <c r="H348" s="70">
        <v>43000</v>
      </c>
      <c r="I348" s="71">
        <f>H348*18%</f>
        <v>7740</v>
      </c>
      <c r="J348" s="71">
        <f>H348*5%</f>
        <v>2150</v>
      </c>
      <c r="K348" s="71">
        <v>1000</v>
      </c>
      <c r="L348" s="71">
        <v>0</v>
      </c>
      <c r="M348" s="71">
        <v>1600</v>
      </c>
      <c r="N348" s="71">
        <v>27</v>
      </c>
      <c r="O348" s="71">
        <f>(H348/30)*N348</f>
        <v>38700</v>
      </c>
      <c r="P348" s="72">
        <v>1</v>
      </c>
      <c r="Q348" s="72">
        <f>N348*P348</f>
        <v>27</v>
      </c>
      <c r="R348" s="71">
        <f>(H348/30)/8</f>
        <v>179.16666666666666</v>
      </c>
      <c r="S348" s="71">
        <f>Q348*R348</f>
        <v>4837.5</v>
      </c>
      <c r="T348" s="73">
        <f>I348+J348+K348+L348+M348+O348+S348</f>
        <v>56027.5</v>
      </c>
      <c r="U348" s="73">
        <v>200</v>
      </c>
      <c r="V348" s="73">
        <f>H348*12%</f>
        <v>5160</v>
      </c>
      <c r="W348" s="73">
        <v>0</v>
      </c>
      <c r="X348" s="73">
        <f>SUM(U348:W348)</f>
        <v>5360</v>
      </c>
      <c r="Y348" s="73">
        <f>T348-X348</f>
        <v>50667.5</v>
      </c>
    </row>
    <row r="349" spans="1:25" x14ac:dyDescent="0.3">
      <c r="A349" s="65" t="s">
        <v>472</v>
      </c>
      <c r="B349" s="66" t="s">
        <v>471</v>
      </c>
      <c r="C349" s="66" t="s">
        <v>207</v>
      </c>
      <c r="D349" s="67">
        <v>34</v>
      </c>
      <c r="E349" s="68">
        <v>43842</v>
      </c>
      <c r="F349" s="69" t="s">
        <v>206</v>
      </c>
      <c r="G349" s="69" t="str">
        <f>B349&amp;"@gmail.com"</f>
        <v>Name 348@gmail.com</v>
      </c>
      <c r="H349" s="70">
        <v>25000</v>
      </c>
      <c r="I349" s="71">
        <f>H349*18%</f>
        <v>4500</v>
      </c>
      <c r="J349" s="71">
        <f>H349*5%</f>
        <v>1250</v>
      </c>
      <c r="K349" s="71">
        <v>1000</v>
      </c>
      <c r="L349" s="71">
        <v>0</v>
      </c>
      <c r="M349" s="71">
        <v>1600</v>
      </c>
      <c r="N349" s="71">
        <v>30</v>
      </c>
      <c r="O349" s="71">
        <f>(H349/30)*N349</f>
        <v>25000</v>
      </c>
      <c r="P349" s="72">
        <v>0</v>
      </c>
      <c r="Q349" s="72">
        <f>N349*P349</f>
        <v>0</v>
      </c>
      <c r="R349" s="71">
        <f>(H349/30)/8</f>
        <v>104.16666666666667</v>
      </c>
      <c r="S349" s="71">
        <f>Q349*R349</f>
        <v>0</v>
      </c>
      <c r="T349" s="73">
        <f>I349+J349+K349+L349+M349+O349+S349</f>
        <v>33350</v>
      </c>
      <c r="U349" s="73">
        <v>200</v>
      </c>
      <c r="V349" s="73">
        <f>H349*12%</f>
        <v>3000</v>
      </c>
      <c r="W349" s="73">
        <v>0</v>
      </c>
      <c r="X349" s="73">
        <f>SUM(U349:W349)</f>
        <v>3200</v>
      </c>
      <c r="Y349" s="73">
        <f>T349-X349</f>
        <v>30150</v>
      </c>
    </row>
    <row r="350" spans="1:25" x14ac:dyDescent="0.3">
      <c r="A350" s="65" t="s">
        <v>470</v>
      </c>
      <c r="B350" s="66" t="s">
        <v>469</v>
      </c>
      <c r="C350" s="66" t="s">
        <v>214</v>
      </c>
      <c r="D350" s="67">
        <v>43</v>
      </c>
      <c r="E350" s="68">
        <v>43843</v>
      </c>
      <c r="F350" s="69" t="s">
        <v>206</v>
      </c>
      <c r="G350" s="69" t="str">
        <f>B350&amp;"@gmail.com"</f>
        <v>Name 349@gmail.com</v>
      </c>
      <c r="H350" s="70">
        <v>28000</v>
      </c>
      <c r="I350" s="71">
        <f>H350*18%</f>
        <v>5040</v>
      </c>
      <c r="J350" s="71">
        <f>H350*5%</f>
        <v>1400</v>
      </c>
      <c r="K350" s="71">
        <v>1000</v>
      </c>
      <c r="L350" s="71">
        <v>0</v>
      </c>
      <c r="M350" s="71">
        <v>1600</v>
      </c>
      <c r="N350" s="71">
        <v>20</v>
      </c>
      <c r="O350" s="71">
        <f>(H350/30)*N350</f>
        <v>18666.666666666668</v>
      </c>
      <c r="P350" s="72">
        <v>0</v>
      </c>
      <c r="Q350" s="72">
        <f>N350*P350</f>
        <v>0</v>
      </c>
      <c r="R350" s="71">
        <f>(H350/30)/8</f>
        <v>116.66666666666667</v>
      </c>
      <c r="S350" s="71">
        <f>Q350*R350</f>
        <v>0</v>
      </c>
      <c r="T350" s="73">
        <f>I350+J350+K350+L350+M350+O350+S350</f>
        <v>27706.666666666668</v>
      </c>
      <c r="U350" s="73">
        <v>200</v>
      </c>
      <c r="V350" s="73">
        <f>H350*12%</f>
        <v>3360</v>
      </c>
      <c r="W350" s="73">
        <v>0</v>
      </c>
      <c r="X350" s="73">
        <f>SUM(U350:W350)</f>
        <v>3560</v>
      </c>
      <c r="Y350" s="73">
        <f>T350-X350</f>
        <v>24146.666666666668</v>
      </c>
    </row>
    <row r="351" spans="1:25" x14ac:dyDescent="0.3">
      <c r="A351" s="65" t="s">
        <v>468</v>
      </c>
      <c r="B351" s="66" t="s">
        <v>467</v>
      </c>
      <c r="C351" s="66" t="s">
        <v>210</v>
      </c>
      <c r="D351" s="67">
        <v>23</v>
      </c>
      <c r="E351" s="68">
        <v>43844</v>
      </c>
      <c r="F351" s="69" t="s">
        <v>206</v>
      </c>
      <c r="G351" s="69" t="str">
        <f>B351&amp;"@gmail.com"</f>
        <v>Name 350@gmail.com</v>
      </c>
      <c r="H351" s="70">
        <v>40000</v>
      </c>
      <c r="I351" s="71">
        <f>H351*18%</f>
        <v>7200</v>
      </c>
      <c r="J351" s="71">
        <f>H351*5%</f>
        <v>2000</v>
      </c>
      <c r="K351" s="71">
        <v>1000</v>
      </c>
      <c r="L351" s="71">
        <v>0</v>
      </c>
      <c r="M351" s="71">
        <v>1600</v>
      </c>
      <c r="N351" s="71">
        <v>28</v>
      </c>
      <c r="O351" s="71">
        <f>(H351/30)*N351</f>
        <v>37333.333333333328</v>
      </c>
      <c r="P351" s="72">
        <v>2</v>
      </c>
      <c r="Q351" s="72">
        <f>N351*P351</f>
        <v>56</v>
      </c>
      <c r="R351" s="71">
        <f>(H351/30)/8</f>
        <v>166.66666666666666</v>
      </c>
      <c r="S351" s="71">
        <f>Q351*R351</f>
        <v>9333.3333333333321</v>
      </c>
      <c r="T351" s="73">
        <f>I351+J351+K351+L351+M351+O351+S351</f>
        <v>58466.666666666657</v>
      </c>
      <c r="U351" s="73">
        <v>200</v>
      </c>
      <c r="V351" s="73">
        <f>H351*12%</f>
        <v>4800</v>
      </c>
      <c r="W351" s="73">
        <v>0</v>
      </c>
      <c r="X351" s="73">
        <f>SUM(U351:W351)</f>
        <v>5000</v>
      </c>
      <c r="Y351" s="73">
        <f>T351-X351</f>
        <v>53466.666666666657</v>
      </c>
    </row>
    <row r="352" spans="1:25" x14ac:dyDescent="0.3">
      <c r="A352" s="65" t="s">
        <v>466</v>
      </c>
      <c r="B352" s="66" t="s">
        <v>465</v>
      </c>
      <c r="C352" s="66" t="s">
        <v>210</v>
      </c>
      <c r="D352" s="67">
        <v>34</v>
      </c>
      <c r="E352" s="68">
        <v>43845</v>
      </c>
      <c r="F352" s="69" t="s">
        <v>206</v>
      </c>
      <c r="G352" s="69" t="str">
        <f>B352&amp;"@gmail.com"</f>
        <v>Name 351@gmail.com</v>
      </c>
      <c r="H352" s="70">
        <v>32000</v>
      </c>
      <c r="I352" s="71">
        <f>H352*18%</f>
        <v>5760</v>
      </c>
      <c r="J352" s="71">
        <f>H352*5%</f>
        <v>1600</v>
      </c>
      <c r="K352" s="71">
        <v>1000</v>
      </c>
      <c r="L352" s="71">
        <v>0</v>
      </c>
      <c r="M352" s="71">
        <v>1600</v>
      </c>
      <c r="N352" s="71">
        <v>30</v>
      </c>
      <c r="O352" s="71">
        <f>(H352/30)*N352</f>
        <v>32000.000000000004</v>
      </c>
      <c r="P352" s="72">
        <v>1</v>
      </c>
      <c r="Q352" s="72">
        <f>N352*P352</f>
        <v>30</v>
      </c>
      <c r="R352" s="71">
        <f>(H352/30)/8</f>
        <v>133.33333333333334</v>
      </c>
      <c r="S352" s="71">
        <f>Q352*R352</f>
        <v>4000.0000000000005</v>
      </c>
      <c r="T352" s="73">
        <f>I352+J352+K352+L352+M352+O352+S352</f>
        <v>45960</v>
      </c>
      <c r="U352" s="73">
        <v>200</v>
      </c>
      <c r="V352" s="73">
        <f>H352*12%</f>
        <v>3840</v>
      </c>
      <c r="W352" s="73">
        <v>5000</v>
      </c>
      <c r="X352" s="73">
        <f>SUM(U352:W352)</f>
        <v>9040</v>
      </c>
      <c r="Y352" s="73">
        <f>T352-X352</f>
        <v>36920</v>
      </c>
    </row>
    <row r="353" spans="1:25" x14ac:dyDescent="0.3">
      <c r="A353" s="65" t="s">
        <v>464</v>
      </c>
      <c r="B353" s="66" t="s">
        <v>463</v>
      </c>
      <c r="C353" s="66" t="s">
        <v>207</v>
      </c>
      <c r="D353" s="67">
        <v>23</v>
      </c>
      <c r="E353" s="68">
        <v>43846</v>
      </c>
      <c r="F353" s="69" t="s">
        <v>206</v>
      </c>
      <c r="G353" s="69" t="str">
        <f>B353&amp;"@gmail.com"</f>
        <v>Name 352@gmail.com</v>
      </c>
      <c r="H353" s="70">
        <v>28000</v>
      </c>
      <c r="I353" s="71">
        <f>H353*18%</f>
        <v>5040</v>
      </c>
      <c r="J353" s="71">
        <f>H353*5%</f>
        <v>1400</v>
      </c>
      <c r="K353" s="71">
        <v>1000</v>
      </c>
      <c r="L353" s="71">
        <v>0</v>
      </c>
      <c r="M353" s="71">
        <v>1600</v>
      </c>
      <c r="N353" s="71">
        <v>29</v>
      </c>
      <c r="O353" s="71">
        <f>(H353/30)*N353</f>
        <v>27066.666666666668</v>
      </c>
      <c r="P353" s="72">
        <v>1</v>
      </c>
      <c r="Q353" s="72">
        <f>N353*P353</f>
        <v>29</v>
      </c>
      <c r="R353" s="71">
        <f>(H353/30)/8</f>
        <v>116.66666666666667</v>
      </c>
      <c r="S353" s="71">
        <f>Q353*R353</f>
        <v>3383.3333333333335</v>
      </c>
      <c r="T353" s="73">
        <f>I353+J353+K353+L353+M353+O353+S353</f>
        <v>39490.000000000007</v>
      </c>
      <c r="U353" s="73">
        <v>200</v>
      </c>
      <c r="V353" s="73">
        <f>H353*12%</f>
        <v>3360</v>
      </c>
      <c r="W353" s="73">
        <v>0</v>
      </c>
      <c r="X353" s="73">
        <f>SUM(U353:W353)</f>
        <v>3560</v>
      </c>
      <c r="Y353" s="73">
        <f>T353-X353</f>
        <v>35930.000000000007</v>
      </c>
    </row>
    <row r="354" spans="1:25" x14ac:dyDescent="0.3">
      <c r="A354" s="65" t="s">
        <v>462</v>
      </c>
      <c r="B354" s="66" t="s">
        <v>461</v>
      </c>
      <c r="C354" s="66" t="s">
        <v>214</v>
      </c>
      <c r="D354" s="67">
        <v>34</v>
      </c>
      <c r="E354" s="68">
        <v>43847</v>
      </c>
      <c r="F354" s="69" t="s">
        <v>213</v>
      </c>
      <c r="G354" s="69" t="str">
        <f>B354&amp;"@gmail.com"</f>
        <v>Name 353@gmail.com</v>
      </c>
      <c r="H354" s="70">
        <v>44000</v>
      </c>
      <c r="I354" s="71">
        <f>H354*18%</f>
        <v>7920</v>
      </c>
      <c r="J354" s="71">
        <f>H354*5%</f>
        <v>2200</v>
      </c>
      <c r="K354" s="71">
        <v>1000</v>
      </c>
      <c r="L354" s="71">
        <v>0</v>
      </c>
      <c r="M354" s="71">
        <v>1600</v>
      </c>
      <c r="N354" s="71">
        <v>28</v>
      </c>
      <c r="O354" s="71">
        <f>(H354/30)*N354</f>
        <v>41066.666666666672</v>
      </c>
      <c r="P354" s="72">
        <v>1</v>
      </c>
      <c r="Q354" s="72">
        <f>N354*P354</f>
        <v>28</v>
      </c>
      <c r="R354" s="71">
        <f>(H354/30)/8</f>
        <v>183.33333333333334</v>
      </c>
      <c r="S354" s="71">
        <f>Q354*R354</f>
        <v>5133.3333333333339</v>
      </c>
      <c r="T354" s="73">
        <f>I354+J354+K354+L354+M354+O354+S354</f>
        <v>58920.000000000007</v>
      </c>
      <c r="U354" s="73">
        <v>200</v>
      </c>
      <c r="V354" s="73">
        <f>H354*12%</f>
        <v>5280</v>
      </c>
      <c r="W354" s="73">
        <v>0</v>
      </c>
      <c r="X354" s="73">
        <f>SUM(U354:W354)</f>
        <v>5480</v>
      </c>
      <c r="Y354" s="73">
        <f>T354-X354</f>
        <v>53440.000000000007</v>
      </c>
    </row>
    <row r="355" spans="1:25" x14ac:dyDescent="0.3">
      <c r="A355" s="65" t="s">
        <v>460</v>
      </c>
      <c r="B355" s="66" t="s">
        <v>459</v>
      </c>
      <c r="C355" s="66" t="s">
        <v>210</v>
      </c>
      <c r="D355" s="67">
        <v>23</v>
      </c>
      <c r="E355" s="68">
        <v>43848</v>
      </c>
      <c r="F355" s="69" t="s">
        <v>206</v>
      </c>
      <c r="G355" s="69" t="str">
        <f>B355&amp;"@gmail.com"</f>
        <v>Name 354@gmail.com</v>
      </c>
      <c r="H355" s="70">
        <v>25000</v>
      </c>
      <c r="I355" s="71">
        <f>H355*18%</f>
        <v>4500</v>
      </c>
      <c r="J355" s="71">
        <f>H355*5%</f>
        <v>1250</v>
      </c>
      <c r="K355" s="71">
        <v>1000</v>
      </c>
      <c r="L355" s="71">
        <v>0</v>
      </c>
      <c r="M355" s="71">
        <v>1600</v>
      </c>
      <c r="N355" s="71">
        <v>27</v>
      </c>
      <c r="O355" s="71">
        <f>(H355/30)*N355</f>
        <v>22500</v>
      </c>
      <c r="P355" s="72">
        <v>1</v>
      </c>
      <c r="Q355" s="72">
        <f>N355*P355</f>
        <v>27</v>
      </c>
      <c r="R355" s="71">
        <f>(H355/30)/8</f>
        <v>104.16666666666667</v>
      </c>
      <c r="S355" s="71">
        <f>Q355*R355</f>
        <v>2812.5</v>
      </c>
      <c r="T355" s="73">
        <f>I355+J355+K355+L355+M355+O355+S355</f>
        <v>33662.5</v>
      </c>
      <c r="U355" s="73">
        <v>200</v>
      </c>
      <c r="V355" s="73">
        <f>H355*12%</f>
        <v>3000</v>
      </c>
      <c r="W355" s="73">
        <v>0</v>
      </c>
      <c r="X355" s="73">
        <f>SUM(U355:W355)</f>
        <v>3200</v>
      </c>
      <c r="Y355" s="73">
        <f>T355-X355</f>
        <v>30462.5</v>
      </c>
    </row>
    <row r="356" spans="1:25" x14ac:dyDescent="0.3">
      <c r="A356" s="65" t="s">
        <v>458</v>
      </c>
      <c r="B356" s="66" t="s">
        <v>457</v>
      </c>
      <c r="C356" s="66" t="s">
        <v>214</v>
      </c>
      <c r="D356" s="67">
        <v>34</v>
      </c>
      <c r="E356" s="68">
        <v>43849</v>
      </c>
      <c r="F356" s="69" t="s">
        <v>206</v>
      </c>
      <c r="G356" s="69" t="str">
        <f>B356&amp;"@gmail.com"</f>
        <v>Name 355@gmail.com</v>
      </c>
      <c r="H356" s="70">
        <v>50000</v>
      </c>
      <c r="I356" s="71">
        <f>H356*18%</f>
        <v>9000</v>
      </c>
      <c r="J356" s="71">
        <f>H356*5%</f>
        <v>2500</v>
      </c>
      <c r="K356" s="71">
        <v>1000</v>
      </c>
      <c r="L356" s="71">
        <v>0</v>
      </c>
      <c r="M356" s="71">
        <v>1600</v>
      </c>
      <c r="N356" s="71">
        <v>27</v>
      </c>
      <c r="O356" s="71">
        <f>(H356/30)*N356</f>
        <v>45000</v>
      </c>
      <c r="P356" s="72">
        <v>3</v>
      </c>
      <c r="Q356" s="72">
        <f>N356*P356</f>
        <v>81</v>
      </c>
      <c r="R356" s="71">
        <f>(H356/30)/8</f>
        <v>208.33333333333334</v>
      </c>
      <c r="S356" s="71">
        <f>Q356*R356</f>
        <v>16875</v>
      </c>
      <c r="T356" s="73">
        <f>I356+J356+K356+L356+M356+O356+S356</f>
        <v>75975</v>
      </c>
      <c r="U356" s="73">
        <v>201</v>
      </c>
      <c r="V356" s="73">
        <f>H356*12%</f>
        <v>6000</v>
      </c>
      <c r="W356" s="73">
        <v>0</v>
      </c>
      <c r="X356" s="73">
        <f>SUM(U356:W356)</f>
        <v>6201</v>
      </c>
      <c r="Y356" s="73">
        <f>T356-X356</f>
        <v>69774</v>
      </c>
    </row>
    <row r="357" spans="1:25" x14ac:dyDescent="0.3">
      <c r="A357" s="65" t="s">
        <v>456</v>
      </c>
      <c r="B357" s="66" t="s">
        <v>455</v>
      </c>
      <c r="C357" s="66" t="s">
        <v>214</v>
      </c>
      <c r="D357" s="67">
        <v>45</v>
      </c>
      <c r="E357" s="68">
        <v>43850</v>
      </c>
      <c r="F357" s="69" t="s">
        <v>213</v>
      </c>
      <c r="G357" s="69" t="str">
        <f>B357&amp;"@gmail.com"</f>
        <v>Name 356@gmail.com</v>
      </c>
      <c r="H357" s="70">
        <v>70000</v>
      </c>
      <c r="I357" s="71">
        <f>H357*18%</f>
        <v>12600</v>
      </c>
      <c r="J357" s="71">
        <f>H357*5%</f>
        <v>3500</v>
      </c>
      <c r="K357" s="71">
        <v>1000</v>
      </c>
      <c r="L357" s="71">
        <v>0</v>
      </c>
      <c r="M357" s="71">
        <v>1600</v>
      </c>
      <c r="N357" s="71">
        <v>27</v>
      </c>
      <c r="O357" s="71">
        <f>(H357/30)*N357</f>
        <v>63000.000000000007</v>
      </c>
      <c r="P357" s="72">
        <v>1</v>
      </c>
      <c r="Q357" s="72">
        <f>N357*P357</f>
        <v>27</v>
      </c>
      <c r="R357" s="71">
        <f>(H357/30)/8</f>
        <v>291.66666666666669</v>
      </c>
      <c r="S357" s="71">
        <f>Q357*R357</f>
        <v>7875.0000000000009</v>
      </c>
      <c r="T357" s="73">
        <f>I357+J357+K357+L357+M357+O357+S357</f>
        <v>89575</v>
      </c>
      <c r="U357" s="73">
        <v>202</v>
      </c>
      <c r="V357" s="73">
        <f>H357*12%</f>
        <v>8400</v>
      </c>
      <c r="W357" s="73">
        <v>0</v>
      </c>
      <c r="X357" s="73">
        <f>SUM(U357:W357)</f>
        <v>8602</v>
      </c>
      <c r="Y357" s="73">
        <f>T357-X357</f>
        <v>80973</v>
      </c>
    </row>
    <row r="358" spans="1:25" x14ac:dyDescent="0.3">
      <c r="A358" s="65" t="s">
        <v>454</v>
      </c>
      <c r="B358" s="66" t="s">
        <v>453</v>
      </c>
      <c r="C358" s="66" t="s">
        <v>214</v>
      </c>
      <c r="D358" s="67">
        <v>54</v>
      </c>
      <c r="E358" s="68">
        <v>43851</v>
      </c>
      <c r="F358" s="69" t="s">
        <v>213</v>
      </c>
      <c r="G358" s="69" t="str">
        <f>B358&amp;"@gmail.com"</f>
        <v>Name 357@gmail.com</v>
      </c>
      <c r="H358" s="70">
        <v>34000</v>
      </c>
      <c r="I358" s="71">
        <f>H358*18%</f>
        <v>6120</v>
      </c>
      <c r="J358" s="71">
        <f>H358*5%</f>
        <v>1700</v>
      </c>
      <c r="K358" s="71">
        <v>1000</v>
      </c>
      <c r="L358" s="71">
        <v>2000</v>
      </c>
      <c r="M358" s="71">
        <v>1600</v>
      </c>
      <c r="N358" s="71">
        <v>30</v>
      </c>
      <c r="O358" s="71">
        <f>(H358/30)*N358</f>
        <v>34000</v>
      </c>
      <c r="P358" s="72">
        <v>2</v>
      </c>
      <c r="Q358" s="72">
        <f>N358*P358</f>
        <v>60</v>
      </c>
      <c r="R358" s="71">
        <f>(H358/30)/8</f>
        <v>141.66666666666666</v>
      </c>
      <c r="S358" s="71">
        <f>Q358*R358</f>
        <v>8500</v>
      </c>
      <c r="T358" s="73">
        <f>I358+J358+K358+L358+M358+O358+S358</f>
        <v>54920</v>
      </c>
      <c r="U358" s="73">
        <v>203</v>
      </c>
      <c r="V358" s="73">
        <f>H358*12%</f>
        <v>4080</v>
      </c>
      <c r="W358" s="73">
        <v>0</v>
      </c>
      <c r="X358" s="73">
        <f>SUM(U358:W358)</f>
        <v>4283</v>
      </c>
      <c r="Y358" s="73">
        <f>T358-X358</f>
        <v>50637</v>
      </c>
    </row>
    <row r="359" spans="1:25" x14ac:dyDescent="0.3">
      <c r="A359" s="65" t="s">
        <v>452</v>
      </c>
      <c r="B359" s="66" t="s">
        <v>451</v>
      </c>
      <c r="C359" s="66" t="s">
        <v>214</v>
      </c>
      <c r="D359" s="67">
        <v>56</v>
      </c>
      <c r="E359" s="68">
        <v>43852</v>
      </c>
      <c r="F359" s="69" t="s">
        <v>213</v>
      </c>
      <c r="G359" s="69" t="str">
        <f>B359&amp;"@gmail.com"</f>
        <v>Name 358@gmail.com</v>
      </c>
      <c r="H359" s="70">
        <v>45000</v>
      </c>
      <c r="I359" s="71">
        <f>H359*18%</f>
        <v>8100</v>
      </c>
      <c r="J359" s="71">
        <f>H359*5%</f>
        <v>2250</v>
      </c>
      <c r="K359" s="71">
        <v>1000</v>
      </c>
      <c r="L359" s="71">
        <v>5000</v>
      </c>
      <c r="M359" s="71">
        <v>1600</v>
      </c>
      <c r="N359" s="71">
        <v>30</v>
      </c>
      <c r="O359" s="71">
        <f>(H359/30)*N359</f>
        <v>45000</v>
      </c>
      <c r="P359" s="72">
        <v>0</v>
      </c>
      <c r="Q359" s="72">
        <f>N359*P359</f>
        <v>0</v>
      </c>
      <c r="R359" s="71">
        <f>(H359/30)/8</f>
        <v>187.5</v>
      </c>
      <c r="S359" s="71">
        <f>Q359*R359</f>
        <v>0</v>
      </c>
      <c r="T359" s="73">
        <f>I359+J359+K359+L359+M359+O359+S359</f>
        <v>62950</v>
      </c>
      <c r="U359" s="73">
        <v>204</v>
      </c>
      <c r="V359" s="73">
        <f>H359*12%</f>
        <v>5400</v>
      </c>
      <c r="W359" s="73">
        <v>4000</v>
      </c>
      <c r="X359" s="73">
        <f>SUM(U359:W359)</f>
        <v>9604</v>
      </c>
      <c r="Y359" s="73">
        <f>T359-X359</f>
        <v>53346</v>
      </c>
    </row>
    <row r="360" spans="1:25" x14ac:dyDescent="0.3">
      <c r="A360" s="65" t="s">
        <v>450</v>
      </c>
      <c r="B360" s="66" t="s">
        <v>449</v>
      </c>
      <c r="C360" s="66" t="s">
        <v>214</v>
      </c>
      <c r="D360" s="67">
        <v>54</v>
      </c>
      <c r="E360" s="68">
        <v>43853</v>
      </c>
      <c r="F360" s="69" t="s">
        <v>213</v>
      </c>
      <c r="G360" s="69" t="str">
        <f>B360&amp;"@gmail.com"</f>
        <v>Name 359@gmail.com</v>
      </c>
      <c r="H360" s="70">
        <v>55000</v>
      </c>
      <c r="I360" s="71">
        <f>H360*18%</f>
        <v>9900</v>
      </c>
      <c r="J360" s="71">
        <f>H360*5%</f>
        <v>2750</v>
      </c>
      <c r="K360" s="71">
        <v>1000</v>
      </c>
      <c r="L360" s="71">
        <v>0</v>
      </c>
      <c r="M360" s="71">
        <v>1600</v>
      </c>
      <c r="N360" s="71">
        <v>30</v>
      </c>
      <c r="O360" s="71">
        <f>(H360/30)*N360</f>
        <v>55000</v>
      </c>
      <c r="P360" s="72">
        <v>1</v>
      </c>
      <c r="Q360" s="72">
        <f>N360*P360</f>
        <v>30</v>
      </c>
      <c r="R360" s="71">
        <f>(H360/30)/8</f>
        <v>229.16666666666666</v>
      </c>
      <c r="S360" s="71">
        <f>Q360*R360</f>
        <v>6875</v>
      </c>
      <c r="T360" s="73">
        <f>I360+J360+K360+L360+M360+O360+S360</f>
        <v>77125</v>
      </c>
      <c r="U360" s="73">
        <v>205</v>
      </c>
      <c r="V360" s="73">
        <f>H360*12%</f>
        <v>6600</v>
      </c>
      <c r="W360" s="73">
        <v>0</v>
      </c>
      <c r="X360" s="73">
        <f>SUM(U360:W360)</f>
        <v>6805</v>
      </c>
      <c r="Y360" s="73">
        <f>T360-X360</f>
        <v>70320</v>
      </c>
    </row>
    <row r="361" spans="1:25" x14ac:dyDescent="0.3">
      <c r="A361" s="65" t="s">
        <v>448</v>
      </c>
      <c r="B361" s="66" t="s">
        <v>447</v>
      </c>
      <c r="C361" s="66" t="s">
        <v>210</v>
      </c>
      <c r="D361" s="67">
        <v>34</v>
      </c>
      <c r="E361" s="68">
        <v>43854</v>
      </c>
      <c r="F361" s="69" t="s">
        <v>206</v>
      </c>
      <c r="G361" s="69" t="str">
        <f>B361&amp;"@gmail.com"</f>
        <v>Name 360@gmail.com</v>
      </c>
      <c r="H361" s="70">
        <v>43000</v>
      </c>
      <c r="I361" s="71">
        <f>H361*18%</f>
        <v>7740</v>
      </c>
      <c r="J361" s="71">
        <f>H361*5%</f>
        <v>2150</v>
      </c>
      <c r="K361" s="71">
        <v>1000</v>
      </c>
      <c r="L361" s="71">
        <v>0</v>
      </c>
      <c r="M361" s="71">
        <v>1600</v>
      </c>
      <c r="N361" s="71">
        <v>27</v>
      </c>
      <c r="O361" s="71">
        <f>(H361/30)*N361</f>
        <v>38700</v>
      </c>
      <c r="P361" s="72">
        <v>1</v>
      </c>
      <c r="Q361" s="72">
        <f>N361*P361</f>
        <v>27</v>
      </c>
      <c r="R361" s="71">
        <f>(H361/30)/8</f>
        <v>179.16666666666666</v>
      </c>
      <c r="S361" s="71">
        <f>Q361*R361</f>
        <v>4837.5</v>
      </c>
      <c r="T361" s="73">
        <f>I361+J361+K361+L361+M361+O361+S361</f>
        <v>56027.5</v>
      </c>
      <c r="U361" s="73">
        <v>200</v>
      </c>
      <c r="V361" s="73">
        <f>H361*12%</f>
        <v>5160</v>
      </c>
      <c r="W361" s="73">
        <v>0</v>
      </c>
      <c r="X361" s="73">
        <f>SUM(U361:W361)</f>
        <v>5360</v>
      </c>
      <c r="Y361" s="73">
        <f>T361-X361</f>
        <v>50667.5</v>
      </c>
    </row>
    <row r="362" spans="1:25" x14ac:dyDescent="0.3">
      <c r="A362" s="65" t="s">
        <v>446</v>
      </c>
      <c r="B362" s="66" t="s">
        <v>445</v>
      </c>
      <c r="C362" s="66" t="s">
        <v>207</v>
      </c>
      <c r="D362" s="67">
        <v>23</v>
      </c>
      <c r="E362" s="68">
        <v>43831</v>
      </c>
      <c r="F362" s="69" t="s">
        <v>206</v>
      </c>
      <c r="G362" s="69" t="str">
        <f>B362&amp;"@gmail.com"</f>
        <v>Name 361@gmail.com</v>
      </c>
      <c r="H362" s="70">
        <v>25000</v>
      </c>
      <c r="I362" s="71">
        <f>H362*18%</f>
        <v>4500</v>
      </c>
      <c r="J362" s="71">
        <f>H362*5%</f>
        <v>1250</v>
      </c>
      <c r="K362" s="71">
        <v>1000</v>
      </c>
      <c r="L362" s="71">
        <v>0</v>
      </c>
      <c r="M362" s="71">
        <v>1600</v>
      </c>
      <c r="N362" s="71">
        <v>30</v>
      </c>
      <c r="O362" s="71">
        <f>(H362/30)*N362</f>
        <v>25000</v>
      </c>
      <c r="P362" s="72">
        <v>0</v>
      </c>
      <c r="Q362" s="72">
        <f>N362*P362</f>
        <v>0</v>
      </c>
      <c r="R362" s="71">
        <f>(H362/30)/8</f>
        <v>104.16666666666667</v>
      </c>
      <c r="S362" s="71">
        <f>Q362*R362</f>
        <v>0</v>
      </c>
      <c r="T362" s="73">
        <f>I362+J362+K362+L362+M362+O362+S362</f>
        <v>33350</v>
      </c>
      <c r="U362" s="73">
        <v>200</v>
      </c>
      <c r="V362" s="73">
        <f>H362*12%</f>
        <v>3000</v>
      </c>
      <c r="W362" s="73">
        <v>0</v>
      </c>
      <c r="X362" s="73">
        <f>SUM(U362:W362)</f>
        <v>3200</v>
      </c>
      <c r="Y362" s="73">
        <f>T362-X362</f>
        <v>30150</v>
      </c>
    </row>
    <row r="363" spans="1:25" x14ac:dyDescent="0.3">
      <c r="A363" s="65" t="s">
        <v>444</v>
      </c>
      <c r="B363" s="66" t="s">
        <v>443</v>
      </c>
      <c r="C363" s="66" t="s">
        <v>214</v>
      </c>
      <c r="D363" s="67">
        <v>34</v>
      </c>
      <c r="E363" s="68">
        <v>43832</v>
      </c>
      <c r="F363" s="69" t="s">
        <v>206</v>
      </c>
      <c r="G363" s="69" t="str">
        <f>B363&amp;"@gmail.com"</f>
        <v>Name 362@gmail.com</v>
      </c>
      <c r="H363" s="70">
        <v>28000</v>
      </c>
      <c r="I363" s="71">
        <f>H363*18%</f>
        <v>5040</v>
      </c>
      <c r="J363" s="71">
        <f>H363*5%</f>
        <v>1400</v>
      </c>
      <c r="K363" s="71">
        <v>1000</v>
      </c>
      <c r="L363" s="71">
        <v>0</v>
      </c>
      <c r="M363" s="71">
        <v>1600</v>
      </c>
      <c r="N363" s="71">
        <v>20</v>
      </c>
      <c r="O363" s="71">
        <f>(H363/30)*N363</f>
        <v>18666.666666666668</v>
      </c>
      <c r="P363" s="72">
        <v>0</v>
      </c>
      <c r="Q363" s="72">
        <f>N363*P363</f>
        <v>0</v>
      </c>
      <c r="R363" s="71">
        <f>(H363/30)/8</f>
        <v>116.66666666666667</v>
      </c>
      <c r="S363" s="71">
        <f>Q363*R363</f>
        <v>0</v>
      </c>
      <c r="T363" s="73">
        <f>I363+J363+K363+L363+M363+O363+S363</f>
        <v>27706.666666666668</v>
      </c>
      <c r="U363" s="73">
        <v>200</v>
      </c>
      <c r="V363" s="73">
        <f>H363*12%</f>
        <v>3360</v>
      </c>
      <c r="W363" s="73">
        <v>0</v>
      </c>
      <c r="X363" s="73">
        <f>SUM(U363:W363)</f>
        <v>3560</v>
      </c>
      <c r="Y363" s="73">
        <f>T363-X363</f>
        <v>24146.666666666668</v>
      </c>
    </row>
    <row r="364" spans="1:25" x14ac:dyDescent="0.3">
      <c r="A364" s="65" t="s">
        <v>442</v>
      </c>
      <c r="B364" s="66" t="s">
        <v>441</v>
      </c>
      <c r="C364" s="66" t="s">
        <v>210</v>
      </c>
      <c r="D364" s="67">
        <v>43</v>
      </c>
      <c r="E364" s="68">
        <v>43833</v>
      </c>
      <c r="F364" s="69" t="s">
        <v>206</v>
      </c>
      <c r="G364" s="69" t="str">
        <f>B364&amp;"@gmail.com"</f>
        <v>Name 363@gmail.com</v>
      </c>
      <c r="H364" s="70">
        <v>40000</v>
      </c>
      <c r="I364" s="71">
        <f>H364*18%</f>
        <v>7200</v>
      </c>
      <c r="J364" s="71">
        <f>H364*5%</f>
        <v>2000</v>
      </c>
      <c r="K364" s="71">
        <v>1000</v>
      </c>
      <c r="L364" s="71">
        <v>0</v>
      </c>
      <c r="M364" s="71">
        <v>1600</v>
      </c>
      <c r="N364" s="71">
        <v>28</v>
      </c>
      <c r="O364" s="71">
        <f>(H364/30)*N364</f>
        <v>37333.333333333328</v>
      </c>
      <c r="P364" s="72">
        <v>2</v>
      </c>
      <c r="Q364" s="72">
        <f>N364*P364</f>
        <v>56</v>
      </c>
      <c r="R364" s="71">
        <f>(H364/30)/8</f>
        <v>166.66666666666666</v>
      </c>
      <c r="S364" s="71">
        <f>Q364*R364</f>
        <v>9333.3333333333321</v>
      </c>
      <c r="T364" s="73">
        <f>I364+J364+K364+L364+M364+O364+S364</f>
        <v>58466.666666666657</v>
      </c>
      <c r="U364" s="73">
        <v>200</v>
      </c>
      <c r="V364" s="73">
        <f>H364*12%</f>
        <v>4800</v>
      </c>
      <c r="W364" s="73">
        <v>0</v>
      </c>
      <c r="X364" s="73">
        <f>SUM(U364:W364)</f>
        <v>5000</v>
      </c>
      <c r="Y364" s="73">
        <f>T364-X364</f>
        <v>53466.666666666657</v>
      </c>
    </row>
    <row r="365" spans="1:25" x14ac:dyDescent="0.3">
      <c r="A365" s="65" t="s">
        <v>440</v>
      </c>
      <c r="B365" s="66" t="s">
        <v>439</v>
      </c>
      <c r="C365" s="66" t="s">
        <v>210</v>
      </c>
      <c r="D365" s="67">
        <v>34</v>
      </c>
      <c r="E365" s="68">
        <v>43834</v>
      </c>
      <c r="F365" s="69" t="s">
        <v>206</v>
      </c>
      <c r="G365" s="69" t="str">
        <f>B365&amp;"@gmail.com"</f>
        <v>Name 364@gmail.com</v>
      </c>
      <c r="H365" s="70">
        <v>32000</v>
      </c>
      <c r="I365" s="71">
        <f>H365*18%</f>
        <v>5760</v>
      </c>
      <c r="J365" s="71">
        <f>H365*5%</f>
        <v>1600</v>
      </c>
      <c r="K365" s="71">
        <v>1000</v>
      </c>
      <c r="L365" s="71">
        <v>0</v>
      </c>
      <c r="M365" s="71">
        <v>1600</v>
      </c>
      <c r="N365" s="71">
        <v>30</v>
      </c>
      <c r="O365" s="71">
        <f>(H365/30)*N365</f>
        <v>32000.000000000004</v>
      </c>
      <c r="P365" s="72">
        <v>1</v>
      </c>
      <c r="Q365" s="72">
        <f>N365*P365</f>
        <v>30</v>
      </c>
      <c r="R365" s="71">
        <f>(H365/30)/8</f>
        <v>133.33333333333334</v>
      </c>
      <c r="S365" s="71">
        <f>Q365*R365</f>
        <v>4000.0000000000005</v>
      </c>
      <c r="T365" s="73">
        <f>I365+J365+K365+L365+M365+O365+S365</f>
        <v>45960</v>
      </c>
      <c r="U365" s="73">
        <v>200</v>
      </c>
      <c r="V365" s="73">
        <f>H365*12%</f>
        <v>3840</v>
      </c>
      <c r="W365" s="73">
        <v>5000</v>
      </c>
      <c r="X365" s="73">
        <f>SUM(U365:W365)</f>
        <v>9040</v>
      </c>
      <c r="Y365" s="73">
        <f>T365-X365</f>
        <v>36920</v>
      </c>
    </row>
    <row r="366" spans="1:25" x14ac:dyDescent="0.3">
      <c r="A366" s="65" t="s">
        <v>438</v>
      </c>
      <c r="B366" s="66" t="s">
        <v>437</v>
      </c>
      <c r="C366" s="66" t="s">
        <v>207</v>
      </c>
      <c r="D366" s="67">
        <v>43</v>
      </c>
      <c r="E366" s="68">
        <v>43835</v>
      </c>
      <c r="F366" s="69" t="s">
        <v>206</v>
      </c>
      <c r="G366" s="69" t="str">
        <f>B366&amp;"@gmail.com"</f>
        <v>Name 365@gmail.com</v>
      </c>
      <c r="H366" s="70">
        <v>28000</v>
      </c>
      <c r="I366" s="71">
        <f>H366*18%</f>
        <v>5040</v>
      </c>
      <c r="J366" s="71">
        <f>H366*5%</f>
        <v>1400</v>
      </c>
      <c r="K366" s="71">
        <v>1000</v>
      </c>
      <c r="L366" s="71">
        <v>0</v>
      </c>
      <c r="M366" s="71">
        <v>1600</v>
      </c>
      <c r="N366" s="71">
        <v>29</v>
      </c>
      <c r="O366" s="71">
        <f>(H366/30)*N366</f>
        <v>27066.666666666668</v>
      </c>
      <c r="P366" s="72">
        <v>1</v>
      </c>
      <c r="Q366" s="72">
        <f>N366*P366</f>
        <v>29</v>
      </c>
      <c r="R366" s="71">
        <f>(H366/30)/8</f>
        <v>116.66666666666667</v>
      </c>
      <c r="S366" s="71">
        <f>Q366*R366</f>
        <v>3383.3333333333335</v>
      </c>
      <c r="T366" s="73">
        <f>I366+J366+K366+L366+M366+O366+S366</f>
        <v>39490.000000000007</v>
      </c>
      <c r="U366" s="73">
        <v>200</v>
      </c>
      <c r="V366" s="73">
        <f>H366*12%</f>
        <v>3360</v>
      </c>
      <c r="W366" s="73">
        <v>0</v>
      </c>
      <c r="X366" s="73">
        <f>SUM(U366:W366)</f>
        <v>3560</v>
      </c>
      <c r="Y366" s="73">
        <f>T366-X366</f>
        <v>35930.000000000007</v>
      </c>
    </row>
    <row r="367" spans="1:25" x14ac:dyDescent="0.3">
      <c r="A367" s="65" t="s">
        <v>436</v>
      </c>
      <c r="B367" s="66" t="s">
        <v>435</v>
      </c>
      <c r="C367" s="66" t="s">
        <v>214</v>
      </c>
      <c r="D367" s="67">
        <v>23</v>
      </c>
      <c r="E367" s="68">
        <v>43836</v>
      </c>
      <c r="F367" s="69" t="s">
        <v>213</v>
      </c>
      <c r="G367" s="69" t="str">
        <f>B367&amp;"@gmail.com"</f>
        <v>Name 366@gmail.com</v>
      </c>
      <c r="H367" s="70">
        <v>44000</v>
      </c>
      <c r="I367" s="71">
        <f>H367*18%</f>
        <v>7920</v>
      </c>
      <c r="J367" s="71">
        <f>H367*5%</f>
        <v>2200</v>
      </c>
      <c r="K367" s="71">
        <v>1000</v>
      </c>
      <c r="L367" s="71">
        <v>0</v>
      </c>
      <c r="M367" s="71">
        <v>1600</v>
      </c>
      <c r="N367" s="71">
        <v>28</v>
      </c>
      <c r="O367" s="71">
        <f>(H367/30)*N367</f>
        <v>41066.666666666672</v>
      </c>
      <c r="P367" s="72">
        <v>1</v>
      </c>
      <c r="Q367" s="72">
        <f>N367*P367</f>
        <v>28</v>
      </c>
      <c r="R367" s="71">
        <f>(H367/30)/8</f>
        <v>183.33333333333334</v>
      </c>
      <c r="S367" s="71">
        <f>Q367*R367</f>
        <v>5133.3333333333339</v>
      </c>
      <c r="T367" s="73">
        <f>I367+J367+K367+L367+M367+O367+S367</f>
        <v>58920.000000000007</v>
      </c>
      <c r="U367" s="73">
        <v>200</v>
      </c>
      <c r="V367" s="73">
        <f>H367*12%</f>
        <v>5280</v>
      </c>
      <c r="W367" s="73">
        <v>0</v>
      </c>
      <c r="X367" s="73">
        <f>SUM(U367:W367)</f>
        <v>5480</v>
      </c>
      <c r="Y367" s="73">
        <f>T367-X367</f>
        <v>53440.000000000007</v>
      </c>
    </row>
    <row r="368" spans="1:25" x14ac:dyDescent="0.3">
      <c r="A368" s="65" t="s">
        <v>434</v>
      </c>
      <c r="B368" s="66" t="s">
        <v>433</v>
      </c>
      <c r="C368" s="66" t="s">
        <v>210</v>
      </c>
      <c r="D368" s="67">
        <v>34</v>
      </c>
      <c r="E368" s="68">
        <v>43837</v>
      </c>
      <c r="F368" s="69" t="s">
        <v>206</v>
      </c>
      <c r="G368" s="69" t="str">
        <f>B368&amp;"@gmail.com"</f>
        <v>Name 367@gmail.com</v>
      </c>
      <c r="H368" s="70">
        <v>25000</v>
      </c>
      <c r="I368" s="71">
        <f>H368*18%</f>
        <v>4500</v>
      </c>
      <c r="J368" s="71">
        <f>H368*5%</f>
        <v>1250</v>
      </c>
      <c r="K368" s="71">
        <v>1000</v>
      </c>
      <c r="L368" s="71">
        <v>0</v>
      </c>
      <c r="M368" s="71">
        <v>1600</v>
      </c>
      <c r="N368" s="71">
        <v>27</v>
      </c>
      <c r="O368" s="71">
        <f>(H368/30)*N368</f>
        <v>22500</v>
      </c>
      <c r="P368" s="72">
        <v>1</v>
      </c>
      <c r="Q368" s="72">
        <f>N368*P368</f>
        <v>27</v>
      </c>
      <c r="R368" s="71">
        <f>(H368/30)/8</f>
        <v>104.16666666666667</v>
      </c>
      <c r="S368" s="71">
        <f>Q368*R368</f>
        <v>2812.5</v>
      </c>
      <c r="T368" s="73">
        <f>I368+J368+K368+L368+M368+O368+S368</f>
        <v>33662.5</v>
      </c>
      <c r="U368" s="73">
        <v>200</v>
      </c>
      <c r="V368" s="73">
        <f>H368*12%</f>
        <v>3000</v>
      </c>
      <c r="W368" s="73">
        <v>0</v>
      </c>
      <c r="X368" s="73">
        <f>SUM(U368:W368)</f>
        <v>3200</v>
      </c>
      <c r="Y368" s="73">
        <f>T368-X368</f>
        <v>30462.5</v>
      </c>
    </row>
    <row r="369" spans="1:25" x14ac:dyDescent="0.3">
      <c r="A369" s="65" t="s">
        <v>432</v>
      </c>
      <c r="B369" s="66" t="s">
        <v>431</v>
      </c>
      <c r="C369" s="66" t="s">
        <v>214</v>
      </c>
      <c r="D369" s="67">
        <v>23</v>
      </c>
      <c r="E369" s="68">
        <v>43838</v>
      </c>
      <c r="F369" s="69" t="s">
        <v>206</v>
      </c>
      <c r="G369" s="69" t="str">
        <f>B369&amp;"@gmail.com"</f>
        <v>Name 368@gmail.com</v>
      </c>
      <c r="H369" s="70">
        <v>50000</v>
      </c>
      <c r="I369" s="71">
        <f>H369*18%</f>
        <v>9000</v>
      </c>
      <c r="J369" s="71">
        <f>H369*5%</f>
        <v>2500</v>
      </c>
      <c r="K369" s="71">
        <v>1000</v>
      </c>
      <c r="L369" s="71">
        <v>0</v>
      </c>
      <c r="M369" s="71">
        <v>1600</v>
      </c>
      <c r="N369" s="71">
        <v>27</v>
      </c>
      <c r="O369" s="71">
        <f>(H369/30)*N369</f>
        <v>45000</v>
      </c>
      <c r="P369" s="72">
        <v>3</v>
      </c>
      <c r="Q369" s="72">
        <f>N369*P369</f>
        <v>81</v>
      </c>
      <c r="R369" s="71">
        <f>(H369/30)/8</f>
        <v>208.33333333333334</v>
      </c>
      <c r="S369" s="71">
        <f>Q369*R369</f>
        <v>16875</v>
      </c>
      <c r="T369" s="73">
        <f>I369+J369+K369+L369+M369+O369+S369</f>
        <v>75975</v>
      </c>
      <c r="U369" s="73">
        <v>201</v>
      </c>
      <c r="V369" s="73">
        <f>H369*12%</f>
        <v>6000</v>
      </c>
      <c r="W369" s="73">
        <v>0</v>
      </c>
      <c r="X369" s="73">
        <f>SUM(U369:W369)</f>
        <v>6201</v>
      </c>
      <c r="Y369" s="73">
        <f>T369-X369</f>
        <v>69774</v>
      </c>
    </row>
    <row r="370" spans="1:25" x14ac:dyDescent="0.3">
      <c r="A370" s="65" t="s">
        <v>430</v>
      </c>
      <c r="B370" s="66" t="s">
        <v>429</v>
      </c>
      <c r="C370" s="66" t="s">
        <v>214</v>
      </c>
      <c r="D370" s="67">
        <v>34</v>
      </c>
      <c r="E370" s="68">
        <v>43839</v>
      </c>
      <c r="F370" s="69" t="s">
        <v>213</v>
      </c>
      <c r="G370" s="69" t="str">
        <f>B370&amp;"@gmail.com"</f>
        <v>Name 369@gmail.com</v>
      </c>
      <c r="H370" s="70">
        <v>70000</v>
      </c>
      <c r="I370" s="71">
        <f>H370*18%</f>
        <v>12600</v>
      </c>
      <c r="J370" s="71">
        <f>H370*5%</f>
        <v>3500</v>
      </c>
      <c r="K370" s="71">
        <v>1000</v>
      </c>
      <c r="L370" s="71">
        <v>0</v>
      </c>
      <c r="M370" s="71">
        <v>1600</v>
      </c>
      <c r="N370" s="71">
        <v>27</v>
      </c>
      <c r="O370" s="71">
        <f>(H370/30)*N370</f>
        <v>63000.000000000007</v>
      </c>
      <c r="P370" s="72">
        <v>1</v>
      </c>
      <c r="Q370" s="72">
        <f>N370*P370</f>
        <v>27</v>
      </c>
      <c r="R370" s="71">
        <f>(H370/30)/8</f>
        <v>291.66666666666669</v>
      </c>
      <c r="S370" s="71">
        <f>Q370*R370</f>
        <v>7875.0000000000009</v>
      </c>
      <c r="T370" s="73">
        <f>I370+J370+K370+L370+M370+O370+S370</f>
        <v>89575</v>
      </c>
      <c r="U370" s="73">
        <v>202</v>
      </c>
      <c r="V370" s="73">
        <f>H370*12%</f>
        <v>8400</v>
      </c>
      <c r="W370" s="73">
        <v>0</v>
      </c>
      <c r="X370" s="73">
        <f>SUM(U370:W370)</f>
        <v>8602</v>
      </c>
      <c r="Y370" s="73">
        <f>T370-X370</f>
        <v>80973</v>
      </c>
    </row>
    <row r="371" spans="1:25" x14ac:dyDescent="0.3">
      <c r="A371" s="65" t="s">
        <v>428</v>
      </c>
      <c r="B371" s="66" t="s">
        <v>427</v>
      </c>
      <c r="C371" s="66" t="s">
        <v>214</v>
      </c>
      <c r="D371" s="67">
        <v>23</v>
      </c>
      <c r="E371" s="68">
        <v>43840</v>
      </c>
      <c r="F371" s="69" t="s">
        <v>213</v>
      </c>
      <c r="G371" s="69" t="str">
        <f>B371&amp;"@gmail.com"</f>
        <v>Name 370@gmail.com</v>
      </c>
      <c r="H371" s="70">
        <v>34000</v>
      </c>
      <c r="I371" s="71">
        <f>H371*18%</f>
        <v>6120</v>
      </c>
      <c r="J371" s="71">
        <f>H371*5%</f>
        <v>1700</v>
      </c>
      <c r="K371" s="71">
        <v>1000</v>
      </c>
      <c r="L371" s="71">
        <v>2000</v>
      </c>
      <c r="M371" s="71">
        <v>1600</v>
      </c>
      <c r="N371" s="71">
        <v>30</v>
      </c>
      <c r="O371" s="71">
        <f>(H371/30)*N371</f>
        <v>34000</v>
      </c>
      <c r="P371" s="72">
        <v>2</v>
      </c>
      <c r="Q371" s="72">
        <f>N371*P371</f>
        <v>60</v>
      </c>
      <c r="R371" s="71">
        <f>(H371/30)/8</f>
        <v>141.66666666666666</v>
      </c>
      <c r="S371" s="71">
        <f>Q371*R371</f>
        <v>8500</v>
      </c>
      <c r="T371" s="73">
        <f>I371+J371+K371+L371+M371+O371+S371</f>
        <v>54920</v>
      </c>
      <c r="U371" s="73">
        <v>203</v>
      </c>
      <c r="V371" s="73">
        <f>H371*12%</f>
        <v>4080</v>
      </c>
      <c r="W371" s="73">
        <v>0</v>
      </c>
      <c r="X371" s="73">
        <f>SUM(U371:W371)</f>
        <v>4283</v>
      </c>
      <c r="Y371" s="73">
        <f>T371-X371</f>
        <v>50637</v>
      </c>
    </row>
    <row r="372" spans="1:25" x14ac:dyDescent="0.3">
      <c r="A372" s="65" t="s">
        <v>426</v>
      </c>
      <c r="B372" s="66" t="s">
        <v>425</v>
      </c>
      <c r="C372" s="66" t="s">
        <v>214</v>
      </c>
      <c r="D372" s="67">
        <v>34</v>
      </c>
      <c r="E372" s="68">
        <v>43841</v>
      </c>
      <c r="F372" s="69" t="s">
        <v>213</v>
      </c>
      <c r="G372" s="69" t="str">
        <f>B372&amp;"@gmail.com"</f>
        <v>Name 371@gmail.com</v>
      </c>
      <c r="H372" s="70">
        <v>45000</v>
      </c>
      <c r="I372" s="71">
        <f>H372*18%</f>
        <v>8100</v>
      </c>
      <c r="J372" s="71">
        <f>H372*5%</f>
        <v>2250</v>
      </c>
      <c r="K372" s="71">
        <v>1000</v>
      </c>
      <c r="L372" s="71">
        <v>5000</v>
      </c>
      <c r="M372" s="71">
        <v>1600</v>
      </c>
      <c r="N372" s="71">
        <v>30</v>
      </c>
      <c r="O372" s="71">
        <f>(H372/30)*N372</f>
        <v>45000</v>
      </c>
      <c r="P372" s="72">
        <v>0</v>
      </c>
      <c r="Q372" s="72">
        <f>N372*P372</f>
        <v>0</v>
      </c>
      <c r="R372" s="71">
        <f>(H372/30)/8</f>
        <v>187.5</v>
      </c>
      <c r="S372" s="71">
        <f>Q372*R372</f>
        <v>0</v>
      </c>
      <c r="T372" s="73">
        <f>I372+J372+K372+L372+M372+O372+S372</f>
        <v>62950</v>
      </c>
      <c r="U372" s="73">
        <v>204</v>
      </c>
      <c r="V372" s="73">
        <f>H372*12%</f>
        <v>5400</v>
      </c>
      <c r="W372" s="73">
        <v>4000</v>
      </c>
      <c r="X372" s="73">
        <f>SUM(U372:W372)</f>
        <v>9604</v>
      </c>
      <c r="Y372" s="73">
        <f>T372-X372</f>
        <v>53346</v>
      </c>
    </row>
    <row r="373" spans="1:25" x14ac:dyDescent="0.3">
      <c r="A373" s="65" t="s">
        <v>424</v>
      </c>
      <c r="B373" s="66" t="s">
        <v>423</v>
      </c>
      <c r="C373" s="66" t="s">
        <v>214</v>
      </c>
      <c r="D373" s="67">
        <v>45</v>
      </c>
      <c r="E373" s="68">
        <v>43842</v>
      </c>
      <c r="F373" s="69" t="s">
        <v>213</v>
      </c>
      <c r="G373" s="69" t="str">
        <f>B373&amp;"@gmail.com"</f>
        <v>Name 372@gmail.com</v>
      </c>
      <c r="H373" s="70">
        <v>55000</v>
      </c>
      <c r="I373" s="71">
        <f>H373*18%</f>
        <v>9900</v>
      </c>
      <c r="J373" s="71">
        <f>H373*5%</f>
        <v>2750</v>
      </c>
      <c r="K373" s="71">
        <v>1000</v>
      </c>
      <c r="L373" s="71">
        <v>0</v>
      </c>
      <c r="M373" s="71">
        <v>1600</v>
      </c>
      <c r="N373" s="71">
        <v>30</v>
      </c>
      <c r="O373" s="71">
        <f>(H373/30)*N373</f>
        <v>55000</v>
      </c>
      <c r="P373" s="72">
        <v>1</v>
      </c>
      <c r="Q373" s="72">
        <f>N373*P373</f>
        <v>30</v>
      </c>
      <c r="R373" s="71">
        <f>(H373/30)/8</f>
        <v>229.16666666666666</v>
      </c>
      <c r="S373" s="71">
        <f>Q373*R373</f>
        <v>6875</v>
      </c>
      <c r="T373" s="73">
        <f>I373+J373+K373+L373+M373+O373+S373</f>
        <v>77125</v>
      </c>
      <c r="U373" s="73">
        <v>205</v>
      </c>
      <c r="V373" s="73">
        <f>H373*12%</f>
        <v>6600</v>
      </c>
      <c r="W373" s="73">
        <v>0</v>
      </c>
      <c r="X373" s="73">
        <f>SUM(U373:W373)</f>
        <v>6805</v>
      </c>
      <c r="Y373" s="73">
        <f>T373-X373</f>
        <v>70320</v>
      </c>
    </row>
    <row r="374" spans="1:25" x14ac:dyDescent="0.3">
      <c r="A374" s="65" t="s">
        <v>422</v>
      </c>
      <c r="B374" s="66" t="s">
        <v>421</v>
      </c>
      <c r="C374" s="66" t="s">
        <v>210</v>
      </c>
      <c r="D374" s="67">
        <v>54</v>
      </c>
      <c r="E374" s="68">
        <v>43843</v>
      </c>
      <c r="F374" s="69" t="s">
        <v>206</v>
      </c>
      <c r="G374" s="69" t="str">
        <f>B374&amp;"@gmail.com"</f>
        <v>Name 373@gmail.com</v>
      </c>
      <c r="H374" s="70">
        <v>43000</v>
      </c>
      <c r="I374" s="71">
        <f>H374*18%</f>
        <v>7740</v>
      </c>
      <c r="J374" s="71">
        <f>H374*5%</f>
        <v>2150</v>
      </c>
      <c r="K374" s="71">
        <v>1000</v>
      </c>
      <c r="L374" s="71">
        <v>0</v>
      </c>
      <c r="M374" s="71">
        <v>1600</v>
      </c>
      <c r="N374" s="71">
        <v>27</v>
      </c>
      <c r="O374" s="71">
        <f>(H374/30)*N374</f>
        <v>38700</v>
      </c>
      <c r="P374" s="72">
        <v>1</v>
      </c>
      <c r="Q374" s="72">
        <f>N374*P374</f>
        <v>27</v>
      </c>
      <c r="R374" s="71">
        <f>(H374/30)/8</f>
        <v>179.16666666666666</v>
      </c>
      <c r="S374" s="71">
        <f>Q374*R374</f>
        <v>4837.5</v>
      </c>
      <c r="T374" s="73">
        <f>I374+J374+K374+L374+M374+O374+S374</f>
        <v>56027.5</v>
      </c>
      <c r="U374" s="73">
        <v>200</v>
      </c>
      <c r="V374" s="73">
        <f>H374*12%</f>
        <v>5160</v>
      </c>
      <c r="W374" s="73">
        <v>0</v>
      </c>
      <c r="X374" s="73">
        <f>SUM(U374:W374)</f>
        <v>5360</v>
      </c>
      <c r="Y374" s="73">
        <f>T374-X374</f>
        <v>50667.5</v>
      </c>
    </row>
    <row r="375" spans="1:25" x14ac:dyDescent="0.3">
      <c r="A375" s="65" t="s">
        <v>420</v>
      </c>
      <c r="B375" s="66" t="s">
        <v>419</v>
      </c>
      <c r="C375" s="66" t="s">
        <v>207</v>
      </c>
      <c r="D375" s="67">
        <v>56</v>
      </c>
      <c r="E375" s="68">
        <v>43844</v>
      </c>
      <c r="F375" s="69" t="s">
        <v>206</v>
      </c>
      <c r="G375" s="69" t="str">
        <f>B375&amp;"@gmail.com"</f>
        <v>Name 374@gmail.com</v>
      </c>
      <c r="H375" s="70">
        <v>25000</v>
      </c>
      <c r="I375" s="71">
        <f>H375*18%</f>
        <v>4500</v>
      </c>
      <c r="J375" s="71">
        <f>H375*5%</f>
        <v>1250</v>
      </c>
      <c r="K375" s="71">
        <v>1000</v>
      </c>
      <c r="L375" s="71">
        <v>0</v>
      </c>
      <c r="M375" s="71">
        <v>1600</v>
      </c>
      <c r="N375" s="71">
        <v>30</v>
      </c>
      <c r="O375" s="71">
        <f>(H375/30)*N375</f>
        <v>25000</v>
      </c>
      <c r="P375" s="72">
        <v>0</v>
      </c>
      <c r="Q375" s="72">
        <f>N375*P375</f>
        <v>0</v>
      </c>
      <c r="R375" s="71">
        <f>(H375/30)/8</f>
        <v>104.16666666666667</v>
      </c>
      <c r="S375" s="71">
        <f>Q375*R375</f>
        <v>0</v>
      </c>
      <c r="T375" s="73">
        <f>I375+J375+K375+L375+M375+O375+S375</f>
        <v>33350</v>
      </c>
      <c r="U375" s="73">
        <v>200</v>
      </c>
      <c r="V375" s="73">
        <f>H375*12%</f>
        <v>3000</v>
      </c>
      <c r="W375" s="73">
        <v>0</v>
      </c>
      <c r="X375" s="73">
        <f>SUM(U375:W375)</f>
        <v>3200</v>
      </c>
      <c r="Y375" s="73">
        <f>T375-X375</f>
        <v>30150</v>
      </c>
    </row>
    <row r="376" spans="1:25" x14ac:dyDescent="0.3">
      <c r="A376" s="65" t="s">
        <v>418</v>
      </c>
      <c r="B376" s="66" t="s">
        <v>417</v>
      </c>
      <c r="C376" s="66" t="s">
        <v>214</v>
      </c>
      <c r="D376" s="67">
        <v>54</v>
      </c>
      <c r="E376" s="68">
        <v>43845</v>
      </c>
      <c r="F376" s="69" t="s">
        <v>206</v>
      </c>
      <c r="G376" s="69" t="str">
        <f>B376&amp;"@gmail.com"</f>
        <v>Name 375@gmail.com</v>
      </c>
      <c r="H376" s="70">
        <v>28000</v>
      </c>
      <c r="I376" s="71">
        <f>H376*18%</f>
        <v>5040</v>
      </c>
      <c r="J376" s="71">
        <f>H376*5%</f>
        <v>1400</v>
      </c>
      <c r="K376" s="71">
        <v>1000</v>
      </c>
      <c r="L376" s="71">
        <v>0</v>
      </c>
      <c r="M376" s="71">
        <v>1600</v>
      </c>
      <c r="N376" s="71">
        <v>20</v>
      </c>
      <c r="O376" s="71">
        <f>(H376/30)*N376</f>
        <v>18666.666666666668</v>
      </c>
      <c r="P376" s="72">
        <v>0</v>
      </c>
      <c r="Q376" s="72">
        <f>N376*P376</f>
        <v>0</v>
      </c>
      <c r="R376" s="71">
        <f>(H376/30)/8</f>
        <v>116.66666666666667</v>
      </c>
      <c r="S376" s="71">
        <f>Q376*R376</f>
        <v>0</v>
      </c>
      <c r="T376" s="73">
        <f>I376+J376+K376+L376+M376+O376+S376</f>
        <v>27706.666666666668</v>
      </c>
      <c r="U376" s="73">
        <v>200</v>
      </c>
      <c r="V376" s="73">
        <f>H376*12%</f>
        <v>3360</v>
      </c>
      <c r="W376" s="73">
        <v>0</v>
      </c>
      <c r="X376" s="73">
        <f>SUM(U376:W376)</f>
        <v>3560</v>
      </c>
      <c r="Y376" s="73">
        <f>T376-X376</f>
        <v>24146.666666666668</v>
      </c>
    </row>
    <row r="377" spans="1:25" x14ac:dyDescent="0.3">
      <c r="A377" s="65" t="s">
        <v>416</v>
      </c>
      <c r="B377" s="66" t="s">
        <v>415</v>
      </c>
      <c r="C377" s="66" t="s">
        <v>210</v>
      </c>
      <c r="D377" s="67">
        <v>34</v>
      </c>
      <c r="E377" s="68">
        <v>43846</v>
      </c>
      <c r="F377" s="69" t="s">
        <v>206</v>
      </c>
      <c r="G377" s="69" t="str">
        <f>B377&amp;"@gmail.com"</f>
        <v>Name 376@gmail.com</v>
      </c>
      <c r="H377" s="70">
        <v>40000</v>
      </c>
      <c r="I377" s="71">
        <f>H377*18%</f>
        <v>7200</v>
      </c>
      <c r="J377" s="71">
        <f>H377*5%</f>
        <v>2000</v>
      </c>
      <c r="K377" s="71">
        <v>1000</v>
      </c>
      <c r="L377" s="71">
        <v>0</v>
      </c>
      <c r="M377" s="71">
        <v>1600</v>
      </c>
      <c r="N377" s="71">
        <v>28</v>
      </c>
      <c r="O377" s="71">
        <f>(H377/30)*N377</f>
        <v>37333.333333333328</v>
      </c>
      <c r="P377" s="72">
        <v>2</v>
      </c>
      <c r="Q377" s="72">
        <f>N377*P377</f>
        <v>56</v>
      </c>
      <c r="R377" s="71">
        <f>(H377/30)/8</f>
        <v>166.66666666666666</v>
      </c>
      <c r="S377" s="71">
        <f>Q377*R377</f>
        <v>9333.3333333333321</v>
      </c>
      <c r="T377" s="73">
        <f>I377+J377+K377+L377+M377+O377+S377</f>
        <v>58466.666666666657</v>
      </c>
      <c r="U377" s="73">
        <v>200</v>
      </c>
      <c r="V377" s="73">
        <f>H377*12%</f>
        <v>4800</v>
      </c>
      <c r="W377" s="73">
        <v>0</v>
      </c>
      <c r="X377" s="73">
        <f>SUM(U377:W377)</f>
        <v>5000</v>
      </c>
      <c r="Y377" s="73">
        <f>T377-X377</f>
        <v>53466.666666666657</v>
      </c>
    </row>
    <row r="378" spans="1:25" x14ac:dyDescent="0.3">
      <c r="A378" s="65" t="s">
        <v>414</v>
      </c>
      <c r="B378" s="66" t="s">
        <v>413</v>
      </c>
      <c r="C378" s="66" t="s">
        <v>210</v>
      </c>
      <c r="D378" s="67">
        <v>23</v>
      </c>
      <c r="E378" s="68">
        <v>43847</v>
      </c>
      <c r="F378" s="69" t="s">
        <v>206</v>
      </c>
      <c r="G378" s="69" t="str">
        <f>B378&amp;"@gmail.com"</f>
        <v>Name 377@gmail.com</v>
      </c>
      <c r="H378" s="70">
        <v>32000</v>
      </c>
      <c r="I378" s="71">
        <f>H378*18%</f>
        <v>5760</v>
      </c>
      <c r="J378" s="71">
        <f>H378*5%</f>
        <v>1600</v>
      </c>
      <c r="K378" s="71">
        <v>1000</v>
      </c>
      <c r="L378" s="71">
        <v>0</v>
      </c>
      <c r="M378" s="71">
        <v>1600</v>
      </c>
      <c r="N378" s="71">
        <v>30</v>
      </c>
      <c r="O378" s="71">
        <f>(H378/30)*N378</f>
        <v>32000.000000000004</v>
      </c>
      <c r="P378" s="72">
        <v>1</v>
      </c>
      <c r="Q378" s="72">
        <f>N378*P378</f>
        <v>30</v>
      </c>
      <c r="R378" s="71">
        <f>(H378/30)/8</f>
        <v>133.33333333333334</v>
      </c>
      <c r="S378" s="71">
        <f>Q378*R378</f>
        <v>4000.0000000000005</v>
      </c>
      <c r="T378" s="73">
        <f>I378+J378+K378+L378+M378+O378+S378</f>
        <v>45960</v>
      </c>
      <c r="U378" s="73">
        <v>200</v>
      </c>
      <c r="V378" s="73">
        <f>H378*12%</f>
        <v>3840</v>
      </c>
      <c r="W378" s="73">
        <v>5000</v>
      </c>
      <c r="X378" s="73">
        <f>SUM(U378:W378)</f>
        <v>9040</v>
      </c>
      <c r="Y378" s="73">
        <f>T378-X378</f>
        <v>36920</v>
      </c>
    </row>
    <row r="379" spans="1:25" x14ac:dyDescent="0.3">
      <c r="A379" s="65" t="s">
        <v>412</v>
      </c>
      <c r="B379" s="66" t="s">
        <v>411</v>
      </c>
      <c r="C379" s="66" t="s">
        <v>207</v>
      </c>
      <c r="D379" s="67">
        <v>34</v>
      </c>
      <c r="E379" s="68">
        <v>43848</v>
      </c>
      <c r="F379" s="69" t="s">
        <v>206</v>
      </c>
      <c r="G379" s="69" t="str">
        <f>B379&amp;"@gmail.com"</f>
        <v>Name 378@gmail.com</v>
      </c>
      <c r="H379" s="70">
        <v>28000</v>
      </c>
      <c r="I379" s="71">
        <f>H379*18%</f>
        <v>5040</v>
      </c>
      <c r="J379" s="71">
        <f>H379*5%</f>
        <v>1400</v>
      </c>
      <c r="K379" s="71">
        <v>1000</v>
      </c>
      <c r="L379" s="71">
        <v>0</v>
      </c>
      <c r="M379" s="71">
        <v>1600</v>
      </c>
      <c r="N379" s="71">
        <v>29</v>
      </c>
      <c r="O379" s="71">
        <f>(H379/30)*N379</f>
        <v>27066.666666666668</v>
      </c>
      <c r="P379" s="72">
        <v>1</v>
      </c>
      <c r="Q379" s="72">
        <f>N379*P379</f>
        <v>29</v>
      </c>
      <c r="R379" s="71">
        <f>(H379/30)/8</f>
        <v>116.66666666666667</v>
      </c>
      <c r="S379" s="71">
        <f>Q379*R379</f>
        <v>3383.3333333333335</v>
      </c>
      <c r="T379" s="73">
        <f>I379+J379+K379+L379+M379+O379+S379</f>
        <v>39490.000000000007</v>
      </c>
      <c r="U379" s="73">
        <v>200</v>
      </c>
      <c r="V379" s="73">
        <f>H379*12%</f>
        <v>3360</v>
      </c>
      <c r="W379" s="73">
        <v>0</v>
      </c>
      <c r="X379" s="73">
        <f>SUM(U379:W379)</f>
        <v>3560</v>
      </c>
      <c r="Y379" s="73">
        <f>T379-X379</f>
        <v>35930.000000000007</v>
      </c>
    </row>
    <row r="380" spans="1:25" x14ac:dyDescent="0.3">
      <c r="A380" s="65" t="s">
        <v>410</v>
      </c>
      <c r="B380" s="66" t="s">
        <v>409</v>
      </c>
      <c r="C380" s="66" t="s">
        <v>214</v>
      </c>
      <c r="D380" s="67">
        <v>43</v>
      </c>
      <c r="E380" s="68">
        <v>43849</v>
      </c>
      <c r="F380" s="69" t="s">
        <v>213</v>
      </c>
      <c r="G380" s="69" t="str">
        <f>B380&amp;"@gmail.com"</f>
        <v>Name 379@gmail.com</v>
      </c>
      <c r="H380" s="70">
        <v>44000</v>
      </c>
      <c r="I380" s="71">
        <f>H380*18%</f>
        <v>7920</v>
      </c>
      <c r="J380" s="71">
        <f>H380*5%</f>
        <v>2200</v>
      </c>
      <c r="K380" s="71">
        <v>1000</v>
      </c>
      <c r="L380" s="71">
        <v>0</v>
      </c>
      <c r="M380" s="71">
        <v>1600</v>
      </c>
      <c r="N380" s="71">
        <v>28</v>
      </c>
      <c r="O380" s="71">
        <f>(H380/30)*N380</f>
        <v>41066.666666666672</v>
      </c>
      <c r="P380" s="72">
        <v>1</v>
      </c>
      <c r="Q380" s="72">
        <f>N380*P380</f>
        <v>28</v>
      </c>
      <c r="R380" s="71">
        <f>(H380/30)/8</f>
        <v>183.33333333333334</v>
      </c>
      <c r="S380" s="71">
        <f>Q380*R380</f>
        <v>5133.3333333333339</v>
      </c>
      <c r="T380" s="73">
        <f>I380+J380+K380+L380+M380+O380+S380</f>
        <v>58920.000000000007</v>
      </c>
      <c r="U380" s="73">
        <v>200</v>
      </c>
      <c r="V380" s="73">
        <f>H380*12%</f>
        <v>5280</v>
      </c>
      <c r="W380" s="73">
        <v>0</v>
      </c>
      <c r="X380" s="73">
        <f>SUM(U380:W380)</f>
        <v>5480</v>
      </c>
      <c r="Y380" s="73">
        <f>T380-X380</f>
        <v>53440.000000000007</v>
      </c>
    </row>
    <row r="381" spans="1:25" x14ac:dyDescent="0.3">
      <c r="A381" s="65" t="s">
        <v>408</v>
      </c>
      <c r="B381" s="66" t="s">
        <v>407</v>
      </c>
      <c r="C381" s="66" t="s">
        <v>210</v>
      </c>
      <c r="D381" s="67">
        <v>34</v>
      </c>
      <c r="E381" s="68">
        <v>43850</v>
      </c>
      <c r="F381" s="69" t="s">
        <v>206</v>
      </c>
      <c r="G381" s="69" t="str">
        <f>B381&amp;"@gmail.com"</f>
        <v>Name 380@gmail.com</v>
      </c>
      <c r="H381" s="70">
        <v>25000</v>
      </c>
      <c r="I381" s="71">
        <f>H381*18%</f>
        <v>4500</v>
      </c>
      <c r="J381" s="71">
        <f>H381*5%</f>
        <v>1250</v>
      </c>
      <c r="K381" s="71">
        <v>1000</v>
      </c>
      <c r="L381" s="71">
        <v>0</v>
      </c>
      <c r="M381" s="71">
        <v>1600</v>
      </c>
      <c r="N381" s="71">
        <v>27</v>
      </c>
      <c r="O381" s="71">
        <f>(H381/30)*N381</f>
        <v>22500</v>
      </c>
      <c r="P381" s="72">
        <v>1</v>
      </c>
      <c r="Q381" s="72">
        <f>N381*P381</f>
        <v>27</v>
      </c>
      <c r="R381" s="71">
        <f>(H381/30)/8</f>
        <v>104.16666666666667</v>
      </c>
      <c r="S381" s="71">
        <f>Q381*R381</f>
        <v>2812.5</v>
      </c>
      <c r="T381" s="73">
        <f>I381+J381+K381+L381+M381+O381+S381</f>
        <v>33662.5</v>
      </c>
      <c r="U381" s="73">
        <v>200</v>
      </c>
      <c r="V381" s="73">
        <f>H381*12%</f>
        <v>3000</v>
      </c>
      <c r="W381" s="73">
        <v>0</v>
      </c>
      <c r="X381" s="73">
        <f>SUM(U381:W381)</f>
        <v>3200</v>
      </c>
      <c r="Y381" s="73">
        <f>T381-X381</f>
        <v>30462.5</v>
      </c>
    </row>
    <row r="382" spans="1:25" x14ac:dyDescent="0.3">
      <c r="A382" s="65" t="s">
        <v>406</v>
      </c>
      <c r="B382" s="66" t="s">
        <v>405</v>
      </c>
      <c r="C382" s="66" t="s">
        <v>214</v>
      </c>
      <c r="D382" s="67">
        <v>43</v>
      </c>
      <c r="E382" s="68">
        <v>43851</v>
      </c>
      <c r="F382" s="69" t="s">
        <v>206</v>
      </c>
      <c r="G382" s="69" t="str">
        <f>B382&amp;"@gmail.com"</f>
        <v>Name 381@gmail.com</v>
      </c>
      <c r="H382" s="70">
        <v>50000</v>
      </c>
      <c r="I382" s="71">
        <f>H382*18%</f>
        <v>9000</v>
      </c>
      <c r="J382" s="71">
        <f>H382*5%</f>
        <v>2500</v>
      </c>
      <c r="K382" s="71">
        <v>1000</v>
      </c>
      <c r="L382" s="71">
        <v>0</v>
      </c>
      <c r="M382" s="71">
        <v>1600</v>
      </c>
      <c r="N382" s="71">
        <v>27</v>
      </c>
      <c r="O382" s="71">
        <f>(H382/30)*N382</f>
        <v>45000</v>
      </c>
      <c r="P382" s="72">
        <v>3</v>
      </c>
      <c r="Q382" s="72">
        <f>N382*P382</f>
        <v>81</v>
      </c>
      <c r="R382" s="71">
        <f>(H382/30)/8</f>
        <v>208.33333333333334</v>
      </c>
      <c r="S382" s="71">
        <f>Q382*R382</f>
        <v>16875</v>
      </c>
      <c r="T382" s="73">
        <f>I382+J382+K382+L382+M382+O382+S382</f>
        <v>75975</v>
      </c>
      <c r="U382" s="73">
        <v>201</v>
      </c>
      <c r="V382" s="73">
        <f>H382*12%</f>
        <v>6000</v>
      </c>
      <c r="W382" s="73">
        <v>0</v>
      </c>
      <c r="X382" s="73">
        <f>SUM(U382:W382)</f>
        <v>6201</v>
      </c>
      <c r="Y382" s="73">
        <f>T382-X382</f>
        <v>69774</v>
      </c>
    </row>
    <row r="383" spans="1:25" x14ac:dyDescent="0.3">
      <c r="A383" s="65" t="s">
        <v>404</v>
      </c>
      <c r="B383" s="66" t="s">
        <v>403</v>
      </c>
      <c r="C383" s="66" t="s">
        <v>214</v>
      </c>
      <c r="D383" s="67">
        <v>23</v>
      </c>
      <c r="E383" s="68">
        <v>43852</v>
      </c>
      <c r="F383" s="69" t="s">
        <v>213</v>
      </c>
      <c r="G383" s="69" t="str">
        <f>B383&amp;"@gmail.com"</f>
        <v>Name 382@gmail.com</v>
      </c>
      <c r="H383" s="70">
        <v>70000</v>
      </c>
      <c r="I383" s="71">
        <f>H383*18%</f>
        <v>12600</v>
      </c>
      <c r="J383" s="71">
        <f>H383*5%</f>
        <v>3500</v>
      </c>
      <c r="K383" s="71">
        <v>1000</v>
      </c>
      <c r="L383" s="71">
        <v>0</v>
      </c>
      <c r="M383" s="71">
        <v>1600</v>
      </c>
      <c r="N383" s="71">
        <v>27</v>
      </c>
      <c r="O383" s="71">
        <f>(H383/30)*N383</f>
        <v>63000.000000000007</v>
      </c>
      <c r="P383" s="72">
        <v>1</v>
      </c>
      <c r="Q383" s="72">
        <f>N383*P383</f>
        <v>27</v>
      </c>
      <c r="R383" s="71">
        <f>(H383/30)/8</f>
        <v>291.66666666666669</v>
      </c>
      <c r="S383" s="71">
        <f>Q383*R383</f>
        <v>7875.0000000000009</v>
      </c>
      <c r="T383" s="73">
        <f>I383+J383+K383+L383+M383+O383+S383</f>
        <v>89575</v>
      </c>
      <c r="U383" s="73">
        <v>202</v>
      </c>
      <c r="V383" s="73">
        <f>H383*12%</f>
        <v>8400</v>
      </c>
      <c r="W383" s="73">
        <v>0</v>
      </c>
      <c r="X383" s="73">
        <f>SUM(U383:W383)</f>
        <v>8602</v>
      </c>
      <c r="Y383" s="73">
        <f>T383-X383</f>
        <v>80973</v>
      </c>
    </row>
    <row r="384" spans="1:25" x14ac:dyDescent="0.3">
      <c r="A384" s="65" t="s">
        <v>402</v>
      </c>
      <c r="B384" s="66" t="s">
        <v>401</v>
      </c>
      <c r="C384" s="66" t="s">
        <v>214</v>
      </c>
      <c r="D384" s="67">
        <v>34</v>
      </c>
      <c r="E384" s="68">
        <v>43853</v>
      </c>
      <c r="F384" s="69" t="s">
        <v>213</v>
      </c>
      <c r="G384" s="69" t="str">
        <f>B384&amp;"@gmail.com"</f>
        <v>Name 383@gmail.com</v>
      </c>
      <c r="H384" s="70">
        <v>34000</v>
      </c>
      <c r="I384" s="71">
        <f>H384*18%</f>
        <v>6120</v>
      </c>
      <c r="J384" s="71">
        <f>H384*5%</f>
        <v>1700</v>
      </c>
      <c r="K384" s="71">
        <v>1000</v>
      </c>
      <c r="L384" s="71">
        <v>2000</v>
      </c>
      <c r="M384" s="71">
        <v>1600</v>
      </c>
      <c r="N384" s="71">
        <v>30</v>
      </c>
      <c r="O384" s="71">
        <f>(H384/30)*N384</f>
        <v>34000</v>
      </c>
      <c r="P384" s="72">
        <v>2</v>
      </c>
      <c r="Q384" s="72">
        <f>N384*P384</f>
        <v>60</v>
      </c>
      <c r="R384" s="71">
        <f>(H384/30)/8</f>
        <v>141.66666666666666</v>
      </c>
      <c r="S384" s="71">
        <f>Q384*R384</f>
        <v>8500</v>
      </c>
      <c r="T384" s="73">
        <f>I384+J384+K384+L384+M384+O384+S384</f>
        <v>54920</v>
      </c>
      <c r="U384" s="73">
        <v>203</v>
      </c>
      <c r="V384" s="73">
        <f>H384*12%</f>
        <v>4080</v>
      </c>
      <c r="W384" s="73">
        <v>0</v>
      </c>
      <c r="X384" s="73">
        <f>SUM(U384:W384)</f>
        <v>4283</v>
      </c>
      <c r="Y384" s="73">
        <f>T384-X384</f>
        <v>50637</v>
      </c>
    </row>
    <row r="385" spans="1:25" x14ac:dyDescent="0.3">
      <c r="A385" s="65" t="s">
        <v>400</v>
      </c>
      <c r="B385" s="66" t="s">
        <v>399</v>
      </c>
      <c r="C385" s="66" t="s">
        <v>214</v>
      </c>
      <c r="D385" s="67">
        <v>23</v>
      </c>
      <c r="E385" s="68">
        <v>43854</v>
      </c>
      <c r="F385" s="69" t="s">
        <v>213</v>
      </c>
      <c r="G385" s="69" t="str">
        <f>B385&amp;"@gmail.com"</f>
        <v>Name 384@gmail.com</v>
      </c>
      <c r="H385" s="70">
        <v>45000</v>
      </c>
      <c r="I385" s="71">
        <f>H385*18%</f>
        <v>8100</v>
      </c>
      <c r="J385" s="71">
        <f>H385*5%</f>
        <v>2250</v>
      </c>
      <c r="K385" s="71">
        <v>1000</v>
      </c>
      <c r="L385" s="71">
        <v>5000</v>
      </c>
      <c r="M385" s="71">
        <v>1600</v>
      </c>
      <c r="N385" s="71">
        <v>30</v>
      </c>
      <c r="O385" s="71">
        <f>(H385/30)*N385</f>
        <v>45000</v>
      </c>
      <c r="P385" s="72">
        <v>0</v>
      </c>
      <c r="Q385" s="72">
        <f>N385*P385</f>
        <v>0</v>
      </c>
      <c r="R385" s="71">
        <f>(H385/30)/8</f>
        <v>187.5</v>
      </c>
      <c r="S385" s="71">
        <f>Q385*R385</f>
        <v>0</v>
      </c>
      <c r="T385" s="73">
        <f>I385+J385+K385+L385+M385+O385+S385</f>
        <v>62950</v>
      </c>
      <c r="U385" s="73">
        <v>204</v>
      </c>
      <c r="V385" s="73">
        <f>H385*12%</f>
        <v>5400</v>
      </c>
      <c r="W385" s="73">
        <v>4000</v>
      </c>
      <c r="X385" s="73">
        <f>SUM(U385:W385)</f>
        <v>9604</v>
      </c>
      <c r="Y385" s="73">
        <f>T385-X385</f>
        <v>53346</v>
      </c>
    </row>
    <row r="386" spans="1:25" x14ac:dyDescent="0.3">
      <c r="A386" s="65" t="s">
        <v>398</v>
      </c>
      <c r="B386" s="66" t="s">
        <v>397</v>
      </c>
      <c r="C386" s="66" t="s">
        <v>214</v>
      </c>
      <c r="D386" s="67">
        <v>34</v>
      </c>
      <c r="E386" s="68">
        <v>43831</v>
      </c>
      <c r="F386" s="69" t="s">
        <v>213</v>
      </c>
      <c r="G386" s="69" t="str">
        <f>B386&amp;"@gmail.com"</f>
        <v>Name 385@gmail.com</v>
      </c>
      <c r="H386" s="70">
        <v>55000</v>
      </c>
      <c r="I386" s="71">
        <f>H386*18%</f>
        <v>9900</v>
      </c>
      <c r="J386" s="71">
        <f>H386*5%</f>
        <v>2750</v>
      </c>
      <c r="K386" s="71">
        <v>1000</v>
      </c>
      <c r="L386" s="71">
        <v>0</v>
      </c>
      <c r="M386" s="71">
        <v>1600</v>
      </c>
      <c r="N386" s="71">
        <v>30</v>
      </c>
      <c r="O386" s="71">
        <f>(H386/30)*N386</f>
        <v>55000</v>
      </c>
      <c r="P386" s="72">
        <v>1</v>
      </c>
      <c r="Q386" s="72">
        <f>N386*P386</f>
        <v>30</v>
      </c>
      <c r="R386" s="71">
        <f>(H386/30)/8</f>
        <v>229.16666666666666</v>
      </c>
      <c r="S386" s="71">
        <f>Q386*R386</f>
        <v>6875</v>
      </c>
      <c r="T386" s="73">
        <f>I386+J386+K386+L386+M386+O386+S386</f>
        <v>77125</v>
      </c>
      <c r="U386" s="73">
        <v>205</v>
      </c>
      <c r="V386" s="73">
        <f>H386*12%</f>
        <v>6600</v>
      </c>
      <c r="W386" s="73">
        <v>0</v>
      </c>
      <c r="X386" s="73">
        <f>SUM(U386:W386)</f>
        <v>6805</v>
      </c>
      <c r="Y386" s="73">
        <f>T386-X386</f>
        <v>70320</v>
      </c>
    </row>
    <row r="387" spans="1:25" x14ac:dyDescent="0.3">
      <c r="A387" s="65" t="s">
        <v>396</v>
      </c>
      <c r="B387" s="66" t="s">
        <v>395</v>
      </c>
      <c r="C387" s="66" t="s">
        <v>210</v>
      </c>
      <c r="D387" s="67">
        <v>23</v>
      </c>
      <c r="E387" s="68">
        <v>43832</v>
      </c>
      <c r="F387" s="69" t="s">
        <v>206</v>
      </c>
      <c r="G387" s="69" t="str">
        <f>B387&amp;"@gmail.com"</f>
        <v>Name 386@gmail.com</v>
      </c>
      <c r="H387" s="70">
        <v>43000</v>
      </c>
      <c r="I387" s="71">
        <f>H387*18%</f>
        <v>7740</v>
      </c>
      <c r="J387" s="71">
        <f>H387*5%</f>
        <v>2150</v>
      </c>
      <c r="K387" s="71">
        <v>1000</v>
      </c>
      <c r="L387" s="71">
        <v>0</v>
      </c>
      <c r="M387" s="71">
        <v>1600</v>
      </c>
      <c r="N387" s="71">
        <v>27</v>
      </c>
      <c r="O387" s="71">
        <f>(H387/30)*N387</f>
        <v>38700</v>
      </c>
      <c r="P387" s="72">
        <v>1</v>
      </c>
      <c r="Q387" s="72">
        <f>N387*P387</f>
        <v>27</v>
      </c>
      <c r="R387" s="71">
        <f>(H387/30)/8</f>
        <v>179.16666666666666</v>
      </c>
      <c r="S387" s="71">
        <f>Q387*R387</f>
        <v>4837.5</v>
      </c>
      <c r="T387" s="73">
        <f>I387+J387+K387+L387+M387+O387+S387</f>
        <v>56027.5</v>
      </c>
      <c r="U387" s="73">
        <v>200</v>
      </c>
      <c r="V387" s="73">
        <f>H387*12%</f>
        <v>5160</v>
      </c>
      <c r="W387" s="73">
        <v>0</v>
      </c>
      <c r="X387" s="73">
        <f>SUM(U387:W387)</f>
        <v>5360</v>
      </c>
      <c r="Y387" s="73">
        <f>T387-X387</f>
        <v>50667.5</v>
      </c>
    </row>
    <row r="388" spans="1:25" x14ac:dyDescent="0.3">
      <c r="A388" s="65" t="s">
        <v>394</v>
      </c>
      <c r="B388" s="66" t="s">
        <v>393</v>
      </c>
      <c r="C388" s="66" t="s">
        <v>207</v>
      </c>
      <c r="D388" s="67">
        <v>34</v>
      </c>
      <c r="E388" s="68">
        <v>43833</v>
      </c>
      <c r="F388" s="69" t="s">
        <v>206</v>
      </c>
      <c r="G388" s="69" t="str">
        <f>B388&amp;"@gmail.com"</f>
        <v>Name 387@gmail.com</v>
      </c>
      <c r="H388" s="70">
        <v>25000</v>
      </c>
      <c r="I388" s="71">
        <f>H388*18%</f>
        <v>4500</v>
      </c>
      <c r="J388" s="71">
        <f>H388*5%</f>
        <v>1250</v>
      </c>
      <c r="K388" s="71">
        <v>1000</v>
      </c>
      <c r="L388" s="71">
        <v>0</v>
      </c>
      <c r="M388" s="71">
        <v>1600</v>
      </c>
      <c r="N388" s="71">
        <v>30</v>
      </c>
      <c r="O388" s="71">
        <f>(H388/30)*N388</f>
        <v>25000</v>
      </c>
      <c r="P388" s="72">
        <v>0</v>
      </c>
      <c r="Q388" s="72">
        <f>N388*P388</f>
        <v>0</v>
      </c>
      <c r="R388" s="71">
        <f>(H388/30)/8</f>
        <v>104.16666666666667</v>
      </c>
      <c r="S388" s="71">
        <f>Q388*R388</f>
        <v>0</v>
      </c>
      <c r="T388" s="73">
        <f>I388+J388+K388+L388+M388+O388+S388</f>
        <v>33350</v>
      </c>
      <c r="U388" s="73">
        <v>200</v>
      </c>
      <c r="V388" s="73">
        <f>H388*12%</f>
        <v>3000</v>
      </c>
      <c r="W388" s="73">
        <v>0</v>
      </c>
      <c r="X388" s="73">
        <f>SUM(U388:W388)</f>
        <v>3200</v>
      </c>
      <c r="Y388" s="73">
        <f>T388-X388</f>
        <v>30150</v>
      </c>
    </row>
    <row r="389" spans="1:25" x14ac:dyDescent="0.3">
      <c r="A389" s="65" t="s">
        <v>392</v>
      </c>
      <c r="B389" s="66" t="s">
        <v>391</v>
      </c>
      <c r="C389" s="66" t="s">
        <v>214</v>
      </c>
      <c r="D389" s="67">
        <v>45</v>
      </c>
      <c r="E389" s="68">
        <v>43834</v>
      </c>
      <c r="F389" s="69" t="s">
        <v>206</v>
      </c>
      <c r="G389" s="69" t="str">
        <f>B389&amp;"@gmail.com"</f>
        <v>Name 388@gmail.com</v>
      </c>
      <c r="H389" s="70">
        <v>28000</v>
      </c>
      <c r="I389" s="71">
        <f>H389*18%</f>
        <v>5040</v>
      </c>
      <c r="J389" s="71">
        <f>H389*5%</f>
        <v>1400</v>
      </c>
      <c r="K389" s="71">
        <v>1000</v>
      </c>
      <c r="L389" s="71">
        <v>0</v>
      </c>
      <c r="M389" s="71">
        <v>1600</v>
      </c>
      <c r="N389" s="71">
        <v>20</v>
      </c>
      <c r="O389" s="71">
        <f>(H389/30)*N389</f>
        <v>18666.666666666668</v>
      </c>
      <c r="P389" s="72">
        <v>0</v>
      </c>
      <c r="Q389" s="72">
        <f>N389*P389</f>
        <v>0</v>
      </c>
      <c r="R389" s="71">
        <f>(H389/30)/8</f>
        <v>116.66666666666667</v>
      </c>
      <c r="S389" s="71">
        <f>Q389*R389</f>
        <v>0</v>
      </c>
      <c r="T389" s="73">
        <f>I389+J389+K389+L389+M389+O389+S389</f>
        <v>27706.666666666668</v>
      </c>
      <c r="U389" s="73">
        <v>200</v>
      </c>
      <c r="V389" s="73">
        <f>H389*12%</f>
        <v>3360</v>
      </c>
      <c r="W389" s="73">
        <v>0</v>
      </c>
      <c r="X389" s="73">
        <f>SUM(U389:W389)</f>
        <v>3560</v>
      </c>
      <c r="Y389" s="73">
        <f>T389-X389</f>
        <v>24146.666666666668</v>
      </c>
    </row>
    <row r="390" spans="1:25" x14ac:dyDescent="0.3">
      <c r="A390" s="65" t="s">
        <v>390</v>
      </c>
      <c r="B390" s="66" t="s">
        <v>389</v>
      </c>
      <c r="C390" s="66" t="s">
        <v>210</v>
      </c>
      <c r="D390" s="67">
        <v>54</v>
      </c>
      <c r="E390" s="68">
        <v>43835</v>
      </c>
      <c r="F390" s="69" t="s">
        <v>206</v>
      </c>
      <c r="G390" s="69" t="str">
        <f>B390&amp;"@gmail.com"</f>
        <v>Name 389@gmail.com</v>
      </c>
      <c r="H390" s="70">
        <v>40000</v>
      </c>
      <c r="I390" s="71">
        <f>H390*18%</f>
        <v>7200</v>
      </c>
      <c r="J390" s="71">
        <f>H390*5%</f>
        <v>2000</v>
      </c>
      <c r="K390" s="71">
        <v>1000</v>
      </c>
      <c r="L390" s="71">
        <v>0</v>
      </c>
      <c r="M390" s="71">
        <v>1600</v>
      </c>
      <c r="N390" s="71">
        <v>28</v>
      </c>
      <c r="O390" s="71">
        <f>(H390/30)*N390</f>
        <v>37333.333333333328</v>
      </c>
      <c r="P390" s="72">
        <v>2</v>
      </c>
      <c r="Q390" s="72">
        <f>N390*P390</f>
        <v>56</v>
      </c>
      <c r="R390" s="71">
        <f>(H390/30)/8</f>
        <v>166.66666666666666</v>
      </c>
      <c r="S390" s="71">
        <f>Q390*R390</f>
        <v>9333.3333333333321</v>
      </c>
      <c r="T390" s="73">
        <f>I390+J390+K390+L390+M390+O390+S390</f>
        <v>58466.666666666657</v>
      </c>
      <c r="U390" s="73">
        <v>200</v>
      </c>
      <c r="V390" s="73">
        <f>H390*12%</f>
        <v>4800</v>
      </c>
      <c r="W390" s="73">
        <v>0</v>
      </c>
      <c r="X390" s="73">
        <f>SUM(U390:W390)</f>
        <v>5000</v>
      </c>
      <c r="Y390" s="73">
        <f>T390-X390</f>
        <v>53466.666666666657</v>
      </c>
    </row>
    <row r="391" spans="1:25" x14ac:dyDescent="0.3">
      <c r="A391" s="65" t="s">
        <v>388</v>
      </c>
      <c r="B391" s="66" t="s">
        <v>387</v>
      </c>
      <c r="C391" s="66" t="s">
        <v>210</v>
      </c>
      <c r="D391" s="67">
        <v>56</v>
      </c>
      <c r="E391" s="68">
        <v>43836</v>
      </c>
      <c r="F391" s="69" t="s">
        <v>206</v>
      </c>
      <c r="G391" s="69" t="str">
        <f>B391&amp;"@gmail.com"</f>
        <v>Name 390@gmail.com</v>
      </c>
      <c r="H391" s="70">
        <v>32000</v>
      </c>
      <c r="I391" s="71">
        <f>H391*18%</f>
        <v>5760</v>
      </c>
      <c r="J391" s="71">
        <f>H391*5%</f>
        <v>1600</v>
      </c>
      <c r="K391" s="71">
        <v>1000</v>
      </c>
      <c r="L391" s="71">
        <v>0</v>
      </c>
      <c r="M391" s="71">
        <v>1600</v>
      </c>
      <c r="N391" s="71">
        <v>30</v>
      </c>
      <c r="O391" s="71">
        <f>(H391/30)*N391</f>
        <v>32000.000000000004</v>
      </c>
      <c r="P391" s="72">
        <v>1</v>
      </c>
      <c r="Q391" s="72">
        <f>N391*P391</f>
        <v>30</v>
      </c>
      <c r="R391" s="71">
        <f>(H391/30)/8</f>
        <v>133.33333333333334</v>
      </c>
      <c r="S391" s="71">
        <f>Q391*R391</f>
        <v>4000.0000000000005</v>
      </c>
      <c r="T391" s="73">
        <f>I391+J391+K391+L391+M391+O391+S391</f>
        <v>45960</v>
      </c>
      <c r="U391" s="73">
        <v>200</v>
      </c>
      <c r="V391" s="73">
        <f>H391*12%</f>
        <v>3840</v>
      </c>
      <c r="W391" s="73">
        <v>5000</v>
      </c>
      <c r="X391" s="73">
        <f>SUM(U391:W391)</f>
        <v>9040</v>
      </c>
      <c r="Y391" s="73">
        <f>T391-X391</f>
        <v>36920</v>
      </c>
    </row>
    <row r="392" spans="1:25" x14ac:dyDescent="0.3">
      <c r="A392" s="65" t="s">
        <v>386</v>
      </c>
      <c r="B392" s="66" t="s">
        <v>385</v>
      </c>
      <c r="C392" s="66" t="s">
        <v>207</v>
      </c>
      <c r="D392" s="67">
        <v>54</v>
      </c>
      <c r="E392" s="68">
        <v>43837</v>
      </c>
      <c r="F392" s="69" t="s">
        <v>206</v>
      </c>
      <c r="G392" s="69" t="str">
        <f>B392&amp;"@gmail.com"</f>
        <v>Name 391@gmail.com</v>
      </c>
      <c r="H392" s="70">
        <v>28000</v>
      </c>
      <c r="I392" s="71">
        <f>H392*18%</f>
        <v>5040</v>
      </c>
      <c r="J392" s="71">
        <f>H392*5%</f>
        <v>1400</v>
      </c>
      <c r="K392" s="71">
        <v>1000</v>
      </c>
      <c r="L392" s="71">
        <v>0</v>
      </c>
      <c r="M392" s="71">
        <v>1600</v>
      </c>
      <c r="N392" s="71">
        <v>29</v>
      </c>
      <c r="O392" s="71">
        <f>(H392/30)*N392</f>
        <v>27066.666666666668</v>
      </c>
      <c r="P392" s="72">
        <v>1</v>
      </c>
      <c r="Q392" s="72">
        <f>N392*P392</f>
        <v>29</v>
      </c>
      <c r="R392" s="71">
        <f>(H392/30)/8</f>
        <v>116.66666666666667</v>
      </c>
      <c r="S392" s="71">
        <f>Q392*R392</f>
        <v>3383.3333333333335</v>
      </c>
      <c r="T392" s="73">
        <f>I392+J392+K392+L392+M392+O392+S392</f>
        <v>39490.000000000007</v>
      </c>
      <c r="U392" s="73">
        <v>200</v>
      </c>
      <c r="V392" s="73">
        <f>H392*12%</f>
        <v>3360</v>
      </c>
      <c r="W392" s="73">
        <v>0</v>
      </c>
      <c r="X392" s="73">
        <f>SUM(U392:W392)</f>
        <v>3560</v>
      </c>
      <c r="Y392" s="73">
        <f>T392-X392</f>
        <v>35930.000000000007</v>
      </c>
    </row>
    <row r="393" spans="1:25" x14ac:dyDescent="0.3">
      <c r="A393" s="65" t="s">
        <v>384</v>
      </c>
      <c r="B393" s="66" t="s">
        <v>383</v>
      </c>
      <c r="C393" s="66" t="s">
        <v>214</v>
      </c>
      <c r="D393" s="67">
        <v>34</v>
      </c>
      <c r="E393" s="68">
        <v>43838</v>
      </c>
      <c r="F393" s="69" t="s">
        <v>213</v>
      </c>
      <c r="G393" s="69" t="str">
        <f>B393&amp;"@gmail.com"</f>
        <v>Name 392@gmail.com</v>
      </c>
      <c r="H393" s="70">
        <v>44000</v>
      </c>
      <c r="I393" s="71">
        <f>H393*18%</f>
        <v>7920</v>
      </c>
      <c r="J393" s="71">
        <f>H393*5%</f>
        <v>2200</v>
      </c>
      <c r="K393" s="71">
        <v>1000</v>
      </c>
      <c r="L393" s="71">
        <v>0</v>
      </c>
      <c r="M393" s="71">
        <v>1600</v>
      </c>
      <c r="N393" s="71">
        <v>28</v>
      </c>
      <c r="O393" s="71">
        <f>(H393/30)*N393</f>
        <v>41066.666666666672</v>
      </c>
      <c r="P393" s="72">
        <v>1</v>
      </c>
      <c r="Q393" s="72">
        <f>N393*P393</f>
        <v>28</v>
      </c>
      <c r="R393" s="71">
        <f>(H393/30)/8</f>
        <v>183.33333333333334</v>
      </c>
      <c r="S393" s="71">
        <f>Q393*R393</f>
        <v>5133.3333333333339</v>
      </c>
      <c r="T393" s="73">
        <f>I393+J393+K393+L393+M393+O393+S393</f>
        <v>58920.000000000007</v>
      </c>
      <c r="U393" s="73">
        <v>200</v>
      </c>
      <c r="V393" s="73">
        <f>H393*12%</f>
        <v>5280</v>
      </c>
      <c r="W393" s="73">
        <v>0</v>
      </c>
      <c r="X393" s="73">
        <f>SUM(U393:W393)</f>
        <v>5480</v>
      </c>
      <c r="Y393" s="73">
        <f>T393-X393</f>
        <v>53440.000000000007</v>
      </c>
    </row>
    <row r="394" spans="1:25" x14ac:dyDescent="0.3">
      <c r="A394" s="65" t="s">
        <v>382</v>
      </c>
      <c r="B394" s="66" t="s">
        <v>381</v>
      </c>
      <c r="C394" s="66" t="s">
        <v>210</v>
      </c>
      <c r="D394" s="67">
        <v>23</v>
      </c>
      <c r="E394" s="68">
        <v>43839</v>
      </c>
      <c r="F394" s="69" t="s">
        <v>206</v>
      </c>
      <c r="G394" s="69" t="str">
        <f>B394&amp;"@gmail.com"</f>
        <v>Name 393@gmail.com</v>
      </c>
      <c r="H394" s="70">
        <v>25000</v>
      </c>
      <c r="I394" s="71">
        <f>H394*18%</f>
        <v>4500</v>
      </c>
      <c r="J394" s="71">
        <f>H394*5%</f>
        <v>1250</v>
      </c>
      <c r="K394" s="71">
        <v>1000</v>
      </c>
      <c r="L394" s="71">
        <v>0</v>
      </c>
      <c r="M394" s="71">
        <v>1600</v>
      </c>
      <c r="N394" s="71">
        <v>27</v>
      </c>
      <c r="O394" s="71">
        <f>(H394/30)*N394</f>
        <v>22500</v>
      </c>
      <c r="P394" s="72">
        <v>1</v>
      </c>
      <c r="Q394" s="72">
        <f>N394*P394</f>
        <v>27</v>
      </c>
      <c r="R394" s="71">
        <f>(H394/30)/8</f>
        <v>104.16666666666667</v>
      </c>
      <c r="S394" s="71">
        <f>Q394*R394</f>
        <v>2812.5</v>
      </c>
      <c r="T394" s="73">
        <f>I394+J394+K394+L394+M394+O394+S394</f>
        <v>33662.5</v>
      </c>
      <c r="U394" s="73">
        <v>200</v>
      </c>
      <c r="V394" s="73">
        <f>H394*12%</f>
        <v>3000</v>
      </c>
      <c r="W394" s="73">
        <v>0</v>
      </c>
      <c r="X394" s="73">
        <f>SUM(U394:W394)</f>
        <v>3200</v>
      </c>
      <c r="Y394" s="73">
        <f>T394-X394</f>
        <v>30462.5</v>
      </c>
    </row>
    <row r="395" spans="1:25" x14ac:dyDescent="0.3">
      <c r="A395" s="65" t="s">
        <v>380</v>
      </c>
      <c r="B395" s="66" t="s">
        <v>379</v>
      </c>
      <c r="C395" s="66" t="s">
        <v>214</v>
      </c>
      <c r="D395" s="67">
        <v>34</v>
      </c>
      <c r="E395" s="68">
        <v>43840</v>
      </c>
      <c r="F395" s="69" t="s">
        <v>206</v>
      </c>
      <c r="G395" s="69" t="str">
        <f>B395&amp;"@gmail.com"</f>
        <v>Name 394@gmail.com</v>
      </c>
      <c r="H395" s="70">
        <v>50000</v>
      </c>
      <c r="I395" s="71">
        <f>H395*18%</f>
        <v>9000</v>
      </c>
      <c r="J395" s="71">
        <f>H395*5%</f>
        <v>2500</v>
      </c>
      <c r="K395" s="71">
        <v>1000</v>
      </c>
      <c r="L395" s="71">
        <v>0</v>
      </c>
      <c r="M395" s="71">
        <v>1600</v>
      </c>
      <c r="N395" s="71">
        <v>27</v>
      </c>
      <c r="O395" s="71">
        <f>(H395/30)*N395</f>
        <v>45000</v>
      </c>
      <c r="P395" s="72">
        <v>3</v>
      </c>
      <c r="Q395" s="72">
        <f>N395*P395</f>
        <v>81</v>
      </c>
      <c r="R395" s="71">
        <f>(H395/30)/8</f>
        <v>208.33333333333334</v>
      </c>
      <c r="S395" s="71">
        <f>Q395*R395</f>
        <v>16875</v>
      </c>
      <c r="T395" s="73">
        <f>I395+J395+K395+L395+M395+O395+S395</f>
        <v>75975</v>
      </c>
      <c r="U395" s="73">
        <v>201</v>
      </c>
      <c r="V395" s="73">
        <f>H395*12%</f>
        <v>6000</v>
      </c>
      <c r="W395" s="73">
        <v>0</v>
      </c>
      <c r="X395" s="73">
        <f>SUM(U395:W395)</f>
        <v>6201</v>
      </c>
      <c r="Y395" s="73">
        <f>T395-X395</f>
        <v>69774</v>
      </c>
    </row>
    <row r="396" spans="1:25" x14ac:dyDescent="0.3">
      <c r="A396" s="65" t="s">
        <v>378</v>
      </c>
      <c r="B396" s="66" t="s">
        <v>377</v>
      </c>
      <c r="C396" s="66" t="s">
        <v>214</v>
      </c>
      <c r="D396" s="67">
        <v>43</v>
      </c>
      <c r="E396" s="68">
        <v>43841</v>
      </c>
      <c r="F396" s="69" t="s">
        <v>213</v>
      </c>
      <c r="G396" s="69" t="str">
        <f>B396&amp;"@gmail.com"</f>
        <v>Name 395@gmail.com</v>
      </c>
      <c r="H396" s="70">
        <v>70000</v>
      </c>
      <c r="I396" s="71">
        <f>H396*18%</f>
        <v>12600</v>
      </c>
      <c r="J396" s="71">
        <f>H396*5%</f>
        <v>3500</v>
      </c>
      <c r="K396" s="71">
        <v>1000</v>
      </c>
      <c r="L396" s="71">
        <v>0</v>
      </c>
      <c r="M396" s="71">
        <v>1600</v>
      </c>
      <c r="N396" s="71">
        <v>27</v>
      </c>
      <c r="O396" s="71">
        <f>(H396/30)*N396</f>
        <v>63000.000000000007</v>
      </c>
      <c r="P396" s="72">
        <v>1</v>
      </c>
      <c r="Q396" s="72">
        <f>N396*P396</f>
        <v>27</v>
      </c>
      <c r="R396" s="71">
        <f>(H396/30)/8</f>
        <v>291.66666666666669</v>
      </c>
      <c r="S396" s="71">
        <f>Q396*R396</f>
        <v>7875.0000000000009</v>
      </c>
      <c r="T396" s="73">
        <f>I396+J396+K396+L396+M396+O396+S396</f>
        <v>89575</v>
      </c>
      <c r="U396" s="73">
        <v>202</v>
      </c>
      <c r="V396" s="73">
        <f>H396*12%</f>
        <v>8400</v>
      </c>
      <c r="W396" s="73">
        <v>0</v>
      </c>
      <c r="X396" s="73">
        <f>SUM(U396:W396)</f>
        <v>8602</v>
      </c>
      <c r="Y396" s="73">
        <f>T396-X396</f>
        <v>80973</v>
      </c>
    </row>
    <row r="397" spans="1:25" x14ac:dyDescent="0.3">
      <c r="A397" s="65" t="s">
        <v>376</v>
      </c>
      <c r="B397" s="66" t="s">
        <v>375</v>
      </c>
      <c r="C397" s="66" t="s">
        <v>214</v>
      </c>
      <c r="D397" s="67">
        <v>34</v>
      </c>
      <c r="E397" s="68">
        <v>43842</v>
      </c>
      <c r="F397" s="69" t="s">
        <v>213</v>
      </c>
      <c r="G397" s="69" t="str">
        <f>B397&amp;"@gmail.com"</f>
        <v>Name 396@gmail.com</v>
      </c>
      <c r="H397" s="70">
        <v>34000</v>
      </c>
      <c r="I397" s="71">
        <f>H397*18%</f>
        <v>6120</v>
      </c>
      <c r="J397" s="71">
        <f>H397*5%</f>
        <v>1700</v>
      </c>
      <c r="K397" s="71">
        <v>1000</v>
      </c>
      <c r="L397" s="71">
        <v>2000</v>
      </c>
      <c r="M397" s="71">
        <v>1600</v>
      </c>
      <c r="N397" s="71">
        <v>30</v>
      </c>
      <c r="O397" s="71">
        <f>(H397/30)*N397</f>
        <v>34000</v>
      </c>
      <c r="P397" s="72">
        <v>2</v>
      </c>
      <c r="Q397" s="72">
        <f>N397*P397</f>
        <v>60</v>
      </c>
      <c r="R397" s="71">
        <f>(H397/30)/8</f>
        <v>141.66666666666666</v>
      </c>
      <c r="S397" s="71">
        <f>Q397*R397</f>
        <v>8500</v>
      </c>
      <c r="T397" s="73">
        <f>I397+J397+K397+L397+M397+O397+S397</f>
        <v>54920</v>
      </c>
      <c r="U397" s="73">
        <v>203</v>
      </c>
      <c r="V397" s="73">
        <f>H397*12%</f>
        <v>4080</v>
      </c>
      <c r="W397" s="73">
        <v>0</v>
      </c>
      <c r="X397" s="73">
        <f>SUM(U397:W397)</f>
        <v>4283</v>
      </c>
      <c r="Y397" s="73">
        <f>T397-X397</f>
        <v>50637</v>
      </c>
    </row>
    <row r="398" spans="1:25" x14ac:dyDescent="0.3">
      <c r="A398" s="65" t="s">
        <v>374</v>
      </c>
      <c r="B398" s="66" t="s">
        <v>373</v>
      </c>
      <c r="C398" s="66" t="s">
        <v>214</v>
      </c>
      <c r="D398" s="67">
        <v>43</v>
      </c>
      <c r="E398" s="68">
        <v>43843</v>
      </c>
      <c r="F398" s="69" t="s">
        <v>213</v>
      </c>
      <c r="G398" s="69" t="str">
        <f>B398&amp;"@gmail.com"</f>
        <v>Name 397@gmail.com</v>
      </c>
      <c r="H398" s="70">
        <v>45000</v>
      </c>
      <c r="I398" s="71">
        <f>H398*18%</f>
        <v>8100</v>
      </c>
      <c r="J398" s="71">
        <f>H398*5%</f>
        <v>2250</v>
      </c>
      <c r="K398" s="71">
        <v>1000</v>
      </c>
      <c r="L398" s="71">
        <v>5000</v>
      </c>
      <c r="M398" s="71">
        <v>1600</v>
      </c>
      <c r="N398" s="71">
        <v>30</v>
      </c>
      <c r="O398" s="71">
        <f>(H398/30)*N398</f>
        <v>45000</v>
      </c>
      <c r="P398" s="72">
        <v>0</v>
      </c>
      <c r="Q398" s="72">
        <f>N398*P398</f>
        <v>0</v>
      </c>
      <c r="R398" s="71">
        <f>(H398/30)/8</f>
        <v>187.5</v>
      </c>
      <c r="S398" s="71">
        <f>Q398*R398</f>
        <v>0</v>
      </c>
      <c r="T398" s="73">
        <f>I398+J398+K398+L398+M398+O398+S398</f>
        <v>62950</v>
      </c>
      <c r="U398" s="73">
        <v>204</v>
      </c>
      <c r="V398" s="73">
        <f>H398*12%</f>
        <v>5400</v>
      </c>
      <c r="W398" s="73">
        <v>4000</v>
      </c>
      <c r="X398" s="73">
        <f>SUM(U398:W398)</f>
        <v>9604</v>
      </c>
      <c r="Y398" s="73">
        <f>T398-X398</f>
        <v>53346</v>
      </c>
    </row>
    <row r="399" spans="1:25" x14ac:dyDescent="0.3">
      <c r="A399" s="65" t="s">
        <v>372</v>
      </c>
      <c r="B399" s="66" t="s">
        <v>371</v>
      </c>
      <c r="C399" s="66" t="s">
        <v>214</v>
      </c>
      <c r="D399" s="67">
        <v>23</v>
      </c>
      <c r="E399" s="68">
        <v>43844</v>
      </c>
      <c r="F399" s="69" t="s">
        <v>213</v>
      </c>
      <c r="G399" s="69" t="str">
        <f>B399&amp;"@gmail.com"</f>
        <v>Name 398@gmail.com</v>
      </c>
      <c r="H399" s="70">
        <v>55000</v>
      </c>
      <c r="I399" s="71">
        <f>H399*18%</f>
        <v>9900</v>
      </c>
      <c r="J399" s="71">
        <f>H399*5%</f>
        <v>2750</v>
      </c>
      <c r="K399" s="71">
        <v>1000</v>
      </c>
      <c r="L399" s="71">
        <v>0</v>
      </c>
      <c r="M399" s="71">
        <v>1600</v>
      </c>
      <c r="N399" s="71">
        <v>30</v>
      </c>
      <c r="O399" s="71">
        <f>(H399/30)*N399</f>
        <v>55000</v>
      </c>
      <c r="P399" s="72">
        <v>1</v>
      </c>
      <c r="Q399" s="72">
        <f>N399*P399</f>
        <v>30</v>
      </c>
      <c r="R399" s="71">
        <f>(H399/30)/8</f>
        <v>229.16666666666666</v>
      </c>
      <c r="S399" s="71">
        <f>Q399*R399</f>
        <v>6875</v>
      </c>
      <c r="T399" s="73">
        <f>I399+J399+K399+L399+M399+O399+S399</f>
        <v>77125</v>
      </c>
      <c r="U399" s="73">
        <v>205</v>
      </c>
      <c r="V399" s="73">
        <f>H399*12%</f>
        <v>6600</v>
      </c>
      <c r="W399" s="73">
        <v>0</v>
      </c>
      <c r="X399" s="73">
        <f>SUM(U399:W399)</f>
        <v>6805</v>
      </c>
      <c r="Y399" s="73">
        <f>T399-X399</f>
        <v>70320</v>
      </c>
    </row>
    <row r="400" spans="1:25" x14ac:dyDescent="0.3">
      <c r="A400" s="65" t="s">
        <v>370</v>
      </c>
      <c r="B400" s="66" t="s">
        <v>369</v>
      </c>
      <c r="C400" s="66" t="s">
        <v>210</v>
      </c>
      <c r="D400" s="67">
        <v>34</v>
      </c>
      <c r="E400" s="68">
        <v>43845</v>
      </c>
      <c r="F400" s="69" t="s">
        <v>206</v>
      </c>
      <c r="G400" s="69" t="str">
        <f>B400&amp;"@gmail.com"</f>
        <v>Name 399@gmail.com</v>
      </c>
      <c r="H400" s="70">
        <v>43000</v>
      </c>
      <c r="I400" s="71">
        <f>H400*18%</f>
        <v>7740</v>
      </c>
      <c r="J400" s="71">
        <f>H400*5%</f>
        <v>2150</v>
      </c>
      <c r="K400" s="71">
        <v>1000</v>
      </c>
      <c r="L400" s="71">
        <v>0</v>
      </c>
      <c r="M400" s="71">
        <v>1600</v>
      </c>
      <c r="N400" s="71">
        <v>27</v>
      </c>
      <c r="O400" s="71">
        <f>(H400/30)*N400</f>
        <v>38700</v>
      </c>
      <c r="P400" s="72">
        <v>1</v>
      </c>
      <c r="Q400" s="72">
        <f>N400*P400</f>
        <v>27</v>
      </c>
      <c r="R400" s="71">
        <f>(H400/30)/8</f>
        <v>179.16666666666666</v>
      </c>
      <c r="S400" s="71">
        <f>Q400*R400</f>
        <v>4837.5</v>
      </c>
      <c r="T400" s="73">
        <f>I400+J400+K400+L400+M400+O400+S400</f>
        <v>56027.5</v>
      </c>
      <c r="U400" s="73">
        <v>200</v>
      </c>
      <c r="V400" s="73">
        <f>H400*12%</f>
        <v>5160</v>
      </c>
      <c r="W400" s="73">
        <v>0</v>
      </c>
      <c r="X400" s="73">
        <f>SUM(U400:W400)</f>
        <v>5360</v>
      </c>
      <c r="Y400" s="73">
        <f>T400-X400</f>
        <v>50667.5</v>
      </c>
    </row>
    <row r="401" spans="1:25" x14ac:dyDescent="0.3">
      <c r="A401" s="65" t="s">
        <v>368</v>
      </c>
      <c r="B401" s="66" t="s">
        <v>367</v>
      </c>
      <c r="C401" s="66" t="s">
        <v>207</v>
      </c>
      <c r="D401" s="67">
        <v>23</v>
      </c>
      <c r="E401" s="68">
        <v>43846</v>
      </c>
      <c r="F401" s="69" t="s">
        <v>206</v>
      </c>
      <c r="G401" s="69" t="str">
        <f>B401&amp;"@gmail.com"</f>
        <v>Name 400@gmail.com</v>
      </c>
      <c r="H401" s="70">
        <v>25000</v>
      </c>
      <c r="I401" s="71">
        <f>H401*18%</f>
        <v>4500</v>
      </c>
      <c r="J401" s="71">
        <f>H401*5%</f>
        <v>1250</v>
      </c>
      <c r="K401" s="71">
        <v>1000</v>
      </c>
      <c r="L401" s="71">
        <v>0</v>
      </c>
      <c r="M401" s="71">
        <v>1600</v>
      </c>
      <c r="N401" s="71">
        <v>30</v>
      </c>
      <c r="O401" s="71">
        <f>(H401/30)*N401</f>
        <v>25000</v>
      </c>
      <c r="P401" s="72">
        <v>0</v>
      </c>
      <c r="Q401" s="72">
        <f>N401*P401</f>
        <v>0</v>
      </c>
      <c r="R401" s="71">
        <f>(H401/30)/8</f>
        <v>104.16666666666667</v>
      </c>
      <c r="S401" s="71">
        <f>Q401*R401</f>
        <v>0</v>
      </c>
      <c r="T401" s="73">
        <f>I401+J401+K401+L401+M401+O401+S401</f>
        <v>33350</v>
      </c>
      <c r="U401" s="73">
        <v>200</v>
      </c>
      <c r="V401" s="73">
        <f>H401*12%</f>
        <v>3000</v>
      </c>
      <c r="W401" s="73">
        <v>0</v>
      </c>
      <c r="X401" s="73">
        <f>SUM(U401:W401)</f>
        <v>3200</v>
      </c>
      <c r="Y401" s="73">
        <f>T401-X401</f>
        <v>30150</v>
      </c>
    </row>
    <row r="402" spans="1:25" x14ac:dyDescent="0.3">
      <c r="A402" s="65" t="s">
        <v>366</v>
      </c>
      <c r="B402" s="66" t="s">
        <v>365</v>
      </c>
      <c r="C402" s="66" t="s">
        <v>214</v>
      </c>
      <c r="D402" s="67">
        <v>34</v>
      </c>
      <c r="E402" s="68">
        <v>43847</v>
      </c>
      <c r="F402" s="69" t="s">
        <v>206</v>
      </c>
      <c r="G402" s="69" t="str">
        <f>B402&amp;"@gmail.com"</f>
        <v>Name 401@gmail.com</v>
      </c>
      <c r="H402" s="70">
        <v>28000</v>
      </c>
      <c r="I402" s="71">
        <f>H402*18%</f>
        <v>5040</v>
      </c>
      <c r="J402" s="71">
        <f>H402*5%</f>
        <v>1400</v>
      </c>
      <c r="K402" s="71">
        <v>1000</v>
      </c>
      <c r="L402" s="71">
        <v>0</v>
      </c>
      <c r="M402" s="71">
        <v>1600</v>
      </c>
      <c r="N402" s="71">
        <v>20</v>
      </c>
      <c r="O402" s="71">
        <f>(H402/30)*N402</f>
        <v>18666.666666666668</v>
      </c>
      <c r="P402" s="72">
        <v>0</v>
      </c>
      <c r="Q402" s="72">
        <f>N402*P402</f>
        <v>0</v>
      </c>
      <c r="R402" s="71">
        <f>(H402/30)/8</f>
        <v>116.66666666666667</v>
      </c>
      <c r="S402" s="71">
        <f>Q402*R402</f>
        <v>0</v>
      </c>
      <c r="T402" s="73">
        <f>I402+J402+K402+L402+M402+O402+S402</f>
        <v>27706.666666666668</v>
      </c>
      <c r="U402" s="73">
        <v>200</v>
      </c>
      <c r="V402" s="73">
        <f>H402*12%</f>
        <v>3360</v>
      </c>
      <c r="W402" s="73">
        <v>0</v>
      </c>
      <c r="X402" s="73">
        <f>SUM(U402:W402)</f>
        <v>3560</v>
      </c>
      <c r="Y402" s="73">
        <f>T402-X402</f>
        <v>24146.666666666668</v>
      </c>
    </row>
    <row r="403" spans="1:25" x14ac:dyDescent="0.3">
      <c r="A403" s="65" t="s">
        <v>364</v>
      </c>
      <c r="B403" s="66" t="s">
        <v>363</v>
      </c>
      <c r="C403" s="66" t="s">
        <v>210</v>
      </c>
      <c r="D403" s="67">
        <v>23</v>
      </c>
      <c r="E403" s="68">
        <v>43848</v>
      </c>
      <c r="F403" s="69" t="s">
        <v>206</v>
      </c>
      <c r="G403" s="69" t="str">
        <f>B403&amp;"@gmail.com"</f>
        <v>Name 402@gmail.com</v>
      </c>
      <c r="H403" s="70">
        <v>40000</v>
      </c>
      <c r="I403" s="71">
        <f>H403*18%</f>
        <v>7200</v>
      </c>
      <c r="J403" s="71">
        <f>H403*5%</f>
        <v>2000</v>
      </c>
      <c r="K403" s="71">
        <v>1000</v>
      </c>
      <c r="L403" s="71">
        <v>0</v>
      </c>
      <c r="M403" s="71">
        <v>1600</v>
      </c>
      <c r="N403" s="71">
        <v>28</v>
      </c>
      <c r="O403" s="71">
        <f>(H403/30)*N403</f>
        <v>37333.333333333328</v>
      </c>
      <c r="P403" s="72">
        <v>2</v>
      </c>
      <c r="Q403" s="72">
        <f>N403*P403</f>
        <v>56</v>
      </c>
      <c r="R403" s="71">
        <f>(H403/30)/8</f>
        <v>166.66666666666666</v>
      </c>
      <c r="S403" s="71">
        <f>Q403*R403</f>
        <v>9333.3333333333321</v>
      </c>
      <c r="T403" s="73">
        <f>I403+J403+K403+L403+M403+O403+S403</f>
        <v>58466.666666666657</v>
      </c>
      <c r="U403" s="73">
        <v>200</v>
      </c>
      <c r="V403" s="73">
        <f>H403*12%</f>
        <v>4800</v>
      </c>
      <c r="W403" s="73">
        <v>0</v>
      </c>
      <c r="X403" s="73">
        <f>SUM(U403:W403)</f>
        <v>5000</v>
      </c>
      <c r="Y403" s="73">
        <f>T403-X403</f>
        <v>53466.666666666657</v>
      </c>
    </row>
    <row r="404" spans="1:25" x14ac:dyDescent="0.3">
      <c r="A404" s="65" t="s">
        <v>362</v>
      </c>
      <c r="B404" s="66" t="s">
        <v>361</v>
      </c>
      <c r="C404" s="66" t="s">
        <v>210</v>
      </c>
      <c r="D404" s="67">
        <v>34</v>
      </c>
      <c r="E404" s="68">
        <v>43849</v>
      </c>
      <c r="F404" s="69" t="s">
        <v>206</v>
      </c>
      <c r="G404" s="69" t="str">
        <f>B404&amp;"@gmail.com"</f>
        <v>Name 403@gmail.com</v>
      </c>
      <c r="H404" s="70">
        <v>32000</v>
      </c>
      <c r="I404" s="71">
        <f>H404*18%</f>
        <v>5760</v>
      </c>
      <c r="J404" s="71">
        <f>H404*5%</f>
        <v>1600</v>
      </c>
      <c r="K404" s="71">
        <v>1000</v>
      </c>
      <c r="L404" s="71">
        <v>0</v>
      </c>
      <c r="M404" s="71">
        <v>1600</v>
      </c>
      <c r="N404" s="71">
        <v>30</v>
      </c>
      <c r="O404" s="71">
        <f>(H404/30)*N404</f>
        <v>32000.000000000004</v>
      </c>
      <c r="P404" s="72">
        <v>1</v>
      </c>
      <c r="Q404" s="72">
        <f>N404*P404</f>
        <v>30</v>
      </c>
      <c r="R404" s="71">
        <f>(H404/30)/8</f>
        <v>133.33333333333334</v>
      </c>
      <c r="S404" s="71">
        <f>Q404*R404</f>
        <v>4000.0000000000005</v>
      </c>
      <c r="T404" s="73">
        <f>I404+J404+K404+L404+M404+O404+S404</f>
        <v>45960</v>
      </c>
      <c r="U404" s="73">
        <v>200</v>
      </c>
      <c r="V404" s="73">
        <f>H404*12%</f>
        <v>3840</v>
      </c>
      <c r="W404" s="73">
        <v>5000</v>
      </c>
      <c r="X404" s="73">
        <f>SUM(U404:W404)</f>
        <v>9040</v>
      </c>
      <c r="Y404" s="73">
        <f>T404-X404</f>
        <v>36920</v>
      </c>
    </row>
    <row r="405" spans="1:25" x14ac:dyDescent="0.3">
      <c r="A405" s="65" t="s">
        <v>360</v>
      </c>
      <c r="B405" s="66" t="s">
        <v>359</v>
      </c>
      <c r="C405" s="66" t="s">
        <v>207</v>
      </c>
      <c r="D405" s="67">
        <v>45</v>
      </c>
      <c r="E405" s="68">
        <v>43850</v>
      </c>
      <c r="F405" s="69" t="s">
        <v>206</v>
      </c>
      <c r="G405" s="69" t="str">
        <f>B405&amp;"@gmail.com"</f>
        <v>Name 404@gmail.com</v>
      </c>
      <c r="H405" s="70">
        <v>28000</v>
      </c>
      <c r="I405" s="71">
        <f>H405*18%</f>
        <v>5040</v>
      </c>
      <c r="J405" s="71">
        <f>H405*5%</f>
        <v>1400</v>
      </c>
      <c r="K405" s="71">
        <v>1000</v>
      </c>
      <c r="L405" s="71">
        <v>0</v>
      </c>
      <c r="M405" s="71">
        <v>1600</v>
      </c>
      <c r="N405" s="71">
        <v>29</v>
      </c>
      <c r="O405" s="71">
        <f>(H405/30)*N405</f>
        <v>27066.666666666668</v>
      </c>
      <c r="P405" s="72">
        <v>1</v>
      </c>
      <c r="Q405" s="72">
        <f>N405*P405</f>
        <v>29</v>
      </c>
      <c r="R405" s="71">
        <f>(H405/30)/8</f>
        <v>116.66666666666667</v>
      </c>
      <c r="S405" s="71">
        <f>Q405*R405</f>
        <v>3383.3333333333335</v>
      </c>
      <c r="T405" s="73">
        <f>I405+J405+K405+L405+M405+O405+S405</f>
        <v>39490.000000000007</v>
      </c>
      <c r="U405" s="73">
        <v>200</v>
      </c>
      <c r="V405" s="73">
        <f>H405*12%</f>
        <v>3360</v>
      </c>
      <c r="W405" s="73">
        <v>0</v>
      </c>
      <c r="X405" s="73">
        <f>SUM(U405:W405)</f>
        <v>3560</v>
      </c>
      <c r="Y405" s="73">
        <f>T405-X405</f>
        <v>35930.000000000007</v>
      </c>
    </row>
    <row r="406" spans="1:25" x14ac:dyDescent="0.3">
      <c r="A406" s="65" t="s">
        <v>358</v>
      </c>
      <c r="B406" s="66" t="s">
        <v>357</v>
      </c>
      <c r="C406" s="66" t="s">
        <v>214</v>
      </c>
      <c r="D406" s="67">
        <v>54</v>
      </c>
      <c r="E406" s="68">
        <v>43851</v>
      </c>
      <c r="F406" s="69" t="s">
        <v>213</v>
      </c>
      <c r="G406" s="69" t="str">
        <f>B406&amp;"@gmail.com"</f>
        <v>Name 405@gmail.com</v>
      </c>
      <c r="H406" s="70">
        <v>44000</v>
      </c>
      <c r="I406" s="71">
        <f>H406*18%</f>
        <v>7920</v>
      </c>
      <c r="J406" s="71">
        <f>H406*5%</f>
        <v>2200</v>
      </c>
      <c r="K406" s="71">
        <v>1000</v>
      </c>
      <c r="L406" s="71">
        <v>0</v>
      </c>
      <c r="M406" s="71">
        <v>1600</v>
      </c>
      <c r="N406" s="71">
        <v>28</v>
      </c>
      <c r="O406" s="71">
        <f>(H406/30)*N406</f>
        <v>41066.666666666672</v>
      </c>
      <c r="P406" s="72">
        <v>1</v>
      </c>
      <c r="Q406" s="72">
        <f>N406*P406</f>
        <v>28</v>
      </c>
      <c r="R406" s="71">
        <f>(H406/30)/8</f>
        <v>183.33333333333334</v>
      </c>
      <c r="S406" s="71">
        <f>Q406*R406</f>
        <v>5133.3333333333339</v>
      </c>
      <c r="T406" s="73">
        <f>I406+J406+K406+L406+M406+O406+S406</f>
        <v>58920.000000000007</v>
      </c>
      <c r="U406" s="73">
        <v>200</v>
      </c>
      <c r="V406" s="73">
        <f>H406*12%</f>
        <v>5280</v>
      </c>
      <c r="W406" s="73">
        <v>0</v>
      </c>
      <c r="X406" s="73">
        <f>SUM(U406:W406)</f>
        <v>5480</v>
      </c>
      <c r="Y406" s="73">
        <f>T406-X406</f>
        <v>53440.000000000007</v>
      </c>
    </row>
    <row r="407" spans="1:25" x14ac:dyDescent="0.3">
      <c r="A407" s="65" t="s">
        <v>356</v>
      </c>
      <c r="B407" s="66" t="s">
        <v>355</v>
      </c>
      <c r="C407" s="66" t="s">
        <v>210</v>
      </c>
      <c r="D407" s="67">
        <v>56</v>
      </c>
      <c r="E407" s="68">
        <v>43852</v>
      </c>
      <c r="F407" s="69" t="s">
        <v>206</v>
      </c>
      <c r="G407" s="69" t="str">
        <f>B407&amp;"@gmail.com"</f>
        <v>Name 406@gmail.com</v>
      </c>
      <c r="H407" s="70">
        <v>25000</v>
      </c>
      <c r="I407" s="71">
        <f>H407*18%</f>
        <v>4500</v>
      </c>
      <c r="J407" s="71">
        <f>H407*5%</f>
        <v>1250</v>
      </c>
      <c r="K407" s="71">
        <v>1000</v>
      </c>
      <c r="L407" s="71">
        <v>0</v>
      </c>
      <c r="M407" s="71">
        <v>1600</v>
      </c>
      <c r="N407" s="71">
        <v>27</v>
      </c>
      <c r="O407" s="71">
        <f>(H407/30)*N407</f>
        <v>22500</v>
      </c>
      <c r="P407" s="72">
        <v>1</v>
      </c>
      <c r="Q407" s="72">
        <f>N407*P407</f>
        <v>27</v>
      </c>
      <c r="R407" s="71">
        <f>(H407/30)/8</f>
        <v>104.16666666666667</v>
      </c>
      <c r="S407" s="71">
        <f>Q407*R407</f>
        <v>2812.5</v>
      </c>
      <c r="T407" s="73">
        <f>I407+J407+K407+L407+M407+O407+S407</f>
        <v>33662.5</v>
      </c>
      <c r="U407" s="73">
        <v>200</v>
      </c>
      <c r="V407" s="73">
        <f>H407*12%</f>
        <v>3000</v>
      </c>
      <c r="W407" s="73">
        <v>0</v>
      </c>
      <c r="X407" s="73">
        <f>SUM(U407:W407)</f>
        <v>3200</v>
      </c>
      <c r="Y407" s="73">
        <f>T407-X407</f>
        <v>30462.5</v>
      </c>
    </row>
    <row r="408" spans="1:25" x14ac:dyDescent="0.3">
      <c r="A408" s="65" t="s">
        <v>354</v>
      </c>
      <c r="B408" s="66" t="s">
        <v>353</v>
      </c>
      <c r="C408" s="66" t="s">
        <v>214</v>
      </c>
      <c r="D408" s="67">
        <v>54</v>
      </c>
      <c r="E408" s="68">
        <v>43853</v>
      </c>
      <c r="F408" s="69" t="s">
        <v>206</v>
      </c>
      <c r="G408" s="69" t="str">
        <f>B408&amp;"@gmail.com"</f>
        <v>Name 407@gmail.com</v>
      </c>
      <c r="H408" s="70">
        <v>50000</v>
      </c>
      <c r="I408" s="71">
        <f>H408*18%</f>
        <v>9000</v>
      </c>
      <c r="J408" s="71">
        <f>H408*5%</f>
        <v>2500</v>
      </c>
      <c r="K408" s="71">
        <v>1000</v>
      </c>
      <c r="L408" s="71">
        <v>0</v>
      </c>
      <c r="M408" s="71">
        <v>1600</v>
      </c>
      <c r="N408" s="71">
        <v>27</v>
      </c>
      <c r="O408" s="71">
        <f>(H408/30)*N408</f>
        <v>45000</v>
      </c>
      <c r="P408" s="72">
        <v>3</v>
      </c>
      <c r="Q408" s="72">
        <f>N408*P408</f>
        <v>81</v>
      </c>
      <c r="R408" s="71">
        <f>(H408/30)/8</f>
        <v>208.33333333333334</v>
      </c>
      <c r="S408" s="71">
        <f>Q408*R408</f>
        <v>16875</v>
      </c>
      <c r="T408" s="73">
        <f>I408+J408+K408+L408+M408+O408+S408</f>
        <v>75975</v>
      </c>
      <c r="U408" s="73">
        <v>201</v>
      </c>
      <c r="V408" s="73">
        <f>H408*12%</f>
        <v>6000</v>
      </c>
      <c r="W408" s="73">
        <v>0</v>
      </c>
      <c r="X408" s="73">
        <f>SUM(U408:W408)</f>
        <v>6201</v>
      </c>
      <c r="Y408" s="73">
        <f>T408-X408</f>
        <v>69774</v>
      </c>
    </row>
    <row r="409" spans="1:25" x14ac:dyDescent="0.3">
      <c r="A409" s="65" t="s">
        <v>352</v>
      </c>
      <c r="B409" s="66" t="s">
        <v>351</v>
      </c>
      <c r="C409" s="66" t="s">
        <v>214</v>
      </c>
      <c r="D409" s="67">
        <v>34</v>
      </c>
      <c r="E409" s="68">
        <v>43854</v>
      </c>
      <c r="F409" s="69" t="s">
        <v>213</v>
      </c>
      <c r="G409" s="69" t="str">
        <f>B409&amp;"@gmail.com"</f>
        <v>Name 408@gmail.com</v>
      </c>
      <c r="H409" s="70">
        <v>70000</v>
      </c>
      <c r="I409" s="71">
        <f>H409*18%</f>
        <v>12600</v>
      </c>
      <c r="J409" s="71">
        <f>H409*5%</f>
        <v>3500</v>
      </c>
      <c r="K409" s="71">
        <v>1000</v>
      </c>
      <c r="L409" s="71">
        <v>0</v>
      </c>
      <c r="M409" s="71">
        <v>1600</v>
      </c>
      <c r="N409" s="71">
        <v>27</v>
      </c>
      <c r="O409" s="71">
        <f>(H409/30)*N409</f>
        <v>63000.000000000007</v>
      </c>
      <c r="P409" s="72">
        <v>1</v>
      </c>
      <c r="Q409" s="72">
        <f>N409*P409</f>
        <v>27</v>
      </c>
      <c r="R409" s="71">
        <f>(H409/30)/8</f>
        <v>291.66666666666669</v>
      </c>
      <c r="S409" s="71">
        <f>Q409*R409</f>
        <v>7875.0000000000009</v>
      </c>
      <c r="T409" s="73">
        <f>I409+J409+K409+L409+M409+O409+S409</f>
        <v>89575</v>
      </c>
      <c r="U409" s="73">
        <v>202</v>
      </c>
      <c r="V409" s="73">
        <f>H409*12%</f>
        <v>8400</v>
      </c>
      <c r="W409" s="73">
        <v>0</v>
      </c>
      <c r="X409" s="73">
        <f>SUM(U409:W409)</f>
        <v>8602</v>
      </c>
      <c r="Y409" s="73">
        <f>T409-X409</f>
        <v>80973</v>
      </c>
    </row>
    <row r="410" spans="1:25" x14ac:dyDescent="0.3">
      <c r="A410" s="65" t="s">
        <v>350</v>
      </c>
      <c r="B410" s="66" t="s">
        <v>349</v>
      </c>
      <c r="C410" s="66" t="s">
        <v>214</v>
      </c>
      <c r="D410" s="67">
        <v>23</v>
      </c>
      <c r="E410" s="68">
        <v>43831</v>
      </c>
      <c r="F410" s="69" t="s">
        <v>213</v>
      </c>
      <c r="G410" s="69" t="str">
        <f>B410&amp;"@gmail.com"</f>
        <v>Name 409@gmail.com</v>
      </c>
      <c r="H410" s="70">
        <v>34000</v>
      </c>
      <c r="I410" s="71">
        <f>H410*18%</f>
        <v>6120</v>
      </c>
      <c r="J410" s="71">
        <f>H410*5%</f>
        <v>1700</v>
      </c>
      <c r="K410" s="71">
        <v>1000</v>
      </c>
      <c r="L410" s="71">
        <v>2000</v>
      </c>
      <c r="M410" s="71">
        <v>1600</v>
      </c>
      <c r="N410" s="71">
        <v>30</v>
      </c>
      <c r="O410" s="71">
        <f>(H410/30)*N410</f>
        <v>34000</v>
      </c>
      <c r="P410" s="72">
        <v>2</v>
      </c>
      <c r="Q410" s="72">
        <f>N410*P410</f>
        <v>60</v>
      </c>
      <c r="R410" s="71">
        <f>(H410/30)/8</f>
        <v>141.66666666666666</v>
      </c>
      <c r="S410" s="71">
        <f>Q410*R410</f>
        <v>8500</v>
      </c>
      <c r="T410" s="73">
        <f>I410+J410+K410+L410+M410+O410+S410</f>
        <v>54920</v>
      </c>
      <c r="U410" s="73">
        <v>203</v>
      </c>
      <c r="V410" s="73">
        <f>H410*12%</f>
        <v>4080</v>
      </c>
      <c r="W410" s="73">
        <v>0</v>
      </c>
      <c r="X410" s="73">
        <f>SUM(U410:W410)</f>
        <v>4283</v>
      </c>
      <c r="Y410" s="73">
        <f>T410-X410</f>
        <v>50637</v>
      </c>
    </row>
    <row r="411" spans="1:25" x14ac:dyDescent="0.3">
      <c r="A411" s="65" t="s">
        <v>348</v>
      </c>
      <c r="B411" s="66" t="s">
        <v>347</v>
      </c>
      <c r="C411" s="66" t="s">
        <v>214</v>
      </c>
      <c r="D411" s="67">
        <v>34</v>
      </c>
      <c r="E411" s="68">
        <v>43832</v>
      </c>
      <c r="F411" s="69" t="s">
        <v>213</v>
      </c>
      <c r="G411" s="69" t="str">
        <f>B411&amp;"@gmail.com"</f>
        <v>Name 410@gmail.com</v>
      </c>
      <c r="H411" s="70">
        <v>45000</v>
      </c>
      <c r="I411" s="71">
        <f>H411*18%</f>
        <v>8100</v>
      </c>
      <c r="J411" s="71">
        <f>H411*5%</f>
        <v>2250</v>
      </c>
      <c r="K411" s="71">
        <v>1000</v>
      </c>
      <c r="L411" s="71">
        <v>5000</v>
      </c>
      <c r="M411" s="71">
        <v>1600</v>
      </c>
      <c r="N411" s="71">
        <v>30</v>
      </c>
      <c r="O411" s="71">
        <f>(H411/30)*N411</f>
        <v>45000</v>
      </c>
      <c r="P411" s="72">
        <v>0</v>
      </c>
      <c r="Q411" s="72">
        <f>N411*P411</f>
        <v>0</v>
      </c>
      <c r="R411" s="71">
        <f>(H411/30)/8</f>
        <v>187.5</v>
      </c>
      <c r="S411" s="71">
        <f>Q411*R411</f>
        <v>0</v>
      </c>
      <c r="T411" s="73">
        <f>I411+J411+K411+L411+M411+O411+S411</f>
        <v>62950</v>
      </c>
      <c r="U411" s="73">
        <v>204</v>
      </c>
      <c r="V411" s="73">
        <f>H411*12%</f>
        <v>5400</v>
      </c>
      <c r="W411" s="73">
        <v>4000</v>
      </c>
      <c r="X411" s="73">
        <f>SUM(U411:W411)</f>
        <v>9604</v>
      </c>
      <c r="Y411" s="73">
        <f>T411-X411</f>
        <v>53346</v>
      </c>
    </row>
    <row r="412" spans="1:25" x14ac:dyDescent="0.3">
      <c r="A412" s="65" t="s">
        <v>346</v>
      </c>
      <c r="B412" s="66" t="s">
        <v>345</v>
      </c>
      <c r="C412" s="66" t="s">
        <v>214</v>
      </c>
      <c r="D412" s="67">
        <v>43</v>
      </c>
      <c r="E412" s="68">
        <v>43833</v>
      </c>
      <c r="F412" s="69" t="s">
        <v>213</v>
      </c>
      <c r="G412" s="69" t="str">
        <f>B412&amp;"@gmail.com"</f>
        <v>Name 411@gmail.com</v>
      </c>
      <c r="H412" s="70">
        <v>55000</v>
      </c>
      <c r="I412" s="71">
        <f>H412*18%</f>
        <v>9900</v>
      </c>
      <c r="J412" s="71">
        <f>H412*5%</f>
        <v>2750</v>
      </c>
      <c r="K412" s="71">
        <v>1000</v>
      </c>
      <c r="L412" s="71">
        <v>5000</v>
      </c>
      <c r="M412" s="71">
        <v>1600</v>
      </c>
      <c r="N412" s="71">
        <v>30</v>
      </c>
      <c r="O412" s="71">
        <f>(H412/30)*N412</f>
        <v>55000</v>
      </c>
      <c r="P412" s="72">
        <v>1</v>
      </c>
      <c r="Q412" s="72">
        <f>N412*P412</f>
        <v>30</v>
      </c>
      <c r="R412" s="71">
        <f>(H412/30)/8</f>
        <v>229.16666666666666</v>
      </c>
      <c r="S412" s="71">
        <f>Q412*R412</f>
        <v>6875</v>
      </c>
      <c r="T412" s="73">
        <f>I412+J412+K412+L412+M412+O412+S412</f>
        <v>82125</v>
      </c>
      <c r="U412" s="73">
        <v>205</v>
      </c>
      <c r="V412" s="73">
        <f>H412*12%</f>
        <v>6600</v>
      </c>
      <c r="W412" s="73">
        <v>0</v>
      </c>
      <c r="X412" s="73">
        <f>SUM(U412:W412)</f>
        <v>6805</v>
      </c>
      <c r="Y412" s="73">
        <f>T412-X412</f>
        <v>75320</v>
      </c>
    </row>
    <row r="413" spans="1:25" x14ac:dyDescent="0.3">
      <c r="A413" s="65" t="s">
        <v>344</v>
      </c>
      <c r="B413" s="66" t="s">
        <v>343</v>
      </c>
      <c r="C413" s="66" t="s">
        <v>210</v>
      </c>
      <c r="D413" s="67">
        <v>34</v>
      </c>
      <c r="E413" s="68">
        <v>43834</v>
      </c>
      <c r="F413" s="69" t="s">
        <v>206</v>
      </c>
      <c r="G413" s="69" t="str">
        <f>B413&amp;"@gmail.com"</f>
        <v>Name 412@gmail.com</v>
      </c>
      <c r="H413" s="70">
        <v>43000</v>
      </c>
      <c r="I413" s="71">
        <f>H413*18%</f>
        <v>7740</v>
      </c>
      <c r="J413" s="71">
        <f>H413*5%</f>
        <v>2150</v>
      </c>
      <c r="K413" s="71">
        <v>1000</v>
      </c>
      <c r="L413" s="71">
        <v>5000</v>
      </c>
      <c r="M413" s="71">
        <v>1600</v>
      </c>
      <c r="N413" s="71">
        <v>27</v>
      </c>
      <c r="O413" s="71">
        <f>(H413/30)*N413</f>
        <v>38700</v>
      </c>
      <c r="P413" s="72">
        <v>1</v>
      </c>
      <c r="Q413" s="72">
        <f>N413*P413</f>
        <v>27</v>
      </c>
      <c r="R413" s="71">
        <f>(H413/30)/8</f>
        <v>179.16666666666666</v>
      </c>
      <c r="S413" s="71">
        <f>Q413*R413</f>
        <v>4837.5</v>
      </c>
      <c r="T413" s="73">
        <f>I413+J413+K413+L413+M413+O413+S413</f>
        <v>61027.5</v>
      </c>
      <c r="U413" s="73">
        <v>200</v>
      </c>
      <c r="V413" s="73">
        <f>H413*12%</f>
        <v>5160</v>
      </c>
      <c r="W413" s="73">
        <v>0</v>
      </c>
      <c r="X413" s="73">
        <f>SUM(U413:W413)</f>
        <v>5360</v>
      </c>
      <c r="Y413" s="73">
        <f>T413-X413</f>
        <v>55667.5</v>
      </c>
    </row>
    <row r="414" spans="1:25" x14ac:dyDescent="0.3">
      <c r="A414" s="65" t="s">
        <v>342</v>
      </c>
      <c r="B414" s="66" t="s">
        <v>341</v>
      </c>
      <c r="C414" s="66" t="s">
        <v>207</v>
      </c>
      <c r="D414" s="67">
        <v>43</v>
      </c>
      <c r="E414" s="68">
        <v>43835</v>
      </c>
      <c r="F414" s="69" t="s">
        <v>206</v>
      </c>
      <c r="G414" s="69" t="str">
        <f>B414&amp;"@gmail.com"</f>
        <v>Name 413@gmail.com</v>
      </c>
      <c r="H414" s="70">
        <v>25000</v>
      </c>
      <c r="I414" s="71">
        <f>H414*18%</f>
        <v>4500</v>
      </c>
      <c r="J414" s="71">
        <f>H414*5%</f>
        <v>1250</v>
      </c>
      <c r="K414" s="71">
        <v>1000</v>
      </c>
      <c r="L414" s="71">
        <v>5000</v>
      </c>
      <c r="M414" s="71">
        <v>1600</v>
      </c>
      <c r="N414" s="71">
        <v>30</v>
      </c>
      <c r="O414" s="71">
        <f>(H414/30)*N414</f>
        <v>25000</v>
      </c>
      <c r="P414" s="72">
        <v>0</v>
      </c>
      <c r="Q414" s="72">
        <f>N414*P414</f>
        <v>0</v>
      </c>
      <c r="R414" s="71">
        <f>(H414/30)/8</f>
        <v>104.16666666666667</v>
      </c>
      <c r="S414" s="71">
        <f>Q414*R414</f>
        <v>0</v>
      </c>
      <c r="T414" s="73">
        <f>I414+J414+K414+L414+M414+O414+S414</f>
        <v>38350</v>
      </c>
      <c r="U414" s="73">
        <v>200</v>
      </c>
      <c r="V414" s="73">
        <f>H414*12%</f>
        <v>3000</v>
      </c>
      <c r="W414" s="73">
        <v>0</v>
      </c>
      <c r="X414" s="73">
        <f>SUM(U414:W414)</f>
        <v>3200</v>
      </c>
      <c r="Y414" s="73">
        <f>T414-X414</f>
        <v>35150</v>
      </c>
    </row>
    <row r="415" spans="1:25" x14ac:dyDescent="0.3">
      <c r="A415" s="65" t="s">
        <v>340</v>
      </c>
      <c r="B415" s="66" t="s">
        <v>339</v>
      </c>
      <c r="C415" s="66" t="s">
        <v>214</v>
      </c>
      <c r="D415" s="67">
        <v>23</v>
      </c>
      <c r="E415" s="68">
        <v>43836</v>
      </c>
      <c r="F415" s="69" t="s">
        <v>206</v>
      </c>
      <c r="G415" s="69" t="str">
        <f>B415&amp;"@gmail.com"</f>
        <v>Name 414@gmail.com</v>
      </c>
      <c r="H415" s="70">
        <v>28000</v>
      </c>
      <c r="I415" s="71">
        <f>H415*18%</f>
        <v>5040</v>
      </c>
      <c r="J415" s="71">
        <f>H415*5%</f>
        <v>1400</v>
      </c>
      <c r="K415" s="71">
        <v>1000</v>
      </c>
      <c r="L415" s="71">
        <v>5000</v>
      </c>
      <c r="M415" s="71">
        <v>1600</v>
      </c>
      <c r="N415" s="71">
        <v>20</v>
      </c>
      <c r="O415" s="71">
        <f>(H415/30)*N415</f>
        <v>18666.666666666668</v>
      </c>
      <c r="P415" s="72">
        <v>0</v>
      </c>
      <c r="Q415" s="72">
        <f>N415*P415</f>
        <v>0</v>
      </c>
      <c r="R415" s="71">
        <f>(H415/30)/8</f>
        <v>116.66666666666667</v>
      </c>
      <c r="S415" s="71">
        <f>Q415*R415</f>
        <v>0</v>
      </c>
      <c r="T415" s="73">
        <f>I415+J415+K415+L415+M415+O415+S415</f>
        <v>32706.666666666668</v>
      </c>
      <c r="U415" s="73">
        <v>200</v>
      </c>
      <c r="V415" s="73">
        <f>H415*12%</f>
        <v>3360</v>
      </c>
      <c r="W415" s="73">
        <v>0</v>
      </c>
      <c r="X415" s="73">
        <f>SUM(U415:W415)</f>
        <v>3560</v>
      </c>
      <c r="Y415" s="73">
        <f>T415-X415</f>
        <v>29146.666666666668</v>
      </c>
    </row>
    <row r="416" spans="1:25" x14ac:dyDescent="0.3">
      <c r="A416" s="65" t="s">
        <v>338</v>
      </c>
      <c r="B416" s="66" t="s">
        <v>337</v>
      </c>
      <c r="C416" s="66" t="s">
        <v>210</v>
      </c>
      <c r="D416" s="67">
        <v>34</v>
      </c>
      <c r="E416" s="68">
        <v>43837</v>
      </c>
      <c r="F416" s="69" t="s">
        <v>206</v>
      </c>
      <c r="G416" s="69" t="str">
        <f>B416&amp;"@gmail.com"</f>
        <v>Name 415@gmail.com</v>
      </c>
      <c r="H416" s="70">
        <v>40000</v>
      </c>
      <c r="I416" s="71">
        <f>H416*18%</f>
        <v>7200</v>
      </c>
      <c r="J416" s="71">
        <f>H416*5%</f>
        <v>2000</v>
      </c>
      <c r="K416" s="71">
        <v>1000</v>
      </c>
      <c r="L416" s="71">
        <v>5000</v>
      </c>
      <c r="M416" s="71">
        <v>1600</v>
      </c>
      <c r="N416" s="71">
        <v>28</v>
      </c>
      <c r="O416" s="71">
        <f>(H416/30)*N416</f>
        <v>37333.333333333328</v>
      </c>
      <c r="P416" s="72">
        <v>2</v>
      </c>
      <c r="Q416" s="72">
        <f>N416*P416</f>
        <v>56</v>
      </c>
      <c r="R416" s="71">
        <f>(H416/30)/8</f>
        <v>166.66666666666666</v>
      </c>
      <c r="S416" s="71">
        <f>Q416*R416</f>
        <v>9333.3333333333321</v>
      </c>
      <c r="T416" s="73">
        <f>I416+J416+K416+L416+M416+O416+S416</f>
        <v>63466.666666666657</v>
      </c>
      <c r="U416" s="73">
        <v>200</v>
      </c>
      <c r="V416" s="73">
        <f>H416*12%</f>
        <v>4800</v>
      </c>
      <c r="W416" s="73">
        <v>0</v>
      </c>
      <c r="X416" s="73">
        <f>SUM(U416:W416)</f>
        <v>5000</v>
      </c>
      <c r="Y416" s="73">
        <f>T416-X416</f>
        <v>58466.666666666657</v>
      </c>
    </row>
    <row r="417" spans="1:25" x14ac:dyDescent="0.3">
      <c r="A417" s="65" t="s">
        <v>336</v>
      </c>
      <c r="B417" s="66" t="s">
        <v>335</v>
      </c>
      <c r="C417" s="66" t="s">
        <v>210</v>
      </c>
      <c r="D417" s="67">
        <v>23</v>
      </c>
      <c r="E417" s="68">
        <v>43838</v>
      </c>
      <c r="F417" s="69" t="s">
        <v>206</v>
      </c>
      <c r="G417" s="69" t="str">
        <f>B417&amp;"@gmail.com"</f>
        <v>Name 416@gmail.com</v>
      </c>
      <c r="H417" s="70">
        <v>32000</v>
      </c>
      <c r="I417" s="71">
        <f>H417*18%</f>
        <v>5760</v>
      </c>
      <c r="J417" s="71">
        <f>H417*5%</f>
        <v>1600</v>
      </c>
      <c r="K417" s="71">
        <v>1000</v>
      </c>
      <c r="L417" s="71">
        <v>5000</v>
      </c>
      <c r="M417" s="71">
        <v>1600</v>
      </c>
      <c r="N417" s="71">
        <v>30</v>
      </c>
      <c r="O417" s="71">
        <f>(H417/30)*N417</f>
        <v>32000.000000000004</v>
      </c>
      <c r="P417" s="72">
        <v>1</v>
      </c>
      <c r="Q417" s="72">
        <f>N417*P417</f>
        <v>30</v>
      </c>
      <c r="R417" s="71">
        <f>(H417/30)/8</f>
        <v>133.33333333333334</v>
      </c>
      <c r="S417" s="71">
        <f>Q417*R417</f>
        <v>4000.0000000000005</v>
      </c>
      <c r="T417" s="73">
        <f>I417+J417+K417+L417+M417+O417+S417</f>
        <v>50960</v>
      </c>
      <c r="U417" s="73">
        <v>200</v>
      </c>
      <c r="V417" s="73">
        <f>H417*12%</f>
        <v>3840</v>
      </c>
      <c r="W417" s="73">
        <v>5000</v>
      </c>
      <c r="X417" s="73">
        <f>SUM(U417:W417)</f>
        <v>9040</v>
      </c>
      <c r="Y417" s="73">
        <f>T417-X417</f>
        <v>41920</v>
      </c>
    </row>
    <row r="418" spans="1:25" x14ac:dyDescent="0.3">
      <c r="A418" s="65" t="s">
        <v>334</v>
      </c>
      <c r="B418" s="66" t="s">
        <v>333</v>
      </c>
      <c r="C418" s="66" t="s">
        <v>207</v>
      </c>
      <c r="D418" s="67">
        <v>34</v>
      </c>
      <c r="E418" s="68">
        <v>43839</v>
      </c>
      <c r="F418" s="69" t="s">
        <v>206</v>
      </c>
      <c r="G418" s="69" t="str">
        <f>B418&amp;"@gmail.com"</f>
        <v>Name 417@gmail.com</v>
      </c>
      <c r="H418" s="70">
        <v>28000</v>
      </c>
      <c r="I418" s="71">
        <f>H418*18%</f>
        <v>5040</v>
      </c>
      <c r="J418" s="71">
        <f>H418*5%</f>
        <v>1400</v>
      </c>
      <c r="K418" s="71">
        <v>1000</v>
      </c>
      <c r="L418" s="71">
        <v>5000</v>
      </c>
      <c r="M418" s="71">
        <v>1600</v>
      </c>
      <c r="N418" s="71">
        <v>29</v>
      </c>
      <c r="O418" s="71">
        <f>(H418/30)*N418</f>
        <v>27066.666666666668</v>
      </c>
      <c r="P418" s="72">
        <v>1</v>
      </c>
      <c r="Q418" s="72">
        <f>N418*P418</f>
        <v>29</v>
      </c>
      <c r="R418" s="71">
        <f>(H418/30)/8</f>
        <v>116.66666666666667</v>
      </c>
      <c r="S418" s="71">
        <f>Q418*R418</f>
        <v>3383.3333333333335</v>
      </c>
      <c r="T418" s="73">
        <f>I418+J418+K418+L418+M418+O418+S418</f>
        <v>44490.000000000007</v>
      </c>
      <c r="U418" s="73">
        <v>200</v>
      </c>
      <c r="V418" s="73">
        <f>H418*12%</f>
        <v>3360</v>
      </c>
      <c r="W418" s="73">
        <v>0</v>
      </c>
      <c r="X418" s="73">
        <f>SUM(U418:W418)</f>
        <v>3560</v>
      </c>
      <c r="Y418" s="73">
        <f>T418-X418</f>
        <v>40930.000000000007</v>
      </c>
    </row>
    <row r="419" spans="1:25" x14ac:dyDescent="0.3">
      <c r="A419" s="65" t="s">
        <v>332</v>
      </c>
      <c r="B419" s="66" t="s">
        <v>331</v>
      </c>
      <c r="C419" s="66" t="s">
        <v>214</v>
      </c>
      <c r="D419" s="67">
        <v>23</v>
      </c>
      <c r="E419" s="68">
        <v>43840</v>
      </c>
      <c r="F419" s="69" t="s">
        <v>213</v>
      </c>
      <c r="G419" s="69" t="str">
        <f>B419&amp;"@gmail.com"</f>
        <v>Name 418@gmail.com</v>
      </c>
      <c r="H419" s="70">
        <v>44000</v>
      </c>
      <c r="I419" s="71">
        <f>H419*18%</f>
        <v>7920</v>
      </c>
      <c r="J419" s="71">
        <f>H419*5%</f>
        <v>2200</v>
      </c>
      <c r="K419" s="71">
        <v>1000</v>
      </c>
      <c r="L419" s="71">
        <v>5000</v>
      </c>
      <c r="M419" s="71">
        <v>1600</v>
      </c>
      <c r="N419" s="71">
        <v>28</v>
      </c>
      <c r="O419" s="71">
        <f>(H419/30)*N419</f>
        <v>41066.666666666672</v>
      </c>
      <c r="P419" s="72">
        <v>1</v>
      </c>
      <c r="Q419" s="72">
        <f>N419*P419</f>
        <v>28</v>
      </c>
      <c r="R419" s="71">
        <f>(H419/30)/8</f>
        <v>183.33333333333334</v>
      </c>
      <c r="S419" s="71">
        <f>Q419*R419</f>
        <v>5133.3333333333339</v>
      </c>
      <c r="T419" s="73">
        <f>I419+J419+K419+L419+M419+O419+S419</f>
        <v>63920.000000000007</v>
      </c>
      <c r="U419" s="73">
        <v>200</v>
      </c>
      <c r="V419" s="73">
        <f>H419*12%</f>
        <v>5280</v>
      </c>
      <c r="W419" s="73">
        <v>0</v>
      </c>
      <c r="X419" s="73">
        <f>SUM(U419:W419)</f>
        <v>5480</v>
      </c>
      <c r="Y419" s="73">
        <f>T419-X419</f>
        <v>58440.000000000007</v>
      </c>
    </row>
    <row r="420" spans="1:25" x14ac:dyDescent="0.3">
      <c r="A420" s="65" t="s">
        <v>330</v>
      </c>
      <c r="B420" s="66" t="s">
        <v>329</v>
      </c>
      <c r="C420" s="66" t="s">
        <v>210</v>
      </c>
      <c r="D420" s="67">
        <v>34</v>
      </c>
      <c r="E420" s="68">
        <v>43841</v>
      </c>
      <c r="F420" s="69" t="s">
        <v>206</v>
      </c>
      <c r="G420" s="69" t="str">
        <f>B420&amp;"@gmail.com"</f>
        <v>Name 419@gmail.com</v>
      </c>
      <c r="H420" s="70">
        <v>25000</v>
      </c>
      <c r="I420" s="71">
        <f>H420*18%</f>
        <v>4500</v>
      </c>
      <c r="J420" s="71">
        <f>H420*5%</f>
        <v>1250</v>
      </c>
      <c r="K420" s="71">
        <v>1000</v>
      </c>
      <c r="L420" s="71">
        <v>0</v>
      </c>
      <c r="M420" s="71">
        <v>1600</v>
      </c>
      <c r="N420" s="71">
        <v>27</v>
      </c>
      <c r="O420" s="71">
        <f>(H420/30)*N420</f>
        <v>22500</v>
      </c>
      <c r="P420" s="72">
        <v>1</v>
      </c>
      <c r="Q420" s="72">
        <f>N420*P420</f>
        <v>27</v>
      </c>
      <c r="R420" s="71">
        <f>(H420/30)/8</f>
        <v>104.16666666666667</v>
      </c>
      <c r="S420" s="71">
        <f>Q420*R420</f>
        <v>2812.5</v>
      </c>
      <c r="T420" s="73">
        <f>I420+J420+K420+L420+M420+O420+S420</f>
        <v>33662.5</v>
      </c>
      <c r="U420" s="73">
        <v>200</v>
      </c>
      <c r="V420" s="73">
        <f>H420*12%</f>
        <v>3000</v>
      </c>
      <c r="W420" s="73">
        <v>0</v>
      </c>
      <c r="X420" s="73">
        <f>SUM(U420:W420)</f>
        <v>3200</v>
      </c>
      <c r="Y420" s="73">
        <f>T420-X420</f>
        <v>30462.5</v>
      </c>
    </row>
    <row r="421" spans="1:25" x14ac:dyDescent="0.3">
      <c r="A421" s="65" t="s">
        <v>328</v>
      </c>
      <c r="B421" s="66" t="s">
        <v>327</v>
      </c>
      <c r="C421" s="66" t="s">
        <v>214</v>
      </c>
      <c r="D421" s="67">
        <v>45</v>
      </c>
      <c r="E421" s="68">
        <v>43842</v>
      </c>
      <c r="F421" s="69" t="s">
        <v>206</v>
      </c>
      <c r="G421" s="69" t="str">
        <f>B421&amp;"@gmail.com"</f>
        <v>Name 420@gmail.com</v>
      </c>
      <c r="H421" s="70">
        <v>50000</v>
      </c>
      <c r="I421" s="71">
        <f>H421*18%</f>
        <v>9000</v>
      </c>
      <c r="J421" s="71">
        <f>H421*5%</f>
        <v>2500</v>
      </c>
      <c r="K421" s="71">
        <v>1000</v>
      </c>
      <c r="L421" s="71">
        <v>0</v>
      </c>
      <c r="M421" s="71">
        <v>1600</v>
      </c>
      <c r="N421" s="71">
        <v>27</v>
      </c>
      <c r="O421" s="71">
        <f>(H421/30)*N421</f>
        <v>45000</v>
      </c>
      <c r="P421" s="72">
        <v>3</v>
      </c>
      <c r="Q421" s="72">
        <f>N421*P421</f>
        <v>81</v>
      </c>
      <c r="R421" s="71">
        <f>(H421/30)/8</f>
        <v>208.33333333333334</v>
      </c>
      <c r="S421" s="71">
        <f>Q421*R421</f>
        <v>16875</v>
      </c>
      <c r="T421" s="73">
        <f>I421+J421+K421+L421+M421+O421+S421</f>
        <v>75975</v>
      </c>
      <c r="U421" s="73">
        <v>201</v>
      </c>
      <c r="V421" s="73">
        <f>H421*12%</f>
        <v>6000</v>
      </c>
      <c r="W421" s="73">
        <v>0</v>
      </c>
      <c r="X421" s="73">
        <f>SUM(U421:W421)</f>
        <v>6201</v>
      </c>
      <c r="Y421" s="73">
        <f>T421-X421</f>
        <v>69774</v>
      </c>
    </row>
    <row r="422" spans="1:25" x14ac:dyDescent="0.3">
      <c r="A422" s="65" t="s">
        <v>326</v>
      </c>
      <c r="B422" s="66" t="s">
        <v>325</v>
      </c>
      <c r="C422" s="66" t="s">
        <v>214</v>
      </c>
      <c r="D422" s="67">
        <v>54</v>
      </c>
      <c r="E422" s="68">
        <v>43843</v>
      </c>
      <c r="F422" s="69" t="s">
        <v>213</v>
      </c>
      <c r="G422" s="69" t="str">
        <f>B422&amp;"@gmail.com"</f>
        <v>Name 421@gmail.com</v>
      </c>
      <c r="H422" s="70">
        <v>70000</v>
      </c>
      <c r="I422" s="71">
        <f>H422*18%</f>
        <v>12600</v>
      </c>
      <c r="J422" s="71">
        <f>H422*5%</f>
        <v>3500</v>
      </c>
      <c r="K422" s="71">
        <v>1000</v>
      </c>
      <c r="L422" s="71">
        <v>0</v>
      </c>
      <c r="M422" s="71">
        <v>1600</v>
      </c>
      <c r="N422" s="71">
        <v>27</v>
      </c>
      <c r="O422" s="71">
        <f>(H422/30)*N422</f>
        <v>63000.000000000007</v>
      </c>
      <c r="P422" s="72">
        <v>1</v>
      </c>
      <c r="Q422" s="72">
        <f>N422*P422</f>
        <v>27</v>
      </c>
      <c r="R422" s="71">
        <f>(H422/30)/8</f>
        <v>291.66666666666669</v>
      </c>
      <c r="S422" s="71">
        <f>Q422*R422</f>
        <v>7875.0000000000009</v>
      </c>
      <c r="T422" s="73">
        <f>I422+J422+K422+L422+M422+O422+S422</f>
        <v>89575</v>
      </c>
      <c r="U422" s="73">
        <v>202</v>
      </c>
      <c r="V422" s="73">
        <f>H422*12%</f>
        <v>8400</v>
      </c>
      <c r="W422" s="73">
        <v>0</v>
      </c>
      <c r="X422" s="73">
        <f>SUM(U422:W422)</f>
        <v>8602</v>
      </c>
      <c r="Y422" s="73">
        <f>T422-X422</f>
        <v>80973</v>
      </c>
    </row>
    <row r="423" spans="1:25" x14ac:dyDescent="0.3">
      <c r="A423" s="65" t="s">
        <v>324</v>
      </c>
      <c r="B423" s="66" t="s">
        <v>323</v>
      </c>
      <c r="C423" s="66" t="s">
        <v>214</v>
      </c>
      <c r="D423" s="67">
        <v>56</v>
      </c>
      <c r="E423" s="68">
        <v>43844</v>
      </c>
      <c r="F423" s="69" t="s">
        <v>213</v>
      </c>
      <c r="G423" s="69" t="str">
        <f>B423&amp;"@gmail.com"</f>
        <v>Name 422@gmail.com</v>
      </c>
      <c r="H423" s="70">
        <v>34000</v>
      </c>
      <c r="I423" s="71">
        <f>H423*18%</f>
        <v>6120</v>
      </c>
      <c r="J423" s="71">
        <f>H423*5%</f>
        <v>1700</v>
      </c>
      <c r="K423" s="71">
        <v>1000</v>
      </c>
      <c r="L423" s="71">
        <v>2000</v>
      </c>
      <c r="M423" s="71">
        <v>1600</v>
      </c>
      <c r="N423" s="71">
        <v>30</v>
      </c>
      <c r="O423" s="71">
        <f>(H423/30)*N423</f>
        <v>34000</v>
      </c>
      <c r="P423" s="72">
        <v>2</v>
      </c>
      <c r="Q423" s="72">
        <f>N423*P423</f>
        <v>60</v>
      </c>
      <c r="R423" s="71">
        <f>(H423/30)/8</f>
        <v>141.66666666666666</v>
      </c>
      <c r="S423" s="71">
        <f>Q423*R423</f>
        <v>8500</v>
      </c>
      <c r="T423" s="73">
        <f>I423+J423+K423+L423+M423+O423+S423</f>
        <v>54920</v>
      </c>
      <c r="U423" s="73">
        <v>203</v>
      </c>
      <c r="V423" s="73">
        <f>H423*12%</f>
        <v>4080</v>
      </c>
      <c r="W423" s="73">
        <v>0</v>
      </c>
      <c r="X423" s="73">
        <f>SUM(U423:W423)</f>
        <v>4283</v>
      </c>
      <c r="Y423" s="73">
        <f>T423-X423</f>
        <v>50637</v>
      </c>
    </row>
    <row r="424" spans="1:25" x14ac:dyDescent="0.3">
      <c r="A424" s="65" t="s">
        <v>322</v>
      </c>
      <c r="B424" s="66" t="s">
        <v>321</v>
      </c>
      <c r="C424" s="66" t="s">
        <v>214</v>
      </c>
      <c r="D424" s="67">
        <v>54</v>
      </c>
      <c r="E424" s="68">
        <v>43845</v>
      </c>
      <c r="F424" s="69" t="s">
        <v>213</v>
      </c>
      <c r="G424" s="69" t="str">
        <f>B424&amp;"@gmail.com"</f>
        <v>Name 423@gmail.com</v>
      </c>
      <c r="H424" s="70">
        <v>45000</v>
      </c>
      <c r="I424" s="71">
        <f>H424*18%</f>
        <v>8100</v>
      </c>
      <c r="J424" s="71">
        <f>H424*5%</f>
        <v>2250</v>
      </c>
      <c r="K424" s="71">
        <v>1000</v>
      </c>
      <c r="L424" s="71">
        <v>5000</v>
      </c>
      <c r="M424" s="71">
        <v>1600</v>
      </c>
      <c r="N424" s="71">
        <v>30</v>
      </c>
      <c r="O424" s="71">
        <f>(H424/30)*N424</f>
        <v>45000</v>
      </c>
      <c r="P424" s="72">
        <v>0</v>
      </c>
      <c r="Q424" s="72">
        <f>N424*P424</f>
        <v>0</v>
      </c>
      <c r="R424" s="71">
        <f>(H424/30)/8</f>
        <v>187.5</v>
      </c>
      <c r="S424" s="71">
        <f>Q424*R424</f>
        <v>0</v>
      </c>
      <c r="T424" s="73">
        <f>I424+J424+K424+L424+M424+O424+S424</f>
        <v>62950</v>
      </c>
      <c r="U424" s="73">
        <v>204</v>
      </c>
      <c r="V424" s="73">
        <f>H424*12%</f>
        <v>5400</v>
      </c>
      <c r="W424" s="73">
        <v>4000</v>
      </c>
      <c r="X424" s="73">
        <f>SUM(U424:W424)</f>
        <v>9604</v>
      </c>
      <c r="Y424" s="73">
        <f>T424-X424</f>
        <v>53346</v>
      </c>
    </row>
    <row r="425" spans="1:25" x14ac:dyDescent="0.3">
      <c r="A425" s="65" t="s">
        <v>320</v>
      </c>
      <c r="B425" s="66" t="s">
        <v>319</v>
      </c>
      <c r="C425" s="66" t="s">
        <v>214</v>
      </c>
      <c r="D425" s="67">
        <v>34</v>
      </c>
      <c r="E425" s="68">
        <v>43846</v>
      </c>
      <c r="F425" s="69" t="s">
        <v>213</v>
      </c>
      <c r="G425" s="69" t="str">
        <f>B425&amp;"@gmail.com"</f>
        <v>Name 424@gmail.com</v>
      </c>
      <c r="H425" s="70">
        <v>55000</v>
      </c>
      <c r="I425" s="71">
        <f>H425*18%</f>
        <v>9900</v>
      </c>
      <c r="J425" s="71">
        <f>H425*5%</f>
        <v>2750</v>
      </c>
      <c r="K425" s="71">
        <v>1000</v>
      </c>
      <c r="L425" s="71">
        <v>0</v>
      </c>
      <c r="M425" s="71">
        <v>1600</v>
      </c>
      <c r="N425" s="71">
        <v>30</v>
      </c>
      <c r="O425" s="71">
        <f>(H425/30)*N425</f>
        <v>55000</v>
      </c>
      <c r="P425" s="72">
        <v>1</v>
      </c>
      <c r="Q425" s="72">
        <f>N425*P425</f>
        <v>30</v>
      </c>
      <c r="R425" s="71">
        <f>(H425/30)/8</f>
        <v>229.16666666666666</v>
      </c>
      <c r="S425" s="71">
        <f>Q425*R425</f>
        <v>6875</v>
      </c>
      <c r="T425" s="73">
        <f>I425+J425+K425+L425+M425+O425+S425</f>
        <v>77125</v>
      </c>
      <c r="U425" s="73">
        <v>205</v>
      </c>
      <c r="V425" s="73">
        <f>H425*12%</f>
        <v>6600</v>
      </c>
      <c r="W425" s="73">
        <v>0</v>
      </c>
      <c r="X425" s="73">
        <f>SUM(U425:W425)</f>
        <v>6805</v>
      </c>
      <c r="Y425" s="73">
        <f>T425-X425</f>
        <v>70320</v>
      </c>
    </row>
    <row r="426" spans="1:25" x14ac:dyDescent="0.3">
      <c r="A426" s="65" t="s">
        <v>318</v>
      </c>
      <c r="B426" s="66" t="s">
        <v>317</v>
      </c>
      <c r="C426" s="66" t="s">
        <v>210</v>
      </c>
      <c r="D426" s="67">
        <v>23</v>
      </c>
      <c r="E426" s="68">
        <v>43847</v>
      </c>
      <c r="F426" s="69" t="s">
        <v>206</v>
      </c>
      <c r="G426" s="69" t="str">
        <f>B426&amp;"@gmail.com"</f>
        <v>Name 425@gmail.com</v>
      </c>
      <c r="H426" s="70">
        <v>43000</v>
      </c>
      <c r="I426" s="71">
        <f>H426*18%</f>
        <v>7740</v>
      </c>
      <c r="J426" s="71">
        <f>H426*5%</f>
        <v>2150</v>
      </c>
      <c r="K426" s="71">
        <v>1000</v>
      </c>
      <c r="L426" s="71">
        <v>0</v>
      </c>
      <c r="M426" s="71">
        <v>1600</v>
      </c>
      <c r="N426" s="71">
        <v>27</v>
      </c>
      <c r="O426" s="71">
        <f>(H426/30)*N426</f>
        <v>38700</v>
      </c>
      <c r="P426" s="72">
        <v>1</v>
      </c>
      <c r="Q426" s="72">
        <f>N426*P426</f>
        <v>27</v>
      </c>
      <c r="R426" s="71">
        <f>(H426/30)/8</f>
        <v>179.16666666666666</v>
      </c>
      <c r="S426" s="71">
        <f>Q426*R426</f>
        <v>4837.5</v>
      </c>
      <c r="T426" s="73">
        <f>I426+J426+K426+L426+M426+O426+S426</f>
        <v>56027.5</v>
      </c>
      <c r="U426" s="73">
        <v>200</v>
      </c>
      <c r="V426" s="73">
        <f>H426*12%</f>
        <v>5160</v>
      </c>
      <c r="W426" s="73">
        <v>0</v>
      </c>
      <c r="X426" s="73">
        <f>SUM(U426:W426)</f>
        <v>5360</v>
      </c>
      <c r="Y426" s="73">
        <f>T426-X426</f>
        <v>50667.5</v>
      </c>
    </row>
    <row r="427" spans="1:25" x14ac:dyDescent="0.3">
      <c r="A427" s="65" t="s">
        <v>316</v>
      </c>
      <c r="B427" s="66" t="s">
        <v>315</v>
      </c>
      <c r="C427" s="66" t="s">
        <v>207</v>
      </c>
      <c r="D427" s="67">
        <v>34</v>
      </c>
      <c r="E427" s="68">
        <v>43848</v>
      </c>
      <c r="F427" s="69" t="s">
        <v>206</v>
      </c>
      <c r="G427" s="69" t="str">
        <f>B427&amp;"@gmail.com"</f>
        <v>Name 426@gmail.com</v>
      </c>
      <c r="H427" s="70">
        <v>25000</v>
      </c>
      <c r="I427" s="71">
        <f>H427*18%</f>
        <v>4500</v>
      </c>
      <c r="J427" s="71">
        <f>H427*5%</f>
        <v>1250</v>
      </c>
      <c r="K427" s="71">
        <v>1000</v>
      </c>
      <c r="L427" s="71">
        <v>0</v>
      </c>
      <c r="M427" s="71">
        <v>1600</v>
      </c>
      <c r="N427" s="71">
        <v>30</v>
      </c>
      <c r="O427" s="71">
        <f>(H427/30)*N427</f>
        <v>25000</v>
      </c>
      <c r="P427" s="72">
        <v>0</v>
      </c>
      <c r="Q427" s="72">
        <f>N427*P427</f>
        <v>0</v>
      </c>
      <c r="R427" s="71">
        <f>(H427/30)/8</f>
        <v>104.16666666666667</v>
      </c>
      <c r="S427" s="71">
        <f>Q427*R427</f>
        <v>0</v>
      </c>
      <c r="T427" s="73">
        <f>I427+J427+K427+L427+M427+O427+S427</f>
        <v>33350</v>
      </c>
      <c r="U427" s="73">
        <v>200</v>
      </c>
      <c r="V427" s="73">
        <f>H427*12%</f>
        <v>3000</v>
      </c>
      <c r="W427" s="73">
        <v>0</v>
      </c>
      <c r="X427" s="73">
        <f>SUM(U427:W427)</f>
        <v>3200</v>
      </c>
      <c r="Y427" s="73">
        <f>T427-X427</f>
        <v>30150</v>
      </c>
    </row>
    <row r="428" spans="1:25" x14ac:dyDescent="0.3">
      <c r="A428" s="65" t="s">
        <v>314</v>
      </c>
      <c r="B428" s="66" t="s">
        <v>313</v>
      </c>
      <c r="C428" s="66" t="s">
        <v>214</v>
      </c>
      <c r="D428" s="67">
        <v>43</v>
      </c>
      <c r="E428" s="68">
        <v>43849</v>
      </c>
      <c r="F428" s="69" t="s">
        <v>206</v>
      </c>
      <c r="G428" s="69" t="str">
        <f>B428&amp;"@gmail.com"</f>
        <v>Name 427@gmail.com</v>
      </c>
      <c r="H428" s="70">
        <v>28000</v>
      </c>
      <c r="I428" s="71">
        <f>H428*18%</f>
        <v>5040</v>
      </c>
      <c r="J428" s="71">
        <f>H428*5%</f>
        <v>1400</v>
      </c>
      <c r="K428" s="71">
        <v>1000</v>
      </c>
      <c r="L428" s="71">
        <v>0</v>
      </c>
      <c r="M428" s="71">
        <v>1600</v>
      </c>
      <c r="N428" s="71">
        <v>20</v>
      </c>
      <c r="O428" s="71">
        <f>(H428/30)*N428</f>
        <v>18666.666666666668</v>
      </c>
      <c r="P428" s="72">
        <v>0</v>
      </c>
      <c r="Q428" s="72">
        <f>N428*P428</f>
        <v>0</v>
      </c>
      <c r="R428" s="71">
        <f>(H428/30)/8</f>
        <v>116.66666666666667</v>
      </c>
      <c r="S428" s="71">
        <f>Q428*R428</f>
        <v>0</v>
      </c>
      <c r="T428" s="73">
        <f>I428+J428+K428+L428+M428+O428+S428</f>
        <v>27706.666666666668</v>
      </c>
      <c r="U428" s="73">
        <v>200</v>
      </c>
      <c r="V428" s="73">
        <f>H428*12%</f>
        <v>3360</v>
      </c>
      <c r="W428" s="73">
        <v>0</v>
      </c>
      <c r="X428" s="73">
        <f>SUM(U428:W428)</f>
        <v>3560</v>
      </c>
      <c r="Y428" s="73">
        <f>T428-X428</f>
        <v>24146.666666666668</v>
      </c>
    </row>
    <row r="429" spans="1:25" x14ac:dyDescent="0.3">
      <c r="A429" s="65" t="s">
        <v>312</v>
      </c>
      <c r="B429" s="66" t="s">
        <v>311</v>
      </c>
      <c r="C429" s="66" t="s">
        <v>210</v>
      </c>
      <c r="D429" s="67">
        <v>34</v>
      </c>
      <c r="E429" s="68">
        <v>43850</v>
      </c>
      <c r="F429" s="69" t="s">
        <v>206</v>
      </c>
      <c r="G429" s="69" t="str">
        <f>B429&amp;"@gmail.com"</f>
        <v>Name 428@gmail.com</v>
      </c>
      <c r="H429" s="70">
        <v>40000</v>
      </c>
      <c r="I429" s="71">
        <f>H429*18%</f>
        <v>7200</v>
      </c>
      <c r="J429" s="71">
        <f>H429*5%</f>
        <v>2000</v>
      </c>
      <c r="K429" s="71">
        <v>1000</v>
      </c>
      <c r="L429" s="71">
        <v>0</v>
      </c>
      <c r="M429" s="71">
        <v>1600</v>
      </c>
      <c r="N429" s="71">
        <v>28</v>
      </c>
      <c r="O429" s="71">
        <f>(H429/30)*N429</f>
        <v>37333.333333333328</v>
      </c>
      <c r="P429" s="72">
        <v>2</v>
      </c>
      <c r="Q429" s="72">
        <f>N429*P429</f>
        <v>56</v>
      </c>
      <c r="R429" s="71">
        <f>(H429/30)/8</f>
        <v>166.66666666666666</v>
      </c>
      <c r="S429" s="71">
        <f>Q429*R429</f>
        <v>9333.3333333333321</v>
      </c>
      <c r="T429" s="73">
        <f>I429+J429+K429+L429+M429+O429+S429</f>
        <v>58466.666666666657</v>
      </c>
      <c r="U429" s="73">
        <v>200</v>
      </c>
      <c r="V429" s="73">
        <f>H429*12%</f>
        <v>4800</v>
      </c>
      <c r="W429" s="73">
        <v>0</v>
      </c>
      <c r="X429" s="73">
        <f>SUM(U429:W429)</f>
        <v>5000</v>
      </c>
      <c r="Y429" s="73">
        <f>T429-X429</f>
        <v>53466.666666666657</v>
      </c>
    </row>
    <row r="430" spans="1:25" x14ac:dyDescent="0.3">
      <c r="A430" s="65" t="s">
        <v>310</v>
      </c>
      <c r="B430" s="66" t="s">
        <v>309</v>
      </c>
      <c r="C430" s="66" t="s">
        <v>210</v>
      </c>
      <c r="D430" s="67">
        <v>43</v>
      </c>
      <c r="E430" s="68">
        <v>43851</v>
      </c>
      <c r="F430" s="69" t="s">
        <v>206</v>
      </c>
      <c r="G430" s="69" t="str">
        <f>B430&amp;"@gmail.com"</f>
        <v>Name 429@gmail.com</v>
      </c>
      <c r="H430" s="70">
        <v>32000</v>
      </c>
      <c r="I430" s="71">
        <f>H430*18%</f>
        <v>5760</v>
      </c>
      <c r="J430" s="71">
        <f>H430*5%</f>
        <v>1600</v>
      </c>
      <c r="K430" s="71">
        <v>1000</v>
      </c>
      <c r="L430" s="71">
        <v>0</v>
      </c>
      <c r="M430" s="71">
        <v>1600</v>
      </c>
      <c r="N430" s="71">
        <v>30</v>
      </c>
      <c r="O430" s="71">
        <f>(H430/30)*N430</f>
        <v>32000.000000000004</v>
      </c>
      <c r="P430" s="72">
        <v>1</v>
      </c>
      <c r="Q430" s="72">
        <f>N430*P430</f>
        <v>30</v>
      </c>
      <c r="R430" s="71">
        <f>(H430/30)/8</f>
        <v>133.33333333333334</v>
      </c>
      <c r="S430" s="71">
        <f>Q430*R430</f>
        <v>4000.0000000000005</v>
      </c>
      <c r="T430" s="73">
        <f>I430+J430+K430+L430+M430+O430+S430</f>
        <v>45960</v>
      </c>
      <c r="U430" s="73">
        <v>200</v>
      </c>
      <c r="V430" s="73">
        <f>H430*12%</f>
        <v>3840</v>
      </c>
      <c r="W430" s="73">
        <v>5000</v>
      </c>
      <c r="X430" s="73">
        <f>SUM(U430:W430)</f>
        <v>9040</v>
      </c>
      <c r="Y430" s="73">
        <f>T430-X430</f>
        <v>36920</v>
      </c>
    </row>
    <row r="431" spans="1:25" x14ac:dyDescent="0.3">
      <c r="A431" s="65" t="s">
        <v>308</v>
      </c>
      <c r="B431" s="66" t="s">
        <v>307</v>
      </c>
      <c r="C431" s="66" t="s">
        <v>207</v>
      </c>
      <c r="D431" s="67">
        <v>23</v>
      </c>
      <c r="E431" s="68">
        <v>43852</v>
      </c>
      <c r="F431" s="69" t="s">
        <v>206</v>
      </c>
      <c r="G431" s="69" t="str">
        <f>B431&amp;"@gmail.com"</f>
        <v>Name 430@gmail.com</v>
      </c>
      <c r="H431" s="70">
        <v>28000</v>
      </c>
      <c r="I431" s="71">
        <f>H431*18%</f>
        <v>5040</v>
      </c>
      <c r="J431" s="71">
        <f>H431*5%</f>
        <v>1400</v>
      </c>
      <c r="K431" s="71">
        <v>1000</v>
      </c>
      <c r="L431" s="71">
        <v>0</v>
      </c>
      <c r="M431" s="71">
        <v>1600</v>
      </c>
      <c r="N431" s="71">
        <v>29</v>
      </c>
      <c r="O431" s="71">
        <f>(H431/30)*N431</f>
        <v>27066.666666666668</v>
      </c>
      <c r="P431" s="72">
        <v>1</v>
      </c>
      <c r="Q431" s="72">
        <f>N431*P431</f>
        <v>29</v>
      </c>
      <c r="R431" s="71">
        <f>(H431/30)/8</f>
        <v>116.66666666666667</v>
      </c>
      <c r="S431" s="71">
        <f>Q431*R431</f>
        <v>3383.3333333333335</v>
      </c>
      <c r="T431" s="73">
        <f>I431+J431+K431+L431+M431+O431+S431</f>
        <v>39490.000000000007</v>
      </c>
      <c r="U431" s="73">
        <v>200</v>
      </c>
      <c r="V431" s="73">
        <f>H431*12%</f>
        <v>3360</v>
      </c>
      <c r="W431" s="73">
        <v>0</v>
      </c>
      <c r="X431" s="73">
        <f>SUM(U431:W431)</f>
        <v>3560</v>
      </c>
      <c r="Y431" s="73">
        <f>T431-X431</f>
        <v>35930.000000000007</v>
      </c>
    </row>
    <row r="432" spans="1:25" x14ac:dyDescent="0.3">
      <c r="A432" s="65" t="s">
        <v>306</v>
      </c>
      <c r="B432" s="66" t="s">
        <v>305</v>
      </c>
      <c r="C432" s="66" t="s">
        <v>214</v>
      </c>
      <c r="D432" s="67">
        <v>34</v>
      </c>
      <c r="E432" s="68">
        <v>43853</v>
      </c>
      <c r="F432" s="69" t="s">
        <v>213</v>
      </c>
      <c r="G432" s="69" t="str">
        <f>B432&amp;"@gmail.com"</f>
        <v>Name 431@gmail.com</v>
      </c>
      <c r="H432" s="70">
        <v>44000</v>
      </c>
      <c r="I432" s="71">
        <f>H432*18%</f>
        <v>7920</v>
      </c>
      <c r="J432" s="71">
        <f>H432*5%</f>
        <v>2200</v>
      </c>
      <c r="K432" s="71">
        <v>1000</v>
      </c>
      <c r="L432" s="71">
        <v>0</v>
      </c>
      <c r="M432" s="71">
        <v>1600</v>
      </c>
      <c r="N432" s="71">
        <v>28</v>
      </c>
      <c r="O432" s="71">
        <f>(H432/30)*N432</f>
        <v>41066.666666666672</v>
      </c>
      <c r="P432" s="72">
        <v>1</v>
      </c>
      <c r="Q432" s="72">
        <f>N432*P432</f>
        <v>28</v>
      </c>
      <c r="R432" s="71">
        <f>(H432/30)/8</f>
        <v>183.33333333333334</v>
      </c>
      <c r="S432" s="71">
        <f>Q432*R432</f>
        <v>5133.3333333333339</v>
      </c>
      <c r="T432" s="73">
        <f>I432+J432+K432+L432+M432+O432+S432</f>
        <v>58920.000000000007</v>
      </c>
      <c r="U432" s="73">
        <v>200</v>
      </c>
      <c r="V432" s="73">
        <f>H432*12%</f>
        <v>5280</v>
      </c>
      <c r="W432" s="73">
        <v>0</v>
      </c>
      <c r="X432" s="73">
        <f>SUM(U432:W432)</f>
        <v>5480</v>
      </c>
      <c r="Y432" s="73">
        <f>T432-X432</f>
        <v>53440.000000000007</v>
      </c>
    </row>
    <row r="433" spans="1:25" x14ac:dyDescent="0.3">
      <c r="A433" s="65" t="s">
        <v>304</v>
      </c>
      <c r="B433" s="66" t="s">
        <v>303</v>
      </c>
      <c r="C433" s="66" t="s">
        <v>210</v>
      </c>
      <c r="D433" s="67">
        <v>23</v>
      </c>
      <c r="E433" s="68">
        <v>43854</v>
      </c>
      <c r="F433" s="69" t="s">
        <v>206</v>
      </c>
      <c r="G433" s="69" t="str">
        <f>B433&amp;"@gmail.com"</f>
        <v>Name 432@gmail.com</v>
      </c>
      <c r="H433" s="70">
        <v>25000</v>
      </c>
      <c r="I433" s="71">
        <f>H433*18%</f>
        <v>4500</v>
      </c>
      <c r="J433" s="71">
        <f>H433*5%</f>
        <v>1250</v>
      </c>
      <c r="K433" s="71">
        <v>1000</v>
      </c>
      <c r="L433" s="71">
        <v>0</v>
      </c>
      <c r="M433" s="71">
        <v>1600</v>
      </c>
      <c r="N433" s="71">
        <v>27</v>
      </c>
      <c r="O433" s="71">
        <f>(H433/30)*N433</f>
        <v>22500</v>
      </c>
      <c r="P433" s="72">
        <v>1</v>
      </c>
      <c r="Q433" s="72">
        <f>N433*P433</f>
        <v>27</v>
      </c>
      <c r="R433" s="71">
        <f>(H433/30)/8</f>
        <v>104.16666666666667</v>
      </c>
      <c r="S433" s="71">
        <f>Q433*R433</f>
        <v>2812.5</v>
      </c>
      <c r="T433" s="73">
        <f>I433+J433+K433+L433+M433+O433+S433</f>
        <v>33662.5</v>
      </c>
      <c r="U433" s="73">
        <v>200</v>
      </c>
      <c r="V433" s="73">
        <f>H433*12%</f>
        <v>3000</v>
      </c>
      <c r="W433" s="73">
        <v>0</v>
      </c>
      <c r="X433" s="73">
        <f>SUM(U433:W433)</f>
        <v>3200</v>
      </c>
      <c r="Y433" s="73">
        <f>T433-X433</f>
        <v>30462.5</v>
      </c>
    </row>
    <row r="434" spans="1:25" x14ac:dyDescent="0.3">
      <c r="A434" s="65" t="s">
        <v>302</v>
      </c>
      <c r="B434" s="66" t="s">
        <v>301</v>
      </c>
      <c r="C434" s="66" t="s">
        <v>214</v>
      </c>
      <c r="D434" s="67">
        <v>34</v>
      </c>
      <c r="E434" s="68">
        <v>43831</v>
      </c>
      <c r="F434" s="69" t="s">
        <v>206</v>
      </c>
      <c r="G434" s="69" t="str">
        <f>B434&amp;"@gmail.com"</f>
        <v>Name 433@gmail.com</v>
      </c>
      <c r="H434" s="70">
        <v>50000</v>
      </c>
      <c r="I434" s="71">
        <f>H434*18%</f>
        <v>9000</v>
      </c>
      <c r="J434" s="71">
        <f>H434*5%</f>
        <v>2500</v>
      </c>
      <c r="K434" s="71">
        <v>1000</v>
      </c>
      <c r="L434" s="71">
        <v>0</v>
      </c>
      <c r="M434" s="71">
        <v>1600</v>
      </c>
      <c r="N434" s="71">
        <v>27</v>
      </c>
      <c r="O434" s="71">
        <f>(H434/30)*N434</f>
        <v>45000</v>
      </c>
      <c r="P434" s="72">
        <v>3</v>
      </c>
      <c r="Q434" s="72">
        <f>N434*P434</f>
        <v>81</v>
      </c>
      <c r="R434" s="71">
        <f>(H434/30)/8</f>
        <v>208.33333333333334</v>
      </c>
      <c r="S434" s="71">
        <f>Q434*R434</f>
        <v>16875</v>
      </c>
      <c r="T434" s="73">
        <f>I434+J434+K434+L434+M434+O434+S434</f>
        <v>75975</v>
      </c>
      <c r="U434" s="73">
        <v>201</v>
      </c>
      <c r="V434" s="73">
        <f>H434*12%</f>
        <v>6000</v>
      </c>
      <c r="W434" s="73">
        <v>0</v>
      </c>
      <c r="X434" s="73">
        <f>SUM(U434:W434)</f>
        <v>6201</v>
      </c>
      <c r="Y434" s="73">
        <f>T434-X434</f>
        <v>69774</v>
      </c>
    </row>
    <row r="435" spans="1:25" x14ac:dyDescent="0.3">
      <c r="A435" s="65" t="s">
        <v>300</v>
      </c>
      <c r="B435" s="66" t="s">
        <v>299</v>
      </c>
      <c r="C435" s="66" t="s">
        <v>214</v>
      </c>
      <c r="D435" s="67">
        <v>23</v>
      </c>
      <c r="E435" s="68">
        <v>43832</v>
      </c>
      <c r="F435" s="69" t="s">
        <v>213</v>
      </c>
      <c r="G435" s="69" t="str">
        <f>B435&amp;"@gmail.com"</f>
        <v>Name 434@gmail.com</v>
      </c>
      <c r="H435" s="70">
        <v>70000</v>
      </c>
      <c r="I435" s="71">
        <f>H435*18%</f>
        <v>12600</v>
      </c>
      <c r="J435" s="71">
        <f>H435*5%</f>
        <v>3500</v>
      </c>
      <c r="K435" s="71">
        <v>1000</v>
      </c>
      <c r="L435" s="71">
        <v>0</v>
      </c>
      <c r="M435" s="71">
        <v>1600</v>
      </c>
      <c r="N435" s="71">
        <v>27</v>
      </c>
      <c r="O435" s="71">
        <f>(H435/30)*N435</f>
        <v>63000.000000000007</v>
      </c>
      <c r="P435" s="72">
        <v>1</v>
      </c>
      <c r="Q435" s="72">
        <f>N435*P435</f>
        <v>27</v>
      </c>
      <c r="R435" s="71">
        <f>(H435/30)/8</f>
        <v>291.66666666666669</v>
      </c>
      <c r="S435" s="71">
        <f>Q435*R435</f>
        <v>7875.0000000000009</v>
      </c>
      <c r="T435" s="73">
        <f>I435+J435+K435+L435+M435+O435+S435</f>
        <v>89575</v>
      </c>
      <c r="U435" s="73">
        <v>202</v>
      </c>
      <c r="V435" s="73">
        <f>H435*12%</f>
        <v>8400</v>
      </c>
      <c r="W435" s="73">
        <v>0</v>
      </c>
      <c r="X435" s="73">
        <f>SUM(U435:W435)</f>
        <v>8602</v>
      </c>
      <c r="Y435" s="73">
        <f>T435-X435</f>
        <v>80973</v>
      </c>
    </row>
    <row r="436" spans="1:25" x14ac:dyDescent="0.3">
      <c r="A436" s="65" t="s">
        <v>298</v>
      </c>
      <c r="B436" s="66" t="s">
        <v>297</v>
      </c>
      <c r="C436" s="66" t="s">
        <v>214</v>
      </c>
      <c r="D436" s="67">
        <v>34</v>
      </c>
      <c r="E436" s="68">
        <v>43833</v>
      </c>
      <c r="F436" s="69" t="s">
        <v>213</v>
      </c>
      <c r="G436" s="69" t="str">
        <f>B436&amp;"@gmail.com"</f>
        <v>Name 435@gmail.com</v>
      </c>
      <c r="H436" s="70">
        <v>34000</v>
      </c>
      <c r="I436" s="71">
        <f>H436*18%</f>
        <v>6120</v>
      </c>
      <c r="J436" s="71">
        <f>H436*5%</f>
        <v>1700</v>
      </c>
      <c r="K436" s="71">
        <v>1000</v>
      </c>
      <c r="L436" s="71">
        <v>2000</v>
      </c>
      <c r="M436" s="71">
        <v>1600</v>
      </c>
      <c r="N436" s="71">
        <v>30</v>
      </c>
      <c r="O436" s="71">
        <f>(H436/30)*N436</f>
        <v>34000</v>
      </c>
      <c r="P436" s="72">
        <v>2</v>
      </c>
      <c r="Q436" s="72">
        <f>N436*P436</f>
        <v>60</v>
      </c>
      <c r="R436" s="71">
        <f>(H436/30)/8</f>
        <v>141.66666666666666</v>
      </c>
      <c r="S436" s="71">
        <f>Q436*R436</f>
        <v>8500</v>
      </c>
      <c r="T436" s="73">
        <f>I436+J436+K436+L436+M436+O436+S436</f>
        <v>54920</v>
      </c>
      <c r="U436" s="73">
        <v>203</v>
      </c>
      <c r="V436" s="73">
        <f>H436*12%</f>
        <v>4080</v>
      </c>
      <c r="W436" s="73">
        <v>0</v>
      </c>
      <c r="X436" s="73">
        <f>SUM(U436:W436)</f>
        <v>4283</v>
      </c>
      <c r="Y436" s="73">
        <f>T436-X436</f>
        <v>50637</v>
      </c>
    </row>
    <row r="437" spans="1:25" x14ac:dyDescent="0.3">
      <c r="A437" s="65" t="s">
        <v>296</v>
      </c>
      <c r="B437" s="66" t="s">
        <v>295</v>
      </c>
      <c r="C437" s="66" t="s">
        <v>214</v>
      </c>
      <c r="D437" s="67">
        <v>45</v>
      </c>
      <c r="E437" s="68">
        <v>43834</v>
      </c>
      <c r="F437" s="69" t="s">
        <v>213</v>
      </c>
      <c r="G437" s="69" t="str">
        <f>B437&amp;"@gmail.com"</f>
        <v>Name 436@gmail.com</v>
      </c>
      <c r="H437" s="70">
        <v>45000</v>
      </c>
      <c r="I437" s="71">
        <f>H437*18%</f>
        <v>8100</v>
      </c>
      <c r="J437" s="71">
        <f>H437*5%</f>
        <v>2250</v>
      </c>
      <c r="K437" s="71">
        <v>1000</v>
      </c>
      <c r="L437" s="71">
        <v>5000</v>
      </c>
      <c r="M437" s="71">
        <v>1600</v>
      </c>
      <c r="N437" s="71">
        <v>30</v>
      </c>
      <c r="O437" s="71">
        <f>(H437/30)*N437</f>
        <v>45000</v>
      </c>
      <c r="P437" s="72">
        <v>0</v>
      </c>
      <c r="Q437" s="72">
        <f>N437*P437</f>
        <v>0</v>
      </c>
      <c r="R437" s="71">
        <f>(H437/30)/8</f>
        <v>187.5</v>
      </c>
      <c r="S437" s="71">
        <f>Q437*R437</f>
        <v>0</v>
      </c>
      <c r="T437" s="73">
        <f>I437+J437+K437+L437+M437+O437+S437</f>
        <v>62950</v>
      </c>
      <c r="U437" s="73">
        <v>204</v>
      </c>
      <c r="V437" s="73">
        <f>H437*12%</f>
        <v>5400</v>
      </c>
      <c r="W437" s="73">
        <v>4000</v>
      </c>
      <c r="X437" s="73">
        <f>SUM(U437:W437)</f>
        <v>9604</v>
      </c>
      <c r="Y437" s="73">
        <f>T437-X437</f>
        <v>53346</v>
      </c>
    </row>
    <row r="438" spans="1:25" x14ac:dyDescent="0.3">
      <c r="A438" s="65" t="s">
        <v>294</v>
      </c>
      <c r="B438" s="66" t="s">
        <v>293</v>
      </c>
      <c r="C438" s="66" t="s">
        <v>214</v>
      </c>
      <c r="D438" s="67">
        <v>54</v>
      </c>
      <c r="E438" s="68">
        <v>43835</v>
      </c>
      <c r="F438" s="69" t="s">
        <v>213</v>
      </c>
      <c r="G438" s="69" t="str">
        <f>B438&amp;"@gmail.com"</f>
        <v>Name 437@gmail.com</v>
      </c>
      <c r="H438" s="70">
        <v>55000</v>
      </c>
      <c r="I438" s="71">
        <f>H438*18%</f>
        <v>9900</v>
      </c>
      <c r="J438" s="71">
        <f>H438*5%</f>
        <v>2750</v>
      </c>
      <c r="K438" s="71">
        <v>1000</v>
      </c>
      <c r="L438" s="71">
        <v>0</v>
      </c>
      <c r="M438" s="71">
        <v>1600</v>
      </c>
      <c r="N438" s="71">
        <v>30</v>
      </c>
      <c r="O438" s="71">
        <f>(H438/30)*N438</f>
        <v>55000</v>
      </c>
      <c r="P438" s="72">
        <v>1</v>
      </c>
      <c r="Q438" s="72">
        <f>N438*P438</f>
        <v>30</v>
      </c>
      <c r="R438" s="71">
        <f>(H438/30)/8</f>
        <v>229.16666666666666</v>
      </c>
      <c r="S438" s="71">
        <f>Q438*R438</f>
        <v>6875</v>
      </c>
      <c r="T438" s="73">
        <f>I438+J438+K438+L438+M438+O438+S438</f>
        <v>77125</v>
      </c>
      <c r="U438" s="73">
        <v>205</v>
      </c>
      <c r="V438" s="73">
        <f>H438*12%</f>
        <v>6600</v>
      </c>
      <c r="W438" s="73">
        <v>0</v>
      </c>
      <c r="X438" s="73">
        <f>SUM(U438:W438)</f>
        <v>6805</v>
      </c>
      <c r="Y438" s="73">
        <f>T438-X438</f>
        <v>70320</v>
      </c>
    </row>
    <row r="439" spans="1:25" x14ac:dyDescent="0.3">
      <c r="A439" s="65" t="s">
        <v>292</v>
      </c>
      <c r="B439" s="66" t="s">
        <v>291</v>
      </c>
      <c r="C439" s="66" t="s">
        <v>210</v>
      </c>
      <c r="D439" s="67">
        <v>56</v>
      </c>
      <c r="E439" s="68">
        <v>43836</v>
      </c>
      <c r="F439" s="69" t="s">
        <v>206</v>
      </c>
      <c r="G439" s="69" t="str">
        <f>B439&amp;"@gmail.com"</f>
        <v>Name 438@gmail.com</v>
      </c>
      <c r="H439" s="70">
        <v>43000</v>
      </c>
      <c r="I439" s="71">
        <f>H439*18%</f>
        <v>7740</v>
      </c>
      <c r="J439" s="71">
        <f>H439*5%</f>
        <v>2150</v>
      </c>
      <c r="K439" s="71">
        <v>1000</v>
      </c>
      <c r="L439" s="71">
        <v>0</v>
      </c>
      <c r="M439" s="71">
        <v>1600</v>
      </c>
      <c r="N439" s="71">
        <v>27</v>
      </c>
      <c r="O439" s="71">
        <f>(H439/30)*N439</f>
        <v>38700</v>
      </c>
      <c r="P439" s="72">
        <v>1</v>
      </c>
      <c r="Q439" s="72">
        <f>N439*P439</f>
        <v>27</v>
      </c>
      <c r="R439" s="71">
        <f>(H439/30)/8</f>
        <v>179.16666666666666</v>
      </c>
      <c r="S439" s="71">
        <f>Q439*R439</f>
        <v>4837.5</v>
      </c>
      <c r="T439" s="73">
        <f>I439+J439+K439+L439+M439+O439+S439</f>
        <v>56027.5</v>
      </c>
      <c r="U439" s="73">
        <v>200</v>
      </c>
      <c r="V439" s="73">
        <f>H439*12%</f>
        <v>5160</v>
      </c>
      <c r="W439" s="73">
        <v>0</v>
      </c>
      <c r="X439" s="73">
        <f>SUM(U439:W439)</f>
        <v>5360</v>
      </c>
      <c r="Y439" s="73">
        <f>T439-X439</f>
        <v>50667.5</v>
      </c>
    </row>
    <row r="440" spans="1:25" x14ac:dyDescent="0.3">
      <c r="A440" s="65" t="s">
        <v>290</v>
      </c>
      <c r="B440" s="66" t="s">
        <v>289</v>
      </c>
      <c r="C440" s="66" t="s">
        <v>207</v>
      </c>
      <c r="D440" s="67">
        <v>54</v>
      </c>
      <c r="E440" s="68">
        <v>43837</v>
      </c>
      <c r="F440" s="69" t="s">
        <v>206</v>
      </c>
      <c r="G440" s="69" t="str">
        <f>B440&amp;"@gmail.com"</f>
        <v>Name 439@gmail.com</v>
      </c>
      <c r="H440" s="70">
        <v>25000</v>
      </c>
      <c r="I440" s="71">
        <f>H440*18%</f>
        <v>4500</v>
      </c>
      <c r="J440" s="71">
        <f>H440*5%</f>
        <v>1250</v>
      </c>
      <c r="K440" s="71">
        <v>1000</v>
      </c>
      <c r="L440" s="71">
        <v>0</v>
      </c>
      <c r="M440" s="71">
        <v>1600</v>
      </c>
      <c r="N440" s="71">
        <v>30</v>
      </c>
      <c r="O440" s="71">
        <f>(H440/30)*N440</f>
        <v>25000</v>
      </c>
      <c r="P440" s="72">
        <v>0</v>
      </c>
      <c r="Q440" s="72">
        <f>N440*P440</f>
        <v>0</v>
      </c>
      <c r="R440" s="71">
        <f>(H440/30)/8</f>
        <v>104.16666666666667</v>
      </c>
      <c r="S440" s="71">
        <f>Q440*R440</f>
        <v>0</v>
      </c>
      <c r="T440" s="73">
        <f>I440+J440+K440+L440+M440+O440+S440</f>
        <v>33350</v>
      </c>
      <c r="U440" s="73">
        <v>200</v>
      </c>
      <c r="V440" s="73">
        <f>H440*12%</f>
        <v>3000</v>
      </c>
      <c r="W440" s="73">
        <v>0</v>
      </c>
      <c r="X440" s="73">
        <f>SUM(U440:W440)</f>
        <v>3200</v>
      </c>
      <c r="Y440" s="73">
        <f>T440-X440</f>
        <v>30150</v>
      </c>
    </row>
    <row r="441" spans="1:25" x14ac:dyDescent="0.3">
      <c r="A441" s="65" t="s">
        <v>288</v>
      </c>
      <c r="B441" s="66" t="s">
        <v>287</v>
      </c>
      <c r="C441" s="66" t="s">
        <v>214</v>
      </c>
      <c r="D441" s="67">
        <v>34</v>
      </c>
      <c r="E441" s="68">
        <v>43838</v>
      </c>
      <c r="F441" s="69" t="s">
        <v>206</v>
      </c>
      <c r="G441" s="69" t="str">
        <f>B441&amp;"@gmail.com"</f>
        <v>Name 440@gmail.com</v>
      </c>
      <c r="H441" s="70">
        <v>28000</v>
      </c>
      <c r="I441" s="71">
        <f>H441*18%</f>
        <v>5040</v>
      </c>
      <c r="J441" s="71">
        <f>H441*5%</f>
        <v>1400</v>
      </c>
      <c r="K441" s="71">
        <v>1000</v>
      </c>
      <c r="L441" s="71">
        <v>0</v>
      </c>
      <c r="M441" s="71">
        <v>1600</v>
      </c>
      <c r="N441" s="71">
        <v>20</v>
      </c>
      <c r="O441" s="71">
        <f>(H441/30)*N441</f>
        <v>18666.666666666668</v>
      </c>
      <c r="P441" s="72">
        <v>0</v>
      </c>
      <c r="Q441" s="72">
        <f>N441*P441</f>
        <v>0</v>
      </c>
      <c r="R441" s="71">
        <f>(H441/30)/8</f>
        <v>116.66666666666667</v>
      </c>
      <c r="S441" s="71">
        <f>Q441*R441</f>
        <v>0</v>
      </c>
      <c r="T441" s="73">
        <f>I441+J441+K441+L441+M441+O441+S441</f>
        <v>27706.666666666668</v>
      </c>
      <c r="U441" s="73">
        <v>200</v>
      </c>
      <c r="V441" s="73">
        <f>H441*12%</f>
        <v>3360</v>
      </c>
      <c r="W441" s="73">
        <v>0</v>
      </c>
      <c r="X441" s="73">
        <f>SUM(U441:W441)</f>
        <v>3560</v>
      </c>
      <c r="Y441" s="73">
        <f>T441-X441</f>
        <v>24146.666666666668</v>
      </c>
    </row>
    <row r="442" spans="1:25" x14ac:dyDescent="0.3">
      <c r="A442" s="65" t="s">
        <v>286</v>
      </c>
      <c r="B442" s="66" t="s">
        <v>285</v>
      </c>
      <c r="C442" s="66" t="s">
        <v>210</v>
      </c>
      <c r="D442" s="67">
        <v>23</v>
      </c>
      <c r="E442" s="68">
        <v>43839</v>
      </c>
      <c r="F442" s="69" t="s">
        <v>206</v>
      </c>
      <c r="G442" s="69" t="str">
        <f>B442&amp;"@gmail.com"</f>
        <v>Name 441@gmail.com</v>
      </c>
      <c r="H442" s="70">
        <v>40000</v>
      </c>
      <c r="I442" s="71">
        <f>H442*18%</f>
        <v>7200</v>
      </c>
      <c r="J442" s="71">
        <f>H442*5%</f>
        <v>2000</v>
      </c>
      <c r="K442" s="71">
        <v>1000</v>
      </c>
      <c r="L442" s="71">
        <v>0</v>
      </c>
      <c r="M442" s="71">
        <v>1600</v>
      </c>
      <c r="N442" s="71">
        <v>28</v>
      </c>
      <c r="O442" s="71">
        <f>(H442/30)*N442</f>
        <v>37333.333333333328</v>
      </c>
      <c r="P442" s="72">
        <v>2</v>
      </c>
      <c r="Q442" s="72">
        <f>N442*P442</f>
        <v>56</v>
      </c>
      <c r="R442" s="71">
        <f>(H442/30)/8</f>
        <v>166.66666666666666</v>
      </c>
      <c r="S442" s="71">
        <f>Q442*R442</f>
        <v>9333.3333333333321</v>
      </c>
      <c r="T442" s="73">
        <f>I442+J442+K442+L442+M442+O442+S442</f>
        <v>58466.666666666657</v>
      </c>
      <c r="U442" s="73">
        <v>200</v>
      </c>
      <c r="V442" s="73">
        <f>H442*12%</f>
        <v>4800</v>
      </c>
      <c r="W442" s="73">
        <v>0</v>
      </c>
      <c r="X442" s="73">
        <f>SUM(U442:W442)</f>
        <v>5000</v>
      </c>
      <c r="Y442" s="73">
        <f>T442-X442</f>
        <v>53466.666666666657</v>
      </c>
    </row>
    <row r="443" spans="1:25" x14ac:dyDescent="0.3">
      <c r="A443" s="65" t="s">
        <v>284</v>
      </c>
      <c r="B443" s="66" t="s">
        <v>283</v>
      </c>
      <c r="C443" s="66" t="s">
        <v>210</v>
      </c>
      <c r="D443" s="67">
        <v>34</v>
      </c>
      <c r="E443" s="68">
        <v>43840</v>
      </c>
      <c r="F443" s="69" t="s">
        <v>206</v>
      </c>
      <c r="G443" s="69" t="str">
        <f>B443&amp;"@gmail.com"</f>
        <v>Name 442@gmail.com</v>
      </c>
      <c r="H443" s="70">
        <v>32000</v>
      </c>
      <c r="I443" s="71">
        <f>H443*18%</f>
        <v>5760</v>
      </c>
      <c r="J443" s="71">
        <f>H443*5%</f>
        <v>1600</v>
      </c>
      <c r="K443" s="71">
        <v>1000</v>
      </c>
      <c r="L443" s="71">
        <v>0</v>
      </c>
      <c r="M443" s="71">
        <v>1600</v>
      </c>
      <c r="N443" s="71">
        <v>30</v>
      </c>
      <c r="O443" s="71">
        <f>(H443/30)*N443</f>
        <v>32000.000000000004</v>
      </c>
      <c r="P443" s="72">
        <v>1</v>
      </c>
      <c r="Q443" s="72">
        <f>N443*P443</f>
        <v>30</v>
      </c>
      <c r="R443" s="71">
        <f>(H443/30)/8</f>
        <v>133.33333333333334</v>
      </c>
      <c r="S443" s="71">
        <f>Q443*R443</f>
        <v>4000.0000000000005</v>
      </c>
      <c r="T443" s="73">
        <f>I443+J443+K443+L443+M443+O443+S443</f>
        <v>45960</v>
      </c>
      <c r="U443" s="73">
        <v>200</v>
      </c>
      <c r="V443" s="73">
        <f>H443*12%</f>
        <v>3840</v>
      </c>
      <c r="W443" s="73">
        <v>5000</v>
      </c>
      <c r="X443" s="73">
        <f>SUM(U443:W443)</f>
        <v>9040</v>
      </c>
      <c r="Y443" s="73">
        <f>T443-X443</f>
        <v>36920</v>
      </c>
    </row>
    <row r="444" spans="1:25" x14ac:dyDescent="0.3">
      <c r="A444" s="65" t="s">
        <v>282</v>
      </c>
      <c r="B444" s="66" t="s">
        <v>281</v>
      </c>
      <c r="C444" s="66" t="s">
        <v>207</v>
      </c>
      <c r="D444" s="67">
        <v>43</v>
      </c>
      <c r="E444" s="68">
        <v>43841</v>
      </c>
      <c r="F444" s="69" t="s">
        <v>206</v>
      </c>
      <c r="G444" s="69" t="str">
        <f>B444&amp;"@gmail.com"</f>
        <v>Name 443@gmail.com</v>
      </c>
      <c r="H444" s="70">
        <v>28000</v>
      </c>
      <c r="I444" s="71">
        <f>H444*18%</f>
        <v>5040</v>
      </c>
      <c r="J444" s="71">
        <f>H444*5%</f>
        <v>1400</v>
      </c>
      <c r="K444" s="71">
        <v>1000</v>
      </c>
      <c r="L444" s="71">
        <v>0</v>
      </c>
      <c r="M444" s="71">
        <v>1600</v>
      </c>
      <c r="N444" s="71">
        <v>29</v>
      </c>
      <c r="O444" s="71">
        <f>(H444/30)*N444</f>
        <v>27066.666666666668</v>
      </c>
      <c r="P444" s="72">
        <v>1</v>
      </c>
      <c r="Q444" s="72">
        <f>N444*P444</f>
        <v>29</v>
      </c>
      <c r="R444" s="71">
        <f>(H444/30)/8</f>
        <v>116.66666666666667</v>
      </c>
      <c r="S444" s="71">
        <f>Q444*R444</f>
        <v>3383.3333333333335</v>
      </c>
      <c r="T444" s="73">
        <f>I444+J444+K444+L444+M444+O444+S444</f>
        <v>39490.000000000007</v>
      </c>
      <c r="U444" s="73">
        <v>200</v>
      </c>
      <c r="V444" s="73">
        <f>H444*12%</f>
        <v>3360</v>
      </c>
      <c r="W444" s="73">
        <v>0</v>
      </c>
      <c r="X444" s="73">
        <f>SUM(U444:W444)</f>
        <v>3560</v>
      </c>
      <c r="Y444" s="73">
        <f>T444-X444</f>
        <v>35930.000000000007</v>
      </c>
    </row>
    <row r="445" spans="1:25" x14ac:dyDescent="0.3">
      <c r="A445" s="65" t="s">
        <v>280</v>
      </c>
      <c r="B445" s="66" t="s">
        <v>279</v>
      </c>
      <c r="C445" s="66" t="s">
        <v>214</v>
      </c>
      <c r="D445" s="67">
        <v>34</v>
      </c>
      <c r="E445" s="68">
        <v>43842</v>
      </c>
      <c r="F445" s="69" t="s">
        <v>213</v>
      </c>
      <c r="G445" s="69" t="str">
        <f>B445&amp;"@gmail.com"</f>
        <v>Name 444@gmail.com</v>
      </c>
      <c r="H445" s="70">
        <v>44000</v>
      </c>
      <c r="I445" s="71">
        <f>H445*18%</f>
        <v>7920</v>
      </c>
      <c r="J445" s="71">
        <f>H445*5%</f>
        <v>2200</v>
      </c>
      <c r="K445" s="71">
        <v>1000</v>
      </c>
      <c r="L445" s="71">
        <v>0</v>
      </c>
      <c r="M445" s="71">
        <v>1600</v>
      </c>
      <c r="N445" s="71">
        <v>28</v>
      </c>
      <c r="O445" s="71">
        <f>(H445/30)*N445</f>
        <v>41066.666666666672</v>
      </c>
      <c r="P445" s="72">
        <v>1</v>
      </c>
      <c r="Q445" s="72">
        <f>N445*P445</f>
        <v>28</v>
      </c>
      <c r="R445" s="71">
        <f>(H445/30)/8</f>
        <v>183.33333333333334</v>
      </c>
      <c r="S445" s="71">
        <f>Q445*R445</f>
        <v>5133.3333333333339</v>
      </c>
      <c r="T445" s="73">
        <f>I445+J445+K445+L445+M445+O445+S445</f>
        <v>58920.000000000007</v>
      </c>
      <c r="U445" s="73">
        <v>200</v>
      </c>
      <c r="V445" s="73">
        <f>H445*12%</f>
        <v>5280</v>
      </c>
      <c r="W445" s="73">
        <v>0</v>
      </c>
      <c r="X445" s="73">
        <f>SUM(U445:W445)</f>
        <v>5480</v>
      </c>
      <c r="Y445" s="73">
        <f>T445-X445</f>
        <v>53440.000000000007</v>
      </c>
    </row>
    <row r="446" spans="1:25" x14ac:dyDescent="0.3">
      <c r="A446" s="65" t="s">
        <v>278</v>
      </c>
      <c r="B446" s="66" t="s">
        <v>277</v>
      </c>
      <c r="C446" s="66" t="s">
        <v>210</v>
      </c>
      <c r="D446" s="67">
        <v>43</v>
      </c>
      <c r="E446" s="68">
        <v>43843</v>
      </c>
      <c r="F446" s="69" t="s">
        <v>206</v>
      </c>
      <c r="G446" s="69" t="str">
        <f>B446&amp;"@gmail.com"</f>
        <v>Name 445@gmail.com</v>
      </c>
      <c r="H446" s="70">
        <v>25000</v>
      </c>
      <c r="I446" s="71">
        <f>H446*18%</f>
        <v>4500</v>
      </c>
      <c r="J446" s="71">
        <f>H446*5%</f>
        <v>1250</v>
      </c>
      <c r="K446" s="71">
        <v>1000</v>
      </c>
      <c r="L446" s="71">
        <v>0</v>
      </c>
      <c r="M446" s="71">
        <v>1600</v>
      </c>
      <c r="N446" s="71">
        <v>27</v>
      </c>
      <c r="O446" s="71">
        <f>(H446/30)*N446</f>
        <v>22500</v>
      </c>
      <c r="P446" s="72">
        <v>1</v>
      </c>
      <c r="Q446" s="72">
        <f>N446*P446</f>
        <v>27</v>
      </c>
      <c r="R446" s="71">
        <f>(H446/30)/8</f>
        <v>104.16666666666667</v>
      </c>
      <c r="S446" s="71">
        <f>Q446*R446</f>
        <v>2812.5</v>
      </c>
      <c r="T446" s="73">
        <f>I446+J446+K446+L446+M446+O446+S446</f>
        <v>33662.5</v>
      </c>
      <c r="U446" s="73">
        <v>200</v>
      </c>
      <c r="V446" s="73">
        <f>H446*12%</f>
        <v>3000</v>
      </c>
      <c r="W446" s="73">
        <v>0</v>
      </c>
      <c r="X446" s="73">
        <f>SUM(U446:W446)</f>
        <v>3200</v>
      </c>
      <c r="Y446" s="73">
        <f>T446-X446</f>
        <v>30462.5</v>
      </c>
    </row>
    <row r="447" spans="1:25" x14ac:dyDescent="0.3">
      <c r="A447" s="65" t="s">
        <v>276</v>
      </c>
      <c r="B447" s="66" t="s">
        <v>275</v>
      </c>
      <c r="C447" s="66" t="s">
        <v>214</v>
      </c>
      <c r="D447" s="67">
        <v>23</v>
      </c>
      <c r="E447" s="68">
        <v>43844</v>
      </c>
      <c r="F447" s="69" t="s">
        <v>206</v>
      </c>
      <c r="G447" s="69" t="str">
        <f>B447&amp;"@gmail.com"</f>
        <v>Name 446@gmail.com</v>
      </c>
      <c r="H447" s="70">
        <v>50000</v>
      </c>
      <c r="I447" s="71">
        <f>H447*18%</f>
        <v>9000</v>
      </c>
      <c r="J447" s="71">
        <f>H447*5%</f>
        <v>2500</v>
      </c>
      <c r="K447" s="71">
        <v>1000</v>
      </c>
      <c r="L447" s="71">
        <v>0</v>
      </c>
      <c r="M447" s="71">
        <v>1600</v>
      </c>
      <c r="N447" s="71">
        <v>27</v>
      </c>
      <c r="O447" s="71">
        <f>(H447/30)*N447</f>
        <v>45000</v>
      </c>
      <c r="P447" s="72">
        <v>3</v>
      </c>
      <c r="Q447" s="72">
        <f>N447*P447</f>
        <v>81</v>
      </c>
      <c r="R447" s="71">
        <f>(H447/30)/8</f>
        <v>208.33333333333334</v>
      </c>
      <c r="S447" s="71">
        <f>Q447*R447</f>
        <v>16875</v>
      </c>
      <c r="T447" s="73">
        <f>I447+J447+K447+L447+M447+O447+S447</f>
        <v>75975</v>
      </c>
      <c r="U447" s="73">
        <v>201</v>
      </c>
      <c r="V447" s="73">
        <f>H447*12%</f>
        <v>6000</v>
      </c>
      <c r="W447" s="73">
        <v>0</v>
      </c>
      <c r="X447" s="73">
        <f>SUM(U447:W447)</f>
        <v>6201</v>
      </c>
      <c r="Y447" s="73">
        <f>T447-X447</f>
        <v>69774</v>
      </c>
    </row>
    <row r="448" spans="1:25" x14ac:dyDescent="0.3">
      <c r="A448" s="65" t="s">
        <v>274</v>
      </c>
      <c r="B448" s="66" t="s">
        <v>273</v>
      </c>
      <c r="C448" s="66" t="s">
        <v>214</v>
      </c>
      <c r="D448" s="67">
        <v>34</v>
      </c>
      <c r="E448" s="68">
        <v>43845</v>
      </c>
      <c r="F448" s="69" t="s">
        <v>213</v>
      </c>
      <c r="G448" s="69" t="str">
        <f>B448&amp;"@gmail.com"</f>
        <v>Name 447@gmail.com</v>
      </c>
      <c r="H448" s="70">
        <v>70000</v>
      </c>
      <c r="I448" s="71">
        <f>H448*18%</f>
        <v>12600</v>
      </c>
      <c r="J448" s="71">
        <f>H448*5%</f>
        <v>3500</v>
      </c>
      <c r="K448" s="71">
        <v>1000</v>
      </c>
      <c r="L448" s="71">
        <v>0</v>
      </c>
      <c r="M448" s="71">
        <v>1600</v>
      </c>
      <c r="N448" s="71">
        <v>27</v>
      </c>
      <c r="O448" s="71">
        <f>(H448/30)*N448</f>
        <v>63000.000000000007</v>
      </c>
      <c r="P448" s="72">
        <v>1</v>
      </c>
      <c r="Q448" s="72">
        <f>N448*P448</f>
        <v>27</v>
      </c>
      <c r="R448" s="71">
        <f>(H448/30)/8</f>
        <v>291.66666666666669</v>
      </c>
      <c r="S448" s="71">
        <f>Q448*R448</f>
        <v>7875.0000000000009</v>
      </c>
      <c r="T448" s="73">
        <f>I448+J448+K448+L448+M448+O448+S448</f>
        <v>89575</v>
      </c>
      <c r="U448" s="73">
        <v>202</v>
      </c>
      <c r="V448" s="73">
        <f>H448*12%</f>
        <v>8400</v>
      </c>
      <c r="W448" s="73">
        <v>0</v>
      </c>
      <c r="X448" s="73">
        <f>SUM(U448:W448)</f>
        <v>8602</v>
      </c>
      <c r="Y448" s="73">
        <f>T448-X448</f>
        <v>80973</v>
      </c>
    </row>
    <row r="449" spans="1:25" x14ac:dyDescent="0.3">
      <c r="A449" s="65" t="s">
        <v>272</v>
      </c>
      <c r="B449" s="66" t="s">
        <v>271</v>
      </c>
      <c r="C449" s="66" t="s">
        <v>214</v>
      </c>
      <c r="D449" s="67">
        <v>23</v>
      </c>
      <c r="E449" s="68">
        <v>43846</v>
      </c>
      <c r="F449" s="69" t="s">
        <v>213</v>
      </c>
      <c r="G449" s="69" t="str">
        <f>B449&amp;"@gmail.com"</f>
        <v>Name 448@gmail.com</v>
      </c>
      <c r="H449" s="70">
        <v>34000</v>
      </c>
      <c r="I449" s="71">
        <f>H449*18%</f>
        <v>6120</v>
      </c>
      <c r="J449" s="71">
        <f>H449*5%</f>
        <v>1700</v>
      </c>
      <c r="K449" s="71">
        <v>1000</v>
      </c>
      <c r="L449" s="71">
        <v>2000</v>
      </c>
      <c r="M449" s="71">
        <v>1600</v>
      </c>
      <c r="N449" s="71">
        <v>30</v>
      </c>
      <c r="O449" s="71">
        <f>(H449/30)*N449</f>
        <v>34000</v>
      </c>
      <c r="P449" s="72">
        <v>2</v>
      </c>
      <c r="Q449" s="72">
        <f>N449*P449</f>
        <v>60</v>
      </c>
      <c r="R449" s="71">
        <f>(H449/30)/8</f>
        <v>141.66666666666666</v>
      </c>
      <c r="S449" s="71">
        <f>Q449*R449</f>
        <v>8500</v>
      </c>
      <c r="T449" s="73">
        <f>I449+J449+K449+L449+M449+O449+S449</f>
        <v>54920</v>
      </c>
      <c r="U449" s="73">
        <v>203</v>
      </c>
      <c r="V449" s="73">
        <f>H449*12%</f>
        <v>4080</v>
      </c>
      <c r="W449" s="73">
        <v>0</v>
      </c>
      <c r="X449" s="73">
        <f>SUM(U449:W449)</f>
        <v>4283</v>
      </c>
      <c r="Y449" s="73">
        <f>T449-X449</f>
        <v>50637</v>
      </c>
    </row>
    <row r="450" spans="1:25" x14ac:dyDescent="0.3">
      <c r="A450" s="65" t="s">
        <v>270</v>
      </c>
      <c r="B450" s="66" t="s">
        <v>269</v>
      </c>
      <c r="C450" s="66" t="s">
        <v>214</v>
      </c>
      <c r="D450" s="67">
        <v>34</v>
      </c>
      <c r="E450" s="68">
        <v>43847</v>
      </c>
      <c r="F450" s="69" t="s">
        <v>213</v>
      </c>
      <c r="G450" s="69" t="str">
        <f>B450&amp;"@gmail.com"</f>
        <v>Name 449@gmail.com</v>
      </c>
      <c r="H450" s="70">
        <v>45000</v>
      </c>
      <c r="I450" s="71">
        <f>H450*18%</f>
        <v>8100</v>
      </c>
      <c r="J450" s="71">
        <f>H450*5%</f>
        <v>2250</v>
      </c>
      <c r="K450" s="71">
        <v>1000</v>
      </c>
      <c r="L450" s="71">
        <v>5000</v>
      </c>
      <c r="M450" s="71">
        <v>1600</v>
      </c>
      <c r="N450" s="71">
        <v>30</v>
      </c>
      <c r="O450" s="71">
        <f>(H450/30)*N450</f>
        <v>45000</v>
      </c>
      <c r="P450" s="72">
        <v>0</v>
      </c>
      <c r="Q450" s="72">
        <f>N450*P450</f>
        <v>0</v>
      </c>
      <c r="R450" s="71">
        <f>(H450/30)/8</f>
        <v>187.5</v>
      </c>
      <c r="S450" s="71">
        <f>Q450*R450</f>
        <v>0</v>
      </c>
      <c r="T450" s="73">
        <f>I450+J450+K450+L450+M450+O450+S450</f>
        <v>62950</v>
      </c>
      <c r="U450" s="73">
        <v>204</v>
      </c>
      <c r="V450" s="73">
        <f>H450*12%</f>
        <v>5400</v>
      </c>
      <c r="W450" s="73">
        <v>4000</v>
      </c>
      <c r="X450" s="73">
        <f>SUM(U450:W450)</f>
        <v>9604</v>
      </c>
      <c r="Y450" s="73">
        <f>T450-X450</f>
        <v>53346</v>
      </c>
    </row>
    <row r="451" spans="1:25" x14ac:dyDescent="0.3">
      <c r="A451" s="65" t="s">
        <v>268</v>
      </c>
      <c r="B451" s="66" t="s">
        <v>267</v>
      </c>
      <c r="C451" s="66" t="s">
        <v>214</v>
      </c>
      <c r="D451" s="67">
        <v>23</v>
      </c>
      <c r="E451" s="68">
        <v>43848</v>
      </c>
      <c r="F451" s="69" t="s">
        <v>213</v>
      </c>
      <c r="G451" s="69" t="str">
        <f>B451&amp;"@gmail.com"</f>
        <v>Name 450@gmail.com</v>
      </c>
      <c r="H451" s="70">
        <v>55000</v>
      </c>
      <c r="I451" s="71">
        <f>H451*18%</f>
        <v>9900</v>
      </c>
      <c r="J451" s="71">
        <f>H451*5%</f>
        <v>2750</v>
      </c>
      <c r="K451" s="71">
        <v>1000</v>
      </c>
      <c r="L451" s="71">
        <v>0</v>
      </c>
      <c r="M451" s="71">
        <v>1600</v>
      </c>
      <c r="N451" s="71">
        <v>30</v>
      </c>
      <c r="O451" s="71">
        <f>(H451/30)*N451</f>
        <v>55000</v>
      </c>
      <c r="P451" s="72">
        <v>1</v>
      </c>
      <c r="Q451" s="72">
        <f>N451*P451</f>
        <v>30</v>
      </c>
      <c r="R451" s="71">
        <f>(H451/30)/8</f>
        <v>229.16666666666666</v>
      </c>
      <c r="S451" s="71">
        <f>Q451*R451</f>
        <v>6875</v>
      </c>
      <c r="T451" s="73">
        <f>I451+J451+K451+L451+M451+O451+S451</f>
        <v>77125</v>
      </c>
      <c r="U451" s="73">
        <v>205</v>
      </c>
      <c r="V451" s="73">
        <f>H451*12%</f>
        <v>6600</v>
      </c>
      <c r="W451" s="73">
        <v>0</v>
      </c>
      <c r="X451" s="73">
        <f>SUM(U451:W451)</f>
        <v>6805</v>
      </c>
      <c r="Y451" s="73">
        <f>T451-X451</f>
        <v>70320</v>
      </c>
    </row>
    <row r="452" spans="1:25" x14ac:dyDescent="0.3">
      <c r="A452" s="65" t="s">
        <v>266</v>
      </c>
      <c r="B452" s="66" t="s">
        <v>265</v>
      </c>
      <c r="C452" s="66" t="s">
        <v>210</v>
      </c>
      <c r="D452" s="67">
        <v>34</v>
      </c>
      <c r="E452" s="68">
        <v>43849</v>
      </c>
      <c r="F452" s="69" t="s">
        <v>206</v>
      </c>
      <c r="G452" s="69" t="str">
        <f>B452&amp;"@gmail.com"</f>
        <v>Name 451@gmail.com</v>
      </c>
      <c r="H452" s="70">
        <v>43000</v>
      </c>
      <c r="I452" s="71">
        <f>H452*18%</f>
        <v>7740</v>
      </c>
      <c r="J452" s="71">
        <f>H452*5%</f>
        <v>2150</v>
      </c>
      <c r="K452" s="71">
        <v>1000</v>
      </c>
      <c r="L452" s="71">
        <v>0</v>
      </c>
      <c r="M452" s="71">
        <v>1600</v>
      </c>
      <c r="N452" s="71">
        <v>27</v>
      </c>
      <c r="O452" s="71">
        <f>(H452/30)*N452</f>
        <v>38700</v>
      </c>
      <c r="P452" s="72">
        <v>1</v>
      </c>
      <c r="Q452" s="72">
        <f>N452*P452</f>
        <v>27</v>
      </c>
      <c r="R452" s="71">
        <f>(H452/30)/8</f>
        <v>179.16666666666666</v>
      </c>
      <c r="S452" s="71">
        <f>Q452*R452</f>
        <v>4837.5</v>
      </c>
      <c r="T452" s="73">
        <f>I452+J452+K452+L452+M452+O452+S452</f>
        <v>56027.5</v>
      </c>
      <c r="U452" s="73">
        <v>200</v>
      </c>
      <c r="V452" s="73">
        <f>H452*12%</f>
        <v>5160</v>
      </c>
      <c r="W452" s="73">
        <v>0</v>
      </c>
      <c r="X452" s="73">
        <f>SUM(U452:W452)</f>
        <v>5360</v>
      </c>
      <c r="Y452" s="73">
        <f>T452-X452</f>
        <v>50667.5</v>
      </c>
    </row>
    <row r="453" spans="1:25" x14ac:dyDescent="0.3">
      <c r="A453" s="65" t="s">
        <v>264</v>
      </c>
      <c r="B453" s="66" t="s">
        <v>263</v>
      </c>
      <c r="C453" s="66" t="s">
        <v>207</v>
      </c>
      <c r="D453" s="67">
        <v>45</v>
      </c>
      <c r="E453" s="68">
        <v>43850</v>
      </c>
      <c r="F453" s="69" t="s">
        <v>206</v>
      </c>
      <c r="G453" s="69" t="str">
        <f>B453&amp;"@gmail.com"</f>
        <v>Name 452@gmail.com</v>
      </c>
      <c r="H453" s="70">
        <v>25000</v>
      </c>
      <c r="I453" s="71">
        <f>H453*18%</f>
        <v>4500</v>
      </c>
      <c r="J453" s="71">
        <f>H453*5%</f>
        <v>1250</v>
      </c>
      <c r="K453" s="71">
        <v>1000</v>
      </c>
      <c r="L453" s="71">
        <v>0</v>
      </c>
      <c r="M453" s="71">
        <v>1600</v>
      </c>
      <c r="N453" s="71">
        <v>30</v>
      </c>
      <c r="O453" s="71">
        <f>(H453/30)*N453</f>
        <v>25000</v>
      </c>
      <c r="P453" s="72">
        <v>0</v>
      </c>
      <c r="Q453" s="72">
        <f>N453*P453</f>
        <v>0</v>
      </c>
      <c r="R453" s="71">
        <f>(H453/30)/8</f>
        <v>104.16666666666667</v>
      </c>
      <c r="S453" s="71">
        <f>Q453*R453</f>
        <v>0</v>
      </c>
      <c r="T453" s="73">
        <f>I453+J453+K453+L453+M453+O453+S453</f>
        <v>33350</v>
      </c>
      <c r="U453" s="73">
        <v>200</v>
      </c>
      <c r="V453" s="73">
        <f>H453*12%</f>
        <v>3000</v>
      </c>
      <c r="W453" s="73">
        <v>0</v>
      </c>
      <c r="X453" s="73">
        <f>SUM(U453:W453)</f>
        <v>3200</v>
      </c>
      <c r="Y453" s="73">
        <f>T453-X453</f>
        <v>30150</v>
      </c>
    </row>
    <row r="454" spans="1:25" x14ac:dyDescent="0.3">
      <c r="A454" s="65" t="s">
        <v>262</v>
      </c>
      <c r="B454" s="66" t="s">
        <v>261</v>
      </c>
      <c r="C454" s="66" t="s">
        <v>214</v>
      </c>
      <c r="D454" s="67">
        <v>54</v>
      </c>
      <c r="E454" s="68">
        <v>43851</v>
      </c>
      <c r="F454" s="69" t="s">
        <v>206</v>
      </c>
      <c r="G454" s="69" t="str">
        <f>B454&amp;"@gmail.com"</f>
        <v>Name 453@gmail.com</v>
      </c>
      <c r="H454" s="70">
        <v>28000</v>
      </c>
      <c r="I454" s="71">
        <f>H454*18%</f>
        <v>5040</v>
      </c>
      <c r="J454" s="71">
        <f>H454*5%</f>
        <v>1400</v>
      </c>
      <c r="K454" s="71">
        <v>1000</v>
      </c>
      <c r="L454" s="71">
        <v>0</v>
      </c>
      <c r="M454" s="71">
        <v>1600</v>
      </c>
      <c r="N454" s="71">
        <v>20</v>
      </c>
      <c r="O454" s="71">
        <f>(H454/30)*N454</f>
        <v>18666.666666666668</v>
      </c>
      <c r="P454" s="72">
        <v>0</v>
      </c>
      <c r="Q454" s="72">
        <f>N454*P454</f>
        <v>0</v>
      </c>
      <c r="R454" s="71">
        <f>(H454/30)/8</f>
        <v>116.66666666666667</v>
      </c>
      <c r="S454" s="71">
        <f>Q454*R454</f>
        <v>0</v>
      </c>
      <c r="T454" s="73">
        <f>I454+J454+K454+L454+M454+O454+S454</f>
        <v>27706.666666666668</v>
      </c>
      <c r="U454" s="73">
        <v>200</v>
      </c>
      <c r="V454" s="73">
        <f>H454*12%</f>
        <v>3360</v>
      </c>
      <c r="W454" s="73">
        <v>0</v>
      </c>
      <c r="X454" s="73">
        <f>SUM(U454:W454)</f>
        <v>3560</v>
      </c>
      <c r="Y454" s="73">
        <f>T454-X454</f>
        <v>24146.666666666668</v>
      </c>
    </row>
    <row r="455" spans="1:25" x14ac:dyDescent="0.3">
      <c r="A455" s="65" t="s">
        <v>260</v>
      </c>
      <c r="B455" s="66" t="s">
        <v>259</v>
      </c>
      <c r="C455" s="66" t="s">
        <v>210</v>
      </c>
      <c r="D455" s="67">
        <v>56</v>
      </c>
      <c r="E455" s="68">
        <v>43852</v>
      </c>
      <c r="F455" s="69" t="s">
        <v>206</v>
      </c>
      <c r="G455" s="69" t="str">
        <f>B455&amp;"@gmail.com"</f>
        <v>Name 454@gmail.com</v>
      </c>
      <c r="H455" s="70">
        <v>40000</v>
      </c>
      <c r="I455" s="71">
        <f>H455*18%</f>
        <v>7200</v>
      </c>
      <c r="J455" s="71">
        <f>H455*5%</f>
        <v>2000</v>
      </c>
      <c r="K455" s="71">
        <v>1000</v>
      </c>
      <c r="L455" s="71">
        <v>0</v>
      </c>
      <c r="M455" s="71">
        <v>1600</v>
      </c>
      <c r="N455" s="71">
        <v>28</v>
      </c>
      <c r="O455" s="71">
        <f>(H455/30)*N455</f>
        <v>37333.333333333328</v>
      </c>
      <c r="P455" s="72">
        <v>2</v>
      </c>
      <c r="Q455" s="72">
        <f>N455*P455</f>
        <v>56</v>
      </c>
      <c r="R455" s="71">
        <f>(H455/30)/8</f>
        <v>166.66666666666666</v>
      </c>
      <c r="S455" s="71">
        <f>Q455*R455</f>
        <v>9333.3333333333321</v>
      </c>
      <c r="T455" s="73">
        <f>I455+J455+K455+L455+M455+O455+S455</f>
        <v>58466.666666666657</v>
      </c>
      <c r="U455" s="73">
        <v>200</v>
      </c>
      <c r="V455" s="73">
        <f>H455*12%</f>
        <v>4800</v>
      </c>
      <c r="W455" s="73">
        <v>0</v>
      </c>
      <c r="X455" s="73">
        <f>SUM(U455:W455)</f>
        <v>5000</v>
      </c>
      <c r="Y455" s="73">
        <f>T455-X455</f>
        <v>53466.666666666657</v>
      </c>
    </row>
    <row r="456" spans="1:25" x14ac:dyDescent="0.3">
      <c r="A456" s="65" t="s">
        <v>258</v>
      </c>
      <c r="B456" s="66" t="s">
        <v>257</v>
      </c>
      <c r="C456" s="66" t="s">
        <v>210</v>
      </c>
      <c r="D456" s="67">
        <v>54</v>
      </c>
      <c r="E456" s="68">
        <v>43853</v>
      </c>
      <c r="F456" s="69" t="s">
        <v>206</v>
      </c>
      <c r="G456" s="69" t="str">
        <f>B456&amp;"@gmail.com"</f>
        <v>Name 455@gmail.com</v>
      </c>
      <c r="H456" s="70">
        <v>32000</v>
      </c>
      <c r="I456" s="71">
        <f>H456*18%</f>
        <v>5760</v>
      </c>
      <c r="J456" s="71">
        <f>H456*5%</f>
        <v>1600</v>
      </c>
      <c r="K456" s="71">
        <v>1000</v>
      </c>
      <c r="L456" s="71">
        <v>0</v>
      </c>
      <c r="M456" s="71">
        <v>1600</v>
      </c>
      <c r="N456" s="71">
        <v>30</v>
      </c>
      <c r="O456" s="71">
        <f>(H456/30)*N456</f>
        <v>32000.000000000004</v>
      </c>
      <c r="P456" s="72">
        <v>1</v>
      </c>
      <c r="Q456" s="72">
        <f>N456*P456</f>
        <v>30</v>
      </c>
      <c r="R456" s="71">
        <f>(H456/30)/8</f>
        <v>133.33333333333334</v>
      </c>
      <c r="S456" s="71">
        <f>Q456*R456</f>
        <v>4000.0000000000005</v>
      </c>
      <c r="T456" s="73">
        <f>I456+J456+K456+L456+M456+O456+S456</f>
        <v>45960</v>
      </c>
      <c r="U456" s="73">
        <v>200</v>
      </c>
      <c r="V456" s="73">
        <f>H456*12%</f>
        <v>3840</v>
      </c>
      <c r="W456" s="73">
        <v>5000</v>
      </c>
      <c r="X456" s="73">
        <f>SUM(U456:W456)</f>
        <v>9040</v>
      </c>
      <c r="Y456" s="73">
        <f>T456-X456</f>
        <v>36920</v>
      </c>
    </row>
    <row r="457" spans="1:25" x14ac:dyDescent="0.3">
      <c r="A457" s="65" t="s">
        <v>256</v>
      </c>
      <c r="B457" s="66" t="s">
        <v>255</v>
      </c>
      <c r="C457" s="66" t="s">
        <v>207</v>
      </c>
      <c r="D457" s="67">
        <v>34</v>
      </c>
      <c r="E457" s="68">
        <v>43854</v>
      </c>
      <c r="F457" s="69" t="s">
        <v>206</v>
      </c>
      <c r="G457" s="69" t="str">
        <f>B457&amp;"@gmail.com"</f>
        <v>Name 456@gmail.com</v>
      </c>
      <c r="H457" s="70">
        <v>28000</v>
      </c>
      <c r="I457" s="71">
        <f>H457*18%</f>
        <v>5040</v>
      </c>
      <c r="J457" s="71">
        <f>H457*5%</f>
        <v>1400</v>
      </c>
      <c r="K457" s="71">
        <v>1000</v>
      </c>
      <c r="L457" s="71">
        <v>0</v>
      </c>
      <c r="M457" s="71">
        <v>1600</v>
      </c>
      <c r="N457" s="71">
        <v>29</v>
      </c>
      <c r="O457" s="71">
        <f>(H457/30)*N457</f>
        <v>27066.666666666668</v>
      </c>
      <c r="P457" s="72">
        <v>1</v>
      </c>
      <c r="Q457" s="72">
        <f>N457*P457</f>
        <v>29</v>
      </c>
      <c r="R457" s="71">
        <f>(H457/30)/8</f>
        <v>116.66666666666667</v>
      </c>
      <c r="S457" s="71">
        <f>Q457*R457</f>
        <v>3383.3333333333335</v>
      </c>
      <c r="T457" s="73">
        <f>I457+J457+K457+L457+M457+O457+S457</f>
        <v>39490.000000000007</v>
      </c>
      <c r="U457" s="73">
        <v>200</v>
      </c>
      <c r="V457" s="73">
        <f>H457*12%</f>
        <v>3360</v>
      </c>
      <c r="W457" s="73">
        <v>0</v>
      </c>
      <c r="X457" s="73">
        <f>SUM(U457:W457)</f>
        <v>3560</v>
      </c>
      <c r="Y457" s="73">
        <f>T457-X457</f>
        <v>35930.000000000007</v>
      </c>
    </row>
    <row r="458" spans="1:25" x14ac:dyDescent="0.3">
      <c r="A458" s="65" t="s">
        <v>254</v>
      </c>
      <c r="B458" s="66" t="s">
        <v>253</v>
      </c>
      <c r="C458" s="66" t="s">
        <v>214</v>
      </c>
      <c r="D458" s="67">
        <v>23</v>
      </c>
      <c r="E458" s="68">
        <v>43831</v>
      </c>
      <c r="F458" s="69" t="s">
        <v>213</v>
      </c>
      <c r="G458" s="69" t="str">
        <f>B458&amp;"@gmail.com"</f>
        <v>Name 457@gmail.com</v>
      </c>
      <c r="H458" s="70">
        <v>44000</v>
      </c>
      <c r="I458" s="71">
        <f>H458*18%</f>
        <v>7920</v>
      </c>
      <c r="J458" s="71">
        <f>H458*5%</f>
        <v>2200</v>
      </c>
      <c r="K458" s="71">
        <v>1000</v>
      </c>
      <c r="L458" s="71">
        <v>0</v>
      </c>
      <c r="M458" s="71">
        <v>1600</v>
      </c>
      <c r="N458" s="71">
        <v>28</v>
      </c>
      <c r="O458" s="71">
        <f>(H458/30)*N458</f>
        <v>41066.666666666672</v>
      </c>
      <c r="P458" s="72">
        <v>1</v>
      </c>
      <c r="Q458" s="72">
        <f>N458*P458</f>
        <v>28</v>
      </c>
      <c r="R458" s="71">
        <f>(H458/30)/8</f>
        <v>183.33333333333334</v>
      </c>
      <c r="S458" s="71">
        <f>Q458*R458</f>
        <v>5133.3333333333339</v>
      </c>
      <c r="T458" s="73">
        <f>I458+J458+K458+L458+M458+O458+S458</f>
        <v>58920.000000000007</v>
      </c>
      <c r="U458" s="73">
        <v>200</v>
      </c>
      <c r="V458" s="73">
        <f>H458*12%</f>
        <v>5280</v>
      </c>
      <c r="W458" s="73">
        <v>0</v>
      </c>
      <c r="X458" s="73">
        <f>SUM(U458:W458)</f>
        <v>5480</v>
      </c>
      <c r="Y458" s="73">
        <f>T458-X458</f>
        <v>53440.000000000007</v>
      </c>
    </row>
    <row r="459" spans="1:25" x14ac:dyDescent="0.3">
      <c r="A459" s="65" t="s">
        <v>252</v>
      </c>
      <c r="B459" s="66" t="s">
        <v>251</v>
      </c>
      <c r="C459" s="66" t="s">
        <v>210</v>
      </c>
      <c r="D459" s="67">
        <v>34</v>
      </c>
      <c r="E459" s="68">
        <v>43832</v>
      </c>
      <c r="F459" s="69" t="s">
        <v>206</v>
      </c>
      <c r="G459" s="69" t="str">
        <f>B459&amp;"@gmail.com"</f>
        <v>Name 458@gmail.com</v>
      </c>
      <c r="H459" s="70">
        <v>25000</v>
      </c>
      <c r="I459" s="71">
        <f>H459*18%</f>
        <v>4500</v>
      </c>
      <c r="J459" s="71">
        <f>H459*5%</f>
        <v>1250</v>
      </c>
      <c r="K459" s="71">
        <v>1000</v>
      </c>
      <c r="L459" s="71">
        <v>0</v>
      </c>
      <c r="M459" s="71">
        <v>1600</v>
      </c>
      <c r="N459" s="71">
        <v>27</v>
      </c>
      <c r="O459" s="71">
        <f>(H459/30)*N459</f>
        <v>22500</v>
      </c>
      <c r="P459" s="72">
        <v>1</v>
      </c>
      <c r="Q459" s="72">
        <f>N459*P459</f>
        <v>27</v>
      </c>
      <c r="R459" s="71">
        <f>(H459/30)/8</f>
        <v>104.16666666666667</v>
      </c>
      <c r="S459" s="71">
        <f>Q459*R459</f>
        <v>2812.5</v>
      </c>
      <c r="T459" s="73">
        <f>I459+J459+K459+L459+M459+O459+S459</f>
        <v>33662.5</v>
      </c>
      <c r="U459" s="73">
        <v>200</v>
      </c>
      <c r="V459" s="73">
        <f>H459*12%</f>
        <v>3000</v>
      </c>
      <c r="W459" s="73">
        <v>0</v>
      </c>
      <c r="X459" s="73">
        <f>SUM(U459:W459)</f>
        <v>3200</v>
      </c>
      <c r="Y459" s="73">
        <f>T459-X459</f>
        <v>30462.5</v>
      </c>
    </row>
    <row r="460" spans="1:25" x14ac:dyDescent="0.3">
      <c r="A460" s="65" t="s">
        <v>250</v>
      </c>
      <c r="B460" s="66" t="s">
        <v>249</v>
      </c>
      <c r="C460" s="66" t="s">
        <v>214</v>
      </c>
      <c r="D460" s="67">
        <v>43</v>
      </c>
      <c r="E460" s="68">
        <v>43833</v>
      </c>
      <c r="F460" s="69" t="s">
        <v>206</v>
      </c>
      <c r="G460" s="69" t="str">
        <f>B460&amp;"@gmail.com"</f>
        <v>Name 459@gmail.com</v>
      </c>
      <c r="H460" s="70">
        <v>50000</v>
      </c>
      <c r="I460" s="71">
        <f>H460*18%</f>
        <v>9000</v>
      </c>
      <c r="J460" s="71">
        <f>H460*5%</f>
        <v>2500</v>
      </c>
      <c r="K460" s="71">
        <v>1000</v>
      </c>
      <c r="L460" s="71">
        <v>0</v>
      </c>
      <c r="M460" s="71">
        <v>1600</v>
      </c>
      <c r="N460" s="71">
        <v>27</v>
      </c>
      <c r="O460" s="71">
        <f>(H460/30)*N460</f>
        <v>45000</v>
      </c>
      <c r="P460" s="72">
        <v>3</v>
      </c>
      <c r="Q460" s="72">
        <f>N460*P460</f>
        <v>81</v>
      </c>
      <c r="R460" s="71">
        <f>(H460/30)/8</f>
        <v>208.33333333333334</v>
      </c>
      <c r="S460" s="71">
        <f>Q460*R460</f>
        <v>16875</v>
      </c>
      <c r="T460" s="73">
        <f>I460+J460+K460+L460+M460+O460+S460</f>
        <v>75975</v>
      </c>
      <c r="U460" s="73">
        <v>201</v>
      </c>
      <c r="V460" s="73">
        <f>H460*12%</f>
        <v>6000</v>
      </c>
      <c r="W460" s="73">
        <v>0</v>
      </c>
      <c r="X460" s="73">
        <f>SUM(U460:W460)</f>
        <v>6201</v>
      </c>
      <c r="Y460" s="73">
        <f>T460-X460</f>
        <v>69774</v>
      </c>
    </row>
    <row r="461" spans="1:25" x14ac:dyDescent="0.3">
      <c r="A461" s="65" t="s">
        <v>248</v>
      </c>
      <c r="B461" s="66" t="s">
        <v>247</v>
      </c>
      <c r="C461" s="66" t="s">
        <v>214</v>
      </c>
      <c r="D461" s="67">
        <v>34</v>
      </c>
      <c r="E461" s="68">
        <v>43834</v>
      </c>
      <c r="F461" s="69" t="s">
        <v>213</v>
      </c>
      <c r="G461" s="69" t="str">
        <f>B461&amp;"@gmail.com"</f>
        <v>Name 460@gmail.com</v>
      </c>
      <c r="H461" s="70">
        <v>70000</v>
      </c>
      <c r="I461" s="71">
        <f>H461*18%</f>
        <v>12600</v>
      </c>
      <c r="J461" s="71">
        <f>H461*5%</f>
        <v>3500</v>
      </c>
      <c r="K461" s="71">
        <v>1000</v>
      </c>
      <c r="L461" s="71">
        <v>0</v>
      </c>
      <c r="M461" s="71">
        <v>1600</v>
      </c>
      <c r="N461" s="71">
        <v>27</v>
      </c>
      <c r="O461" s="71">
        <f>(H461/30)*N461</f>
        <v>63000.000000000007</v>
      </c>
      <c r="P461" s="72">
        <v>1</v>
      </c>
      <c r="Q461" s="72">
        <f>N461*P461</f>
        <v>27</v>
      </c>
      <c r="R461" s="71">
        <f>(H461/30)/8</f>
        <v>291.66666666666669</v>
      </c>
      <c r="S461" s="71">
        <f>Q461*R461</f>
        <v>7875.0000000000009</v>
      </c>
      <c r="T461" s="73">
        <f>I461+J461+K461+L461+M461+O461+S461</f>
        <v>89575</v>
      </c>
      <c r="U461" s="73">
        <v>202</v>
      </c>
      <c r="V461" s="73">
        <f>H461*12%</f>
        <v>8400</v>
      </c>
      <c r="W461" s="73">
        <v>0</v>
      </c>
      <c r="X461" s="73">
        <f>SUM(U461:W461)</f>
        <v>8602</v>
      </c>
      <c r="Y461" s="73">
        <f>T461-X461</f>
        <v>80973</v>
      </c>
    </row>
    <row r="462" spans="1:25" x14ac:dyDescent="0.3">
      <c r="A462" s="65" t="s">
        <v>246</v>
      </c>
      <c r="B462" s="66" t="s">
        <v>245</v>
      </c>
      <c r="C462" s="66" t="s">
        <v>214</v>
      </c>
      <c r="D462" s="67">
        <v>43</v>
      </c>
      <c r="E462" s="68">
        <v>43835</v>
      </c>
      <c r="F462" s="69" t="s">
        <v>213</v>
      </c>
      <c r="G462" s="69" t="str">
        <f>B462&amp;"@gmail.com"</f>
        <v>Name 461@gmail.com</v>
      </c>
      <c r="H462" s="70">
        <v>34000</v>
      </c>
      <c r="I462" s="71">
        <f>H462*18%</f>
        <v>6120</v>
      </c>
      <c r="J462" s="71">
        <f>H462*5%</f>
        <v>1700</v>
      </c>
      <c r="K462" s="71">
        <v>1000</v>
      </c>
      <c r="L462" s="71">
        <v>2000</v>
      </c>
      <c r="M462" s="71">
        <v>1600</v>
      </c>
      <c r="N462" s="71">
        <v>30</v>
      </c>
      <c r="O462" s="71">
        <f>(H462/30)*N462</f>
        <v>34000</v>
      </c>
      <c r="P462" s="72">
        <v>2</v>
      </c>
      <c r="Q462" s="72">
        <f>N462*P462</f>
        <v>60</v>
      </c>
      <c r="R462" s="71">
        <f>(H462/30)/8</f>
        <v>141.66666666666666</v>
      </c>
      <c r="S462" s="71">
        <f>Q462*R462</f>
        <v>8500</v>
      </c>
      <c r="T462" s="73">
        <f>I462+J462+K462+L462+M462+O462+S462</f>
        <v>54920</v>
      </c>
      <c r="U462" s="73">
        <v>203</v>
      </c>
      <c r="V462" s="73">
        <f>H462*12%</f>
        <v>4080</v>
      </c>
      <c r="W462" s="73">
        <v>0</v>
      </c>
      <c r="X462" s="73">
        <f>SUM(U462:W462)</f>
        <v>4283</v>
      </c>
      <c r="Y462" s="73">
        <f>T462-X462</f>
        <v>50637</v>
      </c>
    </row>
    <row r="463" spans="1:25" x14ac:dyDescent="0.3">
      <c r="A463" s="65" t="s">
        <v>244</v>
      </c>
      <c r="B463" s="66" t="s">
        <v>243</v>
      </c>
      <c r="C463" s="66" t="s">
        <v>214</v>
      </c>
      <c r="D463" s="67">
        <v>23</v>
      </c>
      <c r="E463" s="68">
        <v>43836</v>
      </c>
      <c r="F463" s="69" t="s">
        <v>213</v>
      </c>
      <c r="G463" s="69" t="str">
        <f>B463&amp;"@gmail.com"</f>
        <v>Name 462@gmail.com</v>
      </c>
      <c r="H463" s="70">
        <v>45000</v>
      </c>
      <c r="I463" s="71">
        <f>H463*18%</f>
        <v>8100</v>
      </c>
      <c r="J463" s="71">
        <f>H463*5%</f>
        <v>2250</v>
      </c>
      <c r="K463" s="71">
        <v>1000</v>
      </c>
      <c r="L463" s="71">
        <v>5000</v>
      </c>
      <c r="M463" s="71">
        <v>1600</v>
      </c>
      <c r="N463" s="71">
        <v>30</v>
      </c>
      <c r="O463" s="71">
        <f>(H463/30)*N463</f>
        <v>45000</v>
      </c>
      <c r="P463" s="72">
        <v>0</v>
      </c>
      <c r="Q463" s="72">
        <f>N463*P463</f>
        <v>0</v>
      </c>
      <c r="R463" s="71">
        <f>(H463/30)/8</f>
        <v>187.5</v>
      </c>
      <c r="S463" s="71">
        <f>Q463*R463</f>
        <v>0</v>
      </c>
      <c r="T463" s="73">
        <f>I463+J463+K463+L463+M463+O463+S463</f>
        <v>62950</v>
      </c>
      <c r="U463" s="73">
        <v>204</v>
      </c>
      <c r="V463" s="73">
        <f>H463*12%</f>
        <v>5400</v>
      </c>
      <c r="W463" s="73">
        <v>4000</v>
      </c>
      <c r="X463" s="73">
        <f>SUM(U463:W463)</f>
        <v>9604</v>
      </c>
      <c r="Y463" s="73">
        <f>T463-X463</f>
        <v>53346</v>
      </c>
    </row>
    <row r="464" spans="1:25" x14ac:dyDescent="0.3">
      <c r="A464" s="65" t="s">
        <v>242</v>
      </c>
      <c r="B464" s="66" t="s">
        <v>241</v>
      </c>
      <c r="C464" s="66" t="s">
        <v>214</v>
      </c>
      <c r="D464" s="67">
        <v>34</v>
      </c>
      <c r="E464" s="68">
        <v>43837</v>
      </c>
      <c r="F464" s="69" t="s">
        <v>213</v>
      </c>
      <c r="G464" s="69" t="str">
        <f>B464&amp;"@gmail.com"</f>
        <v>Name 463@gmail.com</v>
      </c>
      <c r="H464" s="70">
        <v>55000</v>
      </c>
      <c r="I464" s="71">
        <f>H464*18%</f>
        <v>9900</v>
      </c>
      <c r="J464" s="71">
        <f>H464*5%</f>
        <v>2750</v>
      </c>
      <c r="K464" s="71">
        <v>1000</v>
      </c>
      <c r="L464" s="71">
        <v>5000</v>
      </c>
      <c r="M464" s="71">
        <v>1600</v>
      </c>
      <c r="N464" s="71">
        <v>30</v>
      </c>
      <c r="O464" s="71">
        <f>(H464/30)*N464</f>
        <v>55000</v>
      </c>
      <c r="P464" s="72">
        <v>1</v>
      </c>
      <c r="Q464" s="72">
        <f>N464*P464</f>
        <v>30</v>
      </c>
      <c r="R464" s="71">
        <f>(H464/30)/8</f>
        <v>229.16666666666666</v>
      </c>
      <c r="S464" s="71">
        <f>Q464*R464</f>
        <v>6875</v>
      </c>
      <c r="T464" s="73">
        <f>I464+J464+K464+L464+M464+O464+S464</f>
        <v>82125</v>
      </c>
      <c r="U464" s="73">
        <v>205</v>
      </c>
      <c r="V464" s="73">
        <f>H464*12%</f>
        <v>6600</v>
      </c>
      <c r="W464" s="73">
        <v>0</v>
      </c>
      <c r="X464" s="73">
        <f>SUM(U464:W464)</f>
        <v>6805</v>
      </c>
      <c r="Y464" s="73">
        <f>T464-X464</f>
        <v>75320</v>
      </c>
    </row>
    <row r="465" spans="1:25" x14ac:dyDescent="0.3">
      <c r="A465" s="65" t="s">
        <v>240</v>
      </c>
      <c r="B465" s="66" t="s">
        <v>239</v>
      </c>
      <c r="C465" s="66" t="s">
        <v>210</v>
      </c>
      <c r="D465" s="67">
        <v>23</v>
      </c>
      <c r="E465" s="68">
        <v>43838</v>
      </c>
      <c r="F465" s="69" t="s">
        <v>206</v>
      </c>
      <c r="G465" s="69" t="str">
        <f>B465&amp;"@gmail.com"</f>
        <v>Name 464@gmail.com</v>
      </c>
      <c r="H465" s="70">
        <v>43000</v>
      </c>
      <c r="I465" s="71">
        <f>H465*18%</f>
        <v>7740</v>
      </c>
      <c r="J465" s="71">
        <f>H465*5%</f>
        <v>2150</v>
      </c>
      <c r="K465" s="71">
        <v>1000</v>
      </c>
      <c r="L465" s="71">
        <v>5000</v>
      </c>
      <c r="M465" s="71">
        <v>1600</v>
      </c>
      <c r="N465" s="71">
        <v>27</v>
      </c>
      <c r="O465" s="71">
        <f>(H465/30)*N465</f>
        <v>38700</v>
      </c>
      <c r="P465" s="72">
        <v>1</v>
      </c>
      <c r="Q465" s="72">
        <f>N465*P465</f>
        <v>27</v>
      </c>
      <c r="R465" s="71">
        <f>(H465/30)/8</f>
        <v>179.16666666666666</v>
      </c>
      <c r="S465" s="71">
        <f>Q465*R465</f>
        <v>4837.5</v>
      </c>
      <c r="T465" s="73">
        <f>I465+J465+K465+L465+M465+O465+S465</f>
        <v>61027.5</v>
      </c>
      <c r="U465" s="73">
        <v>200</v>
      </c>
      <c r="V465" s="73">
        <f>H465*12%</f>
        <v>5160</v>
      </c>
      <c r="W465" s="73">
        <v>0</v>
      </c>
      <c r="X465" s="73">
        <f>SUM(U465:W465)</f>
        <v>5360</v>
      </c>
      <c r="Y465" s="73">
        <f>T465-X465</f>
        <v>55667.5</v>
      </c>
    </row>
    <row r="466" spans="1:25" x14ac:dyDescent="0.3">
      <c r="A466" s="65" t="s">
        <v>238</v>
      </c>
      <c r="B466" s="66" t="s">
        <v>237</v>
      </c>
      <c r="C466" s="66" t="s">
        <v>207</v>
      </c>
      <c r="D466" s="67">
        <v>34</v>
      </c>
      <c r="E466" s="68">
        <v>43839</v>
      </c>
      <c r="F466" s="69" t="s">
        <v>206</v>
      </c>
      <c r="G466" s="69" t="str">
        <f>B466&amp;"@gmail.com"</f>
        <v>Name 465@gmail.com</v>
      </c>
      <c r="H466" s="70">
        <v>25000</v>
      </c>
      <c r="I466" s="71">
        <f>H466*18%</f>
        <v>4500</v>
      </c>
      <c r="J466" s="71">
        <f>H466*5%</f>
        <v>1250</v>
      </c>
      <c r="K466" s="71">
        <v>1000</v>
      </c>
      <c r="L466" s="71">
        <v>5000</v>
      </c>
      <c r="M466" s="71">
        <v>1600</v>
      </c>
      <c r="N466" s="71">
        <v>30</v>
      </c>
      <c r="O466" s="71">
        <f>(H466/30)*N466</f>
        <v>25000</v>
      </c>
      <c r="P466" s="72">
        <v>0</v>
      </c>
      <c r="Q466" s="72">
        <f>N466*P466</f>
        <v>0</v>
      </c>
      <c r="R466" s="71">
        <f>(H466/30)/8</f>
        <v>104.16666666666667</v>
      </c>
      <c r="S466" s="71">
        <f>Q466*R466</f>
        <v>0</v>
      </c>
      <c r="T466" s="73">
        <f>I466+J466+K466+L466+M466+O466+S466</f>
        <v>38350</v>
      </c>
      <c r="U466" s="73">
        <v>200</v>
      </c>
      <c r="V466" s="73">
        <f>H466*12%</f>
        <v>3000</v>
      </c>
      <c r="W466" s="73">
        <v>0</v>
      </c>
      <c r="X466" s="73">
        <f>SUM(U466:W466)</f>
        <v>3200</v>
      </c>
      <c r="Y466" s="73">
        <f>T466-X466</f>
        <v>35150</v>
      </c>
    </row>
    <row r="467" spans="1:25" x14ac:dyDescent="0.3">
      <c r="A467" s="65" t="s">
        <v>236</v>
      </c>
      <c r="B467" s="66" t="s">
        <v>235</v>
      </c>
      <c r="C467" s="66" t="s">
        <v>214</v>
      </c>
      <c r="D467" s="67">
        <v>23</v>
      </c>
      <c r="E467" s="68">
        <v>43840</v>
      </c>
      <c r="F467" s="69" t="s">
        <v>206</v>
      </c>
      <c r="G467" s="69" t="str">
        <f>B467&amp;"@gmail.com"</f>
        <v>Name 466@gmail.com</v>
      </c>
      <c r="H467" s="70">
        <v>28000</v>
      </c>
      <c r="I467" s="71">
        <f>H467*18%</f>
        <v>5040</v>
      </c>
      <c r="J467" s="71">
        <f>H467*5%</f>
        <v>1400</v>
      </c>
      <c r="K467" s="71">
        <v>1000</v>
      </c>
      <c r="L467" s="71">
        <v>5000</v>
      </c>
      <c r="M467" s="71">
        <v>1600</v>
      </c>
      <c r="N467" s="71">
        <v>20</v>
      </c>
      <c r="O467" s="71">
        <f>(H467/30)*N467</f>
        <v>18666.666666666668</v>
      </c>
      <c r="P467" s="72">
        <v>0</v>
      </c>
      <c r="Q467" s="72">
        <f>N467*P467</f>
        <v>0</v>
      </c>
      <c r="R467" s="71">
        <f>(H467/30)/8</f>
        <v>116.66666666666667</v>
      </c>
      <c r="S467" s="71">
        <f>Q467*R467</f>
        <v>0</v>
      </c>
      <c r="T467" s="73">
        <f>I467+J467+K467+L467+M467+O467+S467</f>
        <v>32706.666666666668</v>
      </c>
      <c r="U467" s="73">
        <v>200</v>
      </c>
      <c r="V467" s="73">
        <f>H467*12%</f>
        <v>3360</v>
      </c>
      <c r="W467" s="73">
        <v>0</v>
      </c>
      <c r="X467" s="73">
        <f>SUM(U467:W467)</f>
        <v>3560</v>
      </c>
      <c r="Y467" s="73">
        <f>T467-X467</f>
        <v>29146.666666666668</v>
      </c>
    </row>
    <row r="468" spans="1:25" x14ac:dyDescent="0.3">
      <c r="A468" s="65" t="s">
        <v>234</v>
      </c>
      <c r="B468" s="66" t="s">
        <v>233</v>
      </c>
      <c r="C468" s="66" t="s">
        <v>210</v>
      </c>
      <c r="D468" s="67">
        <v>34</v>
      </c>
      <c r="E468" s="68">
        <v>43841</v>
      </c>
      <c r="F468" s="69" t="s">
        <v>206</v>
      </c>
      <c r="G468" s="69" t="str">
        <f>B468&amp;"@gmail.com"</f>
        <v>Name 467@gmail.com</v>
      </c>
      <c r="H468" s="70">
        <v>40000</v>
      </c>
      <c r="I468" s="71">
        <f>H468*18%</f>
        <v>7200</v>
      </c>
      <c r="J468" s="71">
        <f>H468*5%</f>
        <v>2000</v>
      </c>
      <c r="K468" s="71">
        <v>1000</v>
      </c>
      <c r="L468" s="71">
        <v>5000</v>
      </c>
      <c r="M468" s="71">
        <v>1600</v>
      </c>
      <c r="N468" s="71">
        <v>28</v>
      </c>
      <c r="O468" s="71">
        <f>(H468/30)*N468</f>
        <v>37333.333333333328</v>
      </c>
      <c r="P468" s="72">
        <v>2</v>
      </c>
      <c r="Q468" s="72">
        <f>N468*P468</f>
        <v>56</v>
      </c>
      <c r="R468" s="71">
        <f>(H468/30)/8</f>
        <v>166.66666666666666</v>
      </c>
      <c r="S468" s="71">
        <f>Q468*R468</f>
        <v>9333.3333333333321</v>
      </c>
      <c r="T468" s="73">
        <f>I468+J468+K468+L468+M468+O468+S468</f>
        <v>63466.666666666657</v>
      </c>
      <c r="U468" s="73">
        <v>200</v>
      </c>
      <c r="V468" s="73">
        <f>H468*12%</f>
        <v>4800</v>
      </c>
      <c r="W468" s="73">
        <v>0</v>
      </c>
      <c r="X468" s="73">
        <f>SUM(U468:W468)</f>
        <v>5000</v>
      </c>
      <c r="Y468" s="73">
        <f>T468-X468</f>
        <v>58466.666666666657</v>
      </c>
    </row>
    <row r="469" spans="1:25" x14ac:dyDescent="0.3">
      <c r="A469" s="65" t="s">
        <v>232</v>
      </c>
      <c r="B469" s="66" t="s">
        <v>231</v>
      </c>
      <c r="C469" s="66" t="s">
        <v>210</v>
      </c>
      <c r="D469" s="67">
        <v>45</v>
      </c>
      <c r="E469" s="68">
        <v>43842</v>
      </c>
      <c r="F469" s="69" t="s">
        <v>206</v>
      </c>
      <c r="G469" s="69" t="str">
        <f>B469&amp;"@gmail.com"</f>
        <v>Name 468@gmail.com</v>
      </c>
      <c r="H469" s="70">
        <v>32000</v>
      </c>
      <c r="I469" s="71">
        <f>H469*18%</f>
        <v>5760</v>
      </c>
      <c r="J469" s="71">
        <f>H469*5%</f>
        <v>1600</v>
      </c>
      <c r="K469" s="71">
        <v>1000</v>
      </c>
      <c r="L469" s="71">
        <v>5000</v>
      </c>
      <c r="M469" s="71">
        <v>1600</v>
      </c>
      <c r="N469" s="71">
        <v>30</v>
      </c>
      <c r="O469" s="71">
        <f>(H469/30)*N469</f>
        <v>32000.000000000004</v>
      </c>
      <c r="P469" s="72">
        <v>1</v>
      </c>
      <c r="Q469" s="72">
        <f>N469*P469</f>
        <v>30</v>
      </c>
      <c r="R469" s="71">
        <f>(H469/30)/8</f>
        <v>133.33333333333334</v>
      </c>
      <c r="S469" s="71">
        <f>Q469*R469</f>
        <v>4000.0000000000005</v>
      </c>
      <c r="T469" s="73">
        <f>I469+J469+K469+L469+M469+O469+S469</f>
        <v>50960</v>
      </c>
      <c r="U469" s="73">
        <v>200</v>
      </c>
      <c r="V469" s="73">
        <f>H469*12%</f>
        <v>3840</v>
      </c>
      <c r="W469" s="73">
        <v>5000</v>
      </c>
      <c r="X469" s="73">
        <f>SUM(U469:W469)</f>
        <v>9040</v>
      </c>
      <c r="Y469" s="73">
        <f>T469-X469</f>
        <v>41920</v>
      </c>
    </row>
    <row r="470" spans="1:25" x14ac:dyDescent="0.3">
      <c r="A470" s="65" t="s">
        <v>230</v>
      </c>
      <c r="B470" s="66" t="s">
        <v>229</v>
      </c>
      <c r="C470" s="66" t="s">
        <v>207</v>
      </c>
      <c r="D470" s="67">
        <v>54</v>
      </c>
      <c r="E470" s="68">
        <v>43843</v>
      </c>
      <c r="F470" s="69" t="s">
        <v>206</v>
      </c>
      <c r="G470" s="69" t="str">
        <f>B470&amp;"@gmail.com"</f>
        <v>Name 469@gmail.com</v>
      </c>
      <c r="H470" s="70">
        <v>28000</v>
      </c>
      <c r="I470" s="71">
        <f>H470*18%</f>
        <v>5040</v>
      </c>
      <c r="J470" s="71">
        <f>H470*5%</f>
        <v>1400</v>
      </c>
      <c r="K470" s="71">
        <v>1000</v>
      </c>
      <c r="L470" s="71">
        <v>5000</v>
      </c>
      <c r="M470" s="71">
        <v>1600</v>
      </c>
      <c r="N470" s="71">
        <v>29</v>
      </c>
      <c r="O470" s="71">
        <f>(H470/30)*N470</f>
        <v>27066.666666666668</v>
      </c>
      <c r="P470" s="72">
        <v>1</v>
      </c>
      <c r="Q470" s="72">
        <f>N470*P470</f>
        <v>29</v>
      </c>
      <c r="R470" s="71">
        <f>(H470/30)/8</f>
        <v>116.66666666666667</v>
      </c>
      <c r="S470" s="71">
        <f>Q470*R470</f>
        <v>3383.3333333333335</v>
      </c>
      <c r="T470" s="73">
        <f>I470+J470+K470+L470+M470+O470+S470</f>
        <v>44490.000000000007</v>
      </c>
      <c r="U470" s="73">
        <v>200</v>
      </c>
      <c r="V470" s="73">
        <f>H470*12%</f>
        <v>3360</v>
      </c>
      <c r="W470" s="73">
        <v>0</v>
      </c>
      <c r="X470" s="73">
        <f>SUM(U470:W470)</f>
        <v>3560</v>
      </c>
      <c r="Y470" s="73">
        <f>T470-X470</f>
        <v>40930.000000000007</v>
      </c>
    </row>
    <row r="471" spans="1:25" x14ac:dyDescent="0.3">
      <c r="A471" s="65" t="s">
        <v>228</v>
      </c>
      <c r="B471" s="66" t="s">
        <v>227</v>
      </c>
      <c r="C471" s="66" t="s">
        <v>214</v>
      </c>
      <c r="D471" s="67">
        <v>56</v>
      </c>
      <c r="E471" s="68">
        <v>43844</v>
      </c>
      <c r="F471" s="69" t="s">
        <v>213</v>
      </c>
      <c r="G471" s="69" t="str">
        <f>B471&amp;"@gmail.com"</f>
        <v>Name 470@gmail.com</v>
      </c>
      <c r="H471" s="70">
        <v>44000</v>
      </c>
      <c r="I471" s="71">
        <f>H471*18%</f>
        <v>7920</v>
      </c>
      <c r="J471" s="71">
        <f>H471*5%</f>
        <v>2200</v>
      </c>
      <c r="K471" s="71">
        <v>1000</v>
      </c>
      <c r="L471" s="71">
        <v>5000</v>
      </c>
      <c r="M471" s="71">
        <v>1600</v>
      </c>
      <c r="N471" s="71">
        <v>28</v>
      </c>
      <c r="O471" s="71">
        <f>(H471/30)*N471</f>
        <v>41066.666666666672</v>
      </c>
      <c r="P471" s="72">
        <v>1</v>
      </c>
      <c r="Q471" s="72">
        <f>N471*P471</f>
        <v>28</v>
      </c>
      <c r="R471" s="71">
        <f>(H471/30)/8</f>
        <v>183.33333333333334</v>
      </c>
      <c r="S471" s="71">
        <f>Q471*R471</f>
        <v>5133.3333333333339</v>
      </c>
      <c r="T471" s="73">
        <f>I471+J471+K471+L471+M471+O471+S471</f>
        <v>63920.000000000007</v>
      </c>
      <c r="U471" s="73">
        <v>200</v>
      </c>
      <c r="V471" s="73">
        <f>H471*12%</f>
        <v>5280</v>
      </c>
      <c r="W471" s="73">
        <v>0</v>
      </c>
      <c r="X471" s="73">
        <f>SUM(U471:W471)</f>
        <v>5480</v>
      </c>
      <c r="Y471" s="73">
        <f>T471-X471</f>
        <v>58440.000000000007</v>
      </c>
    </row>
    <row r="472" spans="1:25" x14ac:dyDescent="0.3">
      <c r="A472" s="65" t="s">
        <v>226</v>
      </c>
      <c r="B472" s="66" t="s">
        <v>225</v>
      </c>
      <c r="C472" s="66" t="s">
        <v>210</v>
      </c>
      <c r="D472" s="67">
        <v>54</v>
      </c>
      <c r="E472" s="68">
        <v>43845</v>
      </c>
      <c r="F472" s="69" t="s">
        <v>206</v>
      </c>
      <c r="G472" s="69" t="str">
        <f>B472&amp;"@gmail.com"</f>
        <v>Name 471@gmail.com</v>
      </c>
      <c r="H472" s="70">
        <v>25000</v>
      </c>
      <c r="I472" s="71">
        <f>H472*18%</f>
        <v>4500</v>
      </c>
      <c r="J472" s="71">
        <f>H472*5%</f>
        <v>1250</v>
      </c>
      <c r="K472" s="71">
        <v>1000</v>
      </c>
      <c r="L472" s="71">
        <v>0</v>
      </c>
      <c r="M472" s="71">
        <v>1600</v>
      </c>
      <c r="N472" s="71">
        <v>27</v>
      </c>
      <c r="O472" s="71">
        <f>(H472/30)*N472</f>
        <v>22500</v>
      </c>
      <c r="P472" s="72">
        <v>1</v>
      </c>
      <c r="Q472" s="72">
        <f>N472*P472</f>
        <v>27</v>
      </c>
      <c r="R472" s="71">
        <f>(H472/30)/8</f>
        <v>104.16666666666667</v>
      </c>
      <c r="S472" s="71">
        <f>Q472*R472</f>
        <v>2812.5</v>
      </c>
      <c r="T472" s="73">
        <f>I472+J472+K472+L472+M472+O472+S472</f>
        <v>33662.5</v>
      </c>
      <c r="U472" s="73">
        <v>200</v>
      </c>
      <c r="V472" s="73">
        <f>H472*12%</f>
        <v>3000</v>
      </c>
      <c r="W472" s="73">
        <v>0</v>
      </c>
      <c r="X472" s="73">
        <f>SUM(U472:W472)</f>
        <v>3200</v>
      </c>
      <c r="Y472" s="73">
        <f>T472-X472</f>
        <v>30462.5</v>
      </c>
    </row>
    <row r="473" spans="1:25" x14ac:dyDescent="0.3">
      <c r="A473" s="65" t="s">
        <v>224</v>
      </c>
      <c r="B473" s="66" t="s">
        <v>223</v>
      </c>
      <c r="C473" s="66" t="s">
        <v>214</v>
      </c>
      <c r="D473" s="67">
        <v>34</v>
      </c>
      <c r="E473" s="68">
        <v>43846</v>
      </c>
      <c r="F473" s="69" t="s">
        <v>206</v>
      </c>
      <c r="G473" s="69" t="str">
        <f>B473&amp;"@gmail.com"</f>
        <v>Name 472@gmail.com</v>
      </c>
      <c r="H473" s="70">
        <v>50000</v>
      </c>
      <c r="I473" s="71">
        <f>H473*18%</f>
        <v>9000</v>
      </c>
      <c r="J473" s="71">
        <f>H473*5%</f>
        <v>2500</v>
      </c>
      <c r="K473" s="71">
        <v>1000</v>
      </c>
      <c r="L473" s="71">
        <v>0</v>
      </c>
      <c r="M473" s="71">
        <v>1600</v>
      </c>
      <c r="N473" s="71">
        <v>27</v>
      </c>
      <c r="O473" s="71">
        <f>(H473/30)*N473</f>
        <v>45000</v>
      </c>
      <c r="P473" s="72">
        <v>3</v>
      </c>
      <c r="Q473" s="72">
        <f>N473*P473</f>
        <v>81</v>
      </c>
      <c r="R473" s="71">
        <f>(H473/30)/8</f>
        <v>208.33333333333334</v>
      </c>
      <c r="S473" s="71">
        <f>Q473*R473</f>
        <v>16875</v>
      </c>
      <c r="T473" s="73">
        <f>I473+J473+K473+L473+M473+O473+S473</f>
        <v>75975</v>
      </c>
      <c r="U473" s="73">
        <v>201</v>
      </c>
      <c r="V473" s="73">
        <f>H473*12%</f>
        <v>6000</v>
      </c>
      <c r="W473" s="73">
        <v>0</v>
      </c>
      <c r="X473" s="73">
        <f>SUM(U473:W473)</f>
        <v>6201</v>
      </c>
      <c r="Y473" s="73">
        <f>T473-X473</f>
        <v>69774</v>
      </c>
    </row>
    <row r="474" spans="1:25" x14ac:dyDescent="0.3">
      <c r="A474" s="65" t="s">
        <v>222</v>
      </c>
      <c r="B474" s="66" t="s">
        <v>221</v>
      </c>
      <c r="C474" s="66" t="s">
        <v>214</v>
      </c>
      <c r="D474" s="67">
        <v>23</v>
      </c>
      <c r="E474" s="68">
        <v>43847</v>
      </c>
      <c r="F474" s="69" t="s">
        <v>213</v>
      </c>
      <c r="G474" s="69" t="str">
        <f>B474&amp;"@gmail.com"</f>
        <v>Name 473@gmail.com</v>
      </c>
      <c r="H474" s="70">
        <v>70000</v>
      </c>
      <c r="I474" s="71">
        <f>H474*18%</f>
        <v>12600</v>
      </c>
      <c r="J474" s="71">
        <f>H474*5%</f>
        <v>3500</v>
      </c>
      <c r="K474" s="71">
        <v>1000</v>
      </c>
      <c r="L474" s="71">
        <v>0</v>
      </c>
      <c r="M474" s="71">
        <v>1600</v>
      </c>
      <c r="N474" s="71">
        <v>27</v>
      </c>
      <c r="O474" s="71">
        <f>(H474/30)*N474</f>
        <v>63000.000000000007</v>
      </c>
      <c r="P474" s="72">
        <v>1</v>
      </c>
      <c r="Q474" s="72">
        <f>N474*P474</f>
        <v>27</v>
      </c>
      <c r="R474" s="71">
        <f>(H474/30)/8</f>
        <v>291.66666666666669</v>
      </c>
      <c r="S474" s="71">
        <f>Q474*R474</f>
        <v>7875.0000000000009</v>
      </c>
      <c r="T474" s="73">
        <f>I474+J474+K474+L474+M474+O474+S474</f>
        <v>89575</v>
      </c>
      <c r="U474" s="73">
        <v>202</v>
      </c>
      <c r="V474" s="73">
        <f>H474*12%</f>
        <v>8400</v>
      </c>
      <c r="W474" s="73">
        <v>0</v>
      </c>
      <c r="X474" s="73">
        <f>SUM(U474:W474)</f>
        <v>8602</v>
      </c>
      <c r="Y474" s="73">
        <f>T474-X474</f>
        <v>80973</v>
      </c>
    </row>
    <row r="475" spans="1:25" x14ac:dyDescent="0.3">
      <c r="A475" s="65" t="s">
        <v>220</v>
      </c>
      <c r="B475" s="66" t="s">
        <v>219</v>
      </c>
      <c r="C475" s="66" t="s">
        <v>214</v>
      </c>
      <c r="D475" s="67">
        <v>34</v>
      </c>
      <c r="E475" s="68">
        <v>43848</v>
      </c>
      <c r="F475" s="69" t="s">
        <v>213</v>
      </c>
      <c r="G475" s="69" t="str">
        <f>B475&amp;"@gmail.com"</f>
        <v>Name 474@gmail.com</v>
      </c>
      <c r="H475" s="70">
        <v>34000</v>
      </c>
      <c r="I475" s="71">
        <f>H475*18%</f>
        <v>6120</v>
      </c>
      <c r="J475" s="71">
        <f>H475*5%</f>
        <v>1700</v>
      </c>
      <c r="K475" s="71">
        <v>1000</v>
      </c>
      <c r="L475" s="71">
        <v>2000</v>
      </c>
      <c r="M475" s="71">
        <v>1600</v>
      </c>
      <c r="N475" s="71">
        <v>30</v>
      </c>
      <c r="O475" s="71">
        <f>(H475/30)*N475</f>
        <v>34000</v>
      </c>
      <c r="P475" s="72">
        <v>2</v>
      </c>
      <c r="Q475" s="72">
        <f>N475*P475</f>
        <v>60</v>
      </c>
      <c r="R475" s="71">
        <f>(H475/30)/8</f>
        <v>141.66666666666666</v>
      </c>
      <c r="S475" s="71">
        <f>Q475*R475</f>
        <v>8500</v>
      </c>
      <c r="T475" s="73">
        <f>I475+J475+K475+L475+M475+O475+S475</f>
        <v>54920</v>
      </c>
      <c r="U475" s="73">
        <v>203</v>
      </c>
      <c r="V475" s="73">
        <f>H475*12%</f>
        <v>4080</v>
      </c>
      <c r="W475" s="73">
        <v>0</v>
      </c>
      <c r="X475" s="73">
        <f>SUM(U475:W475)</f>
        <v>4283</v>
      </c>
      <c r="Y475" s="73">
        <f>T475-X475</f>
        <v>50637</v>
      </c>
    </row>
    <row r="476" spans="1:25" x14ac:dyDescent="0.3">
      <c r="A476" s="65" t="s">
        <v>218</v>
      </c>
      <c r="B476" s="66" t="s">
        <v>217</v>
      </c>
      <c r="C476" s="66" t="s">
        <v>214</v>
      </c>
      <c r="D476" s="67">
        <v>43</v>
      </c>
      <c r="E476" s="68">
        <v>43849</v>
      </c>
      <c r="F476" s="69" t="s">
        <v>213</v>
      </c>
      <c r="G476" s="69" t="str">
        <f>B476&amp;"@gmail.com"</f>
        <v>Name 475@gmail.com</v>
      </c>
      <c r="H476" s="70">
        <v>45000</v>
      </c>
      <c r="I476" s="71">
        <f>H476*18%</f>
        <v>8100</v>
      </c>
      <c r="J476" s="71">
        <f>H476*5%</f>
        <v>2250</v>
      </c>
      <c r="K476" s="71">
        <v>1000</v>
      </c>
      <c r="L476" s="71">
        <v>5000</v>
      </c>
      <c r="M476" s="71">
        <v>1600</v>
      </c>
      <c r="N476" s="71">
        <v>30</v>
      </c>
      <c r="O476" s="71">
        <f>(H476/30)*N476</f>
        <v>45000</v>
      </c>
      <c r="P476" s="72">
        <v>0</v>
      </c>
      <c r="Q476" s="72">
        <f>N476*P476</f>
        <v>0</v>
      </c>
      <c r="R476" s="71">
        <f>(H476/30)/8</f>
        <v>187.5</v>
      </c>
      <c r="S476" s="71">
        <f>Q476*R476</f>
        <v>0</v>
      </c>
      <c r="T476" s="73">
        <f>I476+J476+K476+L476+M476+O476+S476</f>
        <v>62950</v>
      </c>
      <c r="U476" s="73">
        <v>204</v>
      </c>
      <c r="V476" s="73">
        <f>H476*12%</f>
        <v>5400</v>
      </c>
      <c r="W476" s="73">
        <v>4000</v>
      </c>
      <c r="X476" s="73">
        <f>SUM(U476:W476)</f>
        <v>9604</v>
      </c>
      <c r="Y476" s="73">
        <f>T476-X476</f>
        <v>53346</v>
      </c>
    </row>
    <row r="477" spans="1:25" x14ac:dyDescent="0.3">
      <c r="A477" s="65" t="s">
        <v>216</v>
      </c>
      <c r="B477" s="66" t="s">
        <v>215</v>
      </c>
      <c r="C477" s="66" t="s">
        <v>214</v>
      </c>
      <c r="D477" s="67">
        <v>34</v>
      </c>
      <c r="E477" s="68">
        <v>43850</v>
      </c>
      <c r="F477" s="69" t="s">
        <v>213</v>
      </c>
      <c r="G477" s="69" t="str">
        <f>B477&amp;"@gmail.com"</f>
        <v>Name 476@gmail.com</v>
      </c>
      <c r="H477" s="70">
        <v>55000</v>
      </c>
      <c r="I477" s="71">
        <f>H477*18%</f>
        <v>9900</v>
      </c>
      <c r="J477" s="71">
        <f>H477*5%</f>
        <v>2750</v>
      </c>
      <c r="K477" s="71">
        <v>1000</v>
      </c>
      <c r="L477" s="71">
        <v>0</v>
      </c>
      <c r="M477" s="71">
        <v>1600</v>
      </c>
      <c r="N477" s="71">
        <v>30</v>
      </c>
      <c r="O477" s="71">
        <f>(H477/30)*N477</f>
        <v>55000</v>
      </c>
      <c r="P477" s="72">
        <v>1</v>
      </c>
      <c r="Q477" s="72">
        <f>N477*P477</f>
        <v>30</v>
      </c>
      <c r="R477" s="71">
        <f>(H477/30)/8</f>
        <v>229.16666666666666</v>
      </c>
      <c r="S477" s="71">
        <f>Q477*R477</f>
        <v>6875</v>
      </c>
      <c r="T477" s="73">
        <f>I477+J477+K477+L477+M477+O477+S477</f>
        <v>77125</v>
      </c>
      <c r="U477" s="73">
        <v>205</v>
      </c>
      <c r="V477" s="73">
        <f>H477*12%</f>
        <v>6600</v>
      </c>
      <c r="W477" s="73">
        <v>0</v>
      </c>
      <c r="X477" s="73">
        <f>SUM(U477:W477)</f>
        <v>6805</v>
      </c>
      <c r="Y477" s="73">
        <f>T477-X477</f>
        <v>70320</v>
      </c>
    </row>
    <row r="478" spans="1:25" x14ac:dyDescent="0.3">
      <c r="A478" s="65" t="s">
        <v>212</v>
      </c>
      <c r="B478" s="66" t="s">
        <v>211</v>
      </c>
      <c r="C478" s="66" t="s">
        <v>210</v>
      </c>
      <c r="D478" s="67">
        <v>43</v>
      </c>
      <c r="E478" s="68">
        <v>43851</v>
      </c>
      <c r="F478" s="69" t="s">
        <v>206</v>
      </c>
      <c r="G478" s="69" t="str">
        <f>B478&amp;"@gmail.com"</f>
        <v>Name 477@gmail.com</v>
      </c>
      <c r="H478" s="70">
        <v>43000</v>
      </c>
      <c r="I478" s="71">
        <f>H478*18%</f>
        <v>7740</v>
      </c>
      <c r="J478" s="71">
        <f>H478*5%</f>
        <v>2150</v>
      </c>
      <c r="K478" s="71">
        <v>1000</v>
      </c>
      <c r="L478" s="71">
        <v>0</v>
      </c>
      <c r="M478" s="71">
        <v>1600</v>
      </c>
      <c r="N478" s="71">
        <v>27</v>
      </c>
      <c r="O478" s="71">
        <f>(H478/30)*N478</f>
        <v>38700</v>
      </c>
      <c r="P478" s="72">
        <v>1</v>
      </c>
      <c r="Q478" s="72">
        <f>N478*P478</f>
        <v>27</v>
      </c>
      <c r="R478" s="71">
        <f>(H478/30)/8</f>
        <v>179.16666666666666</v>
      </c>
      <c r="S478" s="71">
        <f>Q478*R478</f>
        <v>4837.5</v>
      </c>
      <c r="T478" s="73">
        <f>I478+J478+K478+L478+M478+O478+S478</f>
        <v>56027.5</v>
      </c>
      <c r="U478" s="73">
        <v>200</v>
      </c>
      <c r="V478" s="73">
        <f>H478*12%</f>
        <v>5160</v>
      </c>
      <c r="W478" s="73">
        <v>0</v>
      </c>
      <c r="X478" s="73">
        <f>SUM(U478:W478)</f>
        <v>5360</v>
      </c>
      <c r="Y478" s="73">
        <f>T478-X478</f>
        <v>50667.5</v>
      </c>
    </row>
    <row r="479" spans="1:25" x14ac:dyDescent="0.3">
      <c r="A479" s="65" t="s">
        <v>209</v>
      </c>
      <c r="B479" s="66" t="s">
        <v>208</v>
      </c>
      <c r="C479" s="66" t="s">
        <v>207</v>
      </c>
      <c r="D479" s="67">
        <v>23</v>
      </c>
      <c r="E479" s="68">
        <v>43852</v>
      </c>
      <c r="F479" s="69" t="s">
        <v>206</v>
      </c>
      <c r="G479" s="69" t="str">
        <f>B479&amp;"@gmail.com"</f>
        <v>Name 478@gmail.com</v>
      </c>
      <c r="H479" s="70">
        <v>25000</v>
      </c>
      <c r="I479" s="71">
        <f>H479*18%</f>
        <v>4500</v>
      </c>
      <c r="J479" s="71">
        <f>H479*5%</f>
        <v>1250</v>
      </c>
      <c r="K479" s="71">
        <v>1000</v>
      </c>
      <c r="L479" s="71">
        <v>0</v>
      </c>
      <c r="M479" s="71">
        <v>1600</v>
      </c>
      <c r="N479" s="71">
        <v>30</v>
      </c>
      <c r="O479" s="71">
        <f>(H479/30)*N479</f>
        <v>25000</v>
      </c>
      <c r="P479" s="72">
        <v>0</v>
      </c>
      <c r="Q479" s="72">
        <f>N479*P479</f>
        <v>0</v>
      </c>
      <c r="R479" s="71">
        <f>(H479/30)/8</f>
        <v>104.16666666666667</v>
      </c>
      <c r="S479" s="71">
        <f>Q479*R479</f>
        <v>0</v>
      </c>
      <c r="T479" s="73">
        <f>I479+J479+K479+L479+M479+O479+S479</f>
        <v>33350</v>
      </c>
      <c r="U479" s="73">
        <v>200</v>
      </c>
      <c r="V479" s="73">
        <f>H479*12%</f>
        <v>3000</v>
      </c>
      <c r="W479" s="73">
        <v>0</v>
      </c>
      <c r="X479" s="73">
        <f>SUM(U479:W479)</f>
        <v>3200</v>
      </c>
      <c r="Y479" s="73">
        <f>T479-X479</f>
        <v>30150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156B-5C4B-4C1B-9FE0-34336F29B099}">
  <dimension ref="A1:Y12"/>
  <sheetViews>
    <sheetView workbookViewId="0">
      <selection activeCell="J13" sqref="J13"/>
    </sheetView>
  </sheetViews>
  <sheetFormatPr defaultRowHeight="15.6" x14ac:dyDescent="0.3"/>
  <cols>
    <col min="1" max="16384" width="8.9375" style="45"/>
  </cols>
  <sheetData>
    <row r="1" spans="1:25" ht="18" x14ac:dyDescent="0.35">
      <c r="A1" s="57" t="s">
        <v>1191</v>
      </c>
      <c r="B1" s="56" t="s">
        <v>1190</v>
      </c>
      <c r="C1" s="56" t="s">
        <v>1189</v>
      </c>
      <c r="D1" s="57" t="s">
        <v>1188</v>
      </c>
      <c r="E1" s="57" t="s">
        <v>1187</v>
      </c>
      <c r="F1" s="56" t="s">
        <v>1186</v>
      </c>
      <c r="G1" s="56" t="s">
        <v>1185</v>
      </c>
      <c r="H1" s="56" t="s">
        <v>1184</v>
      </c>
      <c r="I1" s="56" t="s">
        <v>1183</v>
      </c>
      <c r="J1" s="56" t="s">
        <v>1182</v>
      </c>
      <c r="K1" s="56" t="s">
        <v>1181</v>
      </c>
      <c r="L1" s="56" t="s">
        <v>1180</v>
      </c>
      <c r="M1" s="56" t="s">
        <v>1179</v>
      </c>
      <c r="N1" s="56" t="s">
        <v>1178</v>
      </c>
      <c r="O1" s="56" t="s">
        <v>1177</v>
      </c>
      <c r="P1" s="56" t="s">
        <v>1176</v>
      </c>
      <c r="Q1" s="56" t="s">
        <v>1175</v>
      </c>
      <c r="R1" s="56" t="s">
        <v>1174</v>
      </c>
      <c r="S1" s="56" t="s">
        <v>1173</v>
      </c>
      <c r="T1" s="56" t="s">
        <v>1172</v>
      </c>
      <c r="U1" s="56" t="s">
        <v>1171</v>
      </c>
      <c r="V1" s="56" t="s">
        <v>1170</v>
      </c>
      <c r="W1" s="56" t="s">
        <v>1169</v>
      </c>
      <c r="X1" s="56" t="s">
        <v>1168</v>
      </c>
      <c r="Y1" s="56" t="s">
        <v>1167</v>
      </c>
    </row>
    <row r="2" spans="1:25" x14ac:dyDescent="0.3">
      <c r="A2" s="55" t="s">
        <v>1162</v>
      </c>
      <c r="B2" s="54" t="str">
        <f>IFERROR(VLOOKUP($A2,abc,COLUMNS($A1:B1),0),"")</f>
        <v>Name 3</v>
      </c>
      <c r="C2" s="54" t="str">
        <f>IFERROR(VLOOKUP($A2,abc,COLUMNS($A1:C1),0),"")</f>
        <v>Manager</v>
      </c>
      <c r="D2" s="54">
        <f>IFERROR(VLOOKUP($A2,abc,COLUMNS($A1:D1),0),"")</f>
        <v>34</v>
      </c>
      <c r="E2" s="54">
        <f>IFERROR(VLOOKUP($A2,abc,COLUMNS($A1:E1),0),"")</f>
        <v>43833</v>
      </c>
      <c r="F2" s="54" t="str">
        <f>IFERROR(VLOOKUP($A2,abc,COLUMNS($A1:F1),0),"")</f>
        <v>Day</v>
      </c>
      <c r="G2" s="54" t="str">
        <f>IFERROR(VLOOKUP($A2,abc,COLUMNS($A1:G1),0),"")</f>
        <v>Name 3@gmail.com</v>
      </c>
      <c r="H2" s="54">
        <f>IFERROR(VLOOKUP($A2,abc,COLUMNS($A1:H1),0),"")</f>
        <v>40000</v>
      </c>
      <c r="I2" s="54">
        <f>IFERROR(VLOOKUP($A2,abc,COLUMNS($A1:I1),0),"")</f>
        <v>7200</v>
      </c>
      <c r="J2" s="54">
        <f>IFERROR(VLOOKUP($A2,abc,COLUMNS($A1:J1),0),"")</f>
        <v>2000</v>
      </c>
      <c r="K2" s="54">
        <f>IFERROR(VLOOKUP($A2,abc,COLUMNS($A1:K1),0),"")</f>
        <v>1000</v>
      </c>
      <c r="L2" s="54">
        <f>IFERROR(VLOOKUP($A2,abc,COLUMNS($A1:L1),0),"")</f>
        <v>2100</v>
      </c>
      <c r="M2" s="54">
        <f>IFERROR(VLOOKUP($A2,abc,COLUMNS($A1:M1),0),"")</f>
        <v>1600</v>
      </c>
      <c r="N2" s="54">
        <f>IFERROR(VLOOKUP($A2,abc,COLUMNS($A1:N1),0),"")</f>
        <v>30</v>
      </c>
      <c r="O2" s="54">
        <f>IFERROR(VLOOKUP($A2,abc,COLUMNS($A1:O1),0),"")</f>
        <v>40000</v>
      </c>
      <c r="P2" s="54">
        <f>IFERROR(VLOOKUP($A2,abc,COLUMNS($A1:P1),0),"")</f>
        <v>1</v>
      </c>
      <c r="Q2" s="54">
        <f>IFERROR(VLOOKUP($A2,abc,COLUMNS($A1:Q1),0),"")</f>
        <v>30</v>
      </c>
      <c r="R2" s="54">
        <f>IFERROR(VLOOKUP($A2,abc,COLUMNS($A1:R1),0),"")</f>
        <v>166.66666666666666</v>
      </c>
      <c r="S2" s="54">
        <f>IFERROR(VLOOKUP($A2,abc,COLUMNS($A1:S1),0),"")</f>
        <v>5000</v>
      </c>
      <c r="T2" s="54">
        <f>IFERROR(VLOOKUP($A2,abc,COLUMNS($A1:T1),0),"")</f>
        <v>58900</v>
      </c>
      <c r="U2" s="54">
        <f>IFERROR(VLOOKUP($A2,abc,COLUMNS($A1:U1),0),"")</f>
        <v>200</v>
      </c>
      <c r="V2" s="54">
        <f>IFERROR(VLOOKUP($A2,abc,COLUMNS($A1:V1),0),"")</f>
        <v>4800</v>
      </c>
      <c r="W2" s="54">
        <f>IFERROR(VLOOKUP($A2,abc,COLUMNS($A1:W1),0),"")</f>
        <v>0</v>
      </c>
      <c r="X2" s="54">
        <f>IFERROR(VLOOKUP($A2,abc,COLUMNS($A1:X1),0),"")</f>
        <v>5000</v>
      </c>
      <c r="Y2" s="54">
        <f>IFERROR(VLOOKUP($A2,abc,COLUMNS($A1:Y1),0),"")</f>
        <v>53900</v>
      </c>
    </row>
    <row r="3" spans="1:25" x14ac:dyDescent="0.3">
      <c r="A3" s="55" t="s">
        <v>1160</v>
      </c>
      <c r="B3" s="54" t="str">
        <f>IFERROR(VLOOKUP($A3,abc,COLUMNS($A2:B2),0),"")</f>
        <v>Name 4</v>
      </c>
      <c r="C3" s="54" t="str">
        <f>IFERROR(VLOOKUP($A3,abc,COLUMNS($A2:C2),0),"")</f>
        <v>Clerk</v>
      </c>
      <c r="D3" s="54">
        <f>IFERROR(VLOOKUP($A3,abc,COLUMNS($A2:D2),0),"")</f>
        <v>45</v>
      </c>
      <c r="E3" s="54">
        <f>IFERROR(VLOOKUP($A3,abc,COLUMNS($A2:E2),0),"")</f>
        <v>43834</v>
      </c>
      <c r="F3" s="54" t="str">
        <f>IFERROR(VLOOKUP($A3,abc,COLUMNS($A2:F2),0),"")</f>
        <v>Day</v>
      </c>
      <c r="G3" s="54" t="str">
        <f>IFERROR(VLOOKUP($A3,abc,COLUMNS($A2:G2),0),"")</f>
        <v>Name 4@gmail.com</v>
      </c>
      <c r="H3" s="54">
        <f>IFERROR(VLOOKUP($A3,abc,COLUMNS($A2:H2),0),"")</f>
        <v>23000</v>
      </c>
      <c r="I3" s="54">
        <f>IFERROR(VLOOKUP($A3,abc,COLUMNS($A2:I2),0),"")</f>
        <v>4140</v>
      </c>
      <c r="J3" s="54">
        <f>IFERROR(VLOOKUP($A3,abc,COLUMNS($A2:J2),0),"")</f>
        <v>1150</v>
      </c>
      <c r="K3" s="54">
        <f>IFERROR(VLOOKUP($A3,abc,COLUMNS($A2:K2),0),"")</f>
        <v>1000</v>
      </c>
      <c r="L3" s="54">
        <f>IFERROR(VLOOKUP($A3,abc,COLUMNS($A2:L2),0),"")</f>
        <v>2100</v>
      </c>
      <c r="M3" s="54">
        <f>IFERROR(VLOOKUP($A3,abc,COLUMNS($A2:M2),0),"")</f>
        <v>1600</v>
      </c>
      <c r="N3" s="54">
        <f>IFERROR(VLOOKUP($A3,abc,COLUMNS($A2:N2),0),"")</f>
        <v>30</v>
      </c>
      <c r="O3" s="54">
        <f>IFERROR(VLOOKUP($A3,abc,COLUMNS($A2:O2),0),"")</f>
        <v>23000</v>
      </c>
      <c r="P3" s="54">
        <f>IFERROR(VLOOKUP($A3,abc,COLUMNS($A2:P2),0),"")</f>
        <v>1</v>
      </c>
      <c r="Q3" s="54">
        <f>IFERROR(VLOOKUP($A3,abc,COLUMNS($A2:Q2),0),"")</f>
        <v>30</v>
      </c>
      <c r="R3" s="54">
        <f>IFERROR(VLOOKUP($A3,abc,COLUMNS($A2:R2),0),"")</f>
        <v>95.833333333333329</v>
      </c>
      <c r="S3" s="54">
        <f>IFERROR(VLOOKUP($A3,abc,COLUMNS($A2:S2),0),"")</f>
        <v>2875</v>
      </c>
      <c r="T3" s="54">
        <f>IFERROR(VLOOKUP($A3,abc,COLUMNS($A2:T2),0),"")</f>
        <v>35865</v>
      </c>
      <c r="U3" s="54">
        <f>IFERROR(VLOOKUP($A3,abc,COLUMNS($A2:U2),0),"")</f>
        <v>200</v>
      </c>
      <c r="V3" s="54">
        <f>IFERROR(VLOOKUP($A3,abc,COLUMNS($A2:V2),0),"")</f>
        <v>2760</v>
      </c>
      <c r="W3" s="54">
        <f>IFERROR(VLOOKUP($A3,abc,COLUMNS($A2:W2),0),"")</f>
        <v>0</v>
      </c>
      <c r="X3" s="54">
        <f>IFERROR(VLOOKUP($A3,abc,COLUMNS($A2:X2),0),"")</f>
        <v>2960</v>
      </c>
      <c r="Y3" s="54">
        <f>IFERROR(VLOOKUP($A3,abc,COLUMNS($A2:Y2),0),"")</f>
        <v>32905</v>
      </c>
    </row>
    <row r="4" spans="1:25" x14ac:dyDescent="0.3">
      <c r="A4" s="55" t="s">
        <v>1158</v>
      </c>
      <c r="B4" s="54" t="str">
        <f>IFERROR(VLOOKUP($A4,abc,COLUMNS($A3:B3),0),"")</f>
        <v>Name 5</v>
      </c>
      <c r="C4" s="54" t="str">
        <f>IFERROR(VLOOKUP($A4,abc,COLUMNS($A3:C3),0),"")</f>
        <v>Accountant</v>
      </c>
      <c r="D4" s="54">
        <f>IFERROR(VLOOKUP($A4,abc,COLUMNS($A3:D3),0),"")</f>
        <v>54</v>
      </c>
      <c r="E4" s="54">
        <f>IFERROR(VLOOKUP($A4,abc,COLUMNS($A3:E3),0),"")</f>
        <v>43835</v>
      </c>
      <c r="F4" s="54" t="str">
        <f>IFERROR(VLOOKUP($A4,abc,COLUMNS($A3:F3),0),"")</f>
        <v>Night</v>
      </c>
      <c r="G4" s="54" t="str">
        <f>IFERROR(VLOOKUP($A4,abc,COLUMNS($A3:G3),0),"")</f>
        <v>Name 5@gmail.com</v>
      </c>
      <c r="H4" s="54">
        <f>IFERROR(VLOOKUP($A4,abc,COLUMNS($A3:H3),0),"")</f>
        <v>28000</v>
      </c>
      <c r="I4" s="54">
        <f>IFERROR(VLOOKUP($A4,abc,COLUMNS($A3:I3),0),"")</f>
        <v>5040</v>
      </c>
      <c r="J4" s="54">
        <f>IFERROR(VLOOKUP($A4,abc,COLUMNS($A3:J3),0),"")</f>
        <v>1400</v>
      </c>
      <c r="K4" s="54">
        <f>IFERROR(VLOOKUP($A4,abc,COLUMNS($A3:K3),0),"")</f>
        <v>1000</v>
      </c>
      <c r="L4" s="54">
        <f>IFERROR(VLOOKUP($A4,abc,COLUMNS($A3:L3),0),"")</f>
        <v>2100</v>
      </c>
      <c r="M4" s="54">
        <f>IFERROR(VLOOKUP($A4,abc,COLUMNS($A3:M3),0),"")</f>
        <v>1600</v>
      </c>
      <c r="N4" s="54">
        <f>IFERROR(VLOOKUP($A4,abc,COLUMNS($A3:N3),0),"")</f>
        <v>30</v>
      </c>
      <c r="O4" s="54">
        <f>IFERROR(VLOOKUP($A4,abc,COLUMNS($A3:O3),0),"")</f>
        <v>28000</v>
      </c>
      <c r="P4" s="54">
        <f>IFERROR(VLOOKUP($A4,abc,COLUMNS($A3:P3),0),"")</f>
        <v>1</v>
      </c>
      <c r="Q4" s="54">
        <f>IFERROR(VLOOKUP($A4,abc,COLUMNS($A3:Q3),0),"")</f>
        <v>30</v>
      </c>
      <c r="R4" s="54">
        <f>IFERROR(VLOOKUP($A4,abc,COLUMNS($A3:R3),0),"")</f>
        <v>116.66666666666667</v>
      </c>
      <c r="S4" s="54">
        <f>IFERROR(VLOOKUP($A4,abc,COLUMNS($A3:S3),0),"")</f>
        <v>3500</v>
      </c>
      <c r="T4" s="54">
        <f>IFERROR(VLOOKUP($A4,abc,COLUMNS($A3:T3),0),"")</f>
        <v>42640</v>
      </c>
      <c r="U4" s="54">
        <f>IFERROR(VLOOKUP($A4,abc,COLUMNS($A3:U3),0),"")</f>
        <v>200</v>
      </c>
      <c r="V4" s="54">
        <f>IFERROR(VLOOKUP($A4,abc,COLUMNS($A3:V3),0),"")</f>
        <v>3360</v>
      </c>
      <c r="W4" s="54">
        <f>IFERROR(VLOOKUP($A4,abc,COLUMNS($A3:W3),0),"")</f>
        <v>0</v>
      </c>
      <c r="X4" s="54">
        <f>IFERROR(VLOOKUP($A4,abc,COLUMNS($A3:X3),0),"")</f>
        <v>3560</v>
      </c>
      <c r="Y4" s="54">
        <f>IFERROR(VLOOKUP($A4,abc,COLUMNS($A3:Y3),0),"")</f>
        <v>39080</v>
      </c>
    </row>
    <row r="5" spans="1:25" x14ac:dyDescent="0.3">
      <c r="A5" s="55" t="s">
        <v>1156</v>
      </c>
      <c r="B5" s="54" t="str">
        <f>IFERROR(VLOOKUP($A5,abc,COLUMNS($A4:B4),0),"")</f>
        <v>Name 6</v>
      </c>
      <c r="C5" s="54" t="str">
        <f>IFERROR(VLOOKUP($A5,abc,COLUMNS($A4:C4),0),"")</f>
        <v>Manager</v>
      </c>
      <c r="D5" s="54">
        <f>IFERROR(VLOOKUP($A5,abc,COLUMNS($A4:D4),0),"")</f>
        <v>56</v>
      </c>
      <c r="E5" s="54">
        <f>IFERROR(VLOOKUP($A5,abc,COLUMNS($A4:E4),0),"")</f>
        <v>43836</v>
      </c>
      <c r="F5" s="54" t="str">
        <f>IFERROR(VLOOKUP($A5,abc,COLUMNS($A4:F4),0),"")</f>
        <v>Night</v>
      </c>
      <c r="G5" s="54" t="str">
        <f>IFERROR(VLOOKUP($A5,abc,COLUMNS($A4:G4),0),"")</f>
        <v>Name 6@gmail.com</v>
      </c>
      <c r="H5" s="54">
        <f>IFERROR(VLOOKUP($A5,abc,COLUMNS($A4:H4),0),"")</f>
        <v>44000</v>
      </c>
      <c r="I5" s="54">
        <f>IFERROR(VLOOKUP($A5,abc,COLUMNS($A4:I4),0),"")</f>
        <v>7920</v>
      </c>
      <c r="J5" s="54">
        <f>IFERROR(VLOOKUP($A5,abc,COLUMNS($A4:J4),0),"")</f>
        <v>2200</v>
      </c>
      <c r="K5" s="54">
        <f>IFERROR(VLOOKUP($A5,abc,COLUMNS($A4:K4),0),"")</f>
        <v>1000</v>
      </c>
      <c r="L5" s="54">
        <f>IFERROR(VLOOKUP($A5,abc,COLUMNS($A4:L4),0),"")</f>
        <v>2100</v>
      </c>
      <c r="M5" s="54">
        <f>IFERROR(VLOOKUP($A5,abc,COLUMNS($A4:M4),0),"")</f>
        <v>1600</v>
      </c>
      <c r="N5" s="54">
        <f>IFERROR(VLOOKUP($A5,abc,COLUMNS($A4:N4),0),"")</f>
        <v>30</v>
      </c>
      <c r="O5" s="54">
        <f>IFERROR(VLOOKUP($A5,abc,COLUMNS($A4:O4),0),"")</f>
        <v>44000</v>
      </c>
      <c r="P5" s="54">
        <f>IFERROR(VLOOKUP($A5,abc,COLUMNS($A4:P4),0),"")</f>
        <v>1</v>
      </c>
      <c r="Q5" s="54">
        <f>IFERROR(VLOOKUP($A5,abc,COLUMNS($A4:Q4),0),"")</f>
        <v>30</v>
      </c>
      <c r="R5" s="54">
        <f>IFERROR(VLOOKUP($A5,abc,COLUMNS($A4:R4),0),"")</f>
        <v>183.33333333333334</v>
      </c>
      <c r="S5" s="54">
        <f>IFERROR(VLOOKUP($A5,abc,COLUMNS($A4:S4),0),"")</f>
        <v>5500</v>
      </c>
      <c r="T5" s="54">
        <f>IFERROR(VLOOKUP($A5,abc,COLUMNS($A4:T4),0),"")</f>
        <v>64320</v>
      </c>
      <c r="U5" s="54">
        <f>IFERROR(VLOOKUP($A5,abc,COLUMNS($A4:U4),0),"")</f>
        <v>200</v>
      </c>
      <c r="V5" s="54">
        <f>IFERROR(VLOOKUP($A5,abc,COLUMNS($A4:V4),0),"")</f>
        <v>5280</v>
      </c>
      <c r="W5" s="54">
        <f>IFERROR(VLOOKUP($A5,abc,COLUMNS($A4:W4),0),"")</f>
        <v>0</v>
      </c>
      <c r="X5" s="54">
        <f>IFERROR(VLOOKUP($A5,abc,COLUMNS($A4:X4),0),"")</f>
        <v>5480</v>
      </c>
      <c r="Y5" s="54">
        <f>IFERROR(VLOOKUP($A5,abc,COLUMNS($A4:Y4),0),"")</f>
        <v>58840</v>
      </c>
    </row>
    <row r="6" spans="1:25" x14ac:dyDescent="0.3">
      <c r="A6" s="55" t="s">
        <v>1154</v>
      </c>
      <c r="B6" s="54" t="str">
        <f>IFERROR(VLOOKUP($A6,abc,COLUMNS($A5:B5),0),"")</f>
        <v>Name 7</v>
      </c>
      <c r="C6" s="54" t="str">
        <f>IFERROR(VLOOKUP($A6,abc,COLUMNS($A5:C5),0),"")</f>
        <v>Clerk</v>
      </c>
      <c r="D6" s="54">
        <f>IFERROR(VLOOKUP($A6,abc,COLUMNS($A5:D5),0),"")</f>
        <v>54</v>
      </c>
      <c r="E6" s="54">
        <f>IFERROR(VLOOKUP($A6,abc,COLUMNS($A5:E5),0),"")</f>
        <v>43837</v>
      </c>
      <c r="F6" s="54" t="str">
        <f>IFERROR(VLOOKUP($A6,abc,COLUMNS($A5:F5),0),"")</f>
        <v>Night</v>
      </c>
      <c r="G6" s="54" t="str">
        <f>IFERROR(VLOOKUP($A6,abc,COLUMNS($A5:G5),0),"")</f>
        <v>Name 7@gmail.com</v>
      </c>
      <c r="H6" s="54">
        <f>IFERROR(VLOOKUP($A6,abc,COLUMNS($A5:H5),0),"")</f>
        <v>25000</v>
      </c>
      <c r="I6" s="54">
        <f>IFERROR(VLOOKUP($A6,abc,COLUMNS($A5:I5),0),"")</f>
        <v>4500</v>
      </c>
      <c r="J6" s="54">
        <f>IFERROR(VLOOKUP($A6,abc,COLUMNS($A5:J5),0),"")</f>
        <v>1250</v>
      </c>
      <c r="K6" s="54">
        <f>IFERROR(VLOOKUP($A6,abc,COLUMNS($A5:K5),0),"")</f>
        <v>1000</v>
      </c>
      <c r="L6" s="54">
        <f>IFERROR(VLOOKUP($A6,abc,COLUMNS($A5:L5),0),"")</f>
        <v>2100</v>
      </c>
      <c r="M6" s="54">
        <f>IFERROR(VLOOKUP($A6,abc,COLUMNS($A5:M5),0),"")</f>
        <v>1600</v>
      </c>
      <c r="N6" s="54">
        <f>IFERROR(VLOOKUP($A6,abc,COLUMNS($A5:N5),0),"")</f>
        <v>29</v>
      </c>
      <c r="O6" s="54">
        <f>IFERROR(VLOOKUP($A6,abc,COLUMNS($A5:O5),0),"")</f>
        <v>24166.666666666668</v>
      </c>
      <c r="P6" s="54">
        <f>IFERROR(VLOOKUP($A6,abc,COLUMNS($A5:P5),0),"")</f>
        <v>1</v>
      </c>
      <c r="Q6" s="54">
        <f>IFERROR(VLOOKUP($A6,abc,COLUMNS($A5:Q5),0),"")</f>
        <v>29</v>
      </c>
      <c r="R6" s="54">
        <f>IFERROR(VLOOKUP($A6,abc,COLUMNS($A5:R5),0),"")</f>
        <v>104.16666666666667</v>
      </c>
      <c r="S6" s="54">
        <f>IFERROR(VLOOKUP($A6,abc,COLUMNS($A5:S5),0),"")</f>
        <v>3020.8333333333335</v>
      </c>
      <c r="T6" s="54">
        <f>IFERROR(VLOOKUP($A6,abc,COLUMNS($A5:T5),0),"")</f>
        <v>37637.500000000007</v>
      </c>
      <c r="U6" s="54">
        <f>IFERROR(VLOOKUP($A6,abc,COLUMNS($A5:U5),0),"")</f>
        <v>200</v>
      </c>
      <c r="V6" s="54">
        <f>IFERROR(VLOOKUP($A6,abc,COLUMNS($A5:V5),0),"")</f>
        <v>3000</v>
      </c>
      <c r="W6" s="54">
        <f>IFERROR(VLOOKUP($A6,abc,COLUMNS($A5:W5),0),"")</f>
        <v>10000</v>
      </c>
      <c r="X6" s="54">
        <f>IFERROR(VLOOKUP($A6,abc,COLUMNS($A5:X5),0),"")</f>
        <v>13200</v>
      </c>
      <c r="Y6" s="54">
        <f>IFERROR(VLOOKUP($A6,abc,COLUMNS($A5:Y5),0),"")</f>
        <v>24437.500000000007</v>
      </c>
    </row>
    <row r="7" spans="1:25" x14ac:dyDescent="0.3">
      <c r="A7" s="55" t="s">
        <v>1152</v>
      </c>
      <c r="B7" s="54" t="str">
        <f>IFERROR(VLOOKUP($A7,abc,COLUMNS($A6:B6),0),"")</f>
        <v>Name 8</v>
      </c>
      <c r="C7" s="54" t="str">
        <f>IFERROR(VLOOKUP($A7,abc,COLUMNS($A6:C6),0),"")</f>
        <v>Accountant</v>
      </c>
      <c r="D7" s="54">
        <f>IFERROR(VLOOKUP($A7,abc,COLUMNS($A6:D6),0),"")</f>
        <v>34</v>
      </c>
      <c r="E7" s="54">
        <f>IFERROR(VLOOKUP($A7,abc,COLUMNS($A6:E6),0),"")</f>
        <v>43838</v>
      </c>
      <c r="F7" s="54" t="str">
        <f>IFERROR(VLOOKUP($A7,abc,COLUMNS($A6:F6),0),"")</f>
        <v>Night</v>
      </c>
      <c r="G7" s="54" t="str">
        <f>IFERROR(VLOOKUP($A7,abc,COLUMNS($A6:G6),0),"")</f>
        <v>Name 8@gmail.com</v>
      </c>
      <c r="H7" s="54">
        <f>IFERROR(VLOOKUP($A7,abc,COLUMNS($A6:H6),0),"")</f>
        <v>29000</v>
      </c>
      <c r="I7" s="54">
        <f>IFERROR(VLOOKUP($A7,abc,COLUMNS($A6:I6),0),"")</f>
        <v>5220</v>
      </c>
      <c r="J7" s="54">
        <f>IFERROR(VLOOKUP($A7,abc,COLUMNS($A6:J6),0),"")</f>
        <v>1450</v>
      </c>
      <c r="K7" s="54">
        <f>IFERROR(VLOOKUP($A7,abc,COLUMNS($A6:K6),0),"")</f>
        <v>1000</v>
      </c>
      <c r="L7" s="54">
        <f>IFERROR(VLOOKUP($A7,abc,COLUMNS($A6:L6),0),"")</f>
        <v>2100</v>
      </c>
      <c r="M7" s="54">
        <f>IFERROR(VLOOKUP($A7,abc,COLUMNS($A6:M6),0),"")</f>
        <v>1600</v>
      </c>
      <c r="N7" s="54">
        <f>IFERROR(VLOOKUP($A7,abc,COLUMNS($A6:N6),0),"")</f>
        <v>28</v>
      </c>
      <c r="O7" s="54">
        <f>IFERROR(VLOOKUP($A7,abc,COLUMNS($A6:O6),0),"")</f>
        <v>27066.666666666664</v>
      </c>
      <c r="P7" s="54">
        <f>IFERROR(VLOOKUP($A7,abc,COLUMNS($A6:P6),0),"")</f>
        <v>1</v>
      </c>
      <c r="Q7" s="54">
        <f>IFERROR(VLOOKUP($A7,abc,COLUMNS($A6:Q6),0),"")</f>
        <v>28</v>
      </c>
      <c r="R7" s="54">
        <f>IFERROR(VLOOKUP($A7,abc,COLUMNS($A6:R6),0),"")</f>
        <v>120.83333333333333</v>
      </c>
      <c r="S7" s="54">
        <f>IFERROR(VLOOKUP($A7,abc,COLUMNS($A6:S6),0),"")</f>
        <v>3383.333333333333</v>
      </c>
      <c r="T7" s="54">
        <f>IFERROR(VLOOKUP($A7,abc,COLUMNS($A6:T6),0),"")</f>
        <v>41820</v>
      </c>
      <c r="U7" s="54">
        <f>IFERROR(VLOOKUP($A7,abc,COLUMNS($A6:U6),0),"")</f>
        <v>200</v>
      </c>
      <c r="V7" s="54">
        <f>IFERROR(VLOOKUP($A7,abc,COLUMNS($A6:V6),0),"")</f>
        <v>3480</v>
      </c>
      <c r="W7" s="54">
        <f>IFERROR(VLOOKUP($A7,abc,COLUMNS($A6:W6),0),"")</f>
        <v>0</v>
      </c>
      <c r="X7" s="54">
        <f>IFERROR(VLOOKUP($A7,abc,COLUMNS($A6:X6),0),"")</f>
        <v>3680</v>
      </c>
      <c r="Y7" s="54">
        <f>IFERROR(VLOOKUP($A7,abc,COLUMNS($A6:Y6),0),"")</f>
        <v>38140</v>
      </c>
    </row>
    <row r="8" spans="1:25" x14ac:dyDescent="0.3">
      <c r="A8" s="55" t="s">
        <v>1150</v>
      </c>
      <c r="B8" s="54" t="str">
        <f>IFERROR(VLOOKUP($A8,abc,COLUMNS($A7:B7),0),"")</f>
        <v>Name 9</v>
      </c>
      <c r="C8" s="54" t="str">
        <f>IFERROR(VLOOKUP($A8,abc,COLUMNS($A7:C7),0),"")</f>
        <v>Manager</v>
      </c>
      <c r="D8" s="54">
        <f>IFERROR(VLOOKUP($A8,abc,COLUMNS($A7:D7),0),"")</f>
        <v>23</v>
      </c>
      <c r="E8" s="54">
        <f>IFERROR(VLOOKUP($A8,abc,COLUMNS($A7:E7),0),"")</f>
        <v>43839</v>
      </c>
      <c r="F8" s="54" t="str">
        <f>IFERROR(VLOOKUP($A8,abc,COLUMNS($A7:F7),0),"")</f>
        <v>Day</v>
      </c>
      <c r="G8" s="54" t="str">
        <f>IFERROR(VLOOKUP($A8,abc,COLUMNS($A7:G7),0),"")</f>
        <v>Name 9@gmail.com</v>
      </c>
      <c r="H8" s="54">
        <f>IFERROR(VLOOKUP($A8,abc,COLUMNS($A7:H7),0),"")</f>
        <v>43000</v>
      </c>
      <c r="I8" s="54">
        <f>IFERROR(VLOOKUP($A8,abc,COLUMNS($A7:I7),0),"")</f>
        <v>7740</v>
      </c>
      <c r="J8" s="54">
        <f>IFERROR(VLOOKUP($A8,abc,COLUMNS($A7:J7),0),"")</f>
        <v>2150</v>
      </c>
      <c r="K8" s="54">
        <f>IFERROR(VLOOKUP($A8,abc,COLUMNS($A7:K7),0),"")</f>
        <v>1000</v>
      </c>
      <c r="L8" s="54">
        <f>IFERROR(VLOOKUP($A8,abc,COLUMNS($A7:L7),0),"")</f>
        <v>2100</v>
      </c>
      <c r="M8" s="54">
        <f>IFERROR(VLOOKUP($A8,abc,COLUMNS($A7:M7),0),"")</f>
        <v>1600</v>
      </c>
      <c r="N8" s="54">
        <f>IFERROR(VLOOKUP($A8,abc,COLUMNS($A7:N7),0),"")</f>
        <v>27</v>
      </c>
      <c r="O8" s="54">
        <f>IFERROR(VLOOKUP($A8,abc,COLUMNS($A7:O7),0),"")</f>
        <v>38700</v>
      </c>
      <c r="P8" s="54">
        <f>IFERROR(VLOOKUP($A8,abc,COLUMNS($A7:P7),0),"")</f>
        <v>1</v>
      </c>
      <c r="Q8" s="54">
        <f>IFERROR(VLOOKUP($A8,abc,COLUMNS($A7:Q7),0),"")</f>
        <v>27</v>
      </c>
      <c r="R8" s="54">
        <f>IFERROR(VLOOKUP($A8,abc,COLUMNS($A7:R7),0),"")</f>
        <v>179.16666666666666</v>
      </c>
      <c r="S8" s="54">
        <f>IFERROR(VLOOKUP($A8,abc,COLUMNS($A7:S7),0),"")</f>
        <v>4837.5</v>
      </c>
      <c r="T8" s="54">
        <f>IFERROR(VLOOKUP($A8,abc,COLUMNS($A7:T7),0),"")</f>
        <v>58127.5</v>
      </c>
      <c r="U8" s="54">
        <f>IFERROR(VLOOKUP($A8,abc,COLUMNS($A7:U7),0),"")</f>
        <v>200</v>
      </c>
      <c r="V8" s="54">
        <f>IFERROR(VLOOKUP($A8,abc,COLUMNS($A7:V7),0),"")</f>
        <v>5160</v>
      </c>
      <c r="W8" s="54">
        <f>IFERROR(VLOOKUP($A8,abc,COLUMNS($A7:W7),0),"")</f>
        <v>0</v>
      </c>
      <c r="X8" s="54">
        <f>IFERROR(VLOOKUP($A8,abc,COLUMNS($A7:X7),0),"")</f>
        <v>5360</v>
      </c>
      <c r="Y8" s="54">
        <f>IFERROR(VLOOKUP($A8,abc,COLUMNS($A7:Y7),0),"")</f>
        <v>52767.5</v>
      </c>
    </row>
    <row r="9" spans="1:25" x14ac:dyDescent="0.3">
      <c r="A9" s="55" t="s">
        <v>1148</v>
      </c>
      <c r="B9" s="54" t="str">
        <f>IFERROR(VLOOKUP($A9,abc,COLUMNS($A8:B8),0),"")</f>
        <v>Name 10</v>
      </c>
      <c r="C9" s="54" t="str">
        <f>IFERROR(VLOOKUP($A9,abc,COLUMNS($A8:C8),0),"")</f>
        <v>Clerk</v>
      </c>
      <c r="D9" s="54">
        <f>IFERROR(VLOOKUP($A9,abc,COLUMNS($A8:D8),0),"")</f>
        <v>34</v>
      </c>
      <c r="E9" s="54">
        <f>IFERROR(VLOOKUP($A9,abc,COLUMNS($A8:E8),0),"")</f>
        <v>43840</v>
      </c>
      <c r="F9" s="54" t="str">
        <f>IFERROR(VLOOKUP($A9,abc,COLUMNS($A8:F8),0),"")</f>
        <v>Day</v>
      </c>
      <c r="G9" s="54" t="str">
        <f>IFERROR(VLOOKUP($A9,abc,COLUMNS($A8:G8),0),"")</f>
        <v>Name 10@gmail.com</v>
      </c>
      <c r="H9" s="54">
        <f>IFERROR(VLOOKUP($A9,abc,COLUMNS($A8:H8),0),"")</f>
        <v>25000</v>
      </c>
      <c r="I9" s="54">
        <f>IFERROR(VLOOKUP($A9,abc,COLUMNS($A8:I8),0),"")</f>
        <v>4500</v>
      </c>
      <c r="J9" s="54">
        <f>IFERROR(VLOOKUP($A9,abc,COLUMNS($A8:J8),0),"")</f>
        <v>1250</v>
      </c>
      <c r="K9" s="54">
        <f>IFERROR(VLOOKUP($A9,abc,COLUMNS($A8:K8),0),"")</f>
        <v>1000</v>
      </c>
      <c r="L9" s="54">
        <f>IFERROR(VLOOKUP($A9,abc,COLUMNS($A8:L8),0),"")</f>
        <v>2100</v>
      </c>
      <c r="M9" s="54">
        <f>IFERROR(VLOOKUP($A9,abc,COLUMNS($A8:M8),0),"")</f>
        <v>1600</v>
      </c>
      <c r="N9" s="54">
        <f>IFERROR(VLOOKUP($A9,abc,COLUMNS($A8:N8),0),"")</f>
        <v>30</v>
      </c>
      <c r="O9" s="54">
        <f>IFERROR(VLOOKUP($A9,abc,COLUMNS($A8:O8),0),"")</f>
        <v>25000</v>
      </c>
      <c r="P9" s="54">
        <f>IFERROR(VLOOKUP($A9,abc,COLUMNS($A8:P8),0),"")</f>
        <v>0</v>
      </c>
      <c r="Q9" s="54">
        <f>IFERROR(VLOOKUP($A9,abc,COLUMNS($A8:Q8),0),"")</f>
        <v>0</v>
      </c>
      <c r="R9" s="54">
        <f>IFERROR(VLOOKUP($A9,abc,COLUMNS($A8:R8),0),"")</f>
        <v>104.16666666666667</v>
      </c>
      <c r="S9" s="54">
        <f>IFERROR(VLOOKUP($A9,abc,COLUMNS($A8:S8),0),"")</f>
        <v>0</v>
      </c>
      <c r="T9" s="54">
        <f>IFERROR(VLOOKUP($A9,abc,COLUMNS($A8:T8),0),"")</f>
        <v>35450</v>
      </c>
      <c r="U9" s="54">
        <f>IFERROR(VLOOKUP($A9,abc,COLUMNS($A8:U8),0),"")</f>
        <v>200</v>
      </c>
      <c r="V9" s="54">
        <f>IFERROR(VLOOKUP($A9,abc,COLUMNS($A8:V8),0),"")</f>
        <v>3000</v>
      </c>
      <c r="W9" s="54">
        <f>IFERROR(VLOOKUP($A9,abc,COLUMNS($A8:W8),0),"")</f>
        <v>0</v>
      </c>
      <c r="X9" s="54">
        <f>IFERROR(VLOOKUP($A9,abc,COLUMNS($A8:X8),0),"")</f>
        <v>3200</v>
      </c>
      <c r="Y9" s="54">
        <f>IFERROR(VLOOKUP($A9,abc,COLUMNS($A8:Y8),0),"")</f>
        <v>32250</v>
      </c>
    </row>
    <row r="10" spans="1:25" x14ac:dyDescent="0.3">
      <c r="A10" s="55" t="s">
        <v>1146</v>
      </c>
      <c r="B10" s="54" t="str">
        <f>IFERROR(VLOOKUP($A10,abc,COLUMNS($A9:B9),0),"")</f>
        <v>Name 11</v>
      </c>
      <c r="C10" s="54" t="str">
        <f>IFERROR(VLOOKUP($A10,abc,COLUMNS($A9:C9),0),"")</f>
        <v>Accountant</v>
      </c>
      <c r="D10" s="54">
        <f>IFERROR(VLOOKUP($A10,abc,COLUMNS($A9:D9),0),"")</f>
        <v>43</v>
      </c>
      <c r="E10" s="54">
        <f>IFERROR(VLOOKUP($A10,abc,COLUMNS($A9:E9),0),"")</f>
        <v>43841</v>
      </c>
      <c r="F10" s="54" t="str">
        <f>IFERROR(VLOOKUP($A10,abc,COLUMNS($A9:F9),0),"")</f>
        <v>Day</v>
      </c>
      <c r="G10" s="54" t="str">
        <f>IFERROR(VLOOKUP($A10,abc,COLUMNS($A9:G9),0),"")</f>
        <v>Name 11@gmail.com</v>
      </c>
      <c r="H10" s="54">
        <f>IFERROR(VLOOKUP($A10,abc,COLUMNS($A9:H9),0),"")</f>
        <v>28000</v>
      </c>
      <c r="I10" s="54">
        <f>IFERROR(VLOOKUP($A10,abc,COLUMNS($A9:I9),0),"")</f>
        <v>5040</v>
      </c>
      <c r="J10" s="54">
        <f>IFERROR(VLOOKUP($A10,abc,COLUMNS($A9:J9),0),"")</f>
        <v>1400</v>
      </c>
      <c r="K10" s="54">
        <f>IFERROR(VLOOKUP($A10,abc,COLUMNS($A9:K9),0),"")</f>
        <v>1000</v>
      </c>
      <c r="L10" s="54">
        <f>IFERROR(VLOOKUP($A10,abc,COLUMNS($A9:L9),0),"")</f>
        <v>2100</v>
      </c>
      <c r="M10" s="54">
        <f>IFERROR(VLOOKUP($A10,abc,COLUMNS($A9:M9),0),"")</f>
        <v>1600</v>
      </c>
      <c r="N10" s="54">
        <f>IFERROR(VLOOKUP($A10,abc,COLUMNS($A9:N9),0),"")</f>
        <v>20</v>
      </c>
      <c r="O10" s="54">
        <f>IFERROR(VLOOKUP($A10,abc,COLUMNS($A9:O9),0),"")</f>
        <v>18666.666666666668</v>
      </c>
      <c r="P10" s="54">
        <f>IFERROR(VLOOKUP($A10,abc,COLUMNS($A9:P9),0),"")</f>
        <v>0</v>
      </c>
      <c r="Q10" s="54">
        <f>IFERROR(VLOOKUP($A10,abc,COLUMNS($A9:Q9),0),"")</f>
        <v>0</v>
      </c>
      <c r="R10" s="54">
        <f>IFERROR(VLOOKUP($A10,abc,COLUMNS($A9:R9),0),"")</f>
        <v>116.66666666666667</v>
      </c>
      <c r="S10" s="54">
        <f>IFERROR(VLOOKUP($A10,abc,COLUMNS($A9:S9),0),"")</f>
        <v>0</v>
      </c>
      <c r="T10" s="54">
        <f>IFERROR(VLOOKUP($A10,abc,COLUMNS($A9:T9),0),"")</f>
        <v>29806.666666666668</v>
      </c>
      <c r="U10" s="54">
        <f>IFERROR(VLOOKUP($A10,abc,COLUMNS($A9:U9),0),"")</f>
        <v>200</v>
      </c>
      <c r="V10" s="54">
        <f>IFERROR(VLOOKUP($A10,abc,COLUMNS($A9:V9),0),"")</f>
        <v>3360</v>
      </c>
      <c r="W10" s="54">
        <f>IFERROR(VLOOKUP($A10,abc,COLUMNS($A9:W9),0),"")</f>
        <v>0</v>
      </c>
      <c r="X10" s="54">
        <f>IFERROR(VLOOKUP($A10,abc,COLUMNS($A9:X9),0),"")</f>
        <v>3560</v>
      </c>
      <c r="Y10" s="54">
        <f>IFERROR(VLOOKUP($A10,abc,COLUMNS($A9:Y9),0),"")</f>
        <v>26246.666666666668</v>
      </c>
    </row>
    <row r="11" spans="1:25" x14ac:dyDescent="0.3">
      <c r="A11" s="55" t="s">
        <v>1144</v>
      </c>
      <c r="B11" s="54" t="str">
        <f>IFERROR(VLOOKUP($A11,abc,COLUMNS($A10:B10),0),"")</f>
        <v>Name 12</v>
      </c>
      <c r="C11" s="54" t="str">
        <f>IFERROR(VLOOKUP($A11,abc,COLUMNS($A10:C10),0),"")</f>
        <v>Manager</v>
      </c>
      <c r="D11" s="54">
        <f>IFERROR(VLOOKUP($A11,abc,COLUMNS($A10:D10),0),"")</f>
        <v>34</v>
      </c>
      <c r="E11" s="54">
        <f>IFERROR(VLOOKUP($A11,abc,COLUMNS($A10:E10),0),"")</f>
        <v>43842</v>
      </c>
      <c r="F11" s="54" t="str">
        <f>IFERROR(VLOOKUP($A11,abc,COLUMNS($A10:F10),0),"")</f>
        <v>Day</v>
      </c>
      <c r="G11" s="54" t="str">
        <f>IFERROR(VLOOKUP($A11,abc,COLUMNS($A10:G10),0),"")</f>
        <v>Name 12@gmail.com</v>
      </c>
      <c r="H11" s="54">
        <f>IFERROR(VLOOKUP($A11,abc,COLUMNS($A10:H10),0),"")</f>
        <v>40000</v>
      </c>
      <c r="I11" s="54">
        <f>IFERROR(VLOOKUP($A11,abc,COLUMNS($A10:I10),0),"")</f>
        <v>7200</v>
      </c>
      <c r="J11" s="54">
        <f>IFERROR(VLOOKUP($A11,abc,COLUMNS($A10:J10),0),"")</f>
        <v>2000</v>
      </c>
      <c r="K11" s="54">
        <f>IFERROR(VLOOKUP($A11,abc,COLUMNS($A10:K10),0),"")</f>
        <v>1000</v>
      </c>
      <c r="L11" s="54">
        <f>IFERROR(VLOOKUP($A11,abc,COLUMNS($A10:L10),0),"")</f>
        <v>2100</v>
      </c>
      <c r="M11" s="54">
        <f>IFERROR(VLOOKUP($A11,abc,COLUMNS($A10:M10),0),"")</f>
        <v>1600</v>
      </c>
      <c r="N11" s="54">
        <f>IFERROR(VLOOKUP($A11,abc,COLUMNS($A10:N10),0),"")</f>
        <v>28</v>
      </c>
      <c r="O11" s="54">
        <f>IFERROR(VLOOKUP($A11,abc,COLUMNS($A10:O10),0),"")</f>
        <v>37333.333333333328</v>
      </c>
      <c r="P11" s="54">
        <f>IFERROR(VLOOKUP($A11,abc,COLUMNS($A10:P10),0),"")</f>
        <v>2</v>
      </c>
      <c r="Q11" s="54">
        <f>IFERROR(VLOOKUP($A11,abc,COLUMNS($A10:Q10),0),"")</f>
        <v>56</v>
      </c>
      <c r="R11" s="54">
        <f>IFERROR(VLOOKUP($A11,abc,COLUMNS($A10:R10),0),"")</f>
        <v>166.66666666666666</v>
      </c>
      <c r="S11" s="54">
        <f>IFERROR(VLOOKUP($A11,abc,COLUMNS($A10:S10),0),"")</f>
        <v>9333.3333333333321</v>
      </c>
      <c r="T11" s="54">
        <f>IFERROR(VLOOKUP($A11,abc,COLUMNS($A10:T10),0),"")</f>
        <v>60566.666666666657</v>
      </c>
      <c r="U11" s="54">
        <f>IFERROR(VLOOKUP($A11,abc,COLUMNS($A10:U10),0),"")</f>
        <v>200</v>
      </c>
      <c r="V11" s="54">
        <f>IFERROR(VLOOKUP($A11,abc,COLUMNS($A10:V10),0),"")</f>
        <v>4800</v>
      </c>
      <c r="W11" s="54">
        <f>IFERROR(VLOOKUP($A11,abc,COLUMNS($A10:W10),0),"")</f>
        <v>0</v>
      </c>
      <c r="X11" s="54">
        <f>IFERROR(VLOOKUP($A11,abc,COLUMNS($A10:X10),0),"")</f>
        <v>5000</v>
      </c>
      <c r="Y11" s="54">
        <f>IFERROR(VLOOKUP($A11,abc,COLUMNS($A10:Y10),0),"")</f>
        <v>55566.666666666657</v>
      </c>
    </row>
    <row r="12" spans="1:25" x14ac:dyDescent="0.3">
      <c r="A12" s="55" t="s">
        <v>1142</v>
      </c>
      <c r="B12" s="54" t="str">
        <f>IFERROR(VLOOKUP($A12,abc,COLUMNS($A11:B11),0),"")</f>
        <v>Name 13</v>
      </c>
      <c r="C12" s="54" t="str">
        <f>IFERROR(VLOOKUP($A12,abc,COLUMNS($A11:C11),0),"")</f>
        <v>Manager</v>
      </c>
      <c r="D12" s="54">
        <f>IFERROR(VLOOKUP($A12,abc,COLUMNS($A11:D11),0),"")</f>
        <v>43</v>
      </c>
      <c r="E12" s="54">
        <f>IFERROR(VLOOKUP($A12,abc,COLUMNS($A11:E11),0),"")</f>
        <v>43843</v>
      </c>
      <c r="F12" s="54" t="str">
        <f>IFERROR(VLOOKUP($A12,abc,COLUMNS($A11:F11),0),"")</f>
        <v>Day</v>
      </c>
      <c r="G12" s="54" t="str">
        <f>IFERROR(VLOOKUP($A12,abc,COLUMNS($A11:G11),0),"")</f>
        <v>Name 13@gmail.com</v>
      </c>
      <c r="H12" s="54">
        <f>IFERROR(VLOOKUP($A12,abc,COLUMNS($A11:H11),0),"")</f>
        <v>32000</v>
      </c>
      <c r="I12" s="54">
        <f>IFERROR(VLOOKUP($A12,abc,COLUMNS($A11:I11),0),"")</f>
        <v>5760</v>
      </c>
      <c r="J12" s="54">
        <f>IFERROR(VLOOKUP($A12,abc,COLUMNS($A11:J11),0),"")</f>
        <v>1600</v>
      </c>
      <c r="K12" s="54">
        <f>IFERROR(VLOOKUP($A12,abc,COLUMNS($A11:K11),0),"")</f>
        <v>1000</v>
      </c>
      <c r="L12" s="54">
        <f>IFERROR(VLOOKUP($A12,abc,COLUMNS($A11:L11),0),"")</f>
        <v>0</v>
      </c>
      <c r="M12" s="54">
        <f>IFERROR(VLOOKUP($A12,abc,COLUMNS($A11:M11),0),"")</f>
        <v>1600</v>
      </c>
      <c r="N12" s="54">
        <f>IFERROR(VLOOKUP($A12,abc,COLUMNS($A11:N11),0),"")</f>
        <v>30</v>
      </c>
      <c r="O12" s="54">
        <f>IFERROR(VLOOKUP($A12,abc,COLUMNS($A11:O11),0),"")</f>
        <v>32000.000000000004</v>
      </c>
      <c r="P12" s="54">
        <f>IFERROR(VLOOKUP($A12,abc,COLUMNS($A11:P11),0),"")</f>
        <v>1</v>
      </c>
      <c r="Q12" s="54">
        <f>IFERROR(VLOOKUP($A12,abc,COLUMNS($A11:Q11),0),"")</f>
        <v>30</v>
      </c>
      <c r="R12" s="54">
        <f>IFERROR(VLOOKUP($A12,abc,COLUMNS($A11:R11),0),"")</f>
        <v>133.33333333333334</v>
      </c>
      <c r="S12" s="54">
        <f>IFERROR(VLOOKUP($A12,abc,COLUMNS($A11:S11),0),"")</f>
        <v>4000.0000000000005</v>
      </c>
      <c r="T12" s="54">
        <f>IFERROR(VLOOKUP($A12,abc,COLUMNS($A11:T11),0),"")</f>
        <v>45960</v>
      </c>
      <c r="U12" s="54">
        <f>IFERROR(VLOOKUP($A12,abc,COLUMNS($A11:U11),0),"")</f>
        <v>200</v>
      </c>
      <c r="V12" s="54">
        <f>IFERROR(VLOOKUP($A12,abc,COLUMNS($A11:V11),0),"")</f>
        <v>3840</v>
      </c>
      <c r="W12" s="54">
        <f>IFERROR(VLOOKUP($A12,abc,COLUMNS($A11:W11),0),"")</f>
        <v>5000</v>
      </c>
      <c r="X12" s="54">
        <f>IFERROR(VLOOKUP($A12,abc,COLUMNS($A11:X11),0),"")</f>
        <v>9040</v>
      </c>
      <c r="Y12" s="54">
        <f>IFERROR(VLOOKUP($A12,abc,COLUMNS($A11:Y11),0),"")</f>
        <v>36920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6CF4-12EB-4E32-8545-12A70869347B}">
  <dimension ref="B2:L25"/>
  <sheetViews>
    <sheetView tabSelected="1" zoomScale="70" zoomScaleNormal="70" workbookViewId="0">
      <selection activeCell="S15" sqref="S15"/>
    </sheetView>
  </sheetViews>
  <sheetFormatPr defaultColWidth="6.41015625" defaultRowHeight="25.8" x14ac:dyDescent="0.5"/>
  <cols>
    <col min="1" max="1" width="2.05859375" customWidth="1"/>
    <col min="2" max="2" width="9.17578125" bestFit="1" customWidth="1"/>
    <col min="3" max="3" width="5.3515625" customWidth="1"/>
    <col min="4" max="4" width="6.52734375" bestFit="1" customWidth="1"/>
    <col min="5" max="5" width="4.64453125" customWidth="1"/>
    <col min="6" max="6" width="5.29296875" bestFit="1" customWidth="1"/>
  </cols>
  <sheetData>
    <row r="2" spans="2:12" s="76" customFormat="1" ht="15.6" x14ac:dyDescent="0.3">
      <c r="B2" s="74" t="s">
        <v>199</v>
      </c>
      <c r="C2" s="75" t="s">
        <v>198</v>
      </c>
      <c r="D2" s="75" t="s">
        <v>1192</v>
      </c>
      <c r="F2" s="77" t="s">
        <v>198</v>
      </c>
      <c r="G2" s="77" t="s">
        <v>1192</v>
      </c>
      <c r="I2" s="77" t="s">
        <v>198</v>
      </c>
      <c r="J2" s="77" t="s">
        <v>1192</v>
      </c>
    </row>
    <row r="3" spans="2:12" x14ac:dyDescent="0.5">
      <c r="B3" s="78" t="s">
        <v>193</v>
      </c>
      <c r="C3" s="79">
        <v>8151.24812152702</v>
      </c>
      <c r="D3" s="80"/>
      <c r="F3" s="79">
        <v>0</v>
      </c>
      <c r="G3" s="81">
        <v>0</v>
      </c>
      <c r="I3" s="79">
        <v>0</v>
      </c>
      <c r="J3" s="81">
        <v>0</v>
      </c>
    </row>
    <row r="4" spans="2:12" x14ac:dyDescent="0.5">
      <c r="B4" s="78" t="s">
        <v>191</v>
      </c>
      <c r="C4" s="79">
        <v>7755.4709019399825</v>
      </c>
      <c r="D4" s="80"/>
      <c r="F4" s="79">
        <v>1000</v>
      </c>
      <c r="G4" s="81">
        <v>0.1</v>
      </c>
      <c r="I4" s="79">
        <v>1000</v>
      </c>
      <c r="J4" s="81">
        <v>0.1</v>
      </c>
    </row>
    <row r="5" spans="2:12" x14ac:dyDescent="0.5">
      <c r="B5" s="78" t="s">
        <v>190</v>
      </c>
      <c r="C5" s="79">
        <v>2092.3283139276195</v>
      </c>
      <c r="D5" s="80"/>
      <c r="F5" s="79">
        <v>4000</v>
      </c>
      <c r="G5" s="81">
        <v>0.15</v>
      </c>
      <c r="I5" s="79">
        <v>4000</v>
      </c>
      <c r="J5" s="81">
        <v>0.15</v>
      </c>
    </row>
    <row r="6" spans="2:12" x14ac:dyDescent="0.5">
      <c r="B6" s="78" t="s">
        <v>189</v>
      </c>
      <c r="C6" s="79">
        <v>3380.1466125541278</v>
      </c>
      <c r="D6" s="80"/>
      <c r="F6" s="79">
        <v>8000</v>
      </c>
      <c r="G6" s="81">
        <v>0.2</v>
      </c>
      <c r="I6" s="79">
        <v>8000</v>
      </c>
      <c r="J6" s="81">
        <v>0.2</v>
      </c>
    </row>
    <row r="7" spans="2:12" x14ac:dyDescent="0.5">
      <c r="B7" s="78" t="s">
        <v>188</v>
      </c>
      <c r="C7" s="79">
        <v>6964.0561728480398</v>
      </c>
      <c r="D7" s="80"/>
    </row>
    <row r="8" spans="2:12" x14ac:dyDescent="0.5">
      <c r="B8" s="78" t="s">
        <v>187</v>
      </c>
      <c r="C8" s="79">
        <v>5012.6200229350716</v>
      </c>
      <c r="D8" s="80"/>
    </row>
    <row r="9" spans="2:12" x14ac:dyDescent="0.5">
      <c r="B9" s="78" t="s">
        <v>186</v>
      </c>
      <c r="C9" s="79">
        <v>6993.37653924595</v>
      </c>
      <c r="D9" s="80"/>
    </row>
    <row r="10" spans="2:12" x14ac:dyDescent="0.5">
      <c r="B10" s="78" t="s">
        <v>185</v>
      </c>
      <c r="C10" s="79">
        <v>9916.1225399862142</v>
      </c>
      <c r="D10" s="80"/>
      <c r="G10" s="74" t="s">
        <v>199</v>
      </c>
      <c r="H10" s="75" t="s">
        <v>198</v>
      </c>
      <c r="I10" s="75" t="s">
        <v>1192</v>
      </c>
    </row>
    <row r="11" spans="2:12" x14ac:dyDescent="0.5">
      <c r="B11" s="78" t="s">
        <v>184</v>
      </c>
      <c r="C11" s="79">
        <v>9982.7607672833492</v>
      </c>
      <c r="D11" s="80"/>
      <c r="G11" s="78" t="s">
        <v>193</v>
      </c>
      <c r="H11" s="79">
        <v>8151.24812152702</v>
      </c>
      <c r="I11" s="80">
        <f>_xlfn.XLOOKUP(Table1[[#This Row],[Revenue]],Table24[Revenue],Table24[Bonus],0,-1)</f>
        <v>0.2</v>
      </c>
    </row>
    <row r="12" spans="2:12" x14ac:dyDescent="0.5">
      <c r="B12" s="78" t="s">
        <v>183</v>
      </c>
      <c r="C12" s="79">
        <v>9110.2743930674405</v>
      </c>
      <c r="D12" s="80"/>
      <c r="G12" s="78" t="s">
        <v>191</v>
      </c>
      <c r="H12" s="79">
        <v>7755.4709019399825</v>
      </c>
      <c r="I12" s="80">
        <f>_xlfn.XLOOKUP(Table1[[#This Row],[Revenue]],Table24[Revenue],Table24[Bonus],0,-1)</f>
        <v>0.15</v>
      </c>
    </row>
    <row r="13" spans="2:12" x14ac:dyDescent="0.5">
      <c r="B13" s="78" t="s">
        <v>182</v>
      </c>
      <c r="C13" s="79">
        <v>3222.9027070160741</v>
      </c>
      <c r="D13" s="80"/>
      <c r="G13" s="78" t="s">
        <v>190</v>
      </c>
      <c r="H13" s="79">
        <v>2092.3283139276195</v>
      </c>
      <c r="I13" s="80">
        <f>_xlfn.XLOOKUP(Table1[[#This Row],[Revenue]],Table24[Revenue],Table24[Bonus],0,-1)</f>
        <v>0.1</v>
      </c>
      <c r="K13" s="82" t="s">
        <v>188</v>
      </c>
      <c r="L13">
        <f>_xlfn.XLOOKUP(K13,$B$2:$B$17,$C$2:$C$17)</f>
        <v>6964.0561728480398</v>
      </c>
    </row>
    <row r="14" spans="2:12" x14ac:dyDescent="0.5">
      <c r="B14" s="78" t="s">
        <v>200</v>
      </c>
      <c r="C14" s="79">
        <v>3435.2681701390152</v>
      </c>
      <c r="D14" s="80"/>
      <c r="G14" s="78" t="s">
        <v>189</v>
      </c>
      <c r="H14" s="79">
        <v>3380.1466125541278</v>
      </c>
      <c r="I14" s="80">
        <f>_xlfn.XLOOKUP(Table1[[#This Row],[Revenue]],Table24[Revenue],Table24[Bonus],0,-1)</f>
        <v>0.1</v>
      </c>
      <c r="K14" s="82" t="s">
        <v>187</v>
      </c>
      <c r="L14">
        <f t="shared" ref="L14:L15" si="0">_xlfn.XLOOKUP(K14,$B$2:$B$17,$C$2:$C$17)</f>
        <v>5012.6200229350716</v>
      </c>
    </row>
    <row r="15" spans="2:12" x14ac:dyDescent="0.5">
      <c r="B15" s="78" t="s">
        <v>180</v>
      </c>
      <c r="C15" s="79">
        <v>6016.4213975740586</v>
      </c>
      <c r="D15" s="80"/>
      <c r="G15" s="78" t="s">
        <v>188</v>
      </c>
      <c r="H15" s="79">
        <v>6964.0561728480398</v>
      </c>
      <c r="I15" s="80">
        <f>_xlfn.XLOOKUP(Table1[[#This Row],[Revenue]],Table24[Revenue],Table24[Bonus],0,-1)</f>
        <v>0.15</v>
      </c>
      <c r="K15" s="82" t="s">
        <v>186</v>
      </c>
      <c r="L15">
        <f t="shared" si="0"/>
        <v>6993.37653924595</v>
      </c>
    </row>
    <row r="16" spans="2:12" x14ac:dyDescent="0.5">
      <c r="B16" s="78" t="s">
        <v>179</v>
      </c>
      <c r="C16" s="79">
        <v>1734.5840260811419</v>
      </c>
      <c r="D16" s="80"/>
      <c r="G16" s="78" t="s">
        <v>187</v>
      </c>
      <c r="H16" s="79">
        <v>5012.6200229350716</v>
      </c>
      <c r="I16" s="80">
        <f>_xlfn.XLOOKUP(Table1[[#This Row],[Revenue]],Table24[Revenue],Table24[Bonus],0,-1)</f>
        <v>0.15</v>
      </c>
    </row>
    <row r="17" spans="2:12" x14ac:dyDescent="0.5">
      <c r="B17" s="78" t="s">
        <v>178</v>
      </c>
      <c r="C17" s="79">
        <v>4726.9219681522554</v>
      </c>
      <c r="D17" s="80"/>
      <c r="G17" s="78" t="s">
        <v>186</v>
      </c>
      <c r="H17" s="79">
        <v>6993.37653924595</v>
      </c>
      <c r="I17" s="80">
        <f>_xlfn.XLOOKUP(Table1[[#This Row],[Revenue]],Table24[Revenue],Table24[Bonus],0,-1)</f>
        <v>0.15</v>
      </c>
    </row>
    <row r="18" spans="2:12" x14ac:dyDescent="0.5">
      <c r="G18" s="78" t="s">
        <v>185</v>
      </c>
      <c r="H18" s="79">
        <v>9916.1225399862142</v>
      </c>
      <c r="I18" s="80">
        <f>_xlfn.XLOOKUP(Table1[[#This Row],[Revenue]],Table24[Revenue],Table24[Bonus],0,-1)</f>
        <v>0.2</v>
      </c>
    </row>
    <row r="19" spans="2:12" x14ac:dyDescent="0.5">
      <c r="G19" s="78" t="s">
        <v>184</v>
      </c>
      <c r="H19" s="79">
        <v>9982.7607672833492</v>
      </c>
      <c r="I19" s="80">
        <f>_xlfn.XLOOKUP(Table1[[#This Row],[Revenue]],Table24[Revenue],Table24[Bonus],0,-1)</f>
        <v>0.2</v>
      </c>
    </row>
    <row r="20" spans="2:12" x14ac:dyDescent="0.5">
      <c r="G20" s="78" t="s">
        <v>183</v>
      </c>
      <c r="H20" s="79">
        <v>9110.2743930674405</v>
      </c>
      <c r="I20" s="80">
        <f>_xlfn.XLOOKUP(Table1[[#This Row],[Revenue]],Table24[Revenue],Table24[Bonus],0,-1)</f>
        <v>0.2</v>
      </c>
      <c r="K20" s="82" t="s">
        <v>188</v>
      </c>
      <c r="L20" s="5">
        <f>_xlfn.XLOOKUP(K20,Table1[Employee],Table1[Revenue])</f>
        <v>6964.0561728480398</v>
      </c>
    </row>
    <row r="21" spans="2:12" x14ac:dyDescent="0.5">
      <c r="G21" s="78" t="s">
        <v>182</v>
      </c>
      <c r="H21" s="79">
        <v>3222.9027070160741</v>
      </c>
      <c r="I21" s="80">
        <f>_xlfn.XLOOKUP(Table1[[#This Row],[Revenue]],Table24[Revenue],Table24[Bonus],0,-1)</f>
        <v>0.1</v>
      </c>
      <c r="K21" s="82" t="s">
        <v>187</v>
      </c>
      <c r="L21" s="5">
        <f>_xlfn.XLOOKUP(K21,Table1[Employee],Table1[Revenue])</f>
        <v>5012.6200229350716</v>
      </c>
    </row>
    <row r="22" spans="2:12" x14ac:dyDescent="0.5">
      <c r="G22" s="78" t="s">
        <v>200</v>
      </c>
      <c r="H22" s="79">
        <v>3435.2681701390152</v>
      </c>
      <c r="I22" s="80">
        <f>_xlfn.XLOOKUP(Table1[[#This Row],[Revenue]],Table24[Revenue],Table24[Bonus],0,-1)</f>
        <v>0.1</v>
      </c>
      <c r="K22" s="82" t="s">
        <v>186</v>
      </c>
      <c r="L22" s="5">
        <f>_xlfn.XLOOKUP(K22,Table1[Employee],Table1[Revenue])</f>
        <v>6993.37653924595</v>
      </c>
    </row>
    <row r="23" spans="2:12" x14ac:dyDescent="0.5">
      <c r="G23" s="78" t="s">
        <v>180</v>
      </c>
      <c r="H23" s="79">
        <v>6016.4213975740586</v>
      </c>
      <c r="I23" s="80">
        <f>_xlfn.XLOOKUP(Table1[[#This Row],[Revenue]],Table24[Revenue],Table24[Bonus],0,-1)</f>
        <v>0.15</v>
      </c>
    </row>
    <row r="24" spans="2:12" x14ac:dyDescent="0.5">
      <c r="G24" s="78" t="s">
        <v>179</v>
      </c>
      <c r="H24" s="79">
        <v>1734.5840260811419</v>
      </c>
      <c r="I24" s="80">
        <f>_xlfn.XLOOKUP(Table1[[#This Row],[Revenue]],Table24[Revenue],Table24[Bonus],0,-1)</f>
        <v>0.1</v>
      </c>
    </row>
    <row r="25" spans="2:12" x14ac:dyDescent="0.5">
      <c r="G25" s="78" t="s">
        <v>178</v>
      </c>
      <c r="H25" s="79">
        <v>4726.9219681522554</v>
      </c>
      <c r="I25" s="80">
        <f>_xlfn.XLOOKUP(Table1[[#This Row],[Revenue]],Table24[Revenue],Table24[Bonus],0,-1)</f>
        <v>0.15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Xlookup 1</vt:lpstr>
      <vt:lpstr>Xlookup 2</vt:lpstr>
      <vt:lpstr>Xlookup 3</vt:lpstr>
      <vt:lpstr>Xlookup 4</vt:lpstr>
      <vt:lpstr>Xlookup 5</vt:lpstr>
      <vt:lpstr>Xlookup 6</vt:lpstr>
      <vt:lpstr>Xlookup 7</vt:lpstr>
      <vt:lpstr>Xlookup 8</vt:lpstr>
      <vt:lpstr>Xlookup 9</vt:lpstr>
      <vt:lpstr>Real Problem</vt:lpstr>
      <vt:lpstr>Sheet1</vt:lpstr>
      <vt:lpstr>Wildcard</vt:lpstr>
      <vt:lpstr>Multiple</vt:lpstr>
      <vt:lpstr>Ref Sheet</vt:lpstr>
      <vt:lpstr>Destination</vt:lpstr>
      <vt:lpstr>Table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Dipan Nandi</cp:lastModifiedBy>
  <dcterms:created xsi:type="dcterms:W3CDTF">2025-09-03T15:49:22Z</dcterms:created>
  <dcterms:modified xsi:type="dcterms:W3CDTF">2026-08-10T07:37:39Z</dcterms:modified>
</cp:coreProperties>
</file>