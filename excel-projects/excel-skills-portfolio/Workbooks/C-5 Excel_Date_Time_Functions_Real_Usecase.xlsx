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"/>
    </mc:Choice>
  </mc:AlternateContent>
  <xr:revisionPtr revIDLastSave="0" documentId="13_ncr:1_{3AC910BE-28E9-4F78-A449-245ADEB26354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00_Req_Index" sheetId="1" r:id="rId1"/>
    <sheet name="01_HR_Attendance" sheetId="2" r:id="rId2"/>
    <sheet name="02_Age_KYC" sheetId="3" r:id="rId3"/>
    <sheet name="03_Service_Length" sheetId="4" r:id="rId4"/>
    <sheet name="04_Invoice_Aging" sheetId="5" r:id="rId5"/>
    <sheet name="05_Payment_Status" sheetId="6" r:id="rId6"/>
    <sheet name="07_Probation_End" sheetId="8" r:id="rId7"/>
    <sheet name="08_Delivery_SLA" sheetId="9" r:id="rId8"/>
    <sheet name="09_Day_Name_Sales" sheetId="10" r:id="rId9"/>
    <sheet name="10_Monthly_Helper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I5" i="9"/>
  <c r="I6" i="9"/>
  <c r="I7" i="9"/>
  <c r="I8" i="9"/>
  <c r="I9" i="9"/>
  <c r="I10" i="9"/>
  <c r="I11" i="9"/>
  <c r="J4" i="8"/>
  <c r="J5" i="8"/>
  <c r="J6" i="8"/>
  <c r="J7" i="8"/>
  <c r="J8" i="8"/>
  <c r="J9" i="8"/>
  <c r="J10" i="8"/>
  <c r="J11" i="8"/>
  <c r="J5" i="6"/>
  <c r="J6" i="6"/>
  <c r="J7" i="6"/>
  <c r="J8" i="6"/>
  <c r="J9" i="6"/>
  <c r="J10" i="6"/>
  <c r="J11" i="6"/>
  <c r="J4" i="6"/>
  <c r="L5" i="4"/>
  <c r="L6" i="4"/>
  <c r="L7" i="4"/>
  <c r="L8" i="4"/>
  <c r="L9" i="4"/>
  <c r="L10" i="4"/>
  <c r="L11" i="4"/>
  <c r="L12" i="4"/>
  <c r="L13" i="4"/>
  <c r="L4" i="4"/>
  <c r="J4" i="4"/>
  <c r="J5" i="4"/>
  <c r="J6" i="4"/>
  <c r="J7" i="4"/>
  <c r="J8" i="4"/>
  <c r="J9" i="4"/>
  <c r="J10" i="4"/>
  <c r="J11" i="4"/>
  <c r="J12" i="4"/>
  <c r="J13" i="4"/>
  <c r="J5" i="3"/>
  <c r="J6" i="3"/>
  <c r="J7" i="3"/>
  <c r="J8" i="3"/>
  <c r="J9" i="3"/>
  <c r="J10" i="3"/>
  <c r="J11" i="3"/>
  <c r="J4" i="3"/>
  <c r="M5" i="2"/>
  <c r="M6" i="2"/>
  <c r="M7" i="2"/>
  <c r="M8" i="2"/>
  <c r="M9" i="2"/>
  <c r="M10" i="2"/>
  <c r="M11" i="2"/>
  <c r="M4" i="2"/>
  <c r="I4" i="8"/>
  <c r="I5" i="8"/>
  <c r="I6" i="8"/>
  <c r="I7" i="8"/>
  <c r="I8" i="8"/>
  <c r="I9" i="8"/>
  <c r="I10" i="8"/>
  <c r="I11" i="8"/>
  <c r="H4" i="8"/>
  <c r="H5" i="8"/>
  <c r="H6" i="8"/>
  <c r="H7" i="8"/>
  <c r="H8" i="8"/>
  <c r="H9" i="8"/>
  <c r="H10" i="8"/>
  <c r="H11" i="8"/>
  <c r="I5" i="6"/>
  <c r="I6" i="6"/>
  <c r="I7" i="6"/>
  <c r="I8" i="6"/>
  <c r="I9" i="6"/>
  <c r="I10" i="6"/>
  <c r="I11" i="6"/>
  <c r="I4" i="6"/>
  <c r="F13" i="4"/>
  <c r="F12" i="4"/>
  <c r="H4" i="4" a="1"/>
  <c r="H4" i="4" s="1"/>
  <c r="H4" i="3" a="1"/>
  <c r="H4" i="3" s="1"/>
  <c r="K5" i="2"/>
  <c r="K6" i="2"/>
  <c r="K7" i="2"/>
  <c r="K8" i="2"/>
  <c r="K9" i="2"/>
  <c r="K10" i="2"/>
  <c r="K11" i="2"/>
  <c r="K4" i="2"/>
  <c r="J5" i="2"/>
  <c r="J6" i="2"/>
  <c r="J7" i="2"/>
  <c r="J8" i="2"/>
  <c r="J9" i="2"/>
  <c r="J10" i="2"/>
  <c r="J11" i="2"/>
  <c r="J4" i="2"/>
  <c r="G5" i="8"/>
  <c r="G6" i="8"/>
  <c r="G7" i="8"/>
  <c r="G8" i="8"/>
  <c r="G9" i="8"/>
  <c r="G10" i="8"/>
  <c r="G11" i="8"/>
  <c r="G4" i="8"/>
  <c r="H5" i="9"/>
  <c r="H6" i="9"/>
  <c r="H7" i="9"/>
  <c r="H8" i="9"/>
  <c r="H9" i="9"/>
  <c r="H10" i="9"/>
  <c r="H11" i="9"/>
  <c r="H4" i="9"/>
  <c r="G11" i="11"/>
  <c r="G10" i="11"/>
  <c r="G9" i="11"/>
  <c r="G8" i="11"/>
  <c r="G7" i="11"/>
  <c r="G6" i="11"/>
  <c r="G5" i="11"/>
  <c r="G4" i="11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G11" i="6"/>
  <c r="G10" i="6"/>
  <c r="G9" i="6"/>
  <c r="G8" i="6"/>
  <c r="G7" i="6"/>
  <c r="G6" i="6"/>
  <c r="G5" i="6"/>
  <c r="G4" i="6"/>
  <c r="G11" i="5"/>
  <c r="G10" i="5"/>
  <c r="G9" i="5"/>
  <c r="G8" i="5"/>
  <c r="G7" i="5"/>
  <c r="G6" i="5"/>
  <c r="G5" i="5"/>
  <c r="G4" i="5"/>
  <c r="F11" i="4"/>
  <c r="F10" i="4"/>
  <c r="F9" i="4"/>
  <c r="F8" i="4"/>
  <c r="F7" i="4"/>
  <c r="F6" i="4"/>
  <c r="F5" i="4"/>
  <c r="F4" i="4"/>
  <c r="F11" i="3"/>
  <c r="F10" i="3"/>
  <c r="F9" i="3"/>
  <c r="F8" i="3"/>
  <c r="F7" i="3"/>
  <c r="F6" i="3"/>
  <c r="F5" i="3"/>
  <c r="F4" i="3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11" i="11" l="1"/>
  <c r="H10" i="11"/>
  <c r="H9" i="11"/>
  <c r="H8" i="11"/>
  <c r="H7" i="11"/>
  <c r="H6" i="11"/>
  <c r="H5" i="11"/>
  <c r="H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<sst xmlns="http://schemas.openxmlformats.org/spreadsheetml/2006/main" count="411" uniqueCount="323">
  <si>
    <t>Sheet</t>
  </si>
  <si>
    <t>Real Business Context</t>
  </si>
  <si>
    <t>Practice Requirement</t>
  </si>
  <si>
    <t>Office attendance tracking for Dhaka/Gazipur/Narayanganj branches</t>
  </si>
  <si>
    <t>Find Late/On Time and Late Minutes from shift start vs in-time.</t>
  </si>
  <si>
    <t>Bank/HR/customer KYC age validation</t>
  </si>
  <si>
    <t>Calculate age from DOB using TODAY().</t>
  </si>
  <si>
    <t>Employee tenure and increment eligibility</t>
  </si>
  <si>
    <t>Calculate service length in years and months.</t>
  </si>
  <si>
    <t>Accounts receivable collection follow-up</t>
  </si>
  <si>
    <t>Calculate how many days each invoice is unpaid.</t>
  </si>
  <si>
    <t>Credit control and overdue payment tracking</t>
  </si>
  <si>
    <t>Check whether payment due date is overdue or still within due date.</t>
  </si>
  <si>
    <t>Accounting month-end closing</t>
  </si>
  <si>
    <t>Find month-end date and accounting period for each transaction.</t>
  </si>
  <si>
    <t>HR confirmation planning</t>
  </si>
  <si>
    <t>Calculate probation end date from joining date and probation months.</t>
  </si>
  <si>
    <t>E-commerce/courier delivery deadline</t>
  </si>
  <si>
    <t>Calculate deadline using working days and Bangladesh weekend pattern.</t>
  </si>
  <si>
    <t>Retail store weekday/weekend sales analysis</t>
  </si>
  <si>
    <t>Find day name and identify weekend days.</t>
  </si>
  <si>
    <t>Sales dashboard helper columns</t>
  </si>
  <si>
    <t>Create month-end helper and month-year label for monthly trend analysis.</t>
  </si>
  <si>
    <t>Use Case 01: HR Attendance — Late or On Time</t>
  </si>
  <si>
    <t>Req: Office starts at 9:30 AM. Students must identify who is Late/On Time and calculate late minutes. Real fields are Employee, Department, Branch, Shift Start, In Time — no unnecessary geography columns.</t>
  </si>
  <si>
    <t>Emp ID</t>
  </si>
  <si>
    <t>Employee Name</t>
  </si>
  <si>
    <t>Department</t>
  </si>
  <si>
    <t>Branch / Work Location</t>
  </si>
  <si>
    <t>Shift Start</t>
  </si>
  <si>
    <t>In Time</t>
  </si>
  <si>
    <t>Status</t>
  </si>
  <si>
    <t>Late Minutes</t>
  </si>
  <si>
    <t>GSA-001</t>
  </si>
  <si>
    <t>Rahim Uddin</t>
  </si>
  <si>
    <t>Sales</t>
  </si>
  <si>
    <t>Uttara Branch</t>
  </si>
  <si>
    <t>GSA-002</t>
  </si>
  <si>
    <t>Nusrat Jahan</t>
  </si>
  <si>
    <t>Accounts</t>
  </si>
  <si>
    <t>Motijheel Branch</t>
  </si>
  <si>
    <t>GSA-003</t>
  </si>
  <si>
    <t>Sabbir Ahmed</t>
  </si>
  <si>
    <t>Warehouse</t>
  </si>
  <si>
    <t>Gazipur DC</t>
  </si>
  <si>
    <t>GSA-004</t>
  </si>
  <si>
    <t>Farhana Islam</t>
  </si>
  <si>
    <t>Customer Support</t>
  </si>
  <si>
    <t>Banani Office</t>
  </si>
  <si>
    <t>GSA-005</t>
  </si>
  <si>
    <t>Imran Hossain</t>
  </si>
  <si>
    <t>Delivery Ops</t>
  </si>
  <si>
    <t>Narayanganj Hub</t>
  </si>
  <si>
    <t>GSA-006</t>
  </si>
  <si>
    <t>Mim Akter</t>
  </si>
  <si>
    <t>HR</t>
  </si>
  <si>
    <t>Dhanmondi Office</t>
  </si>
  <si>
    <t>GSA-007</t>
  </si>
  <si>
    <t>Rakib Hasan</t>
  </si>
  <si>
    <t>Mirpur Branch</t>
  </si>
  <si>
    <t>GSA-008</t>
  </si>
  <si>
    <t>Jannatul Ferdous</t>
  </si>
  <si>
    <t>Training</t>
  </si>
  <si>
    <t>Online Team</t>
  </si>
  <si>
    <t>Use Case 02: Age Calculation — HR/KYC Validation</t>
  </si>
  <si>
    <t>Req: Calculate current age from Date of Birth. Use this for HR recruitment, bank KYC, student admission, insurance customer profile. Keep location only as Home District because full Division/Thana is not necessary here.</t>
  </si>
  <si>
    <t>Record ID</t>
  </si>
  <si>
    <t>Person Name</t>
  </si>
  <si>
    <t>Profile Type</t>
  </si>
  <si>
    <t>Date of Birth</t>
  </si>
  <si>
    <t>Home District</t>
  </si>
  <si>
    <t>Age</t>
  </si>
  <si>
    <t>KYC-1001</t>
  </si>
  <si>
    <t>Md Shakil Rana</t>
  </si>
  <si>
    <t>Retail Banking Customer</t>
  </si>
  <si>
    <t>Dhaka</t>
  </si>
  <si>
    <t>KYC-1002</t>
  </si>
  <si>
    <t>Ayesha Siddika</t>
  </si>
  <si>
    <t>Job Applicant</t>
  </si>
  <si>
    <t>Chattogram</t>
  </si>
  <si>
    <t>KYC-1003</t>
  </si>
  <si>
    <t>Tanvir Hasan</t>
  </si>
  <si>
    <t>Loan Guarantor</t>
  </si>
  <si>
    <t>Sylhet</t>
  </si>
  <si>
    <t>KYC-1004</t>
  </si>
  <si>
    <t>Rumana Akter</t>
  </si>
  <si>
    <t>Insurance Customer</t>
  </si>
  <si>
    <t>Khulna</t>
  </si>
  <si>
    <t>KYC-1005</t>
  </si>
  <si>
    <t>Nabil Chowdhury</t>
  </si>
  <si>
    <t>Intern Candidate</t>
  </si>
  <si>
    <t>Rajshahi</t>
  </si>
  <si>
    <t>KYC-1006</t>
  </si>
  <si>
    <t>Mst. Mim Akter</t>
  </si>
  <si>
    <t>Student Applicant</t>
  </si>
  <si>
    <t>Barishal</t>
  </si>
  <si>
    <t>KYC-1007</t>
  </si>
  <si>
    <t>Arif Hossain</t>
  </si>
  <si>
    <t>Supplier Owner</t>
  </si>
  <si>
    <t>Rangpur</t>
  </si>
  <si>
    <t>KYC-1008</t>
  </si>
  <si>
    <t>Sadia Rahman</t>
  </si>
  <si>
    <t>Training Learner</t>
  </si>
  <si>
    <t>Mymensingh</t>
  </si>
  <si>
    <t>Use Case 03: Employee Service Length / Tenure</t>
  </si>
  <si>
    <t>Req: Calculate each employee’s service length in Years and Months from Joining Date. This is useful for increment, promotion, gratuity/benefit eligibility, and HR dashboard.</t>
  </si>
  <si>
    <t>Designation</t>
  </si>
  <si>
    <t>Joining Date</t>
  </si>
  <si>
    <t>Service Length</t>
  </si>
  <si>
    <t>EMP-2101</t>
  </si>
  <si>
    <t>Hasan Mahmud</t>
  </si>
  <si>
    <t>Finance Executive</t>
  </si>
  <si>
    <t>Finance</t>
  </si>
  <si>
    <t>EMP-2102</t>
  </si>
  <si>
    <t>Sumaiya Akter</t>
  </si>
  <si>
    <t>Data Analyst</t>
  </si>
  <si>
    <t>Analytics</t>
  </si>
  <si>
    <t>EMP-2103</t>
  </si>
  <si>
    <t>Tariqul Islam</t>
  </si>
  <si>
    <t>Branch Manager</t>
  </si>
  <si>
    <t>Retail</t>
  </si>
  <si>
    <t>EMP-2104</t>
  </si>
  <si>
    <t>Nadia Sultana</t>
  </si>
  <si>
    <t>HR Officer</t>
  </si>
  <si>
    <t>EMP-2105</t>
  </si>
  <si>
    <t>Sajib Khan</t>
  </si>
  <si>
    <t>Operations Lead</t>
  </si>
  <si>
    <t>Operations</t>
  </si>
  <si>
    <t>EMP-2106</t>
  </si>
  <si>
    <t>Fahim Rahman</t>
  </si>
  <si>
    <t>BI Developer</t>
  </si>
  <si>
    <t>EMP-2107</t>
  </si>
  <si>
    <t>Sharmin Jahan</t>
  </si>
  <si>
    <t>Training Coordinator</t>
  </si>
  <si>
    <t>EMP-2108</t>
  </si>
  <si>
    <t>Rafi Ahmed</t>
  </si>
  <si>
    <t>Sales Officer</t>
  </si>
  <si>
    <t>Use Case 04: Invoice Aging — Accounts Receivable</t>
  </si>
  <si>
    <t>Req: Calculate how many days each invoice has been outstanding from Invoice Date. This is a realistic collection follow-up dataset: customer, channel, sales territory, invoice date, and invoice amount.</t>
  </si>
  <si>
    <t>Invoice No</t>
  </si>
  <si>
    <t>Customer Name</t>
  </si>
  <si>
    <t>Channel</t>
  </si>
  <si>
    <t>Sales Territory</t>
  </si>
  <si>
    <t>Invoice Date</t>
  </si>
  <si>
    <t>Invoice Amount</t>
  </si>
  <si>
    <t>Aging Days</t>
  </si>
  <si>
    <t>INV-26001</t>
  </si>
  <si>
    <t>Rahim Store</t>
  </si>
  <si>
    <t>Retail Dealer</t>
  </si>
  <si>
    <t>Dhaka North</t>
  </si>
  <si>
    <t>INV-26002</t>
  </si>
  <si>
    <t>Karim Traders</t>
  </si>
  <si>
    <t>Wholesale</t>
  </si>
  <si>
    <t>Chattogram City</t>
  </si>
  <si>
    <t>INV-26003</t>
  </si>
  <si>
    <t>Mymensingh Mart</t>
  </si>
  <si>
    <t>Mymensingh Sadar</t>
  </si>
  <si>
    <t>INV-26004</t>
  </si>
  <si>
    <t>Sylhet Super Shop</t>
  </si>
  <si>
    <t>Modern Trade</t>
  </si>
  <si>
    <t>Sylhet City</t>
  </si>
  <si>
    <t>INV-26005</t>
  </si>
  <si>
    <t>Barishal Enterprise</t>
  </si>
  <si>
    <t>Barishal Sadar</t>
  </si>
  <si>
    <t>INV-26006</t>
  </si>
  <si>
    <t>Gazipur Fashion</t>
  </si>
  <si>
    <t>Gazipur Chowrasta</t>
  </si>
  <si>
    <t>INV-26007</t>
  </si>
  <si>
    <t>Bogura Bazar</t>
  </si>
  <si>
    <t>Bogura Sadar</t>
  </si>
  <si>
    <t>INV-26008</t>
  </si>
  <si>
    <t>Narayanganj Outlet</t>
  </si>
  <si>
    <t>Narayanganj City</t>
  </si>
  <si>
    <t>Use Case 05: Payment Status — Credit Control</t>
  </si>
  <si>
    <t>Req: Check whether each invoice is Overdue or Within Due Date. Real fields: invoice, customer, territory, due date, due amount, collection owner. No irrelevant Division/Thana columns.</t>
  </si>
  <si>
    <t>Due Date</t>
  </si>
  <si>
    <t>Due Amount</t>
  </si>
  <si>
    <t>Collection Officer</t>
  </si>
  <si>
    <t>Payment Status</t>
  </si>
  <si>
    <t>Mehedi Hasan</t>
  </si>
  <si>
    <t>Rezaul Karim</t>
  </si>
  <si>
    <t>Jahid Hossain</t>
  </si>
  <si>
    <t>Tania Islam</t>
  </si>
  <si>
    <t>Power BI Workshop</t>
  </si>
  <si>
    <t>Use Case 07: Probation End Date — HR Confirmation</t>
  </si>
  <si>
    <t>Req: Calculate probation end date using Joining Date + Probation Months. This sheet is realistic for HR confirmation planning; Department matters more than full geographic details.</t>
  </si>
  <si>
    <t>Probation Months</t>
  </si>
  <si>
    <t>Probation End Date</t>
  </si>
  <si>
    <t>EMP-3001</t>
  </si>
  <si>
    <t>Mushfiq Rahman</t>
  </si>
  <si>
    <t>Junior Data Analyst</t>
  </si>
  <si>
    <t>EMP-3002</t>
  </si>
  <si>
    <t>Afia Tabassum</t>
  </si>
  <si>
    <t>Sales Executive</t>
  </si>
  <si>
    <t>EMP-3003</t>
  </si>
  <si>
    <t>Nayeem Hasan</t>
  </si>
  <si>
    <t>Support Executive</t>
  </si>
  <si>
    <t>EMP-3004</t>
  </si>
  <si>
    <t>Mahira Jahan</t>
  </si>
  <si>
    <t>HR Intern</t>
  </si>
  <si>
    <t>EMP-3005</t>
  </si>
  <si>
    <t>Shuvo Das</t>
  </si>
  <si>
    <t>Accounts Assistant</t>
  </si>
  <si>
    <t>EMP-3006</t>
  </si>
  <si>
    <t>Lamisa Islam</t>
  </si>
  <si>
    <t>Power BI Trainer</t>
  </si>
  <si>
    <t>EMP-3007</t>
  </si>
  <si>
    <t>Rasel Ahmed</t>
  </si>
  <si>
    <t>Delivery Supervisor</t>
  </si>
  <si>
    <t>EMP-3008</t>
  </si>
  <si>
    <t>Sadia Nusrat</t>
  </si>
  <si>
    <t>Content Executive</t>
  </si>
  <si>
    <t>Marketing</t>
  </si>
  <si>
    <t>Use Case 08: Delivery SLA — Working Day Deadline</t>
  </si>
  <si>
    <t>Req: Calculate delivery deadline based on Order Date + SLA working days. Here District/Upazila makes sense because delivery route and SLA depend on location. Weekend code 0000011 means Friday &amp; Saturday are weekend.</t>
  </si>
  <si>
    <t>Order ID</t>
  </si>
  <si>
    <t>District/City</t>
  </si>
  <si>
    <t>Upazila/Area</t>
  </si>
  <si>
    <t>Order Date</t>
  </si>
  <si>
    <t>SLA Working Days</t>
  </si>
  <si>
    <t>Weekend Code</t>
  </si>
  <si>
    <t>Delivery Deadline</t>
  </si>
  <si>
    <t>ORD-5001</t>
  </si>
  <si>
    <t>Sadia Fashion</t>
  </si>
  <si>
    <t>Mirpur</t>
  </si>
  <si>
    <t>0000011</t>
  </si>
  <si>
    <t>ORD-5002</t>
  </si>
  <si>
    <t>Karim Electronics</t>
  </si>
  <si>
    <t>Panchlaish</t>
  </si>
  <si>
    <t>ORD-5003</t>
  </si>
  <si>
    <t>Rangpur Agro</t>
  </si>
  <si>
    <t>Mithapukur</t>
  </si>
  <si>
    <t>ORD-5004</t>
  </si>
  <si>
    <t>Sylhet Tea Corner</t>
  </si>
  <si>
    <t>Beanibazar</t>
  </si>
  <si>
    <t>ORD-5005</t>
  </si>
  <si>
    <t>Khulna Mart</t>
  </si>
  <si>
    <t>Sonadanga</t>
  </si>
  <si>
    <t>ORD-5006</t>
  </si>
  <si>
    <t>Narayanganj Retail</t>
  </si>
  <si>
    <t>Narayanganj</t>
  </si>
  <si>
    <t>Fatullah</t>
  </si>
  <si>
    <t>ORD-5007</t>
  </si>
  <si>
    <t>Cumilla Store</t>
  </si>
  <si>
    <t>Cumilla</t>
  </si>
  <si>
    <t>Laksam</t>
  </si>
  <si>
    <t>ORD-5008</t>
  </si>
  <si>
    <t>Bogura</t>
  </si>
  <si>
    <t>Sherpur</t>
  </si>
  <si>
    <t>Use Case 09: Day Name — Retail Sales Pattern</t>
  </si>
  <si>
    <t>Req: Extract day name from sales date and identify weekend. This is useful for understanding weekday/weekend sales pattern, store manpower planning, and campaign timing.</t>
  </si>
  <si>
    <t>Sales ID</t>
  </si>
  <si>
    <t>Sales Date</t>
  </si>
  <si>
    <t>Outlet Name</t>
  </si>
  <si>
    <t>Category</t>
  </si>
  <si>
    <t>Sales Amount</t>
  </si>
  <si>
    <t>Footfall</t>
  </si>
  <si>
    <t>Day Name</t>
  </si>
  <si>
    <t>Day Type</t>
  </si>
  <si>
    <t>SLS-7001</t>
  </si>
  <si>
    <t>Bashundhara City Outlet</t>
  </si>
  <si>
    <t>Footwear</t>
  </si>
  <si>
    <t>SLS-7002</t>
  </si>
  <si>
    <t>Jamuna Future Park</t>
  </si>
  <si>
    <t>Apparel</t>
  </si>
  <si>
    <t>SLS-7003</t>
  </si>
  <si>
    <t>Chattogram GEC Outlet</t>
  </si>
  <si>
    <t>Electronics</t>
  </si>
  <si>
    <t>SLS-7004</t>
  </si>
  <si>
    <t>Sylhet Zindabazar Outlet</t>
  </si>
  <si>
    <t>Grocery</t>
  </si>
  <si>
    <t>SLS-7005</t>
  </si>
  <si>
    <t>Khulna New Market</t>
  </si>
  <si>
    <t>SLS-7006</t>
  </si>
  <si>
    <t>Rajshahi Shaheb Bazar</t>
  </si>
  <si>
    <t>SLS-7007</t>
  </si>
  <si>
    <t>Rangpur City Bazar</t>
  </si>
  <si>
    <t>SLS-7008</t>
  </si>
  <si>
    <t>Mymensingh Town Hall</t>
  </si>
  <si>
    <t>Use Case 10: Monthly Dashboard Helper Columns</t>
  </si>
  <si>
    <t>Req: Create Month End Date and Month-Year helper from sales date. Mentor note: Month End Date is better for Pivot sorting; Month-Year text is only for clean display.</t>
  </si>
  <si>
    <t>Sales Order</t>
  </si>
  <si>
    <t>Lead Source</t>
  </si>
  <si>
    <t>Product/Course</t>
  </si>
  <si>
    <t>Qty</t>
  </si>
  <si>
    <t>Revenue</t>
  </si>
  <si>
    <t>Month End Helper</t>
  </si>
  <si>
    <t>Month-Year Display</t>
  </si>
  <si>
    <t>SO-1001</t>
  </si>
  <si>
    <t>Online</t>
  </si>
  <si>
    <t>Excel Course</t>
  </si>
  <si>
    <t>SO-1002</t>
  </si>
  <si>
    <t>Facebook Lead</t>
  </si>
  <si>
    <t>SO-1003</t>
  </si>
  <si>
    <t>Corporate</t>
  </si>
  <si>
    <t>Dashboard Training</t>
  </si>
  <si>
    <t>SO-1004</t>
  </si>
  <si>
    <t>Referral</t>
  </si>
  <si>
    <t>Data Analytics Course</t>
  </si>
  <si>
    <t>SO-1005</t>
  </si>
  <si>
    <t>SQL Bootcamp</t>
  </si>
  <si>
    <t>SO-1006</t>
  </si>
  <si>
    <t>Python for Data</t>
  </si>
  <si>
    <t>SO-1007</t>
  </si>
  <si>
    <t>Excel Automation</t>
  </si>
  <si>
    <t>SO-1008</t>
  </si>
  <si>
    <t>BI Career Program</t>
  </si>
  <si>
    <t>Excel Date &amp; Time Functions - Corrected Real-Flavour Practice Workbook</t>
  </si>
  <si>
    <t>01 HR Attendance</t>
  </si>
  <si>
    <t>02 Age KYC</t>
  </si>
  <si>
    <t>03 Service Length</t>
  </si>
  <si>
    <t>04 Invoice Aging</t>
  </si>
  <si>
    <t>05 Payment Status</t>
  </si>
  <si>
    <t>06 Month End</t>
  </si>
  <si>
    <t>07 Probation End</t>
  </si>
  <si>
    <t>08 Delivery SLA</t>
  </si>
  <si>
    <t>09 Day Name Sales</t>
  </si>
  <si>
    <t>10 Monthly Helper</t>
  </si>
  <si>
    <r>
      <t xml:space="preserve"> =</t>
    </r>
    <r>
      <rPr>
        <b/>
        <sz val="11"/>
        <color theme="6" tint="-0.249977111117893"/>
        <rFont val="Carlito"/>
      </rPr>
      <t>IF(MAX(0,(F4-E4)*1440)=0,"On Time",</t>
    </r>
    <r>
      <rPr>
        <b/>
        <sz val="11"/>
        <color theme="5" tint="-0.249977111117893"/>
        <rFont val="Carlito"/>
      </rPr>
      <t>INT(MAX(0,(F4-E4)*1440)/60)&amp;" Hour "</t>
    </r>
    <r>
      <rPr>
        <b/>
        <sz val="11"/>
        <color theme="8" tint="-0.249977111117893"/>
        <rFont val="Carlito"/>
      </rPr>
      <t>&amp;MOD(MAX(0,(F4-E4)*1440),60)&amp;" Min")</t>
    </r>
  </si>
  <si>
    <t>Probation End Date2</t>
  </si>
  <si>
    <t>Probation End Date3</t>
  </si>
  <si>
    <t>Column1</t>
  </si>
  <si>
    <t>Probation End Date4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</si>
</sst>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B1F3A"/>
      <name val="Carlito"/>
    </font>
    <font>
      <sz val="8"/>
      <name val="Carlito"/>
    </font>
    <font>
      <b/>
      <sz val="11"/>
      <color theme="6" tint="-0.249977111117893"/>
      <name val="Carlito"/>
    </font>
    <font>
      <b/>
      <sz val="11"/>
      <color theme="5" tint="-0.249977111117893"/>
      <name val="Carlito"/>
    </font>
    <font>
      <b/>
      <sz val="11"/>
      <color theme="8" tint="-0.24997711111789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0B1F3A"/>
      </patternFill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8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center" wrapText="1"/>
    </xf>
    <xf numFmtId="0" fontId="0" fillId="5" borderId="0" xfId="0" applyFill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right"/>
    </xf>
    <xf numFmtId="15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5">
    <dxf>
      <numFmt numFmtId="165" formatCode="[$-409]d\-mmm\-yyyy;@"/>
    </dxf>
    <dxf>
      <numFmt numFmtId="20" formatCode="dd\-mmm\-yy"/>
    </dxf>
    <dxf>
      <numFmt numFmtId="20" formatCode="dd\-mmm\-yy"/>
    </dxf>
    <dxf>
      <numFmt numFmtId="20" formatCode="dd\-mmm\-yy"/>
    </dxf>
    <dxf>
      <numFmt numFmtId="164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3:C13">
  <tableColumns count="3">
    <tableColumn id="1" xr3:uid="{00000000-0010-0000-0000-000001000000}" name="Sheet"/>
    <tableColumn id="2" xr3:uid="{00000000-0010-0000-0000-000002000000}" name="Real Business Context"/>
    <tableColumn id="3" xr3:uid="{00000000-0010-0000-0000-000003000000}" name="Practice Requir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RAttendanceTable" displayName="HRAttendanceTable" ref="A3:H11">
  <tableColumns count="8">
    <tableColumn id="1" xr3:uid="{00000000-0010-0000-0100-000001000000}" name="Emp ID"/>
    <tableColumn id="2" xr3:uid="{00000000-0010-0000-0100-000002000000}" name="Employee Name"/>
    <tableColumn id="3" xr3:uid="{00000000-0010-0000-0100-000003000000}" name="Department"/>
    <tableColumn id="4" xr3:uid="{00000000-0010-0000-0100-000004000000}" name="Branch / Work Location"/>
    <tableColumn id="5" xr3:uid="{00000000-0010-0000-0100-000005000000}" name="Shift Start"/>
    <tableColumn id="6" xr3:uid="{00000000-0010-0000-0100-000006000000}" name="In Time"/>
    <tableColumn id="7" xr3:uid="{00000000-0010-0000-0100-000007000000}" name="Status"/>
    <tableColumn id="8" xr3:uid="{00000000-0010-0000-0100-000008000000}" name="Late Min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KYCTable" displayName="AgeKYCTable" ref="A3:F11">
  <tableColumns count="6">
    <tableColumn id="1" xr3:uid="{00000000-0010-0000-0200-000001000000}" name="Record ID"/>
    <tableColumn id="2" xr3:uid="{00000000-0010-0000-0200-000002000000}" name="Person Name"/>
    <tableColumn id="3" xr3:uid="{00000000-0010-0000-0200-000003000000}" name="Profile Type"/>
    <tableColumn id="4" xr3:uid="{00000000-0010-0000-0200-000004000000}" name="Date of Birth"/>
    <tableColumn id="5" xr3:uid="{00000000-0010-0000-0200-000005000000}" name="Home District"/>
    <tableColumn id="6" xr3:uid="{00000000-0010-0000-0200-000006000000}" name="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LengthTable" displayName="ServiceLengthTable" ref="A3:F13">
  <tableColumns count="6">
    <tableColumn id="1" xr3:uid="{00000000-0010-0000-0300-000001000000}" name="Emp ID"/>
    <tableColumn id="2" xr3:uid="{00000000-0010-0000-0300-000002000000}" name="Employee Name"/>
    <tableColumn id="3" xr3:uid="{00000000-0010-0000-0300-000003000000}" name="Designation"/>
    <tableColumn id="4" xr3:uid="{00000000-0010-0000-0300-000004000000}" name="Department"/>
    <tableColumn id="5" xr3:uid="{00000000-0010-0000-0300-000005000000}" name="Joining Date"/>
    <tableColumn id="6" xr3:uid="{00000000-0010-0000-0300-000006000000}" name="Service Leng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oiceAgingTable" displayName="InvoiceAgingTable" ref="A3:H11">
  <tableColumns count="8">
    <tableColumn id="1" xr3:uid="{00000000-0010-0000-0400-000001000000}" name="Invoice No"/>
    <tableColumn id="2" xr3:uid="{00000000-0010-0000-0400-000002000000}" name="Customer Name"/>
    <tableColumn id="3" xr3:uid="{00000000-0010-0000-0400-000003000000}" name="Channel"/>
    <tableColumn id="4" xr3:uid="{00000000-0010-0000-0400-000004000000}" name="Sales Territory"/>
    <tableColumn id="5" xr3:uid="{00000000-0010-0000-0400-000005000000}" name="Invoice Date"/>
    <tableColumn id="6" xr3:uid="{00000000-0010-0000-0400-000006000000}" name="Invoice Amount"/>
    <tableColumn id="7" xr3:uid="{00000000-0010-0000-0400-000007000000}" name="Aging Days"/>
    <tableColumn id="8" xr3:uid="{4E8F4C45-3419-465D-851A-04C0AE30D93A}" name="Column1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StatusTable" displayName="PaymentStatusTable" ref="A3:G11">
  <tableColumns count="7">
    <tableColumn id="1" xr3:uid="{00000000-0010-0000-0500-000001000000}" name="Invoice No"/>
    <tableColumn id="2" xr3:uid="{00000000-0010-0000-0500-000002000000}" name="Customer Name"/>
    <tableColumn id="3" xr3:uid="{00000000-0010-0000-0500-000003000000}" name="Sales Territory"/>
    <tableColumn id="4" xr3:uid="{00000000-0010-0000-0500-000004000000}" name="Due Date"/>
    <tableColumn id="5" xr3:uid="{00000000-0010-0000-0500-000005000000}" name="Due Amount"/>
    <tableColumn id="6" xr3:uid="{00000000-0010-0000-0500-000006000000}" name="Collection Officer"/>
    <tableColumn id="7" xr3:uid="{00000000-0010-0000-0500-000007000000}" name="Payment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bationTable" displayName="ProbationTable" ref="A3:J11">
  <tableColumns count="10">
    <tableColumn id="1" xr3:uid="{00000000-0010-0000-0700-000001000000}" name="Emp ID"/>
    <tableColumn id="2" xr3:uid="{00000000-0010-0000-0700-000002000000}" name="Employee Name"/>
    <tableColumn id="3" xr3:uid="{00000000-0010-0000-0700-000003000000}" name="Designation"/>
    <tableColumn id="4" xr3:uid="{00000000-0010-0000-0700-000004000000}" name="Department"/>
    <tableColumn id="5" xr3:uid="{00000000-0010-0000-0700-000005000000}" name="Joining Date"/>
    <tableColumn id="6" xr3:uid="{00000000-0010-0000-0700-000006000000}" name="Probation Months"/>
    <tableColumn id="7" xr3:uid="{00000000-0010-0000-0700-000007000000}" name="Probation End Date">
      <calculatedColumnFormula>EDATE(E4,6)</calculatedColumnFormula>
    </tableColumn>
    <tableColumn id="8" xr3:uid="{8503FBBC-45E4-44D1-AA27-6587139095AC}" name="Probation End Date2" dataDxfId="3">
      <calculatedColumnFormula>EDATE(ProbationTable[[#This Row],[Joining Date]],6)</calculatedColumnFormula>
    </tableColumn>
    <tableColumn id="9" xr3:uid="{AB644E62-15FD-446C-B2C3-7C3FE3A1BF66}" name="Probation End Date3" dataDxfId="2">
      <calculatedColumnFormula>EDATE(ProbationTable[[#This Row],[Joining Date]],ProbationTable[[#This Row],[Probation Months]])</calculatedColumnFormula>
    </tableColumn>
    <tableColumn id="11" xr3:uid="{B90DAE76-F0E7-48C0-901B-CA5127E05B86}" name="Probation End Date4" dataDxfId="1">
      <calculatedColumnFormula>EDATE(ProbationTable[[#This Row],[Joining Date]],ProbationTable[[#This Row],[Probation Months]])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liverySLATable" displayName="DeliverySLATable" ref="A3:I11">
  <tableColumns count="9">
    <tableColumn id="1" xr3:uid="{00000000-0010-0000-0800-000001000000}" name="Order ID"/>
    <tableColumn id="2" xr3:uid="{00000000-0010-0000-0800-000002000000}" name="Customer Name"/>
    <tableColumn id="3" xr3:uid="{00000000-0010-0000-0800-000003000000}" name="District/City"/>
    <tableColumn id="4" xr3:uid="{00000000-0010-0000-0800-000004000000}" name="Upazila/Area"/>
    <tableColumn id="5" xr3:uid="{00000000-0010-0000-0800-000005000000}" name="Order Date"/>
    <tableColumn id="6" xr3:uid="{00000000-0010-0000-0800-000006000000}" name="SLA Working Days"/>
    <tableColumn id="7" xr3:uid="{00000000-0010-0000-0800-000007000000}" name="Weekend Code"/>
    <tableColumn id="8" xr3:uid="{00000000-0010-0000-0800-000008000000}" name="Delivery Deadline">
      <calculatedColumnFormula>WORKDAY.INTL(E4,F4,7)</calculatedColumnFormula>
    </tableColumn>
    <tableColumn id="9" xr3:uid="{F027917E-F709-4EA5-B0B6-D4A555900D54}" name="Column1" dataDxfId="0">
      <calculatedColumnFormula>WORKDAY.INTL(DeliverySLATable[[#This Row],[Order Date]],DeliverySLATable[[#This Row],[SLA Working Days]],7)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ySalesTable" displayName="DaySalesTable" ref="A3:H11">
  <tableColumns count="8">
    <tableColumn id="1" xr3:uid="{00000000-0010-0000-0900-000001000000}" name="Sales ID"/>
    <tableColumn id="2" xr3:uid="{00000000-0010-0000-0900-000002000000}" name="Sales Date"/>
    <tableColumn id="3" xr3:uid="{00000000-0010-0000-0900-000003000000}" name="Outlet Name"/>
    <tableColumn id="4" xr3:uid="{00000000-0010-0000-0900-000004000000}" name="Category"/>
    <tableColumn id="5" xr3:uid="{00000000-0010-0000-0900-000005000000}" name="Sales Amount"/>
    <tableColumn id="6" xr3:uid="{00000000-0010-0000-0900-000006000000}" name="Footfall"/>
    <tableColumn id="7" xr3:uid="{00000000-0010-0000-0900-000007000000}" name="Day Name"/>
    <tableColumn id="8" xr3:uid="{00000000-0010-0000-0900-000008000000}" name="Day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onthlyHelperTable" displayName="MonthlyHelperTable" ref="A3:H11">
  <tableColumns count="8">
    <tableColumn id="1" xr3:uid="{00000000-0010-0000-0A00-000001000000}" name="Sales Order"/>
    <tableColumn id="2" xr3:uid="{00000000-0010-0000-0A00-000002000000}" name="Sales Date"/>
    <tableColumn id="3" xr3:uid="{00000000-0010-0000-0A00-000003000000}" name="Lead Source"/>
    <tableColumn id="4" xr3:uid="{00000000-0010-0000-0A00-000004000000}" name="Product/Course"/>
    <tableColumn id="5" xr3:uid="{00000000-0010-0000-0A00-000005000000}" name="Qty"/>
    <tableColumn id="6" xr3:uid="{00000000-0010-0000-0A00-000006000000}" name="Revenue"/>
    <tableColumn id="7" xr3:uid="{00000000-0010-0000-0A00-000007000000}" name="Month End Helper"/>
    <tableColumn id="8" xr3:uid="{00000000-0010-0000-0A00-000008000000}" name="Month-Year Displ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5" sqref="B5"/>
    </sheetView>
  </sheetViews>
  <sheetFormatPr defaultRowHeight="13.8"/>
  <cols>
    <col min="1" max="1" width="32" customWidth="1"/>
    <col min="2" max="2" width="57.5" bestFit="1" customWidth="1"/>
    <col min="3" max="3" width="61.8984375" bestFit="1" customWidth="1"/>
  </cols>
  <sheetData>
    <row r="1" spans="1:3" ht="17.399999999999999">
      <c r="A1" s="12" t="s">
        <v>307</v>
      </c>
      <c r="B1" s="13"/>
      <c r="C1" s="13"/>
    </row>
    <row r="3" spans="1:3">
      <c r="A3" s="1" t="s">
        <v>0</v>
      </c>
      <c r="B3" s="1" t="s">
        <v>1</v>
      </c>
      <c r="C3" s="1" t="s">
        <v>2</v>
      </c>
    </row>
    <row r="4" spans="1:3">
      <c r="A4" t="s">
        <v>308</v>
      </c>
      <c r="B4" t="s">
        <v>3</v>
      </c>
      <c r="C4" t="s">
        <v>4</v>
      </c>
    </row>
    <row r="5" spans="1:3">
      <c r="A5" t="s">
        <v>309</v>
      </c>
      <c r="B5" t="s">
        <v>5</v>
      </c>
      <c r="C5" t="s">
        <v>6</v>
      </c>
    </row>
    <row r="6" spans="1:3">
      <c r="A6" t="s">
        <v>310</v>
      </c>
      <c r="B6" t="s">
        <v>7</v>
      </c>
      <c r="C6" t="s">
        <v>8</v>
      </c>
    </row>
    <row r="7" spans="1:3">
      <c r="A7" t="s">
        <v>311</v>
      </c>
      <c r="B7" t="s">
        <v>9</v>
      </c>
      <c r="C7" t="s">
        <v>10</v>
      </c>
    </row>
    <row r="8" spans="1:3">
      <c r="A8" t="s">
        <v>312</v>
      </c>
      <c r="B8" t="s">
        <v>11</v>
      </c>
      <c r="C8" t="s">
        <v>12</v>
      </c>
    </row>
    <row r="9" spans="1:3">
      <c r="A9" s="7" t="s">
        <v>313</v>
      </c>
      <c r="B9" t="s">
        <v>13</v>
      </c>
      <c r="C9" t="s">
        <v>14</v>
      </c>
    </row>
    <row r="10" spans="1:3">
      <c r="A10" t="s">
        <v>314</v>
      </c>
      <c r="B10" t="s">
        <v>15</v>
      </c>
      <c r="C10" t="s">
        <v>16</v>
      </c>
    </row>
    <row r="11" spans="1:3">
      <c r="A11" t="s">
        <v>315</v>
      </c>
      <c r="B11" t="s">
        <v>17</v>
      </c>
      <c r="C11" t="s">
        <v>18</v>
      </c>
    </row>
    <row r="12" spans="1:3">
      <c r="A12" t="s">
        <v>316</v>
      </c>
      <c r="B12" t="s">
        <v>19</v>
      </c>
      <c r="C12" t="s">
        <v>20</v>
      </c>
    </row>
    <row r="13" spans="1:3">
      <c r="A13" s="7" t="s">
        <v>317</v>
      </c>
      <c r="B13" t="s">
        <v>21</v>
      </c>
      <c r="C13" t="s">
        <v>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opLeftCell="D1" zoomScale="80" zoomScaleNormal="80" workbookViewId="0">
      <selection activeCell="K7" sqref="K7"/>
    </sheetView>
  </sheetViews>
  <sheetFormatPr defaultRowHeight="13.8"/>
  <cols>
    <col min="1" max="1" width="12" customWidth="1"/>
    <col min="2" max="2" width="20" customWidth="1"/>
    <col min="3" max="3" width="18" customWidth="1"/>
    <col min="4" max="4" width="22" customWidth="1"/>
    <col min="5" max="8" width="14" customWidth="1"/>
    <col min="10" max="10" width="11" bestFit="1" customWidth="1"/>
    <col min="11" max="11" width="25.8984375" customWidth="1"/>
    <col min="14" max="14" width="69.59765625" customWidth="1"/>
  </cols>
  <sheetData>
    <row r="1" spans="1:14" ht="17.399999999999999">
      <c r="A1" s="12" t="s">
        <v>23</v>
      </c>
      <c r="B1" s="13"/>
      <c r="C1" s="13"/>
      <c r="D1" s="13"/>
      <c r="E1" s="13"/>
      <c r="F1" s="13"/>
      <c r="G1" s="13"/>
      <c r="H1" s="13"/>
    </row>
    <row r="2" spans="1:14" ht="45.9" customHeight="1">
      <c r="A2" s="14" t="s">
        <v>24</v>
      </c>
      <c r="B2" s="13"/>
      <c r="C2" s="13"/>
      <c r="D2" s="13"/>
      <c r="E2" s="13"/>
      <c r="F2" s="13"/>
      <c r="G2" s="13"/>
      <c r="H2" s="13"/>
      <c r="N2" s="6" t="s">
        <v>318</v>
      </c>
    </row>
    <row r="3" spans="1:14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</row>
    <row r="4" spans="1:14">
      <c r="A4" t="s">
        <v>33</v>
      </c>
      <c r="B4" t="s">
        <v>34</v>
      </c>
      <c r="C4" t="s">
        <v>35</v>
      </c>
      <c r="D4" t="s">
        <v>36</v>
      </c>
      <c r="E4" s="2">
        <v>0.39583333333333331</v>
      </c>
      <c r="F4" s="2">
        <v>0.3833333333333333</v>
      </c>
      <c r="G4" t="str">
        <f t="shared" ref="G4:G11" si="0">IF(F4&gt;E4,"Late","On Time")</f>
        <v>On Time</v>
      </c>
      <c r="H4" s="3">
        <f t="shared" ref="H4:H11" si="1">MAX(0,(F4-E4)*1440)</f>
        <v>0</v>
      </c>
      <c r="J4" s="3">
        <f>MAX(0,HRAttendanceTable[[#This Row],[In Time]]-HRAttendanceTable[[#This Row],[Shift Start]])*1440</f>
        <v>0</v>
      </c>
      <c r="K4" s="9" t="str">
        <f>INT(MAX(0,(F4-E4)*1440)/60)&amp;" Hour "&amp;MOD(MAX(0,(F4-E4)*1440),60)&amp;" Min"</f>
        <v>0 Hour 0 Min</v>
      </c>
      <c r="M4">
        <f>MAX(0,(HRAttendanceTable[[#This Row],[In Time]]-HRAttendanceTable[[#This Row],[Shift Start]])*1440)</f>
        <v>0</v>
      </c>
    </row>
    <row r="5" spans="1:14">
      <c r="A5" t="s">
        <v>37</v>
      </c>
      <c r="B5" t="s">
        <v>38</v>
      </c>
      <c r="C5" t="s">
        <v>39</v>
      </c>
      <c r="D5" t="s">
        <v>40</v>
      </c>
      <c r="E5" s="2">
        <v>0.39583333333333331</v>
      </c>
      <c r="F5" s="2">
        <v>0.3979166666666667</v>
      </c>
      <c r="G5" t="str">
        <f t="shared" si="0"/>
        <v>Late</v>
      </c>
      <c r="H5" s="3">
        <f t="shared" si="1"/>
        <v>3.0000000000000693</v>
      </c>
      <c r="J5" s="3">
        <f>MAX(0,HRAttendanceTable[[#This Row],[In Time]]-HRAttendanceTable[[#This Row],[Shift Start]])*1440</f>
        <v>3.0000000000000693</v>
      </c>
      <c r="K5" s="9" t="str">
        <f t="shared" ref="K5:K11" si="2">INT(MAX(0,(F5-E5)*1440)/60)&amp;" Hour "&amp;MOD(MAX(0,(F5-E5)*1440),60)&amp;" Min"</f>
        <v>0 Hour 3.00000000000007 Min</v>
      </c>
      <c r="M5">
        <f>MAX(0,(HRAttendanceTable[[#This Row],[In Time]]-HRAttendanceTable[[#This Row],[Shift Start]])*1440)</f>
        <v>3.0000000000000693</v>
      </c>
    </row>
    <row r="6" spans="1:14">
      <c r="A6" t="s">
        <v>41</v>
      </c>
      <c r="B6" t="s">
        <v>42</v>
      </c>
      <c r="C6" t="s">
        <v>43</v>
      </c>
      <c r="D6" t="s">
        <v>44</v>
      </c>
      <c r="E6" s="2">
        <v>0.39583333333333331</v>
      </c>
      <c r="F6" s="2">
        <v>0.38750000000000001</v>
      </c>
      <c r="G6" t="str">
        <f t="shared" si="0"/>
        <v>On Time</v>
      </c>
      <c r="H6" s="3">
        <f t="shared" si="1"/>
        <v>0</v>
      </c>
      <c r="J6" s="3">
        <f>MAX(0,HRAttendanceTable[[#This Row],[In Time]]-HRAttendanceTable[[#This Row],[Shift Start]])*1440</f>
        <v>0</v>
      </c>
      <c r="K6" s="9" t="str">
        <f t="shared" si="2"/>
        <v>0 Hour 0 Min</v>
      </c>
      <c r="M6">
        <f>MAX(0,(HRAttendanceTable[[#This Row],[In Time]]-HRAttendanceTable[[#This Row],[Shift Start]])*1440)</f>
        <v>0</v>
      </c>
    </row>
    <row r="7" spans="1:14">
      <c r="A7" t="s">
        <v>45</v>
      </c>
      <c r="B7" t="s">
        <v>46</v>
      </c>
      <c r="C7" t="s">
        <v>47</v>
      </c>
      <c r="D7" t="s">
        <v>48</v>
      </c>
      <c r="E7" s="2">
        <v>0.39583333333333331</v>
      </c>
      <c r="F7" s="2">
        <v>0.46041666666666664</v>
      </c>
      <c r="G7" t="str">
        <f t="shared" si="0"/>
        <v>Late</v>
      </c>
      <c r="H7" s="3">
        <f t="shared" si="1"/>
        <v>92.999999999999986</v>
      </c>
      <c r="J7" s="3">
        <f>MAX(0,HRAttendanceTable[[#This Row],[In Time]]-HRAttendanceTable[[#This Row],[Shift Start]])*1440</f>
        <v>92.999999999999986</v>
      </c>
      <c r="K7" s="9" t="str">
        <f t="shared" si="2"/>
        <v>1 Hour 33 Min</v>
      </c>
      <c r="M7">
        <f>MAX(0,(HRAttendanceTable[[#This Row],[In Time]]-HRAttendanceTable[[#This Row],[Shift Start]])*1440)</f>
        <v>92.999999999999986</v>
      </c>
    </row>
    <row r="8" spans="1:14">
      <c r="A8" t="s">
        <v>49</v>
      </c>
      <c r="B8" t="s">
        <v>50</v>
      </c>
      <c r="C8" t="s">
        <v>51</v>
      </c>
      <c r="D8" t="s">
        <v>52</v>
      </c>
      <c r="E8" s="2">
        <v>0.39583333333333331</v>
      </c>
      <c r="F8" s="2">
        <v>0.35749999999999998</v>
      </c>
      <c r="G8" t="str">
        <f t="shared" si="0"/>
        <v>On Time</v>
      </c>
      <c r="H8" s="3">
        <f t="shared" si="1"/>
        <v>0</v>
      </c>
      <c r="J8" s="3">
        <f>MAX(0,HRAttendanceTable[[#This Row],[In Time]]-HRAttendanceTable[[#This Row],[Shift Start]])*1440</f>
        <v>0</v>
      </c>
      <c r="K8" s="9" t="str">
        <f t="shared" si="2"/>
        <v>0 Hour 0 Min</v>
      </c>
      <c r="M8">
        <f>MAX(0,(HRAttendanceTable[[#This Row],[In Time]]-HRAttendanceTable[[#This Row],[Shift Start]])*1440)</f>
        <v>0</v>
      </c>
    </row>
    <row r="9" spans="1:14">
      <c r="A9" t="s">
        <v>53</v>
      </c>
      <c r="B9" t="s">
        <v>54</v>
      </c>
      <c r="C9" t="s">
        <v>55</v>
      </c>
      <c r="D9" t="s">
        <v>56</v>
      </c>
      <c r="E9" s="2">
        <v>0.39583333333333331</v>
      </c>
      <c r="F9" s="2">
        <v>0.39250000000000002</v>
      </c>
      <c r="G9" t="str">
        <f t="shared" si="0"/>
        <v>On Time</v>
      </c>
      <c r="H9" s="3">
        <f t="shared" si="1"/>
        <v>0</v>
      </c>
      <c r="J9" s="3">
        <f>MAX(0,HRAttendanceTable[[#This Row],[In Time]]-HRAttendanceTable[[#This Row],[Shift Start]])*1440</f>
        <v>0</v>
      </c>
      <c r="K9" s="9" t="str">
        <f t="shared" si="2"/>
        <v>0 Hour 0 Min</v>
      </c>
      <c r="M9">
        <f>MAX(0,(HRAttendanceTable[[#This Row],[In Time]]-HRAttendanceTable[[#This Row],[Shift Start]])*1440)</f>
        <v>0</v>
      </c>
    </row>
    <row r="10" spans="1:14">
      <c r="A10" t="s">
        <v>57</v>
      </c>
      <c r="B10" t="s">
        <v>58</v>
      </c>
      <c r="C10" t="s">
        <v>35</v>
      </c>
      <c r="D10" t="s">
        <v>59</v>
      </c>
      <c r="E10" s="2">
        <v>0.39583333333333331</v>
      </c>
      <c r="F10" s="2">
        <v>0.38250000000000001</v>
      </c>
      <c r="G10" t="str">
        <f t="shared" si="0"/>
        <v>On Time</v>
      </c>
      <c r="H10" s="3">
        <f t="shared" si="1"/>
        <v>0</v>
      </c>
      <c r="J10" s="3">
        <f>MAX(0,HRAttendanceTable[[#This Row],[In Time]]-HRAttendanceTable[[#This Row],[Shift Start]])*1440</f>
        <v>0</v>
      </c>
      <c r="K10" s="9" t="str">
        <f t="shared" si="2"/>
        <v>0 Hour 0 Min</v>
      </c>
      <c r="M10">
        <f>MAX(0,(HRAttendanceTable[[#This Row],[In Time]]-HRAttendanceTable[[#This Row],[Shift Start]])*1440)</f>
        <v>0</v>
      </c>
    </row>
    <row r="11" spans="1:14">
      <c r="A11" t="s">
        <v>60</v>
      </c>
      <c r="B11" t="s">
        <v>61</v>
      </c>
      <c r="C11" t="s">
        <v>62</v>
      </c>
      <c r="D11" t="s">
        <v>63</v>
      </c>
      <c r="E11" s="2">
        <v>0.39583333333333331</v>
      </c>
      <c r="F11" s="2">
        <v>0.38791666666666669</v>
      </c>
      <c r="G11" t="str">
        <f t="shared" si="0"/>
        <v>On Time</v>
      </c>
      <c r="H11" s="3">
        <f t="shared" si="1"/>
        <v>0</v>
      </c>
      <c r="J11" s="3">
        <f>MAX(0,HRAttendanceTable[[#This Row],[In Time]]-HRAttendanceTable[[#This Row],[Shift Start]])*1440</f>
        <v>0</v>
      </c>
      <c r="K11" s="9" t="str">
        <f t="shared" si="2"/>
        <v>0 Hour 0 Min</v>
      </c>
      <c r="M11">
        <f>MAX(0,(HRAttendanceTable[[#This Row],[In Time]]-HRAttendanceTable[[#This Row],[Shift Start]])*1440)</f>
        <v>0</v>
      </c>
    </row>
    <row r="14" spans="1:14">
      <c r="N14" s="8"/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J4" sqref="J4"/>
    </sheetView>
  </sheetViews>
  <sheetFormatPr defaultRowHeight="13.8"/>
  <cols>
    <col min="1" max="1" width="13" customWidth="1"/>
    <col min="2" max="2" width="20" customWidth="1"/>
    <col min="3" max="3" width="22" customWidth="1"/>
    <col min="4" max="4" width="15" customWidth="1"/>
    <col min="5" max="5" width="16" customWidth="1"/>
    <col min="6" max="6" width="10" customWidth="1"/>
  </cols>
  <sheetData>
    <row r="1" spans="1:10" ht="17.399999999999999">
      <c r="A1" s="12" t="s">
        <v>64</v>
      </c>
      <c r="B1" s="13"/>
      <c r="C1" s="13"/>
      <c r="D1" s="13"/>
      <c r="E1" s="13"/>
      <c r="F1" s="13"/>
    </row>
    <row r="2" spans="1:10" ht="45.9" customHeight="1">
      <c r="A2" s="14" t="s">
        <v>65</v>
      </c>
      <c r="B2" s="13"/>
      <c r="C2" s="13"/>
      <c r="D2" s="13"/>
      <c r="E2" s="13"/>
      <c r="F2" s="13"/>
    </row>
    <row r="3" spans="1:10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  <row r="4" spans="1:10">
      <c r="A4" t="s">
        <v>72</v>
      </c>
      <c r="B4" t="s">
        <v>73</v>
      </c>
      <c r="C4" t="s">
        <v>74</v>
      </c>
      <c r="D4" s="4">
        <v>35869</v>
      </c>
      <c r="E4" t="s">
        <v>75</v>
      </c>
      <c r="F4" s="3">
        <f t="shared" ref="F4:F11" ca="1" si="0">DATEDIF(D4,TODAY(),"Y")</f>
        <v>28</v>
      </c>
      <c r="H4" cm="1">
        <f t="array" aca="1" ref="H4:H11" ca="1">DATEDIF(AgeKYCTable[Date of Birth],TODAY(),"Y")</f>
        <v>28</v>
      </c>
      <c r="J4">
        <f ca="1">DATEDIF(AgeKYCTable[[#This Row],[Date of Birth]],TODAY(), "Y")</f>
        <v>28</v>
      </c>
    </row>
    <row r="5" spans="1:10">
      <c r="A5" t="s">
        <v>76</v>
      </c>
      <c r="B5" t="s">
        <v>77</v>
      </c>
      <c r="C5" t="s">
        <v>78</v>
      </c>
      <c r="D5" s="4">
        <v>37092</v>
      </c>
      <c r="E5" t="s">
        <v>79</v>
      </c>
      <c r="F5" s="3">
        <f t="shared" ca="1" si="0"/>
        <v>25</v>
      </c>
      <c r="H5">
        <f ca="1"/>
        <v>25</v>
      </c>
      <c r="J5">
        <f ca="1">DATEDIF(AgeKYCTable[[#This Row],[Date of Birth]],TODAY(), "Y")</f>
        <v>25</v>
      </c>
    </row>
    <row r="6" spans="1:10">
      <c r="A6" t="s">
        <v>80</v>
      </c>
      <c r="B6" t="s">
        <v>81</v>
      </c>
      <c r="C6" t="s">
        <v>82</v>
      </c>
      <c r="D6" s="4">
        <v>32817</v>
      </c>
      <c r="E6" t="s">
        <v>83</v>
      </c>
      <c r="F6" s="3">
        <f t="shared" ca="1" si="0"/>
        <v>36</v>
      </c>
      <c r="H6">
        <f ca="1"/>
        <v>36</v>
      </c>
      <c r="J6">
        <f ca="1">DATEDIF(AgeKYCTable[[#This Row],[Date of Birth]],TODAY(), "Y")</f>
        <v>36</v>
      </c>
    </row>
    <row r="7" spans="1:10">
      <c r="A7" t="s">
        <v>84</v>
      </c>
      <c r="B7" t="s">
        <v>85</v>
      </c>
      <c r="C7" t="s">
        <v>86</v>
      </c>
      <c r="D7" s="4">
        <v>34709</v>
      </c>
      <c r="E7" t="s">
        <v>87</v>
      </c>
      <c r="F7" s="3">
        <f t="shared" ca="1" si="0"/>
        <v>31</v>
      </c>
      <c r="H7">
        <f ca="1"/>
        <v>31</v>
      </c>
      <c r="J7">
        <f ca="1">DATEDIF(AgeKYCTable[[#This Row],[Date of Birth]],TODAY(), "Y")</f>
        <v>31</v>
      </c>
    </row>
    <row r="8" spans="1:10">
      <c r="A8" t="s">
        <v>88</v>
      </c>
      <c r="B8" t="s">
        <v>89</v>
      </c>
      <c r="C8" t="s">
        <v>90</v>
      </c>
      <c r="D8" s="4">
        <v>39054</v>
      </c>
      <c r="E8" t="s">
        <v>91</v>
      </c>
      <c r="F8" s="3">
        <f t="shared" ca="1" si="0"/>
        <v>19</v>
      </c>
      <c r="H8">
        <f ca="1"/>
        <v>19</v>
      </c>
      <c r="J8">
        <f ca="1">DATEDIF(AgeKYCTable[[#This Row],[Date of Birth]],TODAY(), "Y")</f>
        <v>19</v>
      </c>
    </row>
    <row r="9" spans="1:10">
      <c r="A9" t="s">
        <v>92</v>
      </c>
      <c r="B9" t="s">
        <v>93</v>
      </c>
      <c r="C9" t="s">
        <v>94</v>
      </c>
      <c r="D9" s="4">
        <v>38102</v>
      </c>
      <c r="E9" t="s">
        <v>95</v>
      </c>
      <c r="F9" s="3">
        <f t="shared" ca="1" si="0"/>
        <v>22</v>
      </c>
      <c r="H9">
        <f ca="1"/>
        <v>22</v>
      </c>
      <c r="J9">
        <f ca="1">DATEDIF(AgeKYCTable[[#This Row],[Date of Birth]],TODAY(), "Y")</f>
        <v>22</v>
      </c>
    </row>
    <row r="10" spans="1:10">
      <c r="A10" t="s">
        <v>96</v>
      </c>
      <c r="B10" t="s">
        <v>97</v>
      </c>
      <c r="C10" t="s">
        <v>98</v>
      </c>
      <c r="D10" s="4">
        <v>29112</v>
      </c>
      <c r="E10" t="s">
        <v>99</v>
      </c>
      <c r="F10" s="3">
        <f t="shared" ca="1" si="0"/>
        <v>46</v>
      </c>
      <c r="H10">
        <f ca="1"/>
        <v>46</v>
      </c>
      <c r="J10">
        <f ca="1">DATEDIF(AgeKYCTable[[#This Row],[Date of Birth]],TODAY(), "Y")</f>
        <v>46</v>
      </c>
    </row>
    <row r="11" spans="1:10">
      <c r="A11" t="s">
        <v>100</v>
      </c>
      <c r="B11" t="s">
        <v>101</v>
      </c>
      <c r="C11" t="s">
        <v>102</v>
      </c>
      <c r="D11" s="4">
        <v>36341</v>
      </c>
      <c r="E11" t="s">
        <v>103</v>
      </c>
      <c r="F11" s="3">
        <f t="shared" ca="1" si="0"/>
        <v>27</v>
      </c>
      <c r="H11">
        <f ca="1"/>
        <v>27</v>
      </c>
      <c r="J11">
        <f ca="1">DATEDIF(AgeKYCTable[[#This Row],[Date of Birth]],TODAY(), "Y")</f>
        <v>27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opLeftCell="A2" zoomScaleNormal="100" workbookViewId="0">
      <selection activeCell="L4" sqref="L4:L13"/>
    </sheetView>
  </sheetViews>
  <sheetFormatPr defaultRowHeight="13.8"/>
  <cols>
    <col min="1" max="1" width="13" customWidth="1"/>
    <col min="2" max="3" width="20" customWidth="1"/>
    <col min="4" max="5" width="15" customWidth="1"/>
    <col min="6" max="6" width="22" customWidth="1"/>
    <col min="7" max="7" width="20" customWidth="1"/>
    <col min="8" max="8" width="14.296875" customWidth="1"/>
    <col min="10" max="10" width="13.59765625" customWidth="1"/>
    <col min="12" max="12" width="16.19921875" customWidth="1"/>
  </cols>
  <sheetData>
    <row r="1" spans="1:12" ht="17.399999999999999">
      <c r="A1" s="12" t="s">
        <v>104</v>
      </c>
      <c r="B1" s="13"/>
      <c r="C1" s="13"/>
      <c r="D1" s="13"/>
      <c r="E1" s="13"/>
      <c r="F1" s="13"/>
    </row>
    <row r="2" spans="1:12" ht="45.9" customHeight="1">
      <c r="A2" s="14" t="s">
        <v>105</v>
      </c>
      <c r="B2" s="13"/>
      <c r="C2" s="13"/>
      <c r="D2" s="13"/>
      <c r="E2" s="13"/>
      <c r="F2" s="13"/>
    </row>
    <row r="3" spans="1:12">
      <c r="A3" s="1" t="s">
        <v>25</v>
      </c>
      <c r="B3" s="1" t="s">
        <v>26</v>
      </c>
      <c r="C3" s="1" t="s">
        <v>106</v>
      </c>
      <c r="D3" s="1" t="s">
        <v>27</v>
      </c>
      <c r="E3" s="1" t="s">
        <v>107</v>
      </c>
      <c r="F3" s="1" t="s">
        <v>108</v>
      </c>
    </row>
    <row r="4" spans="1:12">
      <c r="A4" t="s">
        <v>109</v>
      </c>
      <c r="B4" t="s">
        <v>110</v>
      </c>
      <c r="C4" t="s">
        <v>111</v>
      </c>
      <c r="D4" t="s">
        <v>112</v>
      </c>
      <c r="E4" s="4">
        <v>44206</v>
      </c>
      <c r="F4" t="str">
        <f t="shared" ref="F4:F11" ca="1" si="0">DATEDIF(E4,TODAY(),"Y")&amp;" Years "&amp;DATEDIF(E4,TODAY(),"YM")&amp;" Months"</f>
        <v>5 Years 7 Months</v>
      </c>
      <c r="H4" t="str" cm="1">
        <f t="array" aca="1" ref="H4:H13" ca="1">DATEDIF(ServiceLengthTable[Joining Date],TODAY(),"Y")&amp;"Years "&amp;DATEDIF(ServiceLengthTable[Joining Date],TODAY(),"YM")&amp;"Month"</f>
        <v>5Years 7Month</v>
      </c>
      <c r="J4" t="str">
        <f ca="1">DATEDIF(ServiceLengthTable[[#This Row],[Joining Date]],TODAY(),"Y")&amp;" Year "&amp;DATEDIF(ServiceLengthTable[[#This Row],[Joining Date]],TODAY(),"YM")&amp;" Month "</f>
        <v xml:space="preserve">5 Year 7 Month </v>
      </c>
      <c r="L4" t="str">
        <f ca="1">DATEDIF(ServiceLengthTable[[#This Row],[Joining Date]],TODAY(),"Y")&amp;" Years "&amp;DATEDIF(ServiceLengthTable[[#This Row],[Joining Date]],TODAY(),"YM")&amp;" Month "</f>
        <v xml:space="preserve">5 Years 7 Month </v>
      </c>
    </row>
    <row r="5" spans="1:12">
      <c r="A5" t="s">
        <v>113</v>
      </c>
      <c r="B5" t="s">
        <v>114</v>
      </c>
      <c r="C5" t="s">
        <v>115</v>
      </c>
      <c r="D5" t="s">
        <v>116</v>
      </c>
      <c r="E5" s="4">
        <v>45153</v>
      </c>
      <c r="F5" t="str">
        <f t="shared" ca="1" si="0"/>
        <v>2 Years 11 Months</v>
      </c>
      <c r="H5" t="str">
        <f ca="1"/>
        <v>2Years 11Month</v>
      </c>
      <c r="J5" t="str">
        <f ca="1">DATEDIF(ServiceLengthTable[[#This Row],[Joining Date]],TODAY(),"Y")&amp;" Year "&amp;DATEDIF(ServiceLengthTable[[#This Row],[Joining Date]],TODAY(),"YM")&amp;" Month "</f>
        <v xml:space="preserve">2 Year 11 Month </v>
      </c>
      <c r="L5" t="str">
        <f ca="1">DATEDIF(ServiceLengthTable[[#This Row],[Joining Date]],TODAY(),"Y")&amp;" Years "&amp;DATEDIF(ServiceLengthTable[[#This Row],[Joining Date]],TODAY(),"YM")&amp;" Month "</f>
        <v xml:space="preserve">2 Years 11 Month </v>
      </c>
    </row>
    <row r="6" spans="1:12">
      <c r="A6" t="s">
        <v>117</v>
      </c>
      <c r="B6" t="s">
        <v>118</v>
      </c>
      <c r="C6" t="s">
        <v>119</v>
      </c>
      <c r="D6" t="s">
        <v>120</v>
      </c>
      <c r="E6" s="4">
        <v>43525</v>
      </c>
      <c r="F6" t="str">
        <f t="shared" ca="1" si="0"/>
        <v>7 Years 5 Months</v>
      </c>
      <c r="H6" t="str">
        <f ca="1"/>
        <v>7Years 5Month</v>
      </c>
      <c r="J6" t="str">
        <f ca="1">DATEDIF(ServiceLengthTable[[#This Row],[Joining Date]],TODAY(),"Y")&amp;" Year "&amp;DATEDIF(ServiceLengthTable[[#This Row],[Joining Date]],TODAY(),"YM")&amp;" Month "</f>
        <v xml:space="preserve">7 Year 5 Month </v>
      </c>
      <c r="L6" t="str">
        <f ca="1">DATEDIF(ServiceLengthTable[[#This Row],[Joining Date]],TODAY(),"Y")&amp;" Years "&amp;DATEDIF(ServiceLengthTable[[#This Row],[Joining Date]],TODAY(),"YM")&amp;" Month "</f>
        <v xml:space="preserve">7 Years 5 Month </v>
      </c>
    </row>
    <row r="7" spans="1:12">
      <c r="A7" t="s">
        <v>121</v>
      </c>
      <c r="B7" t="s">
        <v>122</v>
      </c>
      <c r="C7" t="s">
        <v>123</v>
      </c>
      <c r="D7" t="s">
        <v>55</v>
      </c>
      <c r="E7" s="4">
        <v>44885</v>
      </c>
      <c r="F7" t="str">
        <f t="shared" ca="1" si="0"/>
        <v>3 Years 8 Months</v>
      </c>
      <c r="H7" t="str">
        <f ca="1"/>
        <v>3Years 8Month</v>
      </c>
      <c r="J7" t="str">
        <f ca="1">DATEDIF(ServiceLengthTable[[#This Row],[Joining Date]],TODAY(),"Y")&amp;" Year "&amp;DATEDIF(ServiceLengthTable[[#This Row],[Joining Date]],TODAY(),"YM")&amp;" Month "</f>
        <v xml:space="preserve">3 Year 8 Month </v>
      </c>
      <c r="L7" t="str">
        <f ca="1">DATEDIF(ServiceLengthTable[[#This Row],[Joining Date]],TODAY(),"Y")&amp;" Years "&amp;DATEDIF(ServiceLengthTable[[#This Row],[Joining Date]],TODAY(),"YM")&amp;" Month "</f>
        <v xml:space="preserve">3 Years 8 Month </v>
      </c>
    </row>
    <row r="8" spans="1:12">
      <c r="A8" t="s">
        <v>124</v>
      </c>
      <c r="B8" t="s">
        <v>125</v>
      </c>
      <c r="C8" t="s">
        <v>126</v>
      </c>
      <c r="D8" t="s">
        <v>127</v>
      </c>
      <c r="E8" s="4">
        <v>43989</v>
      </c>
      <c r="F8" t="str">
        <f t="shared" ca="1" si="0"/>
        <v>6 Years 2 Months</v>
      </c>
      <c r="H8" t="str">
        <f ca="1"/>
        <v>6Years 2Month</v>
      </c>
      <c r="J8" t="str">
        <f ca="1">DATEDIF(ServiceLengthTable[[#This Row],[Joining Date]],TODAY(),"Y")&amp;" Year "&amp;DATEDIF(ServiceLengthTable[[#This Row],[Joining Date]],TODAY(),"YM")&amp;" Month "</f>
        <v xml:space="preserve">6 Year 2 Month </v>
      </c>
      <c r="L8" t="str">
        <f ca="1">DATEDIF(ServiceLengthTable[[#This Row],[Joining Date]],TODAY(),"Y")&amp;" Years "&amp;DATEDIF(ServiceLengthTable[[#This Row],[Joining Date]],TODAY(),"YM")&amp;" Month "</f>
        <v xml:space="preserve">6 Years 2 Month </v>
      </c>
    </row>
    <row r="9" spans="1:12">
      <c r="A9" t="s">
        <v>128</v>
      </c>
      <c r="B9" t="s">
        <v>129</v>
      </c>
      <c r="C9" t="s">
        <v>130</v>
      </c>
      <c r="D9" t="s">
        <v>116</v>
      </c>
      <c r="E9" s="4">
        <v>45334</v>
      </c>
      <c r="F9" t="str">
        <f t="shared" ca="1" si="0"/>
        <v>2 Years 5 Months</v>
      </c>
      <c r="H9" t="str">
        <f ca="1"/>
        <v>2Years 5Month</v>
      </c>
      <c r="J9" t="str">
        <f ca="1">DATEDIF(ServiceLengthTable[[#This Row],[Joining Date]],TODAY(),"Y")&amp;" Year "&amp;DATEDIF(ServiceLengthTable[[#This Row],[Joining Date]],TODAY(),"YM")&amp;" Month "</f>
        <v xml:space="preserve">2 Year 5 Month </v>
      </c>
      <c r="L9" t="str">
        <f ca="1">DATEDIF(ServiceLengthTable[[#This Row],[Joining Date]],TODAY(),"Y")&amp;" Years "&amp;DATEDIF(ServiceLengthTable[[#This Row],[Joining Date]],TODAY(),"YM")&amp;" Month "</f>
        <v xml:space="preserve">2 Years 5 Month </v>
      </c>
    </row>
    <row r="10" spans="1:12">
      <c r="A10" t="s">
        <v>131</v>
      </c>
      <c r="B10" t="s">
        <v>132</v>
      </c>
      <c r="C10" t="s">
        <v>133</v>
      </c>
      <c r="D10" t="s">
        <v>62</v>
      </c>
      <c r="E10" s="4">
        <v>45662</v>
      </c>
      <c r="F10" t="str">
        <f t="shared" ca="1" si="0"/>
        <v>1 Years 7 Months</v>
      </c>
      <c r="H10" t="str">
        <f ca="1"/>
        <v>1Years 7Month</v>
      </c>
      <c r="J10" t="str">
        <f ca="1">DATEDIF(ServiceLengthTable[[#This Row],[Joining Date]],TODAY(),"Y")&amp;" Year "&amp;DATEDIF(ServiceLengthTable[[#This Row],[Joining Date]],TODAY(),"YM")&amp;" Month "</f>
        <v xml:space="preserve">1 Year 7 Month </v>
      </c>
      <c r="L10" t="str">
        <f ca="1">DATEDIF(ServiceLengthTable[[#This Row],[Joining Date]],TODAY(),"Y")&amp;" Years "&amp;DATEDIF(ServiceLengthTable[[#This Row],[Joining Date]],TODAY(),"YM")&amp;" Month "</f>
        <v xml:space="preserve">1 Years 7 Month </v>
      </c>
    </row>
    <row r="11" spans="1:12">
      <c r="A11" t="s">
        <v>134</v>
      </c>
      <c r="B11" t="s">
        <v>135</v>
      </c>
      <c r="C11" t="s">
        <v>136</v>
      </c>
      <c r="D11" t="s">
        <v>35</v>
      </c>
      <c r="E11" s="4">
        <v>43368</v>
      </c>
      <c r="F11" t="str">
        <f t="shared" ca="1" si="0"/>
        <v>7 Years 10 Months</v>
      </c>
      <c r="H11" t="str">
        <f ca="1"/>
        <v>7Years 10Month</v>
      </c>
      <c r="J11" t="str">
        <f ca="1">DATEDIF(ServiceLengthTable[[#This Row],[Joining Date]],TODAY(),"Y")&amp;" Year "&amp;DATEDIF(ServiceLengthTable[[#This Row],[Joining Date]],TODAY(),"YM")&amp;" Month "</f>
        <v xml:space="preserve">7 Year 10 Month </v>
      </c>
      <c r="L11" t="str">
        <f ca="1">DATEDIF(ServiceLengthTable[[#This Row],[Joining Date]],TODAY(),"Y")&amp;" Years "&amp;DATEDIF(ServiceLengthTable[[#This Row],[Joining Date]],TODAY(),"YM")&amp;" Month "</f>
        <v xml:space="preserve">7 Years 10 Month </v>
      </c>
    </row>
    <row r="12" spans="1:12">
      <c r="A12" t="s">
        <v>109</v>
      </c>
      <c r="B12" t="s">
        <v>110</v>
      </c>
      <c r="C12" t="s">
        <v>111</v>
      </c>
      <c r="D12" t="s">
        <v>112</v>
      </c>
      <c r="E12" s="4">
        <v>44206</v>
      </c>
      <c r="F12" t="str">
        <f t="shared" ref="F12:F13" ca="1" si="1">DATEDIF(E12,TODAY(),"Y")&amp;" Years "&amp;DATEDIF(E12,TODAY(),"YM")&amp;" Months"</f>
        <v>5 Years 7 Months</v>
      </c>
      <c r="H12" t="str">
        <f ca="1"/>
        <v>5Years 7Month</v>
      </c>
      <c r="J12" t="str">
        <f ca="1">DATEDIF(ServiceLengthTable[[#This Row],[Joining Date]],TODAY(),"Y")&amp;" Year "&amp;DATEDIF(ServiceLengthTable[[#This Row],[Joining Date]],TODAY(),"YM")&amp;" Month "</f>
        <v xml:space="preserve">5 Year 7 Month </v>
      </c>
      <c r="L12" t="str">
        <f ca="1">DATEDIF(ServiceLengthTable[[#This Row],[Joining Date]],TODAY(),"Y")&amp;" Years "&amp;DATEDIF(ServiceLengthTable[[#This Row],[Joining Date]],TODAY(),"YM")&amp;" Month "</f>
        <v xml:space="preserve">5 Years 7 Month </v>
      </c>
    </row>
    <row r="13" spans="1:12">
      <c r="A13" t="s">
        <v>124</v>
      </c>
      <c r="B13" t="s">
        <v>125</v>
      </c>
      <c r="C13" t="s">
        <v>126</v>
      </c>
      <c r="D13" t="s">
        <v>127</v>
      </c>
      <c r="E13" s="4">
        <v>43989</v>
      </c>
      <c r="F13" t="str">
        <f t="shared" ca="1" si="1"/>
        <v>6 Years 2 Months</v>
      </c>
      <c r="H13" t="str">
        <f ca="1"/>
        <v>6Years 2Month</v>
      </c>
      <c r="J13" t="str">
        <f ca="1">DATEDIF(ServiceLengthTable[[#This Row],[Joining Date]],TODAY(),"Y")&amp;" Year "&amp;DATEDIF(ServiceLengthTable[[#This Row],[Joining Date]],TODAY(),"YM")&amp;" Month "</f>
        <v xml:space="preserve">6 Year 2 Month </v>
      </c>
      <c r="L13" t="str">
        <f ca="1">DATEDIF(ServiceLengthTable[[#This Row],[Joining Date]],TODAY(),"Y")&amp;" Years "&amp;DATEDIF(ServiceLengthTable[[#This Row],[Joining Date]],TODAY(),"YM")&amp;" Month "</f>
        <v xml:space="preserve">6 Years 2 Month 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zoomScaleNormal="100" workbookViewId="0">
      <selection activeCell="H4" sqref="H4:H11"/>
    </sheetView>
  </sheetViews>
  <sheetFormatPr defaultRowHeight="13.8"/>
  <cols>
    <col min="1" max="1" width="14" customWidth="1"/>
    <col min="2" max="2" width="22" customWidth="1"/>
    <col min="3" max="3" width="16" customWidth="1"/>
    <col min="4" max="4" width="20" customWidth="1"/>
    <col min="5" max="5" width="15" customWidth="1"/>
    <col min="6" max="6" width="16" customWidth="1"/>
    <col min="7" max="7" width="13" customWidth="1"/>
    <col min="8" max="8" width="12.796875" customWidth="1"/>
    <col min="9" max="9" width="11.19921875" bestFit="1" customWidth="1"/>
  </cols>
  <sheetData>
    <row r="1" spans="1:9" ht="17.399999999999999">
      <c r="A1" s="12" t="s">
        <v>137</v>
      </c>
      <c r="B1" s="13"/>
      <c r="C1" s="13"/>
      <c r="D1" s="13"/>
      <c r="E1" s="13"/>
      <c r="F1" s="13"/>
      <c r="G1" s="13"/>
    </row>
    <row r="2" spans="1:9" ht="45.9" customHeight="1">
      <c r="A2" s="14" t="s">
        <v>138</v>
      </c>
      <c r="B2" s="13"/>
      <c r="C2" s="13"/>
      <c r="D2" s="13"/>
      <c r="E2" s="13"/>
      <c r="F2" s="13"/>
      <c r="G2" s="13"/>
    </row>
    <row r="3" spans="1:9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1" t="s">
        <v>145</v>
      </c>
      <c r="H3" t="s">
        <v>321</v>
      </c>
    </row>
    <row r="4" spans="1:9">
      <c r="A4" t="s">
        <v>146</v>
      </c>
      <c r="B4" t="s">
        <v>147</v>
      </c>
      <c r="C4" t="s">
        <v>148</v>
      </c>
      <c r="D4" t="s">
        <v>149</v>
      </c>
      <c r="E4" s="4">
        <v>46143</v>
      </c>
      <c r="F4" s="5">
        <v>125000</v>
      </c>
      <c r="G4" s="3">
        <f t="shared" ref="G4:G11" ca="1" si="0">TODAY()-E4</f>
        <v>101</v>
      </c>
      <c r="H4" s="4"/>
      <c r="I4" s="4"/>
    </row>
    <row r="5" spans="1:9">
      <c r="A5" t="s">
        <v>150</v>
      </c>
      <c r="B5" t="s">
        <v>151</v>
      </c>
      <c r="C5" t="s">
        <v>152</v>
      </c>
      <c r="D5" t="s">
        <v>153</v>
      </c>
      <c r="E5" s="4">
        <v>46154</v>
      </c>
      <c r="F5" s="5">
        <v>238500</v>
      </c>
      <c r="G5" s="3">
        <f t="shared" ca="1" si="0"/>
        <v>90</v>
      </c>
      <c r="H5" s="4"/>
      <c r="I5" s="4"/>
    </row>
    <row r="6" spans="1:9">
      <c r="A6" t="s">
        <v>154</v>
      </c>
      <c r="B6" t="s">
        <v>155</v>
      </c>
      <c r="C6" t="s">
        <v>148</v>
      </c>
      <c r="D6" t="s">
        <v>156</v>
      </c>
      <c r="E6" s="4">
        <v>46137</v>
      </c>
      <c r="F6" s="5">
        <v>98500</v>
      </c>
      <c r="G6" s="3">
        <f t="shared" ca="1" si="0"/>
        <v>107</v>
      </c>
      <c r="H6" s="4"/>
      <c r="I6" s="4"/>
    </row>
    <row r="7" spans="1:9">
      <c r="A7" t="s">
        <v>157</v>
      </c>
      <c r="B7" t="s">
        <v>158</v>
      </c>
      <c r="C7" t="s">
        <v>159</v>
      </c>
      <c r="D7" t="s">
        <v>160</v>
      </c>
      <c r="E7" s="4">
        <v>46171</v>
      </c>
      <c r="F7" s="5">
        <v>310000</v>
      </c>
      <c r="G7" s="3">
        <f t="shared" ca="1" si="0"/>
        <v>73</v>
      </c>
      <c r="H7" s="4"/>
      <c r="I7" s="4"/>
    </row>
    <row r="8" spans="1:9">
      <c r="A8" t="s">
        <v>161</v>
      </c>
      <c r="B8" t="s">
        <v>162</v>
      </c>
      <c r="C8" t="s">
        <v>152</v>
      </c>
      <c r="D8" t="s">
        <v>163</v>
      </c>
      <c r="E8" s="4">
        <v>46111</v>
      </c>
      <c r="F8" s="5">
        <v>176000</v>
      </c>
      <c r="G8" s="3">
        <f t="shared" ca="1" si="0"/>
        <v>133</v>
      </c>
      <c r="H8" s="4"/>
      <c r="I8" s="4"/>
    </row>
    <row r="9" spans="1:9">
      <c r="A9" t="s">
        <v>164</v>
      </c>
      <c r="B9" t="s">
        <v>165</v>
      </c>
      <c r="C9" t="s">
        <v>148</v>
      </c>
      <c r="D9" t="s">
        <v>166</v>
      </c>
      <c r="E9" s="4">
        <v>46162</v>
      </c>
      <c r="F9" s="5">
        <v>88500</v>
      </c>
      <c r="G9" s="3">
        <f t="shared" ca="1" si="0"/>
        <v>82</v>
      </c>
      <c r="H9" s="4"/>
      <c r="I9" s="4"/>
    </row>
    <row r="10" spans="1:9">
      <c r="A10" t="s">
        <v>167</v>
      </c>
      <c r="B10" t="s">
        <v>168</v>
      </c>
      <c r="C10" t="s">
        <v>148</v>
      </c>
      <c r="D10" t="s">
        <v>169</v>
      </c>
      <c r="E10" s="4">
        <v>46122</v>
      </c>
      <c r="F10" s="5">
        <v>143700</v>
      </c>
      <c r="G10" s="3">
        <f t="shared" ca="1" si="0"/>
        <v>122</v>
      </c>
      <c r="H10" s="4"/>
      <c r="I10" s="4"/>
    </row>
    <row r="11" spans="1:9">
      <c r="A11" t="s">
        <v>170</v>
      </c>
      <c r="B11" t="s">
        <v>171</v>
      </c>
      <c r="C11" t="s">
        <v>159</v>
      </c>
      <c r="D11" t="s">
        <v>172</v>
      </c>
      <c r="E11" s="4">
        <v>46174</v>
      </c>
      <c r="F11" s="5">
        <v>402000</v>
      </c>
      <c r="G11" s="3">
        <f t="shared" ca="1" si="0"/>
        <v>70</v>
      </c>
      <c r="H11" s="4"/>
      <c r="I11" s="4"/>
    </row>
  </sheetData>
  <mergeCells count="2">
    <mergeCell ref="A1:G1"/>
    <mergeCell ref="A2:G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zoomScaleNormal="100" workbookViewId="0">
      <selection activeCell="J4" sqref="J4:J11"/>
    </sheetView>
  </sheetViews>
  <sheetFormatPr defaultRowHeight="13.8"/>
  <cols>
    <col min="1" max="1" width="14" customWidth="1"/>
    <col min="2" max="2" width="22" customWidth="1"/>
    <col min="3" max="3" width="20" customWidth="1"/>
    <col min="4" max="4" width="15" customWidth="1"/>
    <col min="5" max="5" width="14" customWidth="1"/>
    <col min="6" max="6" width="20" customWidth="1"/>
    <col min="7" max="7" width="18" customWidth="1"/>
    <col min="9" max="9" width="15.09765625" customWidth="1"/>
    <col min="10" max="10" width="14.3984375" customWidth="1"/>
  </cols>
  <sheetData>
    <row r="1" spans="1:10" ht="17.399999999999999">
      <c r="A1" s="12" t="s">
        <v>173</v>
      </c>
      <c r="B1" s="13"/>
      <c r="C1" s="13"/>
      <c r="D1" s="13"/>
      <c r="E1" s="13"/>
      <c r="F1" s="13"/>
      <c r="G1" s="13"/>
    </row>
    <row r="2" spans="1:10" ht="45.9" customHeight="1">
      <c r="A2" s="14" t="s">
        <v>174</v>
      </c>
      <c r="B2" s="13"/>
      <c r="C2" s="13"/>
      <c r="D2" s="13"/>
      <c r="E2" s="13"/>
      <c r="F2" s="13"/>
      <c r="G2" s="13"/>
    </row>
    <row r="3" spans="1:10">
      <c r="A3" s="1" t="s">
        <v>139</v>
      </c>
      <c r="B3" s="1" t="s">
        <v>140</v>
      </c>
      <c r="C3" s="1" t="s">
        <v>142</v>
      </c>
      <c r="D3" s="1" t="s">
        <v>175</v>
      </c>
      <c r="E3" s="1" t="s">
        <v>176</v>
      </c>
      <c r="F3" s="1" t="s">
        <v>177</v>
      </c>
      <c r="G3" s="1" t="s">
        <v>178</v>
      </c>
    </row>
    <row r="4" spans="1:10">
      <c r="A4" t="s">
        <v>146</v>
      </c>
      <c r="B4" t="s">
        <v>147</v>
      </c>
      <c r="C4" t="s">
        <v>149</v>
      </c>
      <c r="D4" s="4">
        <v>46176</v>
      </c>
      <c r="E4" s="5">
        <v>125000</v>
      </c>
      <c r="F4" t="s">
        <v>179</v>
      </c>
      <c r="G4" t="str">
        <f t="shared" ref="G4:G11" ca="1" si="0">IF(TODAY()&gt;D4,"Overdue","Within Due Date")</f>
        <v>Overdue</v>
      </c>
      <c r="I4" t="str">
        <f ca="1">IF(TODAY()&gt;D4,"Overdue","Within Due Date")</f>
        <v>Overdue</v>
      </c>
      <c r="J4" t="str">
        <f ca="1">IF(TODAY()&gt;D4,"OverDue","Within due date")</f>
        <v>OverDue</v>
      </c>
    </row>
    <row r="5" spans="1:10">
      <c r="A5" t="s">
        <v>150</v>
      </c>
      <c r="B5" t="s">
        <v>151</v>
      </c>
      <c r="C5" t="s">
        <v>153</v>
      </c>
      <c r="D5" s="4">
        <v>46188</v>
      </c>
      <c r="E5" s="5">
        <v>238500</v>
      </c>
      <c r="F5" t="s">
        <v>180</v>
      </c>
      <c r="G5" t="str">
        <f t="shared" ca="1" si="0"/>
        <v>Overdue</v>
      </c>
      <c r="I5" t="str">
        <f t="shared" ref="I5:I11" ca="1" si="1">IF(TODAY()&gt;D5,"Overdue","Within Due Date")</f>
        <v>Overdue</v>
      </c>
      <c r="J5" t="str">
        <f t="shared" ref="J5:J11" ca="1" si="2">IF(TODAY()&gt;D5,"OverDue","Within due date")</f>
        <v>OverDue</v>
      </c>
    </row>
    <row r="6" spans="1:10">
      <c r="A6" t="s">
        <v>154</v>
      </c>
      <c r="B6" t="s">
        <v>155</v>
      </c>
      <c r="C6" t="s">
        <v>156</v>
      </c>
      <c r="D6" s="4">
        <v>46170</v>
      </c>
      <c r="E6" s="5">
        <v>98500</v>
      </c>
      <c r="F6" t="s">
        <v>54</v>
      </c>
      <c r="G6" t="str">
        <f t="shared" ca="1" si="0"/>
        <v>Overdue</v>
      </c>
      <c r="I6" t="str">
        <f t="shared" ca="1" si="1"/>
        <v>Overdue</v>
      </c>
      <c r="J6" t="str">
        <f t="shared" ca="1" si="2"/>
        <v>OverDue</v>
      </c>
    </row>
    <row r="7" spans="1:10">
      <c r="A7" t="s">
        <v>157</v>
      </c>
      <c r="B7" t="s">
        <v>158</v>
      </c>
      <c r="C7" t="s">
        <v>160</v>
      </c>
      <c r="D7" s="4">
        <v>46193</v>
      </c>
      <c r="E7" s="5">
        <v>310000</v>
      </c>
      <c r="F7" t="s">
        <v>181</v>
      </c>
      <c r="G7" t="str">
        <f t="shared" ca="1" si="0"/>
        <v>Overdue</v>
      </c>
      <c r="I7" t="str">
        <f t="shared" ca="1" si="1"/>
        <v>Overdue</v>
      </c>
      <c r="J7" t="str">
        <f t="shared" ca="1" si="2"/>
        <v>OverDue</v>
      </c>
    </row>
    <row r="8" spans="1:10">
      <c r="A8" t="s">
        <v>161</v>
      </c>
      <c r="B8" t="s">
        <v>162</v>
      </c>
      <c r="C8" t="s">
        <v>163</v>
      </c>
      <c r="D8" s="4">
        <v>46157</v>
      </c>
      <c r="E8" s="5">
        <v>176000</v>
      </c>
      <c r="F8" t="s">
        <v>182</v>
      </c>
      <c r="G8" t="str">
        <f t="shared" ca="1" si="0"/>
        <v>Overdue</v>
      </c>
      <c r="I8" t="str">
        <f t="shared" ca="1" si="1"/>
        <v>Overdue</v>
      </c>
      <c r="J8" t="str">
        <f t="shared" ca="1" si="2"/>
        <v>OverDue</v>
      </c>
    </row>
    <row r="9" spans="1:10">
      <c r="A9" t="s">
        <v>164</v>
      </c>
      <c r="B9" t="s">
        <v>165</v>
      </c>
      <c r="C9" t="s">
        <v>166</v>
      </c>
      <c r="D9" s="4">
        <v>46181</v>
      </c>
      <c r="E9" s="5">
        <v>88500</v>
      </c>
      <c r="F9" t="s">
        <v>58</v>
      </c>
      <c r="G9" t="str">
        <f t="shared" ca="1" si="0"/>
        <v>Overdue</v>
      </c>
      <c r="I9" t="str">
        <f t="shared" ca="1" si="1"/>
        <v>Overdue</v>
      </c>
      <c r="J9" t="str">
        <f t="shared" ca="1" si="2"/>
        <v>OverDue</v>
      </c>
    </row>
    <row r="10" spans="1:10">
      <c r="A10" t="s">
        <v>167</v>
      </c>
      <c r="B10" t="s">
        <v>168</v>
      </c>
      <c r="C10" t="s">
        <v>169</v>
      </c>
      <c r="D10" s="4">
        <v>46174</v>
      </c>
      <c r="E10" s="5">
        <v>143700</v>
      </c>
      <c r="F10" t="s">
        <v>42</v>
      </c>
      <c r="G10" t="str">
        <f t="shared" ca="1" si="0"/>
        <v>Overdue</v>
      </c>
      <c r="I10" t="str">
        <f t="shared" ca="1" si="1"/>
        <v>Overdue</v>
      </c>
      <c r="J10" t="str">
        <f t="shared" ca="1" si="2"/>
        <v>OverDue</v>
      </c>
    </row>
    <row r="11" spans="1:10">
      <c r="A11" t="s">
        <v>170</v>
      </c>
      <c r="B11" t="s">
        <v>171</v>
      </c>
      <c r="C11" t="s">
        <v>172</v>
      </c>
      <c r="D11" s="4">
        <v>46203</v>
      </c>
      <c r="E11" s="5">
        <v>402000</v>
      </c>
      <c r="F11" t="s">
        <v>38</v>
      </c>
      <c r="G11" t="str">
        <f t="shared" ca="1" si="0"/>
        <v>Overdue</v>
      </c>
      <c r="I11" t="str">
        <f t="shared" ca="1" si="1"/>
        <v>Overdue</v>
      </c>
      <c r="J11" t="str">
        <f t="shared" ca="1" si="2"/>
        <v>OverDue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tabSelected="1" topLeftCell="B1" zoomScale="110" zoomScaleNormal="110" workbookViewId="0">
      <selection activeCell="K3" sqref="K3"/>
    </sheetView>
  </sheetViews>
  <sheetFormatPr defaultRowHeight="13.8"/>
  <cols>
    <col min="1" max="1" width="13" customWidth="1"/>
    <col min="2" max="2" width="20" customWidth="1"/>
    <col min="3" max="3" width="22" customWidth="1"/>
    <col min="4" max="4" width="18" customWidth="1"/>
    <col min="5" max="5" width="15" customWidth="1"/>
    <col min="6" max="6" width="16" customWidth="1"/>
    <col min="7" max="7" width="18" customWidth="1"/>
    <col min="8" max="8" width="20.8984375" customWidth="1"/>
    <col min="9" max="9" width="12.69921875" customWidth="1"/>
    <col min="10" max="10" width="16" customWidth="1"/>
  </cols>
  <sheetData>
    <row r="1" spans="1:10" ht="17.399999999999999">
      <c r="A1" s="12" t="s">
        <v>184</v>
      </c>
      <c r="B1" s="13"/>
      <c r="C1" s="13"/>
      <c r="D1" s="13"/>
      <c r="E1" s="13"/>
      <c r="F1" s="13"/>
      <c r="G1" s="13"/>
    </row>
    <row r="2" spans="1:10" ht="45.9" customHeight="1">
      <c r="A2" s="14" t="s">
        <v>185</v>
      </c>
      <c r="B2" s="13"/>
      <c r="C2" s="13"/>
      <c r="D2" s="13"/>
      <c r="E2" s="13"/>
      <c r="F2" s="13"/>
      <c r="G2" s="13"/>
    </row>
    <row r="3" spans="1:10" ht="27.6">
      <c r="A3" s="1" t="s">
        <v>25</v>
      </c>
      <c r="B3" s="1" t="s">
        <v>26</v>
      </c>
      <c r="C3" s="1" t="s">
        <v>106</v>
      </c>
      <c r="D3" s="1" t="s">
        <v>27</v>
      </c>
      <c r="E3" s="1" t="s">
        <v>107</v>
      </c>
      <c r="F3" s="1" t="s">
        <v>186</v>
      </c>
      <c r="G3" s="1" t="s">
        <v>187</v>
      </c>
      <c r="H3" s="1" t="s">
        <v>319</v>
      </c>
      <c r="I3" s="1" t="s">
        <v>320</v>
      </c>
      <c r="J3" t="s">
        <v>322</v>
      </c>
    </row>
    <row r="4" spans="1:10">
      <c r="A4" t="s">
        <v>188</v>
      </c>
      <c r="B4" t="s">
        <v>189</v>
      </c>
      <c r="C4" t="s">
        <v>190</v>
      </c>
      <c r="D4" t="s">
        <v>116</v>
      </c>
      <c r="E4" s="4">
        <v>46023</v>
      </c>
      <c r="F4">
        <v>6</v>
      </c>
      <c r="G4" s="4">
        <f>EDATE(E4,6)</f>
        <v>46204</v>
      </c>
      <c r="H4" s="10">
        <f>EDATE(ProbationTable[[#This Row],[Joining Date]],6)</f>
        <v>46204</v>
      </c>
      <c r="I4" s="10">
        <f>EDATE(ProbationTable[[#This Row],[Joining Date]],ProbationTable[[#This Row],[Probation Months]])</f>
        <v>46204</v>
      </c>
      <c r="J4" s="10">
        <f>EDATE(ProbationTable[[#This Row],[Joining Date]],ProbationTable[[#This Row],[Probation Months]])</f>
        <v>46204</v>
      </c>
    </row>
    <row r="5" spans="1:10">
      <c r="A5" t="s">
        <v>191</v>
      </c>
      <c r="B5" t="s">
        <v>192</v>
      </c>
      <c r="C5" t="s">
        <v>193</v>
      </c>
      <c r="D5" t="s">
        <v>35</v>
      </c>
      <c r="E5" s="4">
        <v>46068</v>
      </c>
      <c r="F5">
        <v>3</v>
      </c>
      <c r="G5" s="4">
        <f t="shared" ref="G5:G11" si="0">EDATE(E5,6)</f>
        <v>46249</v>
      </c>
      <c r="H5" s="10">
        <f>EDATE(ProbationTable[[#This Row],[Joining Date]],6)</f>
        <v>46249</v>
      </c>
      <c r="I5" s="10">
        <f>EDATE(ProbationTable[[#This Row],[Joining Date]],ProbationTable[[#This Row],[Probation Months]])</f>
        <v>46157</v>
      </c>
      <c r="J5" s="10">
        <f>EDATE(ProbationTable[[#This Row],[Joining Date]],ProbationTable[[#This Row],[Probation Months]])</f>
        <v>46157</v>
      </c>
    </row>
    <row r="6" spans="1:10">
      <c r="A6" t="s">
        <v>194</v>
      </c>
      <c r="B6" t="s">
        <v>195</v>
      </c>
      <c r="C6" t="s">
        <v>196</v>
      </c>
      <c r="D6" t="s">
        <v>47</v>
      </c>
      <c r="E6" s="4">
        <v>46091</v>
      </c>
      <c r="F6">
        <v>6</v>
      </c>
      <c r="G6" s="4">
        <f t="shared" si="0"/>
        <v>46275</v>
      </c>
      <c r="H6" s="10">
        <f>EDATE(ProbationTable[[#This Row],[Joining Date]],6)</f>
        <v>46275</v>
      </c>
      <c r="I6" s="10">
        <f>EDATE(ProbationTable[[#This Row],[Joining Date]],ProbationTable[[#This Row],[Probation Months]])</f>
        <v>46275</v>
      </c>
      <c r="J6" s="10">
        <f>EDATE(ProbationTable[[#This Row],[Joining Date]],ProbationTable[[#This Row],[Probation Months]])</f>
        <v>46275</v>
      </c>
    </row>
    <row r="7" spans="1:10">
      <c r="A7" t="s">
        <v>197</v>
      </c>
      <c r="B7" t="s">
        <v>198</v>
      </c>
      <c r="C7" t="s">
        <v>199</v>
      </c>
      <c r="D7" t="s">
        <v>55</v>
      </c>
      <c r="E7" s="4">
        <v>46113</v>
      </c>
      <c r="F7">
        <v>3</v>
      </c>
      <c r="G7" s="4">
        <f t="shared" si="0"/>
        <v>46296</v>
      </c>
      <c r="H7" s="10">
        <f>EDATE(ProbationTable[[#This Row],[Joining Date]],6)</f>
        <v>46296</v>
      </c>
      <c r="I7" s="10">
        <f>EDATE(ProbationTable[[#This Row],[Joining Date]],ProbationTable[[#This Row],[Probation Months]])</f>
        <v>46204</v>
      </c>
      <c r="J7" s="10">
        <f>EDATE(ProbationTable[[#This Row],[Joining Date]],ProbationTable[[#This Row],[Probation Months]])</f>
        <v>46204</v>
      </c>
    </row>
    <row r="8" spans="1:10">
      <c r="A8" t="s">
        <v>200</v>
      </c>
      <c r="B8" t="s">
        <v>201</v>
      </c>
      <c r="C8" t="s">
        <v>202</v>
      </c>
      <c r="D8" t="s">
        <v>112</v>
      </c>
      <c r="E8" s="4">
        <v>46147</v>
      </c>
      <c r="F8">
        <v>6</v>
      </c>
      <c r="G8" s="4">
        <f t="shared" si="0"/>
        <v>46331</v>
      </c>
      <c r="H8" s="10">
        <f>EDATE(ProbationTable[[#This Row],[Joining Date]],6)</f>
        <v>46331</v>
      </c>
      <c r="I8" s="10">
        <f>EDATE(ProbationTable[[#This Row],[Joining Date]],ProbationTable[[#This Row],[Probation Months]])</f>
        <v>46331</v>
      </c>
      <c r="J8" s="10">
        <f>EDATE(ProbationTable[[#This Row],[Joining Date]],ProbationTable[[#This Row],[Probation Months]])</f>
        <v>46331</v>
      </c>
    </row>
    <row r="9" spans="1:10">
      <c r="A9" t="s">
        <v>203</v>
      </c>
      <c r="B9" t="s">
        <v>204</v>
      </c>
      <c r="C9" t="s">
        <v>205</v>
      </c>
      <c r="D9" t="s">
        <v>62</v>
      </c>
      <c r="E9" s="4">
        <v>46042</v>
      </c>
      <c r="F9">
        <v>6</v>
      </c>
      <c r="G9" s="4">
        <f t="shared" si="0"/>
        <v>46223</v>
      </c>
      <c r="H9" s="10">
        <f>EDATE(ProbationTable[[#This Row],[Joining Date]],6)</f>
        <v>46223</v>
      </c>
      <c r="I9" s="10">
        <f>EDATE(ProbationTable[[#This Row],[Joining Date]],ProbationTable[[#This Row],[Probation Months]])</f>
        <v>46223</v>
      </c>
      <c r="J9" s="10">
        <f>EDATE(ProbationTable[[#This Row],[Joining Date]],ProbationTable[[#This Row],[Probation Months]])</f>
        <v>46223</v>
      </c>
    </row>
    <row r="10" spans="1:10">
      <c r="A10" t="s">
        <v>206</v>
      </c>
      <c r="B10" t="s">
        <v>207</v>
      </c>
      <c r="C10" t="s">
        <v>208</v>
      </c>
      <c r="D10" t="s">
        <v>127</v>
      </c>
      <c r="E10" s="4">
        <v>46081</v>
      </c>
      <c r="F10">
        <v>6</v>
      </c>
      <c r="G10" s="4">
        <f t="shared" si="0"/>
        <v>46262</v>
      </c>
      <c r="H10" s="10">
        <f>EDATE(ProbationTable[[#This Row],[Joining Date]],6)</f>
        <v>46262</v>
      </c>
      <c r="I10" s="10">
        <f>EDATE(ProbationTable[[#This Row],[Joining Date]],ProbationTable[[#This Row],[Probation Months]])</f>
        <v>46262</v>
      </c>
      <c r="J10" s="10">
        <f>EDATE(ProbationTable[[#This Row],[Joining Date]],ProbationTable[[#This Row],[Probation Months]])</f>
        <v>46262</v>
      </c>
    </row>
    <row r="11" spans="1:10">
      <c r="A11" t="s">
        <v>209</v>
      </c>
      <c r="B11" t="s">
        <v>210</v>
      </c>
      <c r="C11" t="s">
        <v>211</v>
      </c>
      <c r="D11" t="s">
        <v>212</v>
      </c>
      <c r="E11" s="4">
        <v>46106</v>
      </c>
      <c r="F11">
        <v>3</v>
      </c>
      <c r="G11" s="4">
        <f t="shared" si="0"/>
        <v>46290</v>
      </c>
      <c r="H11" s="10">
        <f>EDATE(ProbationTable[[#This Row],[Joining Date]],6)</f>
        <v>46290</v>
      </c>
      <c r="I11" s="10">
        <f>EDATE(ProbationTable[[#This Row],[Joining Date]],ProbationTable[[#This Row],[Probation Months]])</f>
        <v>46198</v>
      </c>
      <c r="J11" s="10">
        <f>EDATE(ProbationTable[[#This Row],[Joining Date]],ProbationTable[[#This Row],[Probation Months]])</f>
        <v>46198</v>
      </c>
    </row>
  </sheetData>
  <mergeCells count="2">
    <mergeCell ref="A1:G1"/>
    <mergeCell ref="A2:G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zoomScale="110" zoomScaleNormal="110" workbookViewId="0">
      <selection activeCell="I4" sqref="I4:I11"/>
    </sheetView>
  </sheetViews>
  <sheetFormatPr defaultRowHeight="13.8"/>
  <cols>
    <col min="1" max="1" width="13" customWidth="1"/>
    <col min="2" max="2" width="22" customWidth="1"/>
    <col min="3" max="3" width="16" customWidth="1"/>
    <col min="4" max="4" width="18" customWidth="1"/>
    <col min="5" max="5" width="15" customWidth="1"/>
    <col min="6" max="6" width="17.19921875" customWidth="1"/>
    <col min="7" max="7" width="14" customWidth="1"/>
    <col min="8" max="8" width="18" customWidth="1"/>
    <col min="9" max="9" width="11" bestFit="1" customWidth="1"/>
  </cols>
  <sheetData>
    <row r="1" spans="1:9" ht="17.399999999999999">
      <c r="A1" s="12" t="s">
        <v>213</v>
      </c>
      <c r="B1" s="13"/>
      <c r="C1" s="13"/>
      <c r="D1" s="13"/>
      <c r="E1" s="13"/>
      <c r="F1" s="13"/>
      <c r="G1" s="13"/>
      <c r="H1" s="13"/>
    </row>
    <row r="2" spans="1:9" ht="45.9" customHeight="1">
      <c r="A2" s="14" t="s">
        <v>214</v>
      </c>
      <c r="B2" s="13"/>
      <c r="C2" s="13"/>
      <c r="D2" s="13"/>
      <c r="E2" s="13"/>
      <c r="F2" s="13"/>
      <c r="G2" s="13"/>
      <c r="H2" s="13"/>
    </row>
    <row r="3" spans="1:9" ht="27.6">
      <c r="A3" s="1" t="s">
        <v>215</v>
      </c>
      <c r="B3" s="1" t="s">
        <v>140</v>
      </c>
      <c r="C3" s="1" t="s">
        <v>216</v>
      </c>
      <c r="D3" s="1" t="s">
        <v>217</v>
      </c>
      <c r="E3" s="1" t="s">
        <v>218</v>
      </c>
      <c r="F3" s="1" t="s">
        <v>219</v>
      </c>
      <c r="G3" s="1" t="s">
        <v>220</v>
      </c>
      <c r="H3" s="1" t="s">
        <v>221</v>
      </c>
      <c r="I3" t="s">
        <v>321</v>
      </c>
    </row>
    <row r="4" spans="1:9">
      <c r="A4" t="s">
        <v>222</v>
      </c>
      <c r="B4" t="s">
        <v>223</v>
      </c>
      <c r="C4" t="s">
        <v>75</v>
      </c>
      <c r="D4" t="s">
        <v>224</v>
      </c>
      <c r="E4" s="4">
        <v>46174</v>
      </c>
      <c r="F4">
        <v>3</v>
      </c>
      <c r="G4" t="s">
        <v>225</v>
      </c>
      <c r="H4" s="4">
        <f>WORKDAY.INTL(E4,F4,7)</f>
        <v>46177</v>
      </c>
      <c r="I4" s="11">
        <f>WORKDAY.INTL(DeliverySLATable[[#This Row],[Order Date]],DeliverySLATable[[#This Row],[SLA Working Days]],7)</f>
        <v>46177</v>
      </c>
    </row>
    <row r="5" spans="1:9">
      <c r="A5" t="s">
        <v>226</v>
      </c>
      <c r="B5" t="s">
        <v>227</v>
      </c>
      <c r="C5" t="s">
        <v>79</v>
      </c>
      <c r="D5" t="s">
        <v>228</v>
      </c>
      <c r="E5" s="4">
        <v>46177</v>
      </c>
      <c r="F5">
        <v>3</v>
      </c>
      <c r="G5" t="s">
        <v>225</v>
      </c>
      <c r="H5" s="4">
        <f t="shared" ref="H5:H11" si="0">WORKDAY.INTL(E5,F5,7)</f>
        <v>46182</v>
      </c>
      <c r="I5" s="11">
        <f>WORKDAY.INTL(DeliverySLATable[[#This Row],[Order Date]],DeliverySLATable[[#This Row],[SLA Working Days]],7)</f>
        <v>46182</v>
      </c>
    </row>
    <row r="6" spans="1:9">
      <c r="A6" t="s">
        <v>229</v>
      </c>
      <c r="B6" t="s">
        <v>230</v>
      </c>
      <c r="C6" t="s">
        <v>99</v>
      </c>
      <c r="D6" t="s">
        <v>231</v>
      </c>
      <c r="E6" s="4">
        <v>46178</v>
      </c>
      <c r="F6">
        <v>5</v>
      </c>
      <c r="G6" t="s">
        <v>225</v>
      </c>
      <c r="H6" s="4">
        <f t="shared" si="0"/>
        <v>46184</v>
      </c>
      <c r="I6" s="11">
        <f>WORKDAY.INTL(DeliverySLATable[[#This Row],[Order Date]],DeliverySLATable[[#This Row],[SLA Working Days]],7)</f>
        <v>46184</v>
      </c>
    </row>
    <row r="7" spans="1:9">
      <c r="A7" t="s">
        <v>232</v>
      </c>
      <c r="B7" t="s">
        <v>233</v>
      </c>
      <c r="C7" t="s">
        <v>83</v>
      </c>
      <c r="D7" t="s">
        <v>234</v>
      </c>
      <c r="E7" s="4">
        <v>46180</v>
      </c>
      <c r="F7">
        <v>4</v>
      </c>
      <c r="G7" t="s">
        <v>225</v>
      </c>
      <c r="H7" s="4">
        <f t="shared" si="0"/>
        <v>46184</v>
      </c>
      <c r="I7" s="11">
        <f>WORKDAY.INTL(DeliverySLATable[[#This Row],[Order Date]],DeliverySLATable[[#This Row],[SLA Working Days]],7)</f>
        <v>46184</v>
      </c>
    </row>
    <row r="8" spans="1:9">
      <c r="A8" t="s">
        <v>235</v>
      </c>
      <c r="B8" t="s">
        <v>236</v>
      </c>
      <c r="C8" t="s">
        <v>87</v>
      </c>
      <c r="D8" t="s">
        <v>237</v>
      </c>
      <c r="E8" s="4">
        <v>46183</v>
      </c>
      <c r="F8">
        <v>3</v>
      </c>
      <c r="G8" t="s">
        <v>225</v>
      </c>
      <c r="H8" s="4">
        <f t="shared" si="0"/>
        <v>46188</v>
      </c>
      <c r="I8" s="11">
        <f>WORKDAY.INTL(DeliverySLATable[[#This Row],[Order Date]],DeliverySLATable[[#This Row],[SLA Working Days]],7)</f>
        <v>46188</v>
      </c>
    </row>
    <row r="9" spans="1:9">
      <c r="A9" t="s">
        <v>238</v>
      </c>
      <c r="B9" t="s">
        <v>239</v>
      </c>
      <c r="C9" t="s">
        <v>240</v>
      </c>
      <c r="D9" t="s">
        <v>241</v>
      </c>
      <c r="E9" s="4">
        <v>46185</v>
      </c>
      <c r="F9">
        <v>2</v>
      </c>
      <c r="G9" t="s">
        <v>225</v>
      </c>
      <c r="H9" s="4">
        <f t="shared" si="0"/>
        <v>46188</v>
      </c>
      <c r="I9" s="11">
        <f>WORKDAY.INTL(DeliverySLATable[[#This Row],[Order Date]],DeliverySLATable[[#This Row],[SLA Working Days]],7)</f>
        <v>46188</v>
      </c>
    </row>
    <row r="10" spans="1:9">
      <c r="A10" t="s">
        <v>242</v>
      </c>
      <c r="B10" t="s">
        <v>243</v>
      </c>
      <c r="C10" t="s">
        <v>244</v>
      </c>
      <c r="D10" t="s">
        <v>245</v>
      </c>
      <c r="E10" s="4">
        <v>46188</v>
      </c>
      <c r="F10">
        <v>4</v>
      </c>
      <c r="G10" t="s">
        <v>225</v>
      </c>
      <c r="H10" s="4">
        <f t="shared" si="0"/>
        <v>46194</v>
      </c>
      <c r="I10" s="11">
        <f>WORKDAY.INTL(DeliverySLATable[[#This Row],[Order Date]],DeliverySLATable[[#This Row],[SLA Working Days]],7)</f>
        <v>46194</v>
      </c>
    </row>
    <row r="11" spans="1:9">
      <c r="A11" t="s">
        <v>246</v>
      </c>
      <c r="B11" t="s">
        <v>168</v>
      </c>
      <c r="C11" t="s">
        <v>247</v>
      </c>
      <c r="D11" t="s">
        <v>248</v>
      </c>
      <c r="E11" s="4">
        <v>46191</v>
      </c>
      <c r="F11">
        <v>5</v>
      </c>
      <c r="G11" t="s">
        <v>225</v>
      </c>
      <c r="H11" s="4">
        <f t="shared" si="0"/>
        <v>46198</v>
      </c>
      <c r="I11" s="11">
        <f>WORKDAY.INTL(DeliverySLATable[[#This Row],[Order Date]],DeliverySLATable[[#This Row],[SLA Working Days]],7)</f>
        <v>46198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zoomScale="130" zoomScaleNormal="130" workbookViewId="0">
      <selection activeCell="H4" sqref="H4"/>
    </sheetView>
  </sheetViews>
  <sheetFormatPr defaultRowHeight="13.8"/>
  <cols>
    <col min="1" max="1" width="12" customWidth="1"/>
    <col min="2" max="2" width="15" customWidth="1"/>
    <col min="3" max="3" width="24" customWidth="1"/>
    <col min="4" max="4" width="15" customWidth="1"/>
    <col min="5" max="5" width="14" customWidth="1"/>
    <col min="6" max="6" width="12" customWidth="1"/>
    <col min="7" max="7" width="14" customWidth="1"/>
    <col min="8" max="8" width="15" customWidth="1"/>
    <col min="9" max="9" width="12.8984375" customWidth="1"/>
  </cols>
  <sheetData>
    <row r="1" spans="1:8" ht="17.399999999999999">
      <c r="A1" s="12" t="s">
        <v>249</v>
      </c>
      <c r="B1" s="13"/>
      <c r="C1" s="13"/>
      <c r="D1" s="13"/>
      <c r="E1" s="13"/>
      <c r="F1" s="13"/>
      <c r="G1" s="13"/>
      <c r="H1" s="13"/>
    </row>
    <row r="2" spans="1:8" ht="45.9" customHeight="1">
      <c r="A2" s="14" t="s">
        <v>250</v>
      </c>
      <c r="B2" s="13"/>
      <c r="C2" s="13"/>
      <c r="D2" s="13"/>
      <c r="E2" s="13"/>
      <c r="F2" s="13"/>
      <c r="G2" s="13"/>
      <c r="H2" s="13"/>
    </row>
    <row r="3" spans="1:8">
      <c r="A3" s="1" t="s">
        <v>251</v>
      </c>
      <c r="B3" s="1" t="s">
        <v>252</v>
      </c>
      <c r="C3" s="1" t="s">
        <v>253</v>
      </c>
      <c r="D3" s="1" t="s">
        <v>254</v>
      </c>
      <c r="E3" s="1" t="s">
        <v>255</v>
      </c>
      <c r="F3" s="1" t="s">
        <v>256</v>
      </c>
      <c r="G3" s="1" t="s">
        <v>257</v>
      </c>
      <c r="H3" s="1" t="s">
        <v>258</v>
      </c>
    </row>
    <row r="4" spans="1:8">
      <c r="A4" t="s">
        <v>259</v>
      </c>
      <c r="B4" s="4">
        <v>46174</v>
      </c>
      <c r="C4" t="s">
        <v>260</v>
      </c>
      <c r="D4" t="s">
        <v>261</v>
      </c>
      <c r="E4" s="5">
        <v>185000</v>
      </c>
      <c r="F4" s="3">
        <v>340</v>
      </c>
      <c r="G4" t="str">
        <f t="shared" ref="G4:G11" si="0">TEXT(B4,"dddd")</f>
        <v>Monday</v>
      </c>
      <c r="H4" t="str">
        <f t="shared" ref="H4:H11" si="1">IF(OR(TEXT(B4,"dddd")="Friday",TEXT(B4,"dddd")="Saturday"),"Weekend","Working Day")</f>
        <v>Working Day</v>
      </c>
    </row>
    <row r="5" spans="1:8">
      <c r="A5" t="s">
        <v>262</v>
      </c>
      <c r="B5" s="4">
        <v>46178</v>
      </c>
      <c r="C5" t="s">
        <v>263</v>
      </c>
      <c r="D5" t="s">
        <v>264</v>
      </c>
      <c r="E5" s="5">
        <v>265000</v>
      </c>
      <c r="F5" s="3">
        <v>520</v>
      </c>
      <c r="G5" t="str">
        <f t="shared" si="0"/>
        <v>Friday</v>
      </c>
      <c r="H5" t="str">
        <f t="shared" si="1"/>
        <v>Weekend</v>
      </c>
    </row>
    <row r="6" spans="1:8">
      <c r="A6" t="s">
        <v>265</v>
      </c>
      <c r="B6" s="4">
        <v>46179</v>
      </c>
      <c r="C6" t="s">
        <v>266</v>
      </c>
      <c r="D6" t="s">
        <v>267</v>
      </c>
      <c r="E6" s="5">
        <v>198000</v>
      </c>
      <c r="F6" s="3">
        <v>410</v>
      </c>
      <c r="G6" t="str">
        <f t="shared" si="0"/>
        <v>Saturday</v>
      </c>
      <c r="H6" t="str">
        <f t="shared" si="1"/>
        <v>Weekend</v>
      </c>
    </row>
    <row r="7" spans="1:8">
      <c r="A7" t="s">
        <v>268</v>
      </c>
      <c r="B7" s="4">
        <v>46180</v>
      </c>
      <c r="C7" t="s">
        <v>269</v>
      </c>
      <c r="D7" t="s">
        <v>270</v>
      </c>
      <c r="E7" s="5">
        <v>92000</v>
      </c>
      <c r="F7" s="3">
        <v>255</v>
      </c>
      <c r="G7" t="str">
        <f t="shared" si="0"/>
        <v>Sunday</v>
      </c>
      <c r="H7" t="str">
        <f t="shared" si="1"/>
        <v>Working Day</v>
      </c>
    </row>
    <row r="8" spans="1:8">
      <c r="A8" t="s">
        <v>271</v>
      </c>
      <c r="B8" s="4">
        <v>46185</v>
      </c>
      <c r="C8" t="s">
        <v>272</v>
      </c>
      <c r="D8" t="s">
        <v>264</v>
      </c>
      <c r="E8" s="5">
        <v>156000</v>
      </c>
      <c r="F8" s="3">
        <v>360</v>
      </c>
      <c r="G8" t="str">
        <f t="shared" si="0"/>
        <v>Friday</v>
      </c>
      <c r="H8" t="str">
        <f t="shared" si="1"/>
        <v>Weekend</v>
      </c>
    </row>
    <row r="9" spans="1:8">
      <c r="A9" t="s">
        <v>273</v>
      </c>
      <c r="B9" s="4">
        <v>46186</v>
      </c>
      <c r="C9" t="s">
        <v>274</v>
      </c>
      <c r="D9" t="s">
        <v>261</v>
      </c>
      <c r="E9" s="5">
        <v>134000</v>
      </c>
      <c r="F9" s="3">
        <v>315</v>
      </c>
      <c r="G9" t="str">
        <f t="shared" si="0"/>
        <v>Saturday</v>
      </c>
      <c r="H9" t="str">
        <f t="shared" si="1"/>
        <v>Weekend</v>
      </c>
    </row>
    <row r="10" spans="1:8">
      <c r="A10" t="s">
        <v>275</v>
      </c>
      <c r="B10" s="4">
        <v>46187</v>
      </c>
      <c r="C10" t="s">
        <v>276</v>
      </c>
      <c r="D10" t="s">
        <v>270</v>
      </c>
      <c r="E10" s="5">
        <v>88000</v>
      </c>
      <c r="F10" s="3">
        <v>240</v>
      </c>
      <c r="G10" t="str">
        <f t="shared" si="0"/>
        <v>Sunday</v>
      </c>
      <c r="H10" t="str">
        <f t="shared" si="1"/>
        <v>Working Day</v>
      </c>
    </row>
    <row r="11" spans="1:8">
      <c r="A11" t="s">
        <v>277</v>
      </c>
      <c r="B11" s="4">
        <v>46191</v>
      </c>
      <c r="C11" t="s">
        <v>278</v>
      </c>
      <c r="D11" t="s">
        <v>267</v>
      </c>
      <c r="E11" s="5">
        <v>210000</v>
      </c>
      <c r="F11" s="3">
        <v>455</v>
      </c>
      <c r="G11" t="str">
        <f t="shared" si="0"/>
        <v>Thursday</v>
      </c>
      <c r="H11" t="str">
        <f t="shared" si="1"/>
        <v>Working Day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zoomScale="130" zoomScaleNormal="130" workbookViewId="0">
      <selection activeCell="G4" sqref="G4"/>
    </sheetView>
  </sheetViews>
  <sheetFormatPr defaultRowHeight="13.8"/>
  <cols>
    <col min="1" max="1" width="13" customWidth="1"/>
    <col min="2" max="2" width="15" customWidth="1"/>
    <col min="3" max="3" width="16" customWidth="1"/>
    <col min="4" max="4" width="22" customWidth="1"/>
    <col min="5" max="5" width="10" customWidth="1"/>
    <col min="6" max="6" width="14" customWidth="1"/>
    <col min="7" max="8" width="18" customWidth="1"/>
  </cols>
  <sheetData>
    <row r="1" spans="1:8" ht="17.399999999999999">
      <c r="A1" s="12" t="s">
        <v>279</v>
      </c>
      <c r="B1" s="13"/>
      <c r="C1" s="13"/>
      <c r="D1" s="13"/>
      <c r="E1" s="13"/>
      <c r="F1" s="13"/>
      <c r="G1" s="13"/>
      <c r="H1" s="13"/>
    </row>
    <row r="2" spans="1:8" ht="45.9" customHeight="1">
      <c r="A2" s="14" t="s">
        <v>280</v>
      </c>
      <c r="B2" s="13"/>
      <c r="C2" s="13"/>
      <c r="D2" s="13"/>
      <c r="E2" s="13"/>
      <c r="F2" s="13"/>
      <c r="G2" s="13"/>
      <c r="H2" s="13"/>
    </row>
    <row r="3" spans="1:8" ht="27.6">
      <c r="A3" s="1" t="s">
        <v>281</v>
      </c>
      <c r="B3" s="1" t="s">
        <v>252</v>
      </c>
      <c r="C3" s="1" t="s">
        <v>282</v>
      </c>
      <c r="D3" s="1" t="s">
        <v>283</v>
      </c>
      <c r="E3" s="1" t="s">
        <v>284</v>
      </c>
      <c r="F3" s="1" t="s">
        <v>285</v>
      </c>
      <c r="G3" s="1" t="s">
        <v>286</v>
      </c>
      <c r="H3" s="1" t="s">
        <v>287</v>
      </c>
    </row>
    <row r="4" spans="1:8">
      <c r="A4" t="s">
        <v>288</v>
      </c>
      <c r="B4" s="4">
        <v>46176</v>
      </c>
      <c r="C4" t="s">
        <v>289</v>
      </c>
      <c r="D4" t="s">
        <v>290</v>
      </c>
      <c r="E4">
        <v>1</v>
      </c>
      <c r="F4" s="5">
        <v>4990</v>
      </c>
      <c r="G4" s="4">
        <f t="shared" ref="G4:G11" si="0">EOMONTH(B4,0)</f>
        <v>46203</v>
      </c>
      <c r="H4" t="str">
        <f t="shared" ref="H4:H11" si="1">TEXT(G4,"mmm-yyyy")</f>
        <v>Jun-2026</v>
      </c>
    </row>
    <row r="5" spans="1:8">
      <c r="A5" t="s">
        <v>291</v>
      </c>
      <c r="B5" s="4">
        <v>46189</v>
      </c>
      <c r="C5" t="s">
        <v>292</v>
      </c>
      <c r="D5" t="s">
        <v>183</v>
      </c>
      <c r="E5">
        <v>3</v>
      </c>
      <c r="F5" s="5">
        <v>9000</v>
      </c>
      <c r="G5" s="4">
        <f t="shared" si="0"/>
        <v>46203</v>
      </c>
      <c r="H5" t="str">
        <f t="shared" si="1"/>
        <v>Jun-2026</v>
      </c>
    </row>
    <row r="6" spans="1:8">
      <c r="A6" t="s">
        <v>293</v>
      </c>
      <c r="B6" s="4">
        <v>46208</v>
      </c>
      <c r="C6" t="s">
        <v>294</v>
      </c>
      <c r="D6" t="s">
        <v>295</v>
      </c>
      <c r="E6">
        <v>12</v>
      </c>
      <c r="F6" s="5">
        <v>120000</v>
      </c>
      <c r="G6" s="4">
        <f t="shared" si="0"/>
        <v>46234</v>
      </c>
      <c r="H6" t="str">
        <f t="shared" si="1"/>
        <v>Jul-2026</v>
      </c>
    </row>
    <row r="7" spans="1:8">
      <c r="A7" t="s">
        <v>296</v>
      </c>
      <c r="B7" s="4">
        <v>46223</v>
      </c>
      <c r="C7" t="s">
        <v>297</v>
      </c>
      <c r="D7" t="s">
        <v>298</v>
      </c>
      <c r="E7">
        <v>2</v>
      </c>
      <c r="F7" s="5">
        <v>30000</v>
      </c>
      <c r="G7" s="4">
        <f t="shared" si="0"/>
        <v>46234</v>
      </c>
      <c r="H7" t="str">
        <f t="shared" si="1"/>
        <v>Jul-2026</v>
      </c>
    </row>
    <row r="8" spans="1:8">
      <c r="A8" t="s">
        <v>299</v>
      </c>
      <c r="B8" s="4">
        <v>46242</v>
      </c>
      <c r="C8" t="s">
        <v>289</v>
      </c>
      <c r="D8" t="s">
        <v>300</v>
      </c>
      <c r="E8">
        <v>5</v>
      </c>
      <c r="F8" s="5">
        <v>25000</v>
      </c>
      <c r="G8" s="4">
        <f t="shared" si="0"/>
        <v>46265</v>
      </c>
      <c r="H8" t="str">
        <f t="shared" si="1"/>
        <v>Aug-2026</v>
      </c>
    </row>
    <row r="9" spans="1:8">
      <c r="A9" t="s">
        <v>301</v>
      </c>
      <c r="B9" s="4">
        <v>46253</v>
      </c>
      <c r="C9" t="s">
        <v>292</v>
      </c>
      <c r="D9" t="s">
        <v>302</v>
      </c>
      <c r="E9">
        <v>4</v>
      </c>
      <c r="F9" s="5">
        <v>28000</v>
      </c>
      <c r="G9" s="4">
        <f t="shared" si="0"/>
        <v>46265</v>
      </c>
      <c r="H9" t="str">
        <f t="shared" si="1"/>
        <v>Aug-2026</v>
      </c>
    </row>
    <row r="10" spans="1:8">
      <c r="A10" t="s">
        <v>303</v>
      </c>
      <c r="B10" s="4">
        <v>46267</v>
      </c>
      <c r="C10" t="s">
        <v>294</v>
      </c>
      <c r="D10" t="s">
        <v>304</v>
      </c>
      <c r="E10">
        <v>10</v>
      </c>
      <c r="F10" s="5">
        <v>95000</v>
      </c>
      <c r="G10" s="4">
        <f t="shared" si="0"/>
        <v>46295</v>
      </c>
      <c r="H10" t="str">
        <f t="shared" si="1"/>
        <v>Sep-2026</v>
      </c>
    </row>
    <row r="11" spans="1:8">
      <c r="A11" t="s">
        <v>305</v>
      </c>
      <c r="B11" s="4">
        <v>46282</v>
      </c>
      <c r="C11" t="s">
        <v>289</v>
      </c>
      <c r="D11" t="s">
        <v>306</v>
      </c>
      <c r="E11">
        <v>6</v>
      </c>
      <c r="F11" s="5">
        <v>78000</v>
      </c>
      <c r="G11" s="4">
        <f t="shared" si="0"/>
        <v>46295</v>
      </c>
      <c r="H11" t="str">
        <f t="shared" si="1"/>
        <v>Sep-2026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00_Req_Index</vt:lpstr>
      <vt:lpstr>01_HR_Attendance</vt:lpstr>
      <vt:lpstr>02_Age_KYC</vt:lpstr>
      <vt:lpstr>03_Service_Length</vt:lpstr>
      <vt:lpstr>04_Invoice_Aging</vt:lpstr>
      <vt:lpstr>05_Payment_Status</vt:lpstr>
      <vt:lpstr>07_Probation_End</vt:lpstr>
      <vt:lpstr>08_Delivery_SLA</vt:lpstr>
      <vt:lpstr>09_Day_Name_Sales</vt:lpstr>
      <vt:lpstr>10_Monthly_Helper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Dipan Nandi</cp:lastModifiedBy>
  <dcterms:created xsi:type="dcterms:W3CDTF">2026-06-09T15:00:33Z</dcterms:created>
  <dcterms:modified xsi:type="dcterms:W3CDTF">2026-08-09T21:12:55Z</dcterms:modified>
</cp:coreProperties>
</file>