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imelines/timeline2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ipan\Desktop\Data Analytics\Excel\C8\"/>
    </mc:Choice>
  </mc:AlternateContent>
  <xr:revisionPtr revIDLastSave="0" documentId="13_ncr:1_{7E16664B-DDC3-475B-89F7-5EB55F6A56FE}" xr6:coauthVersionLast="47" xr6:coauthVersionMax="47" xr10:uidLastSave="{00000000-0000-0000-0000-000000000000}"/>
  <bookViews>
    <workbookView xWindow="-108" yWindow="-108" windowWidth="23256" windowHeight="12456" tabRatio="735" firstSheet="6" activeTab="7" xr2:uid="{00000000-000D-0000-FFFF-FFFF00000000}"/>
  </bookViews>
  <sheets>
    <sheet name="Case_Study" sheetId="1" r:id="rId1"/>
    <sheet name="Dim_Region" sheetId="2" state="hidden" r:id="rId2"/>
    <sheet name="Dim_Customer" sheetId="3" state="hidden" r:id="rId3"/>
    <sheet name="Dim_Store" sheetId="4" state="hidden" r:id="rId4"/>
    <sheet name="Dim_Product" sheetId="5" state="hidden" r:id="rId5"/>
    <sheet name="Dim_Salesman" sheetId="6" state="hidden" r:id="rId6"/>
    <sheet name="Fact_Sales" sheetId="7" r:id="rId7"/>
    <sheet name="Analysis" sheetId="12" r:id="rId8"/>
    <sheet name="Dash 01" sheetId="17" r:id="rId9"/>
    <sheet name="Dash02" sheetId="19" r:id="rId10"/>
    <sheet name="Delivery Details" sheetId="16" r:id="rId11"/>
    <sheet name="Data_Model" sheetId="8" r:id="rId12"/>
    <sheet name="Dashboard_Plan" sheetId="9" r:id="rId13"/>
    <sheet name="Business_Findings" sheetId="10" r:id="rId14"/>
    <sheet name="Sample_Dashboard" sheetId="11" state="hidden" r:id="rId15"/>
  </sheets>
  <definedNames>
    <definedName name="NativeTimeline_Order_Date">#N/A</definedName>
  </definedNames>
  <calcPr calcId="191029"/>
  <pivotCaches>
    <pivotCache cacheId="1" r:id="rId1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7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4" i="12" l="1"/>
  <c r="I65" i="12"/>
  <c r="I66" i="12"/>
  <c r="I67" i="12"/>
  <c r="I68" i="12"/>
  <c r="I69" i="12"/>
  <c r="I70" i="12"/>
  <c r="I71" i="12"/>
  <c r="I72" i="12"/>
  <c r="I73" i="12"/>
  <c r="H64" i="12"/>
  <c r="H65" i="12"/>
  <c r="H66" i="12"/>
  <c r="H67" i="12"/>
  <c r="H68" i="12"/>
  <c r="H69" i="12"/>
  <c r="H70" i="12"/>
  <c r="H71" i="12"/>
  <c r="H72" i="12"/>
  <c r="H73" i="12"/>
  <c r="N20" i="11" l="1"/>
  <c r="M20" i="11"/>
  <c r="L20" i="11"/>
  <c r="K20" i="11"/>
  <c r="J20" i="11"/>
  <c r="N19" i="11"/>
  <c r="M19" i="11"/>
  <c r="L19" i="11"/>
  <c r="K19" i="11"/>
  <c r="J19" i="11"/>
  <c r="N18" i="11"/>
  <c r="M18" i="11"/>
  <c r="L18" i="11"/>
  <c r="K18" i="11"/>
  <c r="J18" i="11"/>
  <c r="G18" i="11"/>
  <c r="F18" i="11"/>
  <c r="E18" i="11"/>
  <c r="D18" i="11"/>
  <c r="C18" i="11"/>
  <c r="N17" i="11"/>
  <c r="M17" i="11"/>
  <c r="L17" i="11"/>
  <c r="K17" i="11"/>
  <c r="J17" i="11"/>
  <c r="G17" i="11"/>
  <c r="F17" i="11"/>
  <c r="E17" i="11"/>
  <c r="D17" i="11"/>
  <c r="C17" i="11"/>
  <c r="N16" i="11"/>
  <c r="M16" i="11"/>
  <c r="L16" i="11"/>
  <c r="K16" i="11"/>
  <c r="J16" i="11"/>
  <c r="G16" i="11"/>
  <c r="F16" i="11"/>
  <c r="E16" i="11"/>
  <c r="D16" i="11"/>
  <c r="C16" i="11"/>
  <c r="N15" i="11"/>
  <c r="M15" i="11"/>
  <c r="L15" i="11"/>
  <c r="K15" i="11"/>
  <c r="J15" i="11"/>
  <c r="G15" i="11"/>
  <c r="F15" i="11"/>
  <c r="E15" i="11"/>
  <c r="D15" i="11"/>
  <c r="C15" i="11"/>
  <c r="N14" i="11"/>
  <c r="M14" i="11"/>
  <c r="L14" i="11"/>
  <c r="K14" i="11"/>
  <c r="J14" i="11"/>
  <c r="G14" i="11"/>
  <c r="F14" i="11"/>
  <c r="E14" i="11"/>
  <c r="D14" i="11"/>
  <c r="C14" i="11"/>
  <c r="N13" i="11"/>
  <c r="M13" i="11"/>
  <c r="L13" i="11"/>
  <c r="K13" i="11"/>
  <c r="J13" i="11"/>
  <c r="G13" i="11"/>
  <c r="F13" i="11"/>
  <c r="E13" i="11"/>
  <c r="D13" i="11"/>
  <c r="C13" i="11"/>
  <c r="N12" i="11"/>
  <c r="M12" i="11"/>
  <c r="L12" i="11"/>
  <c r="K12" i="11"/>
  <c r="J12" i="11"/>
  <c r="G12" i="11"/>
  <c r="F12" i="11"/>
  <c r="E12" i="11"/>
  <c r="D12" i="11"/>
  <c r="C12" i="11"/>
  <c r="N11" i="11"/>
  <c r="M11" i="11"/>
  <c r="L11" i="11"/>
  <c r="K11" i="11"/>
  <c r="J11" i="11"/>
  <c r="G11" i="11"/>
  <c r="F11" i="11"/>
  <c r="E11" i="11"/>
  <c r="D11" i="11"/>
  <c r="C11" i="11"/>
  <c r="B7" i="11"/>
  <c r="B6" i="11"/>
  <c r="B5" i="11"/>
  <c r="B4" i="11"/>
  <c r="B3" i="11"/>
  <c r="J54" i="12" a="1"/>
  <c r="J54" i="12" s="1"/>
  <c r="H58" i="12"/>
  <c r="H40" i="12"/>
  <c r="W1001" i="7"/>
  <c r="V1001" i="7"/>
  <c r="U1001" i="7"/>
  <c r="T1001" i="7"/>
  <c r="S1001" i="7"/>
  <c r="R1001" i="7"/>
  <c r="Q1001" i="7"/>
  <c r="P1001" i="7"/>
  <c r="O1001" i="7"/>
  <c r="N1001" i="7"/>
  <c r="M1001" i="7"/>
  <c r="L1001" i="7"/>
  <c r="W1000" i="7"/>
  <c r="V1000" i="7"/>
  <c r="U1000" i="7"/>
  <c r="T1000" i="7"/>
  <c r="S1000" i="7"/>
  <c r="R1000" i="7"/>
  <c r="Q1000" i="7"/>
  <c r="P1000" i="7"/>
  <c r="O1000" i="7"/>
  <c r="N1000" i="7"/>
  <c r="M1000" i="7"/>
  <c r="L1000" i="7"/>
  <c r="W999" i="7"/>
  <c r="V999" i="7"/>
  <c r="U999" i="7"/>
  <c r="T999" i="7"/>
  <c r="S999" i="7"/>
  <c r="R999" i="7"/>
  <c r="Q999" i="7"/>
  <c r="P999" i="7"/>
  <c r="O999" i="7"/>
  <c r="N999" i="7"/>
  <c r="M999" i="7"/>
  <c r="L999" i="7"/>
  <c r="W998" i="7"/>
  <c r="V998" i="7"/>
  <c r="U998" i="7"/>
  <c r="T998" i="7"/>
  <c r="S998" i="7"/>
  <c r="R998" i="7"/>
  <c r="Q998" i="7"/>
  <c r="P998" i="7"/>
  <c r="O998" i="7"/>
  <c r="N998" i="7"/>
  <c r="M998" i="7"/>
  <c r="L998" i="7"/>
  <c r="W997" i="7"/>
  <c r="V997" i="7"/>
  <c r="U997" i="7"/>
  <c r="T997" i="7"/>
  <c r="S997" i="7"/>
  <c r="R997" i="7"/>
  <c r="Q997" i="7"/>
  <c r="P997" i="7"/>
  <c r="O997" i="7"/>
  <c r="N997" i="7"/>
  <c r="M997" i="7"/>
  <c r="L997" i="7"/>
  <c r="W996" i="7"/>
  <c r="V996" i="7"/>
  <c r="U996" i="7"/>
  <c r="T996" i="7"/>
  <c r="S996" i="7"/>
  <c r="R996" i="7"/>
  <c r="Q996" i="7"/>
  <c r="P996" i="7"/>
  <c r="O996" i="7"/>
  <c r="N996" i="7"/>
  <c r="M996" i="7"/>
  <c r="L996" i="7"/>
  <c r="W995" i="7"/>
  <c r="V995" i="7"/>
  <c r="U995" i="7"/>
  <c r="T995" i="7"/>
  <c r="S995" i="7"/>
  <c r="R995" i="7"/>
  <c r="Q995" i="7"/>
  <c r="P995" i="7"/>
  <c r="O995" i="7"/>
  <c r="N995" i="7"/>
  <c r="M995" i="7"/>
  <c r="L995" i="7"/>
  <c r="W994" i="7"/>
  <c r="V994" i="7"/>
  <c r="U994" i="7"/>
  <c r="T994" i="7"/>
  <c r="S994" i="7"/>
  <c r="R994" i="7"/>
  <c r="Q994" i="7"/>
  <c r="P994" i="7"/>
  <c r="O994" i="7"/>
  <c r="N994" i="7"/>
  <c r="M994" i="7"/>
  <c r="L994" i="7"/>
  <c r="W993" i="7"/>
  <c r="V993" i="7"/>
  <c r="U993" i="7"/>
  <c r="T993" i="7"/>
  <c r="S993" i="7"/>
  <c r="R993" i="7"/>
  <c r="Q993" i="7"/>
  <c r="P993" i="7"/>
  <c r="O993" i="7"/>
  <c r="N993" i="7"/>
  <c r="M993" i="7"/>
  <c r="L993" i="7"/>
  <c r="W992" i="7"/>
  <c r="V992" i="7"/>
  <c r="U992" i="7"/>
  <c r="T992" i="7"/>
  <c r="S992" i="7"/>
  <c r="R992" i="7"/>
  <c r="Q992" i="7"/>
  <c r="P992" i="7"/>
  <c r="O992" i="7"/>
  <c r="N992" i="7"/>
  <c r="M992" i="7"/>
  <c r="L992" i="7"/>
  <c r="W991" i="7"/>
  <c r="V991" i="7"/>
  <c r="U991" i="7"/>
  <c r="T991" i="7"/>
  <c r="S991" i="7"/>
  <c r="R991" i="7"/>
  <c r="Q991" i="7"/>
  <c r="P991" i="7"/>
  <c r="O991" i="7"/>
  <c r="N991" i="7"/>
  <c r="M991" i="7"/>
  <c r="L991" i="7"/>
  <c r="W990" i="7"/>
  <c r="V990" i="7"/>
  <c r="U990" i="7"/>
  <c r="T990" i="7"/>
  <c r="S990" i="7"/>
  <c r="R990" i="7"/>
  <c r="Q990" i="7"/>
  <c r="P990" i="7"/>
  <c r="O990" i="7"/>
  <c r="N990" i="7"/>
  <c r="M990" i="7"/>
  <c r="L990" i="7"/>
  <c r="W989" i="7"/>
  <c r="V989" i="7"/>
  <c r="U989" i="7"/>
  <c r="T989" i="7"/>
  <c r="S989" i="7"/>
  <c r="R989" i="7"/>
  <c r="Q989" i="7"/>
  <c r="P989" i="7"/>
  <c r="O989" i="7"/>
  <c r="N989" i="7"/>
  <c r="M989" i="7"/>
  <c r="L989" i="7"/>
  <c r="W988" i="7"/>
  <c r="V988" i="7"/>
  <c r="U988" i="7"/>
  <c r="T988" i="7"/>
  <c r="S988" i="7"/>
  <c r="R988" i="7"/>
  <c r="Q988" i="7"/>
  <c r="P988" i="7"/>
  <c r="O988" i="7"/>
  <c r="N988" i="7"/>
  <c r="M988" i="7"/>
  <c r="L988" i="7"/>
  <c r="W987" i="7"/>
  <c r="V987" i="7"/>
  <c r="U987" i="7"/>
  <c r="T987" i="7"/>
  <c r="S987" i="7"/>
  <c r="R987" i="7"/>
  <c r="Q987" i="7"/>
  <c r="P987" i="7"/>
  <c r="O987" i="7"/>
  <c r="N987" i="7"/>
  <c r="M987" i="7"/>
  <c r="L987" i="7"/>
  <c r="W986" i="7"/>
  <c r="V986" i="7"/>
  <c r="U986" i="7"/>
  <c r="T986" i="7"/>
  <c r="S986" i="7"/>
  <c r="R986" i="7"/>
  <c r="Q986" i="7"/>
  <c r="P986" i="7"/>
  <c r="O986" i="7"/>
  <c r="N986" i="7"/>
  <c r="M986" i="7"/>
  <c r="L986" i="7"/>
  <c r="W985" i="7"/>
  <c r="V985" i="7"/>
  <c r="U985" i="7"/>
  <c r="T985" i="7"/>
  <c r="S985" i="7"/>
  <c r="R985" i="7"/>
  <c r="Q985" i="7"/>
  <c r="P985" i="7"/>
  <c r="O985" i="7"/>
  <c r="N985" i="7"/>
  <c r="M985" i="7"/>
  <c r="L985" i="7"/>
  <c r="W984" i="7"/>
  <c r="V984" i="7"/>
  <c r="U984" i="7"/>
  <c r="T984" i="7"/>
  <c r="S984" i="7"/>
  <c r="R984" i="7"/>
  <c r="Q984" i="7"/>
  <c r="P984" i="7"/>
  <c r="O984" i="7"/>
  <c r="N984" i="7"/>
  <c r="M984" i="7"/>
  <c r="L984" i="7"/>
  <c r="W983" i="7"/>
  <c r="V983" i="7"/>
  <c r="U983" i="7"/>
  <c r="T983" i="7"/>
  <c r="S983" i="7"/>
  <c r="R983" i="7"/>
  <c r="Q983" i="7"/>
  <c r="P983" i="7"/>
  <c r="O983" i="7"/>
  <c r="N983" i="7"/>
  <c r="M983" i="7"/>
  <c r="L983" i="7"/>
  <c r="W982" i="7"/>
  <c r="V982" i="7"/>
  <c r="U982" i="7"/>
  <c r="T982" i="7"/>
  <c r="S982" i="7"/>
  <c r="R982" i="7"/>
  <c r="Q982" i="7"/>
  <c r="P982" i="7"/>
  <c r="O982" i="7"/>
  <c r="N982" i="7"/>
  <c r="M982" i="7"/>
  <c r="L982" i="7"/>
  <c r="W981" i="7"/>
  <c r="V981" i="7"/>
  <c r="U981" i="7"/>
  <c r="T981" i="7"/>
  <c r="S981" i="7"/>
  <c r="R981" i="7"/>
  <c r="Q981" i="7"/>
  <c r="P981" i="7"/>
  <c r="O981" i="7"/>
  <c r="N981" i="7"/>
  <c r="M981" i="7"/>
  <c r="L981" i="7"/>
  <c r="W980" i="7"/>
  <c r="V980" i="7"/>
  <c r="U980" i="7"/>
  <c r="T980" i="7"/>
  <c r="S980" i="7"/>
  <c r="R980" i="7"/>
  <c r="Q980" i="7"/>
  <c r="P980" i="7"/>
  <c r="O980" i="7"/>
  <c r="N980" i="7"/>
  <c r="M980" i="7"/>
  <c r="L980" i="7"/>
  <c r="W979" i="7"/>
  <c r="V979" i="7"/>
  <c r="U979" i="7"/>
  <c r="T979" i="7"/>
  <c r="S979" i="7"/>
  <c r="R979" i="7"/>
  <c r="Q979" i="7"/>
  <c r="P979" i="7"/>
  <c r="O979" i="7"/>
  <c r="N979" i="7"/>
  <c r="M979" i="7"/>
  <c r="L979" i="7"/>
  <c r="W978" i="7"/>
  <c r="V978" i="7"/>
  <c r="U978" i="7"/>
  <c r="T978" i="7"/>
  <c r="S978" i="7"/>
  <c r="R978" i="7"/>
  <c r="Q978" i="7"/>
  <c r="P978" i="7"/>
  <c r="O978" i="7"/>
  <c r="N978" i="7"/>
  <c r="M978" i="7"/>
  <c r="L978" i="7"/>
  <c r="W977" i="7"/>
  <c r="V977" i="7"/>
  <c r="U977" i="7"/>
  <c r="T977" i="7"/>
  <c r="S977" i="7"/>
  <c r="R977" i="7"/>
  <c r="Q977" i="7"/>
  <c r="P977" i="7"/>
  <c r="O977" i="7"/>
  <c r="N977" i="7"/>
  <c r="M977" i="7"/>
  <c r="L977" i="7"/>
  <c r="W976" i="7"/>
  <c r="V976" i="7"/>
  <c r="U976" i="7"/>
  <c r="T976" i="7"/>
  <c r="S976" i="7"/>
  <c r="R976" i="7"/>
  <c r="Q976" i="7"/>
  <c r="P976" i="7"/>
  <c r="O976" i="7"/>
  <c r="N976" i="7"/>
  <c r="M976" i="7"/>
  <c r="L976" i="7"/>
  <c r="W975" i="7"/>
  <c r="V975" i="7"/>
  <c r="U975" i="7"/>
  <c r="T975" i="7"/>
  <c r="S975" i="7"/>
  <c r="R975" i="7"/>
  <c r="Q975" i="7"/>
  <c r="P975" i="7"/>
  <c r="O975" i="7"/>
  <c r="N975" i="7"/>
  <c r="M975" i="7"/>
  <c r="L975" i="7"/>
  <c r="W974" i="7"/>
  <c r="V974" i="7"/>
  <c r="U974" i="7"/>
  <c r="T974" i="7"/>
  <c r="S974" i="7"/>
  <c r="R974" i="7"/>
  <c r="Q974" i="7"/>
  <c r="P974" i="7"/>
  <c r="O974" i="7"/>
  <c r="N974" i="7"/>
  <c r="M974" i="7"/>
  <c r="L974" i="7"/>
  <c r="W973" i="7"/>
  <c r="V973" i="7"/>
  <c r="U973" i="7"/>
  <c r="T973" i="7"/>
  <c r="S973" i="7"/>
  <c r="R973" i="7"/>
  <c r="Q973" i="7"/>
  <c r="P973" i="7"/>
  <c r="O973" i="7"/>
  <c r="N973" i="7"/>
  <c r="M973" i="7"/>
  <c r="L973" i="7"/>
  <c r="W972" i="7"/>
  <c r="V972" i="7"/>
  <c r="U972" i="7"/>
  <c r="T972" i="7"/>
  <c r="S972" i="7"/>
  <c r="R972" i="7"/>
  <c r="Q972" i="7"/>
  <c r="P972" i="7"/>
  <c r="O972" i="7"/>
  <c r="N972" i="7"/>
  <c r="M972" i="7"/>
  <c r="L972" i="7"/>
  <c r="W971" i="7"/>
  <c r="V971" i="7"/>
  <c r="U971" i="7"/>
  <c r="T971" i="7"/>
  <c r="S971" i="7"/>
  <c r="R971" i="7"/>
  <c r="Q971" i="7"/>
  <c r="P971" i="7"/>
  <c r="O971" i="7"/>
  <c r="N971" i="7"/>
  <c r="M971" i="7"/>
  <c r="L971" i="7"/>
  <c r="W970" i="7"/>
  <c r="V970" i="7"/>
  <c r="U970" i="7"/>
  <c r="T970" i="7"/>
  <c r="S970" i="7"/>
  <c r="R970" i="7"/>
  <c r="Q970" i="7"/>
  <c r="P970" i="7"/>
  <c r="O970" i="7"/>
  <c r="N970" i="7"/>
  <c r="M970" i="7"/>
  <c r="L970" i="7"/>
  <c r="W969" i="7"/>
  <c r="V969" i="7"/>
  <c r="U969" i="7"/>
  <c r="T969" i="7"/>
  <c r="S969" i="7"/>
  <c r="R969" i="7"/>
  <c r="Q969" i="7"/>
  <c r="P969" i="7"/>
  <c r="O969" i="7"/>
  <c r="N969" i="7"/>
  <c r="M969" i="7"/>
  <c r="L969" i="7"/>
  <c r="W968" i="7"/>
  <c r="V968" i="7"/>
  <c r="U968" i="7"/>
  <c r="T968" i="7"/>
  <c r="S968" i="7"/>
  <c r="R968" i="7"/>
  <c r="Q968" i="7"/>
  <c r="P968" i="7"/>
  <c r="O968" i="7"/>
  <c r="N968" i="7"/>
  <c r="M968" i="7"/>
  <c r="L968" i="7"/>
  <c r="W967" i="7"/>
  <c r="V967" i="7"/>
  <c r="U967" i="7"/>
  <c r="T967" i="7"/>
  <c r="S967" i="7"/>
  <c r="R967" i="7"/>
  <c r="Q967" i="7"/>
  <c r="P967" i="7"/>
  <c r="O967" i="7"/>
  <c r="N967" i="7"/>
  <c r="M967" i="7"/>
  <c r="L967" i="7"/>
  <c r="W966" i="7"/>
  <c r="V966" i="7"/>
  <c r="U966" i="7"/>
  <c r="T966" i="7"/>
  <c r="S966" i="7"/>
  <c r="R966" i="7"/>
  <c r="Q966" i="7"/>
  <c r="P966" i="7"/>
  <c r="O966" i="7"/>
  <c r="N966" i="7"/>
  <c r="M966" i="7"/>
  <c r="L966" i="7"/>
  <c r="W965" i="7"/>
  <c r="V965" i="7"/>
  <c r="U965" i="7"/>
  <c r="T965" i="7"/>
  <c r="S965" i="7"/>
  <c r="R965" i="7"/>
  <c r="Q965" i="7"/>
  <c r="P965" i="7"/>
  <c r="O965" i="7"/>
  <c r="N965" i="7"/>
  <c r="M965" i="7"/>
  <c r="L965" i="7"/>
  <c r="W964" i="7"/>
  <c r="V964" i="7"/>
  <c r="U964" i="7"/>
  <c r="T964" i="7"/>
  <c r="S964" i="7"/>
  <c r="R964" i="7"/>
  <c r="Q964" i="7"/>
  <c r="P964" i="7"/>
  <c r="O964" i="7"/>
  <c r="N964" i="7"/>
  <c r="M964" i="7"/>
  <c r="L964" i="7"/>
  <c r="W963" i="7"/>
  <c r="V963" i="7"/>
  <c r="U963" i="7"/>
  <c r="T963" i="7"/>
  <c r="S963" i="7"/>
  <c r="R963" i="7"/>
  <c r="Q963" i="7"/>
  <c r="P963" i="7"/>
  <c r="O963" i="7"/>
  <c r="N963" i="7"/>
  <c r="M963" i="7"/>
  <c r="L963" i="7"/>
  <c r="W962" i="7"/>
  <c r="V962" i="7"/>
  <c r="U962" i="7"/>
  <c r="T962" i="7"/>
  <c r="S962" i="7"/>
  <c r="R962" i="7"/>
  <c r="Q962" i="7"/>
  <c r="P962" i="7"/>
  <c r="O962" i="7"/>
  <c r="N962" i="7"/>
  <c r="M962" i="7"/>
  <c r="L962" i="7"/>
  <c r="W961" i="7"/>
  <c r="V961" i="7"/>
  <c r="U961" i="7"/>
  <c r="T961" i="7"/>
  <c r="S961" i="7"/>
  <c r="R961" i="7"/>
  <c r="Q961" i="7"/>
  <c r="P961" i="7"/>
  <c r="O961" i="7"/>
  <c r="N961" i="7"/>
  <c r="M961" i="7"/>
  <c r="L961" i="7"/>
  <c r="W960" i="7"/>
  <c r="V960" i="7"/>
  <c r="U960" i="7"/>
  <c r="T960" i="7"/>
  <c r="S960" i="7"/>
  <c r="R960" i="7"/>
  <c r="Q960" i="7"/>
  <c r="P960" i="7"/>
  <c r="O960" i="7"/>
  <c r="N960" i="7"/>
  <c r="M960" i="7"/>
  <c r="L960" i="7"/>
  <c r="W959" i="7"/>
  <c r="V959" i="7"/>
  <c r="U959" i="7"/>
  <c r="T959" i="7"/>
  <c r="S959" i="7"/>
  <c r="R959" i="7"/>
  <c r="Q959" i="7"/>
  <c r="P959" i="7"/>
  <c r="O959" i="7"/>
  <c r="N959" i="7"/>
  <c r="M959" i="7"/>
  <c r="L959" i="7"/>
  <c r="W958" i="7"/>
  <c r="V958" i="7"/>
  <c r="U958" i="7"/>
  <c r="T958" i="7"/>
  <c r="S958" i="7"/>
  <c r="R958" i="7"/>
  <c r="Q958" i="7"/>
  <c r="P958" i="7"/>
  <c r="O958" i="7"/>
  <c r="N958" i="7"/>
  <c r="M958" i="7"/>
  <c r="L958" i="7"/>
  <c r="W957" i="7"/>
  <c r="V957" i="7"/>
  <c r="U957" i="7"/>
  <c r="T957" i="7"/>
  <c r="S957" i="7"/>
  <c r="R957" i="7"/>
  <c r="Q957" i="7"/>
  <c r="P957" i="7"/>
  <c r="O957" i="7"/>
  <c r="N957" i="7"/>
  <c r="M957" i="7"/>
  <c r="L957" i="7"/>
  <c r="W956" i="7"/>
  <c r="V956" i="7"/>
  <c r="U956" i="7"/>
  <c r="T956" i="7"/>
  <c r="S956" i="7"/>
  <c r="R956" i="7"/>
  <c r="Q956" i="7"/>
  <c r="P956" i="7"/>
  <c r="O956" i="7"/>
  <c r="N956" i="7"/>
  <c r="M956" i="7"/>
  <c r="L956" i="7"/>
  <c r="W955" i="7"/>
  <c r="V955" i="7"/>
  <c r="U955" i="7"/>
  <c r="T955" i="7"/>
  <c r="S955" i="7"/>
  <c r="R955" i="7"/>
  <c r="Q955" i="7"/>
  <c r="P955" i="7"/>
  <c r="O955" i="7"/>
  <c r="N955" i="7"/>
  <c r="M955" i="7"/>
  <c r="L955" i="7"/>
  <c r="W954" i="7"/>
  <c r="V954" i="7"/>
  <c r="U954" i="7"/>
  <c r="T954" i="7"/>
  <c r="S954" i="7"/>
  <c r="R954" i="7"/>
  <c r="Q954" i="7"/>
  <c r="P954" i="7"/>
  <c r="O954" i="7"/>
  <c r="N954" i="7"/>
  <c r="M954" i="7"/>
  <c r="L954" i="7"/>
  <c r="W953" i="7"/>
  <c r="V953" i="7"/>
  <c r="U953" i="7"/>
  <c r="T953" i="7"/>
  <c r="S953" i="7"/>
  <c r="R953" i="7"/>
  <c r="Q953" i="7"/>
  <c r="P953" i="7"/>
  <c r="O953" i="7"/>
  <c r="N953" i="7"/>
  <c r="M953" i="7"/>
  <c r="L953" i="7"/>
  <c r="W952" i="7"/>
  <c r="V952" i="7"/>
  <c r="U952" i="7"/>
  <c r="T952" i="7"/>
  <c r="S952" i="7"/>
  <c r="R952" i="7"/>
  <c r="Q952" i="7"/>
  <c r="P952" i="7"/>
  <c r="O952" i="7"/>
  <c r="N952" i="7"/>
  <c r="M952" i="7"/>
  <c r="L952" i="7"/>
  <c r="W951" i="7"/>
  <c r="V951" i="7"/>
  <c r="U951" i="7"/>
  <c r="T951" i="7"/>
  <c r="S951" i="7"/>
  <c r="R951" i="7"/>
  <c r="Q951" i="7"/>
  <c r="P951" i="7"/>
  <c r="O951" i="7"/>
  <c r="N951" i="7"/>
  <c r="M951" i="7"/>
  <c r="L951" i="7"/>
  <c r="W950" i="7"/>
  <c r="V950" i="7"/>
  <c r="U950" i="7"/>
  <c r="T950" i="7"/>
  <c r="S950" i="7"/>
  <c r="R950" i="7"/>
  <c r="Q950" i="7"/>
  <c r="P950" i="7"/>
  <c r="O950" i="7"/>
  <c r="N950" i="7"/>
  <c r="M950" i="7"/>
  <c r="L950" i="7"/>
  <c r="W949" i="7"/>
  <c r="V949" i="7"/>
  <c r="U949" i="7"/>
  <c r="T949" i="7"/>
  <c r="S949" i="7"/>
  <c r="R949" i="7"/>
  <c r="Q949" i="7"/>
  <c r="P949" i="7"/>
  <c r="O949" i="7"/>
  <c r="N949" i="7"/>
  <c r="M949" i="7"/>
  <c r="L949" i="7"/>
  <c r="W948" i="7"/>
  <c r="V948" i="7"/>
  <c r="U948" i="7"/>
  <c r="T948" i="7"/>
  <c r="S948" i="7"/>
  <c r="R948" i="7"/>
  <c r="Q948" i="7"/>
  <c r="P948" i="7"/>
  <c r="O948" i="7"/>
  <c r="N948" i="7"/>
  <c r="M948" i="7"/>
  <c r="L948" i="7"/>
  <c r="W947" i="7"/>
  <c r="V947" i="7"/>
  <c r="U947" i="7"/>
  <c r="T947" i="7"/>
  <c r="S947" i="7"/>
  <c r="R947" i="7"/>
  <c r="Q947" i="7"/>
  <c r="P947" i="7"/>
  <c r="O947" i="7"/>
  <c r="N947" i="7"/>
  <c r="M947" i="7"/>
  <c r="L947" i="7"/>
  <c r="W946" i="7"/>
  <c r="V946" i="7"/>
  <c r="U946" i="7"/>
  <c r="T946" i="7"/>
  <c r="S946" i="7"/>
  <c r="R946" i="7"/>
  <c r="Q946" i="7"/>
  <c r="P946" i="7"/>
  <c r="O946" i="7"/>
  <c r="N946" i="7"/>
  <c r="M946" i="7"/>
  <c r="L946" i="7"/>
  <c r="W945" i="7"/>
  <c r="V945" i="7"/>
  <c r="U945" i="7"/>
  <c r="T945" i="7"/>
  <c r="S945" i="7"/>
  <c r="R945" i="7"/>
  <c r="Q945" i="7"/>
  <c r="P945" i="7"/>
  <c r="O945" i="7"/>
  <c r="N945" i="7"/>
  <c r="M945" i="7"/>
  <c r="L945" i="7"/>
  <c r="W944" i="7"/>
  <c r="V944" i="7"/>
  <c r="U944" i="7"/>
  <c r="T944" i="7"/>
  <c r="S944" i="7"/>
  <c r="R944" i="7"/>
  <c r="Q944" i="7"/>
  <c r="P944" i="7"/>
  <c r="O944" i="7"/>
  <c r="N944" i="7"/>
  <c r="M944" i="7"/>
  <c r="L944" i="7"/>
  <c r="W943" i="7"/>
  <c r="V943" i="7"/>
  <c r="U943" i="7"/>
  <c r="T943" i="7"/>
  <c r="S943" i="7"/>
  <c r="R943" i="7"/>
  <c r="Q943" i="7"/>
  <c r="P943" i="7"/>
  <c r="O943" i="7"/>
  <c r="N943" i="7"/>
  <c r="M943" i="7"/>
  <c r="L943" i="7"/>
  <c r="W942" i="7"/>
  <c r="V942" i="7"/>
  <c r="U942" i="7"/>
  <c r="T942" i="7"/>
  <c r="S942" i="7"/>
  <c r="R942" i="7"/>
  <c r="Q942" i="7"/>
  <c r="P942" i="7"/>
  <c r="O942" i="7"/>
  <c r="N942" i="7"/>
  <c r="M942" i="7"/>
  <c r="L942" i="7"/>
  <c r="W941" i="7"/>
  <c r="V941" i="7"/>
  <c r="U941" i="7"/>
  <c r="T941" i="7"/>
  <c r="S941" i="7"/>
  <c r="R941" i="7"/>
  <c r="Q941" i="7"/>
  <c r="P941" i="7"/>
  <c r="O941" i="7"/>
  <c r="N941" i="7"/>
  <c r="M941" i="7"/>
  <c r="L941" i="7"/>
  <c r="W940" i="7"/>
  <c r="V940" i="7"/>
  <c r="U940" i="7"/>
  <c r="T940" i="7"/>
  <c r="S940" i="7"/>
  <c r="R940" i="7"/>
  <c r="Q940" i="7"/>
  <c r="P940" i="7"/>
  <c r="O940" i="7"/>
  <c r="N940" i="7"/>
  <c r="M940" i="7"/>
  <c r="L940" i="7"/>
  <c r="W939" i="7"/>
  <c r="V939" i="7"/>
  <c r="U939" i="7"/>
  <c r="T939" i="7"/>
  <c r="S939" i="7"/>
  <c r="R939" i="7"/>
  <c r="Q939" i="7"/>
  <c r="P939" i="7"/>
  <c r="O939" i="7"/>
  <c r="N939" i="7"/>
  <c r="M939" i="7"/>
  <c r="L939" i="7"/>
  <c r="W938" i="7"/>
  <c r="V938" i="7"/>
  <c r="U938" i="7"/>
  <c r="T938" i="7"/>
  <c r="S938" i="7"/>
  <c r="R938" i="7"/>
  <c r="Q938" i="7"/>
  <c r="P938" i="7"/>
  <c r="O938" i="7"/>
  <c r="N938" i="7"/>
  <c r="M938" i="7"/>
  <c r="L938" i="7"/>
  <c r="W937" i="7"/>
  <c r="V937" i="7"/>
  <c r="U937" i="7"/>
  <c r="T937" i="7"/>
  <c r="S937" i="7"/>
  <c r="R937" i="7"/>
  <c r="Q937" i="7"/>
  <c r="P937" i="7"/>
  <c r="O937" i="7"/>
  <c r="N937" i="7"/>
  <c r="M937" i="7"/>
  <c r="L937" i="7"/>
  <c r="W936" i="7"/>
  <c r="V936" i="7"/>
  <c r="U936" i="7"/>
  <c r="T936" i="7"/>
  <c r="S936" i="7"/>
  <c r="R936" i="7"/>
  <c r="Q936" i="7"/>
  <c r="P936" i="7"/>
  <c r="O936" i="7"/>
  <c r="N936" i="7"/>
  <c r="M936" i="7"/>
  <c r="L936" i="7"/>
  <c r="W935" i="7"/>
  <c r="V935" i="7"/>
  <c r="U935" i="7"/>
  <c r="T935" i="7"/>
  <c r="S935" i="7"/>
  <c r="R935" i="7"/>
  <c r="Q935" i="7"/>
  <c r="P935" i="7"/>
  <c r="O935" i="7"/>
  <c r="N935" i="7"/>
  <c r="M935" i="7"/>
  <c r="L935" i="7"/>
  <c r="W934" i="7"/>
  <c r="V934" i="7"/>
  <c r="U934" i="7"/>
  <c r="T934" i="7"/>
  <c r="S934" i="7"/>
  <c r="R934" i="7"/>
  <c r="Q934" i="7"/>
  <c r="P934" i="7"/>
  <c r="O934" i="7"/>
  <c r="N934" i="7"/>
  <c r="M934" i="7"/>
  <c r="L934" i="7"/>
  <c r="W933" i="7"/>
  <c r="V933" i="7"/>
  <c r="U933" i="7"/>
  <c r="T933" i="7"/>
  <c r="S933" i="7"/>
  <c r="R933" i="7"/>
  <c r="Q933" i="7"/>
  <c r="P933" i="7"/>
  <c r="O933" i="7"/>
  <c r="N933" i="7"/>
  <c r="M933" i="7"/>
  <c r="L933" i="7"/>
  <c r="W932" i="7"/>
  <c r="V932" i="7"/>
  <c r="U932" i="7"/>
  <c r="T932" i="7"/>
  <c r="S932" i="7"/>
  <c r="R932" i="7"/>
  <c r="Q932" i="7"/>
  <c r="P932" i="7"/>
  <c r="O932" i="7"/>
  <c r="N932" i="7"/>
  <c r="M932" i="7"/>
  <c r="L932" i="7"/>
  <c r="W931" i="7"/>
  <c r="V931" i="7"/>
  <c r="U931" i="7"/>
  <c r="T931" i="7"/>
  <c r="S931" i="7"/>
  <c r="R931" i="7"/>
  <c r="Q931" i="7"/>
  <c r="P931" i="7"/>
  <c r="O931" i="7"/>
  <c r="N931" i="7"/>
  <c r="M931" i="7"/>
  <c r="L931" i="7"/>
  <c r="W930" i="7"/>
  <c r="V930" i="7"/>
  <c r="U930" i="7"/>
  <c r="T930" i="7"/>
  <c r="S930" i="7"/>
  <c r="R930" i="7"/>
  <c r="Q930" i="7"/>
  <c r="P930" i="7"/>
  <c r="O930" i="7"/>
  <c r="N930" i="7"/>
  <c r="M930" i="7"/>
  <c r="L930" i="7"/>
  <c r="W929" i="7"/>
  <c r="V929" i="7"/>
  <c r="U929" i="7"/>
  <c r="T929" i="7"/>
  <c r="S929" i="7"/>
  <c r="R929" i="7"/>
  <c r="Q929" i="7"/>
  <c r="P929" i="7"/>
  <c r="O929" i="7"/>
  <c r="N929" i="7"/>
  <c r="M929" i="7"/>
  <c r="L929" i="7"/>
  <c r="W928" i="7"/>
  <c r="V928" i="7"/>
  <c r="U928" i="7"/>
  <c r="T928" i="7"/>
  <c r="S928" i="7"/>
  <c r="R928" i="7"/>
  <c r="Q928" i="7"/>
  <c r="P928" i="7"/>
  <c r="O928" i="7"/>
  <c r="N928" i="7"/>
  <c r="M928" i="7"/>
  <c r="L928" i="7"/>
  <c r="W927" i="7"/>
  <c r="V927" i="7"/>
  <c r="U927" i="7"/>
  <c r="T927" i="7"/>
  <c r="S927" i="7"/>
  <c r="R927" i="7"/>
  <c r="Q927" i="7"/>
  <c r="P927" i="7"/>
  <c r="O927" i="7"/>
  <c r="N927" i="7"/>
  <c r="M927" i="7"/>
  <c r="L927" i="7"/>
  <c r="W926" i="7"/>
  <c r="V926" i="7"/>
  <c r="U926" i="7"/>
  <c r="T926" i="7"/>
  <c r="S926" i="7"/>
  <c r="R926" i="7"/>
  <c r="Q926" i="7"/>
  <c r="P926" i="7"/>
  <c r="O926" i="7"/>
  <c r="N926" i="7"/>
  <c r="M926" i="7"/>
  <c r="L926" i="7"/>
  <c r="W925" i="7"/>
  <c r="V925" i="7"/>
  <c r="U925" i="7"/>
  <c r="T925" i="7"/>
  <c r="S925" i="7"/>
  <c r="R925" i="7"/>
  <c r="Q925" i="7"/>
  <c r="P925" i="7"/>
  <c r="O925" i="7"/>
  <c r="N925" i="7"/>
  <c r="M925" i="7"/>
  <c r="L925" i="7"/>
  <c r="W924" i="7"/>
  <c r="V924" i="7"/>
  <c r="U924" i="7"/>
  <c r="T924" i="7"/>
  <c r="S924" i="7"/>
  <c r="R924" i="7"/>
  <c r="Q924" i="7"/>
  <c r="P924" i="7"/>
  <c r="O924" i="7"/>
  <c r="N924" i="7"/>
  <c r="M924" i="7"/>
  <c r="L924" i="7"/>
  <c r="W923" i="7"/>
  <c r="V923" i="7"/>
  <c r="U923" i="7"/>
  <c r="T923" i="7"/>
  <c r="S923" i="7"/>
  <c r="R923" i="7"/>
  <c r="Q923" i="7"/>
  <c r="P923" i="7"/>
  <c r="O923" i="7"/>
  <c r="N923" i="7"/>
  <c r="M923" i="7"/>
  <c r="L923" i="7"/>
  <c r="W922" i="7"/>
  <c r="V922" i="7"/>
  <c r="U922" i="7"/>
  <c r="T922" i="7"/>
  <c r="S922" i="7"/>
  <c r="R922" i="7"/>
  <c r="Q922" i="7"/>
  <c r="P922" i="7"/>
  <c r="O922" i="7"/>
  <c r="N922" i="7"/>
  <c r="M922" i="7"/>
  <c r="L922" i="7"/>
  <c r="W921" i="7"/>
  <c r="V921" i="7"/>
  <c r="U921" i="7"/>
  <c r="T921" i="7"/>
  <c r="S921" i="7"/>
  <c r="R921" i="7"/>
  <c r="Q921" i="7"/>
  <c r="P921" i="7"/>
  <c r="O921" i="7"/>
  <c r="N921" i="7"/>
  <c r="M921" i="7"/>
  <c r="L921" i="7"/>
  <c r="W920" i="7"/>
  <c r="V920" i="7"/>
  <c r="U920" i="7"/>
  <c r="T920" i="7"/>
  <c r="S920" i="7"/>
  <c r="R920" i="7"/>
  <c r="Q920" i="7"/>
  <c r="P920" i="7"/>
  <c r="O920" i="7"/>
  <c r="N920" i="7"/>
  <c r="M920" i="7"/>
  <c r="L920" i="7"/>
  <c r="W919" i="7"/>
  <c r="V919" i="7"/>
  <c r="U919" i="7"/>
  <c r="T919" i="7"/>
  <c r="S919" i="7"/>
  <c r="R919" i="7"/>
  <c r="Q919" i="7"/>
  <c r="P919" i="7"/>
  <c r="O919" i="7"/>
  <c r="N919" i="7"/>
  <c r="M919" i="7"/>
  <c r="L919" i="7"/>
  <c r="W918" i="7"/>
  <c r="V918" i="7"/>
  <c r="U918" i="7"/>
  <c r="T918" i="7"/>
  <c r="S918" i="7"/>
  <c r="R918" i="7"/>
  <c r="Q918" i="7"/>
  <c r="P918" i="7"/>
  <c r="O918" i="7"/>
  <c r="N918" i="7"/>
  <c r="M918" i="7"/>
  <c r="L918" i="7"/>
  <c r="W917" i="7"/>
  <c r="V917" i="7"/>
  <c r="U917" i="7"/>
  <c r="T917" i="7"/>
  <c r="S917" i="7"/>
  <c r="R917" i="7"/>
  <c r="Q917" i="7"/>
  <c r="P917" i="7"/>
  <c r="O917" i="7"/>
  <c r="N917" i="7"/>
  <c r="M917" i="7"/>
  <c r="L917" i="7"/>
  <c r="W916" i="7"/>
  <c r="V916" i="7"/>
  <c r="U916" i="7"/>
  <c r="T916" i="7"/>
  <c r="S916" i="7"/>
  <c r="R916" i="7"/>
  <c r="Q916" i="7"/>
  <c r="P916" i="7"/>
  <c r="O916" i="7"/>
  <c r="N916" i="7"/>
  <c r="M916" i="7"/>
  <c r="L916" i="7"/>
  <c r="W915" i="7"/>
  <c r="V915" i="7"/>
  <c r="U915" i="7"/>
  <c r="T915" i="7"/>
  <c r="S915" i="7"/>
  <c r="R915" i="7"/>
  <c r="Q915" i="7"/>
  <c r="P915" i="7"/>
  <c r="O915" i="7"/>
  <c r="N915" i="7"/>
  <c r="M915" i="7"/>
  <c r="L915" i="7"/>
  <c r="W914" i="7"/>
  <c r="V914" i="7"/>
  <c r="U914" i="7"/>
  <c r="T914" i="7"/>
  <c r="S914" i="7"/>
  <c r="R914" i="7"/>
  <c r="Q914" i="7"/>
  <c r="P914" i="7"/>
  <c r="O914" i="7"/>
  <c r="N914" i="7"/>
  <c r="M914" i="7"/>
  <c r="L914" i="7"/>
  <c r="W913" i="7"/>
  <c r="V913" i="7"/>
  <c r="U913" i="7"/>
  <c r="T913" i="7"/>
  <c r="S913" i="7"/>
  <c r="R913" i="7"/>
  <c r="Q913" i="7"/>
  <c r="P913" i="7"/>
  <c r="O913" i="7"/>
  <c r="N913" i="7"/>
  <c r="M913" i="7"/>
  <c r="L913" i="7"/>
  <c r="W912" i="7"/>
  <c r="V912" i="7"/>
  <c r="U912" i="7"/>
  <c r="T912" i="7"/>
  <c r="S912" i="7"/>
  <c r="R912" i="7"/>
  <c r="Q912" i="7"/>
  <c r="P912" i="7"/>
  <c r="O912" i="7"/>
  <c r="N912" i="7"/>
  <c r="M912" i="7"/>
  <c r="L912" i="7"/>
  <c r="W911" i="7"/>
  <c r="V911" i="7"/>
  <c r="U911" i="7"/>
  <c r="T911" i="7"/>
  <c r="S911" i="7"/>
  <c r="R911" i="7"/>
  <c r="Q911" i="7"/>
  <c r="P911" i="7"/>
  <c r="O911" i="7"/>
  <c r="N911" i="7"/>
  <c r="M911" i="7"/>
  <c r="L911" i="7"/>
  <c r="W910" i="7"/>
  <c r="V910" i="7"/>
  <c r="U910" i="7"/>
  <c r="T910" i="7"/>
  <c r="S910" i="7"/>
  <c r="R910" i="7"/>
  <c r="Q910" i="7"/>
  <c r="P910" i="7"/>
  <c r="O910" i="7"/>
  <c r="N910" i="7"/>
  <c r="M910" i="7"/>
  <c r="L910" i="7"/>
  <c r="W909" i="7"/>
  <c r="V909" i="7"/>
  <c r="U909" i="7"/>
  <c r="T909" i="7"/>
  <c r="S909" i="7"/>
  <c r="R909" i="7"/>
  <c r="Q909" i="7"/>
  <c r="P909" i="7"/>
  <c r="O909" i="7"/>
  <c r="N909" i="7"/>
  <c r="M909" i="7"/>
  <c r="L909" i="7"/>
  <c r="W908" i="7"/>
  <c r="V908" i="7"/>
  <c r="U908" i="7"/>
  <c r="T908" i="7"/>
  <c r="S908" i="7"/>
  <c r="R908" i="7"/>
  <c r="Q908" i="7"/>
  <c r="P908" i="7"/>
  <c r="O908" i="7"/>
  <c r="N908" i="7"/>
  <c r="M908" i="7"/>
  <c r="L908" i="7"/>
  <c r="W907" i="7"/>
  <c r="V907" i="7"/>
  <c r="U907" i="7"/>
  <c r="T907" i="7"/>
  <c r="S907" i="7"/>
  <c r="R907" i="7"/>
  <c r="Q907" i="7"/>
  <c r="P907" i="7"/>
  <c r="O907" i="7"/>
  <c r="N907" i="7"/>
  <c r="M907" i="7"/>
  <c r="L907" i="7"/>
  <c r="W906" i="7"/>
  <c r="V906" i="7"/>
  <c r="U906" i="7"/>
  <c r="T906" i="7"/>
  <c r="S906" i="7"/>
  <c r="R906" i="7"/>
  <c r="Q906" i="7"/>
  <c r="P906" i="7"/>
  <c r="O906" i="7"/>
  <c r="N906" i="7"/>
  <c r="M906" i="7"/>
  <c r="L906" i="7"/>
  <c r="W905" i="7"/>
  <c r="V905" i="7"/>
  <c r="U905" i="7"/>
  <c r="T905" i="7"/>
  <c r="S905" i="7"/>
  <c r="R905" i="7"/>
  <c r="Q905" i="7"/>
  <c r="P905" i="7"/>
  <c r="O905" i="7"/>
  <c r="N905" i="7"/>
  <c r="M905" i="7"/>
  <c r="L905" i="7"/>
  <c r="W904" i="7"/>
  <c r="V904" i="7"/>
  <c r="U904" i="7"/>
  <c r="T904" i="7"/>
  <c r="S904" i="7"/>
  <c r="R904" i="7"/>
  <c r="Q904" i="7"/>
  <c r="P904" i="7"/>
  <c r="O904" i="7"/>
  <c r="N904" i="7"/>
  <c r="M904" i="7"/>
  <c r="L904" i="7"/>
  <c r="W903" i="7"/>
  <c r="V903" i="7"/>
  <c r="U903" i="7"/>
  <c r="T903" i="7"/>
  <c r="S903" i="7"/>
  <c r="R903" i="7"/>
  <c r="Q903" i="7"/>
  <c r="P903" i="7"/>
  <c r="O903" i="7"/>
  <c r="N903" i="7"/>
  <c r="M903" i="7"/>
  <c r="L903" i="7"/>
  <c r="W902" i="7"/>
  <c r="V902" i="7"/>
  <c r="U902" i="7"/>
  <c r="T902" i="7"/>
  <c r="S902" i="7"/>
  <c r="R902" i="7"/>
  <c r="Q902" i="7"/>
  <c r="P902" i="7"/>
  <c r="O902" i="7"/>
  <c r="N902" i="7"/>
  <c r="M902" i="7"/>
  <c r="L902" i="7"/>
  <c r="W901" i="7"/>
  <c r="V901" i="7"/>
  <c r="U901" i="7"/>
  <c r="T901" i="7"/>
  <c r="S901" i="7"/>
  <c r="R901" i="7"/>
  <c r="Q901" i="7"/>
  <c r="P901" i="7"/>
  <c r="O901" i="7"/>
  <c r="N901" i="7"/>
  <c r="M901" i="7"/>
  <c r="L901" i="7"/>
  <c r="W900" i="7"/>
  <c r="V900" i="7"/>
  <c r="U900" i="7"/>
  <c r="T900" i="7"/>
  <c r="S900" i="7"/>
  <c r="R900" i="7"/>
  <c r="Q900" i="7"/>
  <c r="P900" i="7"/>
  <c r="O900" i="7"/>
  <c r="N900" i="7"/>
  <c r="M900" i="7"/>
  <c r="L900" i="7"/>
  <c r="W899" i="7"/>
  <c r="V899" i="7"/>
  <c r="U899" i="7"/>
  <c r="T899" i="7"/>
  <c r="S899" i="7"/>
  <c r="R899" i="7"/>
  <c r="Q899" i="7"/>
  <c r="P899" i="7"/>
  <c r="O899" i="7"/>
  <c r="N899" i="7"/>
  <c r="M899" i="7"/>
  <c r="L899" i="7"/>
  <c r="W898" i="7"/>
  <c r="V898" i="7"/>
  <c r="U898" i="7"/>
  <c r="T898" i="7"/>
  <c r="S898" i="7"/>
  <c r="R898" i="7"/>
  <c r="Q898" i="7"/>
  <c r="P898" i="7"/>
  <c r="O898" i="7"/>
  <c r="N898" i="7"/>
  <c r="M898" i="7"/>
  <c r="L898" i="7"/>
  <c r="W897" i="7"/>
  <c r="V897" i="7"/>
  <c r="U897" i="7"/>
  <c r="T897" i="7"/>
  <c r="S897" i="7"/>
  <c r="R897" i="7"/>
  <c r="Q897" i="7"/>
  <c r="P897" i="7"/>
  <c r="O897" i="7"/>
  <c r="N897" i="7"/>
  <c r="M897" i="7"/>
  <c r="L897" i="7"/>
  <c r="W896" i="7"/>
  <c r="V896" i="7"/>
  <c r="U896" i="7"/>
  <c r="T896" i="7"/>
  <c r="S896" i="7"/>
  <c r="R896" i="7"/>
  <c r="Q896" i="7"/>
  <c r="P896" i="7"/>
  <c r="O896" i="7"/>
  <c r="N896" i="7"/>
  <c r="M896" i="7"/>
  <c r="L896" i="7"/>
  <c r="W895" i="7"/>
  <c r="V895" i="7"/>
  <c r="U895" i="7"/>
  <c r="T895" i="7"/>
  <c r="S895" i="7"/>
  <c r="R895" i="7"/>
  <c r="Q895" i="7"/>
  <c r="P895" i="7"/>
  <c r="O895" i="7"/>
  <c r="N895" i="7"/>
  <c r="M895" i="7"/>
  <c r="L895" i="7"/>
  <c r="W894" i="7"/>
  <c r="V894" i="7"/>
  <c r="U894" i="7"/>
  <c r="T894" i="7"/>
  <c r="S894" i="7"/>
  <c r="R894" i="7"/>
  <c r="Q894" i="7"/>
  <c r="P894" i="7"/>
  <c r="O894" i="7"/>
  <c r="N894" i="7"/>
  <c r="M894" i="7"/>
  <c r="L894" i="7"/>
  <c r="W893" i="7"/>
  <c r="V893" i="7"/>
  <c r="U893" i="7"/>
  <c r="T893" i="7"/>
  <c r="S893" i="7"/>
  <c r="R893" i="7"/>
  <c r="Q893" i="7"/>
  <c r="P893" i="7"/>
  <c r="O893" i="7"/>
  <c r="N893" i="7"/>
  <c r="M893" i="7"/>
  <c r="L893" i="7"/>
  <c r="W892" i="7"/>
  <c r="V892" i="7"/>
  <c r="U892" i="7"/>
  <c r="T892" i="7"/>
  <c r="S892" i="7"/>
  <c r="R892" i="7"/>
  <c r="Q892" i="7"/>
  <c r="P892" i="7"/>
  <c r="O892" i="7"/>
  <c r="N892" i="7"/>
  <c r="M892" i="7"/>
  <c r="L892" i="7"/>
  <c r="W891" i="7"/>
  <c r="V891" i="7"/>
  <c r="U891" i="7"/>
  <c r="T891" i="7"/>
  <c r="S891" i="7"/>
  <c r="R891" i="7"/>
  <c r="Q891" i="7"/>
  <c r="P891" i="7"/>
  <c r="O891" i="7"/>
  <c r="N891" i="7"/>
  <c r="M891" i="7"/>
  <c r="L891" i="7"/>
  <c r="W890" i="7"/>
  <c r="V890" i="7"/>
  <c r="U890" i="7"/>
  <c r="T890" i="7"/>
  <c r="S890" i="7"/>
  <c r="R890" i="7"/>
  <c r="Q890" i="7"/>
  <c r="P890" i="7"/>
  <c r="O890" i="7"/>
  <c r="N890" i="7"/>
  <c r="M890" i="7"/>
  <c r="L890" i="7"/>
  <c r="W889" i="7"/>
  <c r="V889" i="7"/>
  <c r="U889" i="7"/>
  <c r="T889" i="7"/>
  <c r="S889" i="7"/>
  <c r="R889" i="7"/>
  <c r="Q889" i="7"/>
  <c r="P889" i="7"/>
  <c r="O889" i="7"/>
  <c r="N889" i="7"/>
  <c r="M889" i="7"/>
  <c r="L889" i="7"/>
  <c r="W888" i="7"/>
  <c r="V888" i="7"/>
  <c r="U888" i="7"/>
  <c r="T888" i="7"/>
  <c r="S888" i="7"/>
  <c r="R888" i="7"/>
  <c r="Q888" i="7"/>
  <c r="P888" i="7"/>
  <c r="O888" i="7"/>
  <c r="N888" i="7"/>
  <c r="M888" i="7"/>
  <c r="L888" i="7"/>
  <c r="W887" i="7"/>
  <c r="V887" i="7"/>
  <c r="U887" i="7"/>
  <c r="T887" i="7"/>
  <c r="S887" i="7"/>
  <c r="R887" i="7"/>
  <c r="Q887" i="7"/>
  <c r="P887" i="7"/>
  <c r="O887" i="7"/>
  <c r="N887" i="7"/>
  <c r="M887" i="7"/>
  <c r="L887" i="7"/>
  <c r="W886" i="7"/>
  <c r="V886" i="7"/>
  <c r="U886" i="7"/>
  <c r="T886" i="7"/>
  <c r="S886" i="7"/>
  <c r="R886" i="7"/>
  <c r="Q886" i="7"/>
  <c r="P886" i="7"/>
  <c r="O886" i="7"/>
  <c r="N886" i="7"/>
  <c r="M886" i="7"/>
  <c r="L886" i="7"/>
  <c r="W885" i="7"/>
  <c r="V885" i="7"/>
  <c r="U885" i="7"/>
  <c r="T885" i="7"/>
  <c r="S885" i="7"/>
  <c r="R885" i="7"/>
  <c r="Q885" i="7"/>
  <c r="P885" i="7"/>
  <c r="O885" i="7"/>
  <c r="N885" i="7"/>
  <c r="M885" i="7"/>
  <c r="L885" i="7"/>
  <c r="W884" i="7"/>
  <c r="V884" i="7"/>
  <c r="U884" i="7"/>
  <c r="T884" i="7"/>
  <c r="S884" i="7"/>
  <c r="R884" i="7"/>
  <c r="Q884" i="7"/>
  <c r="P884" i="7"/>
  <c r="O884" i="7"/>
  <c r="N884" i="7"/>
  <c r="M884" i="7"/>
  <c r="L884" i="7"/>
  <c r="W883" i="7"/>
  <c r="V883" i="7"/>
  <c r="U883" i="7"/>
  <c r="T883" i="7"/>
  <c r="S883" i="7"/>
  <c r="R883" i="7"/>
  <c r="Q883" i="7"/>
  <c r="P883" i="7"/>
  <c r="O883" i="7"/>
  <c r="N883" i="7"/>
  <c r="M883" i="7"/>
  <c r="L883" i="7"/>
  <c r="W882" i="7"/>
  <c r="V882" i="7"/>
  <c r="U882" i="7"/>
  <c r="T882" i="7"/>
  <c r="S882" i="7"/>
  <c r="R882" i="7"/>
  <c r="Q882" i="7"/>
  <c r="P882" i="7"/>
  <c r="O882" i="7"/>
  <c r="N882" i="7"/>
  <c r="M882" i="7"/>
  <c r="L882" i="7"/>
  <c r="W881" i="7"/>
  <c r="V881" i="7"/>
  <c r="U881" i="7"/>
  <c r="T881" i="7"/>
  <c r="S881" i="7"/>
  <c r="R881" i="7"/>
  <c r="Q881" i="7"/>
  <c r="P881" i="7"/>
  <c r="O881" i="7"/>
  <c r="N881" i="7"/>
  <c r="M881" i="7"/>
  <c r="L881" i="7"/>
  <c r="W880" i="7"/>
  <c r="V880" i="7"/>
  <c r="U880" i="7"/>
  <c r="T880" i="7"/>
  <c r="S880" i="7"/>
  <c r="R880" i="7"/>
  <c r="Q880" i="7"/>
  <c r="P880" i="7"/>
  <c r="O880" i="7"/>
  <c r="N880" i="7"/>
  <c r="M880" i="7"/>
  <c r="L880" i="7"/>
  <c r="W879" i="7"/>
  <c r="V879" i="7"/>
  <c r="U879" i="7"/>
  <c r="T879" i="7"/>
  <c r="S879" i="7"/>
  <c r="R879" i="7"/>
  <c r="Q879" i="7"/>
  <c r="P879" i="7"/>
  <c r="O879" i="7"/>
  <c r="N879" i="7"/>
  <c r="M879" i="7"/>
  <c r="L879" i="7"/>
  <c r="W878" i="7"/>
  <c r="V878" i="7"/>
  <c r="U878" i="7"/>
  <c r="T878" i="7"/>
  <c r="S878" i="7"/>
  <c r="R878" i="7"/>
  <c r="Q878" i="7"/>
  <c r="P878" i="7"/>
  <c r="O878" i="7"/>
  <c r="N878" i="7"/>
  <c r="M878" i="7"/>
  <c r="L878" i="7"/>
  <c r="W877" i="7"/>
  <c r="V877" i="7"/>
  <c r="U877" i="7"/>
  <c r="T877" i="7"/>
  <c r="S877" i="7"/>
  <c r="R877" i="7"/>
  <c r="Q877" i="7"/>
  <c r="P877" i="7"/>
  <c r="O877" i="7"/>
  <c r="N877" i="7"/>
  <c r="M877" i="7"/>
  <c r="L877" i="7"/>
  <c r="W876" i="7"/>
  <c r="V876" i="7"/>
  <c r="U876" i="7"/>
  <c r="T876" i="7"/>
  <c r="S876" i="7"/>
  <c r="R876" i="7"/>
  <c r="Q876" i="7"/>
  <c r="P876" i="7"/>
  <c r="O876" i="7"/>
  <c r="N876" i="7"/>
  <c r="M876" i="7"/>
  <c r="L876" i="7"/>
  <c r="W875" i="7"/>
  <c r="V875" i="7"/>
  <c r="U875" i="7"/>
  <c r="T875" i="7"/>
  <c r="S875" i="7"/>
  <c r="R875" i="7"/>
  <c r="Q875" i="7"/>
  <c r="P875" i="7"/>
  <c r="O875" i="7"/>
  <c r="N875" i="7"/>
  <c r="M875" i="7"/>
  <c r="L875" i="7"/>
  <c r="W874" i="7"/>
  <c r="V874" i="7"/>
  <c r="U874" i="7"/>
  <c r="T874" i="7"/>
  <c r="S874" i="7"/>
  <c r="R874" i="7"/>
  <c r="Q874" i="7"/>
  <c r="P874" i="7"/>
  <c r="O874" i="7"/>
  <c r="N874" i="7"/>
  <c r="M874" i="7"/>
  <c r="L874" i="7"/>
  <c r="W873" i="7"/>
  <c r="V873" i="7"/>
  <c r="U873" i="7"/>
  <c r="T873" i="7"/>
  <c r="S873" i="7"/>
  <c r="R873" i="7"/>
  <c r="Q873" i="7"/>
  <c r="P873" i="7"/>
  <c r="O873" i="7"/>
  <c r="N873" i="7"/>
  <c r="M873" i="7"/>
  <c r="L873" i="7"/>
  <c r="W872" i="7"/>
  <c r="V872" i="7"/>
  <c r="U872" i="7"/>
  <c r="T872" i="7"/>
  <c r="S872" i="7"/>
  <c r="R872" i="7"/>
  <c r="Q872" i="7"/>
  <c r="P872" i="7"/>
  <c r="O872" i="7"/>
  <c r="N872" i="7"/>
  <c r="M872" i="7"/>
  <c r="L872" i="7"/>
  <c r="W871" i="7"/>
  <c r="V871" i="7"/>
  <c r="U871" i="7"/>
  <c r="T871" i="7"/>
  <c r="S871" i="7"/>
  <c r="R871" i="7"/>
  <c r="Q871" i="7"/>
  <c r="P871" i="7"/>
  <c r="O871" i="7"/>
  <c r="N871" i="7"/>
  <c r="M871" i="7"/>
  <c r="L871" i="7"/>
  <c r="W870" i="7"/>
  <c r="V870" i="7"/>
  <c r="U870" i="7"/>
  <c r="T870" i="7"/>
  <c r="S870" i="7"/>
  <c r="R870" i="7"/>
  <c r="Q870" i="7"/>
  <c r="P870" i="7"/>
  <c r="O870" i="7"/>
  <c r="N870" i="7"/>
  <c r="M870" i="7"/>
  <c r="L870" i="7"/>
  <c r="W869" i="7"/>
  <c r="V869" i="7"/>
  <c r="U869" i="7"/>
  <c r="T869" i="7"/>
  <c r="S869" i="7"/>
  <c r="R869" i="7"/>
  <c r="Q869" i="7"/>
  <c r="P869" i="7"/>
  <c r="O869" i="7"/>
  <c r="N869" i="7"/>
  <c r="M869" i="7"/>
  <c r="L869" i="7"/>
  <c r="W868" i="7"/>
  <c r="V868" i="7"/>
  <c r="U868" i="7"/>
  <c r="T868" i="7"/>
  <c r="S868" i="7"/>
  <c r="R868" i="7"/>
  <c r="Q868" i="7"/>
  <c r="P868" i="7"/>
  <c r="O868" i="7"/>
  <c r="N868" i="7"/>
  <c r="M868" i="7"/>
  <c r="L868" i="7"/>
  <c r="W867" i="7"/>
  <c r="V867" i="7"/>
  <c r="U867" i="7"/>
  <c r="T867" i="7"/>
  <c r="S867" i="7"/>
  <c r="R867" i="7"/>
  <c r="Q867" i="7"/>
  <c r="P867" i="7"/>
  <c r="O867" i="7"/>
  <c r="N867" i="7"/>
  <c r="M867" i="7"/>
  <c r="L867" i="7"/>
  <c r="W866" i="7"/>
  <c r="V866" i="7"/>
  <c r="U866" i="7"/>
  <c r="T866" i="7"/>
  <c r="S866" i="7"/>
  <c r="R866" i="7"/>
  <c r="Q866" i="7"/>
  <c r="P866" i="7"/>
  <c r="O866" i="7"/>
  <c r="N866" i="7"/>
  <c r="M866" i="7"/>
  <c r="L866" i="7"/>
  <c r="W865" i="7"/>
  <c r="V865" i="7"/>
  <c r="U865" i="7"/>
  <c r="T865" i="7"/>
  <c r="S865" i="7"/>
  <c r="R865" i="7"/>
  <c r="Q865" i="7"/>
  <c r="P865" i="7"/>
  <c r="O865" i="7"/>
  <c r="N865" i="7"/>
  <c r="M865" i="7"/>
  <c r="L865" i="7"/>
  <c r="W864" i="7"/>
  <c r="V864" i="7"/>
  <c r="U864" i="7"/>
  <c r="T864" i="7"/>
  <c r="S864" i="7"/>
  <c r="R864" i="7"/>
  <c r="Q864" i="7"/>
  <c r="P864" i="7"/>
  <c r="O864" i="7"/>
  <c r="N864" i="7"/>
  <c r="M864" i="7"/>
  <c r="L864" i="7"/>
  <c r="W863" i="7"/>
  <c r="V863" i="7"/>
  <c r="U863" i="7"/>
  <c r="T863" i="7"/>
  <c r="S863" i="7"/>
  <c r="R863" i="7"/>
  <c r="Q863" i="7"/>
  <c r="P863" i="7"/>
  <c r="O863" i="7"/>
  <c r="N863" i="7"/>
  <c r="M863" i="7"/>
  <c r="L863" i="7"/>
  <c r="W862" i="7"/>
  <c r="V862" i="7"/>
  <c r="U862" i="7"/>
  <c r="T862" i="7"/>
  <c r="S862" i="7"/>
  <c r="R862" i="7"/>
  <c r="Q862" i="7"/>
  <c r="P862" i="7"/>
  <c r="O862" i="7"/>
  <c r="N862" i="7"/>
  <c r="M862" i="7"/>
  <c r="L862" i="7"/>
  <c r="W861" i="7"/>
  <c r="V861" i="7"/>
  <c r="U861" i="7"/>
  <c r="T861" i="7"/>
  <c r="S861" i="7"/>
  <c r="R861" i="7"/>
  <c r="Q861" i="7"/>
  <c r="P861" i="7"/>
  <c r="O861" i="7"/>
  <c r="N861" i="7"/>
  <c r="M861" i="7"/>
  <c r="L861" i="7"/>
  <c r="W860" i="7"/>
  <c r="V860" i="7"/>
  <c r="U860" i="7"/>
  <c r="T860" i="7"/>
  <c r="S860" i="7"/>
  <c r="R860" i="7"/>
  <c r="Q860" i="7"/>
  <c r="P860" i="7"/>
  <c r="O860" i="7"/>
  <c r="N860" i="7"/>
  <c r="M860" i="7"/>
  <c r="L860" i="7"/>
  <c r="W859" i="7"/>
  <c r="V859" i="7"/>
  <c r="U859" i="7"/>
  <c r="T859" i="7"/>
  <c r="S859" i="7"/>
  <c r="R859" i="7"/>
  <c r="Q859" i="7"/>
  <c r="P859" i="7"/>
  <c r="O859" i="7"/>
  <c r="N859" i="7"/>
  <c r="M859" i="7"/>
  <c r="L859" i="7"/>
  <c r="W858" i="7"/>
  <c r="V858" i="7"/>
  <c r="U858" i="7"/>
  <c r="T858" i="7"/>
  <c r="S858" i="7"/>
  <c r="R858" i="7"/>
  <c r="Q858" i="7"/>
  <c r="P858" i="7"/>
  <c r="O858" i="7"/>
  <c r="N858" i="7"/>
  <c r="M858" i="7"/>
  <c r="L858" i="7"/>
  <c r="W857" i="7"/>
  <c r="V857" i="7"/>
  <c r="U857" i="7"/>
  <c r="T857" i="7"/>
  <c r="S857" i="7"/>
  <c r="R857" i="7"/>
  <c r="Q857" i="7"/>
  <c r="P857" i="7"/>
  <c r="O857" i="7"/>
  <c r="N857" i="7"/>
  <c r="M857" i="7"/>
  <c r="L857" i="7"/>
  <c r="W856" i="7"/>
  <c r="V856" i="7"/>
  <c r="U856" i="7"/>
  <c r="T856" i="7"/>
  <c r="S856" i="7"/>
  <c r="R856" i="7"/>
  <c r="Q856" i="7"/>
  <c r="P856" i="7"/>
  <c r="O856" i="7"/>
  <c r="N856" i="7"/>
  <c r="M856" i="7"/>
  <c r="L856" i="7"/>
  <c r="W855" i="7"/>
  <c r="V855" i="7"/>
  <c r="U855" i="7"/>
  <c r="T855" i="7"/>
  <c r="S855" i="7"/>
  <c r="R855" i="7"/>
  <c r="Q855" i="7"/>
  <c r="P855" i="7"/>
  <c r="O855" i="7"/>
  <c r="N855" i="7"/>
  <c r="M855" i="7"/>
  <c r="L855" i="7"/>
  <c r="W854" i="7"/>
  <c r="V854" i="7"/>
  <c r="U854" i="7"/>
  <c r="T854" i="7"/>
  <c r="S854" i="7"/>
  <c r="R854" i="7"/>
  <c r="Q854" i="7"/>
  <c r="P854" i="7"/>
  <c r="O854" i="7"/>
  <c r="N854" i="7"/>
  <c r="M854" i="7"/>
  <c r="L854" i="7"/>
  <c r="W853" i="7"/>
  <c r="V853" i="7"/>
  <c r="U853" i="7"/>
  <c r="T853" i="7"/>
  <c r="S853" i="7"/>
  <c r="R853" i="7"/>
  <c r="Q853" i="7"/>
  <c r="P853" i="7"/>
  <c r="O853" i="7"/>
  <c r="N853" i="7"/>
  <c r="M853" i="7"/>
  <c r="L853" i="7"/>
  <c r="W852" i="7"/>
  <c r="V852" i="7"/>
  <c r="U852" i="7"/>
  <c r="T852" i="7"/>
  <c r="S852" i="7"/>
  <c r="R852" i="7"/>
  <c r="Q852" i="7"/>
  <c r="P852" i="7"/>
  <c r="O852" i="7"/>
  <c r="N852" i="7"/>
  <c r="M852" i="7"/>
  <c r="L852" i="7"/>
  <c r="W851" i="7"/>
  <c r="V851" i="7"/>
  <c r="U851" i="7"/>
  <c r="T851" i="7"/>
  <c r="S851" i="7"/>
  <c r="R851" i="7"/>
  <c r="Q851" i="7"/>
  <c r="P851" i="7"/>
  <c r="O851" i="7"/>
  <c r="N851" i="7"/>
  <c r="M851" i="7"/>
  <c r="L851" i="7"/>
  <c r="W850" i="7"/>
  <c r="V850" i="7"/>
  <c r="U850" i="7"/>
  <c r="T850" i="7"/>
  <c r="S850" i="7"/>
  <c r="R850" i="7"/>
  <c r="Q850" i="7"/>
  <c r="P850" i="7"/>
  <c r="O850" i="7"/>
  <c r="N850" i="7"/>
  <c r="M850" i="7"/>
  <c r="L850" i="7"/>
  <c r="W849" i="7"/>
  <c r="V849" i="7"/>
  <c r="U849" i="7"/>
  <c r="T849" i="7"/>
  <c r="S849" i="7"/>
  <c r="R849" i="7"/>
  <c r="Q849" i="7"/>
  <c r="P849" i="7"/>
  <c r="O849" i="7"/>
  <c r="N849" i="7"/>
  <c r="M849" i="7"/>
  <c r="L849" i="7"/>
  <c r="W848" i="7"/>
  <c r="V848" i="7"/>
  <c r="U848" i="7"/>
  <c r="T848" i="7"/>
  <c r="S848" i="7"/>
  <c r="R848" i="7"/>
  <c r="Q848" i="7"/>
  <c r="P848" i="7"/>
  <c r="O848" i="7"/>
  <c r="N848" i="7"/>
  <c r="M848" i="7"/>
  <c r="L848" i="7"/>
  <c r="W847" i="7"/>
  <c r="V847" i="7"/>
  <c r="U847" i="7"/>
  <c r="T847" i="7"/>
  <c r="S847" i="7"/>
  <c r="R847" i="7"/>
  <c r="Q847" i="7"/>
  <c r="P847" i="7"/>
  <c r="O847" i="7"/>
  <c r="N847" i="7"/>
  <c r="M847" i="7"/>
  <c r="L847" i="7"/>
  <c r="W846" i="7"/>
  <c r="V846" i="7"/>
  <c r="U846" i="7"/>
  <c r="T846" i="7"/>
  <c r="S846" i="7"/>
  <c r="R846" i="7"/>
  <c r="Q846" i="7"/>
  <c r="P846" i="7"/>
  <c r="O846" i="7"/>
  <c r="N846" i="7"/>
  <c r="M846" i="7"/>
  <c r="L846" i="7"/>
  <c r="W845" i="7"/>
  <c r="V845" i="7"/>
  <c r="U845" i="7"/>
  <c r="T845" i="7"/>
  <c r="S845" i="7"/>
  <c r="R845" i="7"/>
  <c r="Q845" i="7"/>
  <c r="P845" i="7"/>
  <c r="O845" i="7"/>
  <c r="N845" i="7"/>
  <c r="M845" i="7"/>
  <c r="L845" i="7"/>
  <c r="W844" i="7"/>
  <c r="V844" i="7"/>
  <c r="U844" i="7"/>
  <c r="T844" i="7"/>
  <c r="S844" i="7"/>
  <c r="R844" i="7"/>
  <c r="Q844" i="7"/>
  <c r="P844" i="7"/>
  <c r="O844" i="7"/>
  <c r="N844" i="7"/>
  <c r="M844" i="7"/>
  <c r="L844" i="7"/>
  <c r="W843" i="7"/>
  <c r="V843" i="7"/>
  <c r="U843" i="7"/>
  <c r="T843" i="7"/>
  <c r="S843" i="7"/>
  <c r="R843" i="7"/>
  <c r="Q843" i="7"/>
  <c r="P843" i="7"/>
  <c r="O843" i="7"/>
  <c r="N843" i="7"/>
  <c r="M843" i="7"/>
  <c r="L843" i="7"/>
  <c r="W842" i="7"/>
  <c r="V842" i="7"/>
  <c r="U842" i="7"/>
  <c r="T842" i="7"/>
  <c r="S842" i="7"/>
  <c r="R842" i="7"/>
  <c r="Q842" i="7"/>
  <c r="P842" i="7"/>
  <c r="O842" i="7"/>
  <c r="N842" i="7"/>
  <c r="M842" i="7"/>
  <c r="L842" i="7"/>
  <c r="W841" i="7"/>
  <c r="V841" i="7"/>
  <c r="U841" i="7"/>
  <c r="T841" i="7"/>
  <c r="S841" i="7"/>
  <c r="R841" i="7"/>
  <c r="Q841" i="7"/>
  <c r="P841" i="7"/>
  <c r="O841" i="7"/>
  <c r="N841" i="7"/>
  <c r="M841" i="7"/>
  <c r="L841" i="7"/>
  <c r="W840" i="7"/>
  <c r="V840" i="7"/>
  <c r="U840" i="7"/>
  <c r="T840" i="7"/>
  <c r="S840" i="7"/>
  <c r="R840" i="7"/>
  <c r="Q840" i="7"/>
  <c r="P840" i="7"/>
  <c r="O840" i="7"/>
  <c r="N840" i="7"/>
  <c r="M840" i="7"/>
  <c r="L840" i="7"/>
  <c r="W839" i="7"/>
  <c r="V839" i="7"/>
  <c r="U839" i="7"/>
  <c r="T839" i="7"/>
  <c r="S839" i="7"/>
  <c r="R839" i="7"/>
  <c r="Q839" i="7"/>
  <c r="P839" i="7"/>
  <c r="O839" i="7"/>
  <c r="N839" i="7"/>
  <c r="M839" i="7"/>
  <c r="L839" i="7"/>
  <c r="W838" i="7"/>
  <c r="V838" i="7"/>
  <c r="U838" i="7"/>
  <c r="T838" i="7"/>
  <c r="S838" i="7"/>
  <c r="R838" i="7"/>
  <c r="Q838" i="7"/>
  <c r="P838" i="7"/>
  <c r="O838" i="7"/>
  <c r="N838" i="7"/>
  <c r="M838" i="7"/>
  <c r="L838" i="7"/>
  <c r="W837" i="7"/>
  <c r="V837" i="7"/>
  <c r="U837" i="7"/>
  <c r="T837" i="7"/>
  <c r="S837" i="7"/>
  <c r="R837" i="7"/>
  <c r="Q837" i="7"/>
  <c r="P837" i="7"/>
  <c r="O837" i="7"/>
  <c r="N837" i="7"/>
  <c r="M837" i="7"/>
  <c r="L837" i="7"/>
  <c r="W836" i="7"/>
  <c r="V836" i="7"/>
  <c r="U836" i="7"/>
  <c r="T836" i="7"/>
  <c r="S836" i="7"/>
  <c r="R836" i="7"/>
  <c r="Q836" i="7"/>
  <c r="P836" i="7"/>
  <c r="O836" i="7"/>
  <c r="N836" i="7"/>
  <c r="M836" i="7"/>
  <c r="L836" i="7"/>
  <c r="W835" i="7"/>
  <c r="V835" i="7"/>
  <c r="U835" i="7"/>
  <c r="T835" i="7"/>
  <c r="S835" i="7"/>
  <c r="R835" i="7"/>
  <c r="Q835" i="7"/>
  <c r="P835" i="7"/>
  <c r="O835" i="7"/>
  <c r="N835" i="7"/>
  <c r="M835" i="7"/>
  <c r="L835" i="7"/>
  <c r="W834" i="7"/>
  <c r="V834" i="7"/>
  <c r="U834" i="7"/>
  <c r="T834" i="7"/>
  <c r="S834" i="7"/>
  <c r="R834" i="7"/>
  <c r="Q834" i="7"/>
  <c r="P834" i="7"/>
  <c r="O834" i="7"/>
  <c r="N834" i="7"/>
  <c r="M834" i="7"/>
  <c r="L834" i="7"/>
  <c r="W833" i="7"/>
  <c r="V833" i="7"/>
  <c r="U833" i="7"/>
  <c r="T833" i="7"/>
  <c r="S833" i="7"/>
  <c r="R833" i="7"/>
  <c r="Q833" i="7"/>
  <c r="P833" i="7"/>
  <c r="O833" i="7"/>
  <c r="N833" i="7"/>
  <c r="M833" i="7"/>
  <c r="L833" i="7"/>
  <c r="W832" i="7"/>
  <c r="V832" i="7"/>
  <c r="U832" i="7"/>
  <c r="T832" i="7"/>
  <c r="S832" i="7"/>
  <c r="R832" i="7"/>
  <c r="Q832" i="7"/>
  <c r="P832" i="7"/>
  <c r="O832" i="7"/>
  <c r="N832" i="7"/>
  <c r="M832" i="7"/>
  <c r="L832" i="7"/>
  <c r="W831" i="7"/>
  <c r="V831" i="7"/>
  <c r="U831" i="7"/>
  <c r="T831" i="7"/>
  <c r="S831" i="7"/>
  <c r="R831" i="7"/>
  <c r="Q831" i="7"/>
  <c r="P831" i="7"/>
  <c r="O831" i="7"/>
  <c r="N831" i="7"/>
  <c r="M831" i="7"/>
  <c r="L831" i="7"/>
  <c r="W830" i="7"/>
  <c r="V830" i="7"/>
  <c r="U830" i="7"/>
  <c r="T830" i="7"/>
  <c r="S830" i="7"/>
  <c r="R830" i="7"/>
  <c r="Q830" i="7"/>
  <c r="P830" i="7"/>
  <c r="O830" i="7"/>
  <c r="N830" i="7"/>
  <c r="M830" i="7"/>
  <c r="L830" i="7"/>
  <c r="W829" i="7"/>
  <c r="V829" i="7"/>
  <c r="U829" i="7"/>
  <c r="T829" i="7"/>
  <c r="S829" i="7"/>
  <c r="R829" i="7"/>
  <c r="Q829" i="7"/>
  <c r="P829" i="7"/>
  <c r="O829" i="7"/>
  <c r="N829" i="7"/>
  <c r="M829" i="7"/>
  <c r="L829" i="7"/>
  <c r="W828" i="7"/>
  <c r="V828" i="7"/>
  <c r="U828" i="7"/>
  <c r="T828" i="7"/>
  <c r="S828" i="7"/>
  <c r="R828" i="7"/>
  <c r="Q828" i="7"/>
  <c r="P828" i="7"/>
  <c r="O828" i="7"/>
  <c r="N828" i="7"/>
  <c r="M828" i="7"/>
  <c r="L828" i="7"/>
  <c r="W827" i="7"/>
  <c r="V827" i="7"/>
  <c r="U827" i="7"/>
  <c r="T827" i="7"/>
  <c r="S827" i="7"/>
  <c r="R827" i="7"/>
  <c r="Q827" i="7"/>
  <c r="P827" i="7"/>
  <c r="O827" i="7"/>
  <c r="N827" i="7"/>
  <c r="M827" i="7"/>
  <c r="L827" i="7"/>
  <c r="W826" i="7"/>
  <c r="V826" i="7"/>
  <c r="U826" i="7"/>
  <c r="T826" i="7"/>
  <c r="S826" i="7"/>
  <c r="R826" i="7"/>
  <c r="Q826" i="7"/>
  <c r="P826" i="7"/>
  <c r="O826" i="7"/>
  <c r="N826" i="7"/>
  <c r="M826" i="7"/>
  <c r="L826" i="7"/>
  <c r="W825" i="7"/>
  <c r="V825" i="7"/>
  <c r="U825" i="7"/>
  <c r="T825" i="7"/>
  <c r="S825" i="7"/>
  <c r="R825" i="7"/>
  <c r="Q825" i="7"/>
  <c r="P825" i="7"/>
  <c r="O825" i="7"/>
  <c r="N825" i="7"/>
  <c r="M825" i="7"/>
  <c r="L825" i="7"/>
  <c r="W824" i="7"/>
  <c r="V824" i="7"/>
  <c r="U824" i="7"/>
  <c r="T824" i="7"/>
  <c r="S824" i="7"/>
  <c r="R824" i="7"/>
  <c r="Q824" i="7"/>
  <c r="P824" i="7"/>
  <c r="O824" i="7"/>
  <c r="N824" i="7"/>
  <c r="M824" i="7"/>
  <c r="L824" i="7"/>
  <c r="W823" i="7"/>
  <c r="V823" i="7"/>
  <c r="U823" i="7"/>
  <c r="T823" i="7"/>
  <c r="S823" i="7"/>
  <c r="R823" i="7"/>
  <c r="Q823" i="7"/>
  <c r="P823" i="7"/>
  <c r="O823" i="7"/>
  <c r="N823" i="7"/>
  <c r="M823" i="7"/>
  <c r="L823" i="7"/>
  <c r="W822" i="7"/>
  <c r="V822" i="7"/>
  <c r="U822" i="7"/>
  <c r="T822" i="7"/>
  <c r="S822" i="7"/>
  <c r="R822" i="7"/>
  <c r="Q822" i="7"/>
  <c r="P822" i="7"/>
  <c r="O822" i="7"/>
  <c r="N822" i="7"/>
  <c r="M822" i="7"/>
  <c r="L822" i="7"/>
  <c r="W821" i="7"/>
  <c r="V821" i="7"/>
  <c r="U821" i="7"/>
  <c r="T821" i="7"/>
  <c r="S821" i="7"/>
  <c r="R821" i="7"/>
  <c r="Q821" i="7"/>
  <c r="P821" i="7"/>
  <c r="O821" i="7"/>
  <c r="N821" i="7"/>
  <c r="M821" i="7"/>
  <c r="L821" i="7"/>
  <c r="W820" i="7"/>
  <c r="V820" i="7"/>
  <c r="U820" i="7"/>
  <c r="T820" i="7"/>
  <c r="S820" i="7"/>
  <c r="R820" i="7"/>
  <c r="Q820" i="7"/>
  <c r="P820" i="7"/>
  <c r="O820" i="7"/>
  <c r="N820" i="7"/>
  <c r="M820" i="7"/>
  <c r="L820" i="7"/>
  <c r="W819" i="7"/>
  <c r="V819" i="7"/>
  <c r="U819" i="7"/>
  <c r="T819" i="7"/>
  <c r="S819" i="7"/>
  <c r="R819" i="7"/>
  <c r="Q819" i="7"/>
  <c r="P819" i="7"/>
  <c r="O819" i="7"/>
  <c r="N819" i="7"/>
  <c r="M819" i="7"/>
  <c r="L819" i="7"/>
  <c r="W818" i="7"/>
  <c r="V818" i="7"/>
  <c r="U818" i="7"/>
  <c r="T818" i="7"/>
  <c r="S818" i="7"/>
  <c r="R818" i="7"/>
  <c r="Q818" i="7"/>
  <c r="P818" i="7"/>
  <c r="O818" i="7"/>
  <c r="N818" i="7"/>
  <c r="M818" i="7"/>
  <c r="L818" i="7"/>
  <c r="W817" i="7"/>
  <c r="V817" i="7"/>
  <c r="U817" i="7"/>
  <c r="T817" i="7"/>
  <c r="S817" i="7"/>
  <c r="R817" i="7"/>
  <c r="Q817" i="7"/>
  <c r="P817" i="7"/>
  <c r="O817" i="7"/>
  <c r="N817" i="7"/>
  <c r="M817" i="7"/>
  <c r="L817" i="7"/>
  <c r="W816" i="7"/>
  <c r="V816" i="7"/>
  <c r="U816" i="7"/>
  <c r="T816" i="7"/>
  <c r="S816" i="7"/>
  <c r="R816" i="7"/>
  <c r="Q816" i="7"/>
  <c r="P816" i="7"/>
  <c r="O816" i="7"/>
  <c r="N816" i="7"/>
  <c r="M816" i="7"/>
  <c r="L816" i="7"/>
  <c r="W815" i="7"/>
  <c r="V815" i="7"/>
  <c r="U815" i="7"/>
  <c r="T815" i="7"/>
  <c r="S815" i="7"/>
  <c r="R815" i="7"/>
  <c r="Q815" i="7"/>
  <c r="P815" i="7"/>
  <c r="O815" i="7"/>
  <c r="N815" i="7"/>
  <c r="M815" i="7"/>
  <c r="L815" i="7"/>
  <c r="W814" i="7"/>
  <c r="V814" i="7"/>
  <c r="U814" i="7"/>
  <c r="T814" i="7"/>
  <c r="S814" i="7"/>
  <c r="R814" i="7"/>
  <c r="Q814" i="7"/>
  <c r="P814" i="7"/>
  <c r="O814" i="7"/>
  <c r="N814" i="7"/>
  <c r="M814" i="7"/>
  <c r="L814" i="7"/>
  <c r="W813" i="7"/>
  <c r="V813" i="7"/>
  <c r="U813" i="7"/>
  <c r="T813" i="7"/>
  <c r="S813" i="7"/>
  <c r="R813" i="7"/>
  <c r="Q813" i="7"/>
  <c r="P813" i="7"/>
  <c r="O813" i="7"/>
  <c r="N813" i="7"/>
  <c r="M813" i="7"/>
  <c r="L813" i="7"/>
  <c r="W812" i="7"/>
  <c r="V812" i="7"/>
  <c r="U812" i="7"/>
  <c r="T812" i="7"/>
  <c r="S812" i="7"/>
  <c r="R812" i="7"/>
  <c r="Q812" i="7"/>
  <c r="P812" i="7"/>
  <c r="O812" i="7"/>
  <c r="N812" i="7"/>
  <c r="M812" i="7"/>
  <c r="L812" i="7"/>
  <c r="W811" i="7"/>
  <c r="V811" i="7"/>
  <c r="U811" i="7"/>
  <c r="T811" i="7"/>
  <c r="S811" i="7"/>
  <c r="R811" i="7"/>
  <c r="Q811" i="7"/>
  <c r="P811" i="7"/>
  <c r="O811" i="7"/>
  <c r="N811" i="7"/>
  <c r="M811" i="7"/>
  <c r="L811" i="7"/>
  <c r="W810" i="7"/>
  <c r="V810" i="7"/>
  <c r="U810" i="7"/>
  <c r="T810" i="7"/>
  <c r="S810" i="7"/>
  <c r="R810" i="7"/>
  <c r="Q810" i="7"/>
  <c r="P810" i="7"/>
  <c r="O810" i="7"/>
  <c r="N810" i="7"/>
  <c r="M810" i="7"/>
  <c r="L810" i="7"/>
  <c r="W809" i="7"/>
  <c r="V809" i="7"/>
  <c r="U809" i="7"/>
  <c r="T809" i="7"/>
  <c r="S809" i="7"/>
  <c r="R809" i="7"/>
  <c r="Q809" i="7"/>
  <c r="P809" i="7"/>
  <c r="O809" i="7"/>
  <c r="N809" i="7"/>
  <c r="M809" i="7"/>
  <c r="L809" i="7"/>
  <c r="W808" i="7"/>
  <c r="V808" i="7"/>
  <c r="U808" i="7"/>
  <c r="T808" i="7"/>
  <c r="S808" i="7"/>
  <c r="R808" i="7"/>
  <c r="Q808" i="7"/>
  <c r="P808" i="7"/>
  <c r="O808" i="7"/>
  <c r="N808" i="7"/>
  <c r="M808" i="7"/>
  <c r="L808" i="7"/>
  <c r="W807" i="7"/>
  <c r="V807" i="7"/>
  <c r="U807" i="7"/>
  <c r="T807" i="7"/>
  <c r="S807" i="7"/>
  <c r="R807" i="7"/>
  <c r="Q807" i="7"/>
  <c r="P807" i="7"/>
  <c r="O807" i="7"/>
  <c r="N807" i="7"/>
  <c r="M807" i="7"/>
  <c r="L807" i="7"/>
  <c r="W806" i="7"/>
  <c r="V806" i="7"/>
  <c r="U806" i="7"/>
  <c r="T806" i="7"/>
  <c r="S806" i="7"/>
  <c r="R806" i="7"/>
  <c r="Q806" i="7"/>
  <c r="P806" i="7"/>
  <c r="O806" i="7"/>
  <c r="N806" i="7"/>
  <c r="M806" i="7"/>
  <c r="L806" i="7"/>
  <c r="W805" i="7"/>
  <c r="V805" i="7"/>
  <c r="U805" i="7"/>
  <c r="T805" i="7"/>
  <c r="S805" i="7"/>
  <c r="R805" i="7"/>
  <c r="Q805" i="7"/>
  <c r="P805" i="7"/>
  <c r="O805" i="7"/>
  <c r="N805" i="7"/>
  <c r="M805" i="7"/>
  <c r="L805" i="7"/>
  <c r="W804" i="7"/>
  <c r="V804" i="7"/>
  <c r="U804" i="7"/>
  <c r="T804" i="7"/>
  <c r="S804" i="7"/>
  <c r="R804" i="7"/>
  <c r="Q804" i="7"/>
  <c r="P804" i="7"/>
  <c r="O804" i="7"/>
  <c r="N804" i="7"/>
  <c r="M804" i="7"/>
  <c r="L804" i="7"/>
  <c r="W803" i="7"/>
  <c r="V803" i="7"/>
  <c r="U803" i="7"/>
  <c r="T803" i="7"/>
  <c r="S803" i="7"/>
  <c r="R803" i="7"/>
  <c r="Q803" i="7"/>
  <c r="P803" i="7"/>
  <c r="O803" i="7"/>
  <c r="N803" i="7"/>
  <c r="M803" i="7"/>
  <c r="L803" i="7"/>
  <c r="W802" i="7"/>
  <c r="V802" i="7"/>
  <c r="U802" i="7"/>
  <c r="T802" i="7"/>
  <c r="S802" i="7"/>
  <c r="R802" i="7"/>
  <c r="Q802" i="7"/>
  <c r="P802" i="7"/>
  <c r="O802" i="7"/>
  <c r="N802" i="7"/>
  <c r="M802" i="7"/>
  <c r="L802" i="7"/>
  <c r="W801" i="7"/>
  <c r="V801" i="7"/>
  <c r="U801" i="7"/>
  <c r="T801" i="7"/>
  <c r="S801" i="7"/>
  <c r="R801" i="7"/>
  <c r="Q801" i="7"/>
  <c r="P801" i="7"/>
  <c r="O801" i="7"/>
  <c r="N801" i="7"/>
  <c r="M801" i="7"/>
  <c r="L801" i="7"/>
  <c r="W800" i="7"/>
  <c r="V800" i="7"/>
  <c r="U800" i="7"/>
  <c r="T800" i="7"/>
  <c r="S800" i="7"/>
  <c r="R800" i="7"/>
  <c r="Q800" i="7"/>
  <c r="P800" i="7"/>
  <c r="O800" i="7"/>
  <c r="N800" i="7"/>
  <c r="M800" i="7"/>
  <c r="L800" i="7"/>
  <c r="W799" i="7"/>
  <c r="V799" i="7"/>
  <c r="U799" i="7"/>
  <c r="T799" i="7"/>
  <c r="S799" i="7"/>
  <c r="R799" i="7"/>
  <c r="Q799" i="7"/>
  <c r="P799" i="7"/>
  <c r="O799" i="7"/>
  <c r="N799" i="7"/>
  <c r="M799" i="7"/>
  <c r="L799" i="7"/>
  <c r="W798" i="7"/>
  <c r="V798" i="7"/>
  <c r="U798" i="7"/>
  <c r="T798" i="7"/>
  <c r="S798" i="7"/>
  <c r="R798" i="7"/>
  <c r="Q798" i="7"/>
  <c r="P798" i="7"/>
  <c r="O798" i="7"/>
  <c r="N798" i="7"/>
  <c r="M798" i="7"/>
  <c r="L798" i="7"/>
  <c r="W797" i="7"/>
  <c r="V797" i="7"/>
  <c r="U797" i="7"/>
  <c r="T797" i="7"/>
  <c r="S797" i="7"/>
  <c r="R797" i="7"/>
  <c r="Q797" i="7"/>
  <c r="P797" i="7"/>
  <c r="O797" i="7"/>
  <c r="N797" i="7"/>
  <c r="M797" i="7"/>
  <c r="L797" i="7"/>
  <c r="W796" i="7"/>
  <c r="V796" i="7"/>
  <c r="U796" i="7"/>
  <c r="T796" i="7"/>
  <c r="S796" i="7"/>
  <c r="R796" i="7"/>
  <c r="Q796" i="7"/>
  <c r="P796" i="7"/>
  <c r="O796" i="7"/>
  <c r="N796" i="7"/>
  <c r="M796" i="7"/>
  <c r="L796" i="7"/>
  <c r="W795" i="7"/>
  <c r="V795" i="7"/>
  <c r="U795" i="7"/>
  <c r="T795" i="7"/>
  <c r="S795" i="7"/>
  <c r="R795" i="7"/>
  <c r="Q795" i="7"/>
  <c r="P795" i="7"/>
  <c r="O795" i="7"/>
  <c r="N795" i="7"/>
  <c r="M795" i="7"/>
  <c r="L795" i="7"/>
  <c r="W794" i="7"/>
  <c r="V794" i="7"/>
  <c r="U794" i="7"/>
  <c r="T794" i="7"/>
  <c r="S794" i="7"/>
  <c r="R794" i="7"/>
  <c r="Q794" i="7"/>
  <c r="P794" i="7"/>
  <c r="O794" i="7"/>
  <c r="N794" i="7"/>
  <c r="M794" i="7"/>
  <c r="L794" i="7"/>
  <c r="W793" i="7"/>
  <c r="V793" i="7"/>
  <c r="U793" i="7"/>
  <c r="T793" i="7"/>
  <c r="S793" i="7"/>
  <c r="R793" i="7"/>
  <c r="Q793" i="7"/>
  <c r="P793" i="7"/>
  <c r="O793" i="7"/>
  <c r="N793" i="7"/>
  <c r="M793" i="7"/>
  <c r="L793" i="7"/>
  <c r="W792" i="7"/>
  <c r="V792" i="7"/>
  <c r="U792" i="7"/>
  <c r="T792" i="7"/>
  <c r="S792" i="7"/>
  <c r="R792" i="7"/>
  <c r="Q792" i="7"/>
  <c r="P792" i="7"/>
  <c r="O792" i="7"/>
  <c r="N792" i="7"/>
  <c r="M792" i="7"/>
  <c r="L792" i="7"/>
  <c r="W791" i="7"/>
  <c r="V791" i="7"/>
  <c r="U791" i="7"/>
  <c r="T791" i="7"/>
  <c r="S791" i="7"/>
  <c r="R791" i="7"/>
  <c r="Q791" i="7"/>
  <c r="P791" i="7"/>
  <c r="O791" i="7"/>
  <c r="N791" i="7"/>
  <c r="M791" i="7"/>
  <c r="L791" i="7"/>
  <c r="W790" i="7"/>
  <c r="V790" i="7"/>
  <c r="U790" i="7"/>
  <c r="T790" i="7"/>
  <c r="S790" i="7"/>
  <c r="R790" i="7"/>
  <c r="Q790" i="7"/>
  <c r="P790" i="7"/>
  <c r="O790" i="7"/>
  <c r="N790" i="7"/>
  <c r="M790" i="7"/>
  <c r="L790" i="7"/>
  <c r="W789" i="7"/>
  <c r="V789" i="7"/>
  <c r="U789" i="7"/>
  <c r="T789" i="7"/>
  <c r="S789" i="7"/>
  <c r="R789" i="7"/>
  <c r="Q789" i="7"/>
  <c r="P789" i="7"/>
  <c r="O789" i="7"/>
  <c r="N789" i="7"/>
  <c r="M789" i="7"/>
  <c r="L789" i="7"/>
  <c r="W788" i="7"/>
  <c r="V788" i="7"/>
  <c r="U788" i="7"/>
  <c r="T788" i="7"/>
  <c r="S788" i="7"/>
  <c r="R788" i="7"/>
  <c r="Q788" i="7"/>
  <c r="P788" i="7"/>
  <c r="O788" i="7"/>
  <c r="N788" i="7"/>
  <c r="M788" i="7"/>
  <c r="L788" i="7"/>
  <c r="W787" i="7"/>
  <c r="V787" i="7"/>
  <c r="U787" i="7"/>
  <c r="T787" i="7"/>
  <c r="S787" i="7"/>
  <c r="R787" i="7"/>
  <c r="Q787" i="7"/>
  <c r="P787" i="7"/>
  <c r="O787" i="7"/>
  <c r="N787" i="7"/>
  <c r="M787" i="7"/>
  <c r="L787" i="7"/>
  <c r="W786" i="7"/>
  <c r="V786" i="7"/>
  <c r="U786" i="7"/>
  <c r="T786" i="7"/>
  <c r="S786" i="7"/>
  <c r="R786" i="7"/>
  <c r="Q786" i="7"/>
  <c r="P786" i="7"/>
  <c r="O786" i="7"/>
  <c r="N786" i="7"/>
  <c r="M786" i="7"/>
  <c r="L786" i="7"/>
  <c r="W785" i="7"/>
  <c r="V785" i="7"/>
  <c r="U785" i="7"/>
  <c r="T785" i="7"/>
  <c r="S785" i="7"/>
  <c r="R785" i="7"/>
  <c r="Q785" i="7"/>
  <c r="P785" i="7"/>
  <c r="O785" i="7"/>
  <c r="N785" i="7"/>
  <c r="M785" i="7"/>
  <c r="L785" i="7"/>
  <c r="W784" i="7"/>
  <c r="V784" i="7"/>
  <c r="U784" i="7"/>
  <c r="T784" i="7"/>
  <c r="S784" i="7"/>
  <c r="R784" i="7"/>
  <c r="Q784" i="7"/>
  <c r="P784" i="7"/>
  <c r="O784" i="7"/>
  <c r="N784" i="7"/>
  <c r="M784" i="7"/>
  <c r="L784" i="7"/>
  <c r="W783" i="7"/>
  <c r="V783" i="7"/>
  <c r="U783" i="7"/>
  <c r="T783" i="7"/>
  <c r="S783" i="7"/>
  <c r="R783" i="7"/>
  <c r="Q783" i="7"/>
  <c r="P783" i="7"/>
  <c r="O783" i="7"/>
  <c r="N783" i="7"/>
  <c r="M783" i="7"/>
  <c r="L783" i="7"/>
  <c r="W782" i="7"/>
  <c r="V782" i="7"/>
  <c r="U782" i="7"/>
  <c r="T782" i="7"/>
  <c r="S782" i="7"/>
  <c r="R782" i="7"/>
  <c r="Q782" i="7"/>
  <c r="P782" i="7"/>
  <c r="O782" i="7"/>
  <c r="N782" i="7"/>
  <c r="M782" i="7"/>
  <c r="L782" i="7"/>
  <c r="W781" i="7"/>
  <c r="V781" i="7"/>
  <c r="U781" i="7"/>
  <c r="T781" i="7"/>
  <c r="S781" i="7"/>
  <c r="R781" i="7"/>
  <c r="Q781" i="7"/>
  <c r="P781" i="7"/>
  <c r="O781" i="7"/>
  <c r="N781" i="7"/>
  <c r="M781" i="7"/>
  <c r="L781" i="7"/>
  <c r="W780" i="7"/>
  <c r="V780" i="7"/>
  <c r="U780" i="7"/>
  <c r="T780" i="7"/>
  <c r="S780" i="7"/>
  <c r="R780" i="7"/>
  <c r="Q780" i="7"/>
  <c r="P780" i="7"/>
  <c r="O780" i="7"/>
  <c r="N780" i="7"/>
  <c r="M780" i="7"/>
  <c r="L780" i="7"/>
  <c r="W779" i="7"/>
  <c r="V779" i="7"/>
  <c r="U779" i="7"/>
  <c r="T779" i="7"/>
  <c r="S779" i="7"/>
  <c r="R779" i="7"/>
  <c r="Q779" i="7"/>
  <c r="P779" i="7"/>
  <c r="O779" i="7"/>
  <c r="N779" i="7"/>
  <c r="M779" i="7"/>
  <c r="L779" i="7"/>
  <c r="W778" i="7"/>
  <c r="V778" i="7"/>
  <c r="U778" i="7"/>
  <c r="T778" i="7"/>
  <c r="S778" i="7"/>
  <c r="R778" i="7"/>
  <c r="Q778" i="7"/>
  <c r="P778" i="7"/>
  <c r="O778" i="7"/>
  <c r="N778" i="7"/>
  <c r="M778" i="7"/>
  <c r="L778" i="7"/>
  <c r="W777" i="7"/>
  <c r="V777" i="7"/>
  <c r="U777" i="7"/>
  <c r="T777" i="7"/>
  <c r="S777" i="7"/>
  <c r="R777" i="7"/>
  <c r="Q777" i="7"/>
  <c r="P777" i="7"/>
  <c r="O777" i="7"/>
  <c r="N777" i="7"/>
  <c r="M777" i="7"/>
  <c r="L777" i="7"/>
  <c r="W776" i="7"/>
  <c r="V776" i="7"/>
  <c r="U776" i="7"/>
  <c r="T776" i="7"/>
  <c r="S776" i="7"/>
  <c r="R776" i="7"/>
  <c r="Q776" i="7"/>
  <c r="P776" i="7"/>
  <c r="O776" i="7"/>
  <c r="N776" i="7"/>
  <c r="M776" i="7"/>
  <c r="L776" i="7"/>
  <c r="W775" i="7"/>
  <c r="V775" i="7"/>
  <c r="U775" i="7"/>
  <c r="T775" i="7"/>
  <c r="S775" i="7"/>
  <c r="R775" i="7"/>
  <c r="Q775" i="7"/>
  <c r="P775" i="7"/>
  <c r="O775" i="7"/>
  <c r="N775" i="7"/>
  <c r="M775" i="7"/>
  <c r="L775" i="7"/>
  <c r="W774" i="7"/>
  <c r="V774" i="7"/>
  <c r="U774" i="7"/>
  <c r="T774" i="7"/>
  <c r="S774" i="7"/>
  <c r="R774" i="7"/>
  <c r="Q774" i="7"/>
  <c r="P774" i="7"/>
  <c r="O774" i="7"/>
  <c r="N774" i="7"/>
  <c r="M774" i="7"/>
  <c r="L774" i="7"/>
  <c r="W773" i="7"/>
  <c r="V773" i="7"/>
  <c r="U773" i="7"/>
  <c r="T773" i="7"/>
  <c r="S773" i="7"/>
  <c r="R773" i="7"/>
  <c r="Q773" i="7"/>
  <c r="P773" i="7"/>
  <c r="O773" i="7"/>
  <c r="N773" i="7"/>
  <c r="M773" i="7"/>
  <c r="L773" i="7"/>
  <c r="W772" i="7"/>
  <c r="V772" i="7"/>
  <c r="U772" i="7"/>
  <c r="T772" i="7"/>
  <c r="S772" i="7"/>
  <c r="R772" i="7"/>
  <c r="Q772" i="7"/>
  <c r="P772" i="7"/>
  <c r="O772" i="7"/>
  <c r="N772" i="7"/>
  <c r="M772" i="7"/>
  <c r="L772" i="7"/>
  <c r="W771" i="7"/>
  <c r="V771" i="7"/>
  <c r="U771" i="7"/>
  <c r="T771" i="7"/>
  <c r="S771" i="7"/>
  <c r="R771" i="7"/>
  <c r="Q771" i="7"/>
  <c r="P771" i="7"/>
  <c r="O771" i="7"/>
  <c r="N771" i="7"/>
  <c r="M771" i="7"/>
  <c r="L771" i="7"/>
  <c r="W770" i="7"/>
  <c r="V770" i="7"/>
  <c r="U770" i="7"/>
  <c r="T770" i="7"/>
  <c r="S770" i="7"/>
  <c r="R770" i="7"/>
  <c r="Q770" i="7"/>
  <c r="P770" i="7"/>
  <c r="O770" i="7"/>
  <c r="N770" i="7"/>
  <c r="M770" i="7"/>
  <c r="L770" i="7"/>
  <c r="W769" i="7"/>
  <c r="V769" i="7"/>
  <c r="U769" i="7"/>
  <c r="T769" i="7"/>
  <c r="S769" i="7"/>
  <c r="R769" i="7"/>
  <c r="Q769" i="7"/>
  <c r="P769" i="7"/>
  <c r="O769" i="7"/>
  <c r="N769" i="7"/>
  <c r="M769" i="7"/>
  <c r="L769" i="7"/>
  <c r="W768" i="7"/>
  <c r="V768" i="7"/>
  <c r="U768" i="7"/>
  <c r="T768" i="7"/>
  <c r="S768" i="7"/>
  <c r="R768" i="7"/>
  <c r="Q768" i="7"/>
  <c r="P768" i="7"/>
  <c r="O768" i="7"/>
  <c r="N768" i="7"/>
  <c r="M768" i="7"/>
  <c r="L768" i="7"/>
  <c r="W767" i="7"/>
  <c r="V767" i="7"/>
  <c r="U767" i="7"/>
  <c r="T767" i="7"/>
  <c r="S767" i="7"/>
  <c r="R767" i="7"/>
  <c r="Q767" i="7"/>
  <c r="P767" i="7"/>
  <c r="O767" i="7"/>
  <c r="N767" i="7"/>
  <c r="M767" i="7"/>
  <c r="L767" i="7"/>
  <c r="W766" i="7"/>
  <c r="V766" i="7"/>
  <c r="U766" i="7"/>
  <c r="T766" i="7"/>
  <c r="S766" i="7"/>
  <c r="R766" i="7"/>
  <c r="Q766" i="7"/>
  <c r="P766" i="7"/>
  <c r="O766" i="7"/>
  <c r="N766" i="7"/>
  <c r="M766" i="7"/>
  <c r="L766" i="7"/>
  <c r="W765" i="7"/>
  <c r="V765" i="7"/>
  <c r="U765" i="7"/>
  <c r="T765" i="7"/>
  <c r="S765" i="7"/>
  <c r="R765" i="7"/>
  <c r="Q765" i="7"/>
  <c r="P765" i="7"/>
  <c r="O765" i="7"/>
  <c r="N765" i="7"/>
  <c r="M765" i="7"/>
  <c r="L765" i="7"/>
  <c r="W764" i="7"/>
  <c r="V764" i="7"/>
  <c r="U764" i="7"/>
  <c r="T764" i="7"/>
  <c r="S764" i="7"/>
  <c r="R764" i="7"/>
  <c r="Q764" i="7"/>
  <c r="P764" i="7"/>
  <c r="O764" i="7"/>
  <c r="N764" i="7"/>
  <c r="M764" i="7"/>
  <c r="L764" i="7"/>
  <c r="W763" i="7"/>
  <c r="V763" i="7"/>
  <c r="U763" i="7"/>
  <c r="T763" i="7"/>
  <c r="S763" i="7"/>
  <c r="R763" i="7"/>
  <c r="Q763" i="7"/>
  <c r="P763" i="7"/>
  <c r="O763" i="7"/>
  <c r="N763" i="7"/>
  <c r="M763" i="7"/>
  <c r="L763" i="7"/>
  <c r="W762" i="7"/>
  <c r="V762" i="7"/>
  <c r="U762" i="7"/>
  <c r="T762" i="7"/>
  <c r="S762" i="7"/>
  <c r="R762" i="7"/>
  <c r="Q762" i="7"/>
  <c r="P762" i="7"/>
  <c r="O762" i="7"/>
  <c r="N762" i="7"/>
  <c r="M762" i="7"/>
  <c r="L762" i="7"/>
  <c r="W761" i="7"/>
  <c r="V761" i="7"/>
  <c r="U761" i="7"/>
  <c r="T761" i="7"/>
  <c r="S761" i="7"/>
  <c r="R761" i="7"/>
  <c r="Q761" i="7"/>
  <c r="P761" i="7"/>
  <c r="O761" i="7"/>
  <c r="N761" i="7"/>
  <c r="M761" i="7"/>
  <c r="L761" i="7"/>
  <c r="W760" i="7"/>
  <c r="V760" i="7"/>
  <c r="U760" i="7"/>
  <c r="T760" i="7"/>
  <c r="S760" i="7"/>
  <c r="R760" i="7"/>
  <c r="Q760" i="7"/>
  <c r="P760" i="7"/>
  <c r="O760" i="7"/>
  <c r="N760" i="7"/>
  <c r="M760" i="7"/>
  <c r="L760" i="7"/>
  <c r="W759" i="7"/>
  <c r="V759" i="7"/>
  <c r="U759" i="7"/>
  <c r="T759" i="7"/>
  <c r="S759" i="7"/>
  <c r="R759" i="7"/>
  <c r="Q759" i="7"/>
  <c r="P759" i="7"/>
  <c r="O759" i="7"/>
  <c r="N759" i="7"/>
  <c r="M759" i="7"/>
  <c r="L759" i="7"/>
  <c r="W758" i="7"/>
  <c r="V758" i="7"/>
  <c r="U758" i="7"/>
  <c r="T758" i="7"/>
  <c r="S758" i="7"/>
  <c r="R758" i="7"/>
  <c r="Q758" i="7"/>
  <c r="P758" i="7"/>
  <c r="O758" i="7"/>
  <c r="N758" i="7"/>
  <c r="M758" i="7"/>
  <c r="L758" i="7"/>
  <c r="W757" i="7"/>
  <c r="V757" i="7"/>
  <c r="U757" i="7"/>
  <c r="T757" i="7"/>
  <c r="S757" i="7"/>
  <c r="R757" i="7"/>
  <c r="Q757" i="7"/>
  <c r="P757" i="7"/>
  <c r="O757" i="7"/>
  <c r="N757" i="7"/>
  <c r="M757" i="7"/>
  <c r="L757" i="7"/>
  <c r="W756" i="7"/>
  <c r="V756" i="7"/>
  <c r="U756" i="7"/>
  <c r="T756" i="7"/>
  <c r="S756" i="7"/>
  <c r="R756" i="7"/>
  <c r="Q756" i="7"/>
  <c r="P756" i="7"/>
  <c r="O756" i="7"/>
  <c r="N756" i="7"/>
  <c r="M756" i="7"/>
  <c r="L756" i="7"/>
  <c r="W755" i="7"/>
  <c r="V755" i="7"/>
  <c r="U755" i="7"/>
  <c r="T755" i="7"/>
  <c r="S755" i="7"/>
  <c r="R755" i="7"/>
  <c r="Q755" i="7"/>
  <c r="P755" i="7"/>
  <c r="O755" i="7"/>
  <c r="N755" i="7"/>
  <c r="M755" i="7"/>
  <c r="L755" i="7"/>
  <c r="W754" i="7"/>
  <c r="V754" i="7"/>
  <c r="U754" i="7"/>
  <c r="T754" i="7"/>
  <c r="S754" i="7"/>
  <c r="R754" i="7"/>
  <c r="Q754" i="7"/>
  <c r="P754" i="7"/>
  <c r="O754" i="7"/>
  <c r="N754" i="7"/>
  <c r="M754" i="7"/>
  <c r="L754" i="7"/>
  <c r="W753" i="7"/>
  <c r="V753" i="7"/>
  <c r="U753" i="7"/>
  <c r="T753" i="7"/>
  <c r="S753" i="7"/>
  <c r="R753" i="7"/>
  <c r="Q753" i="7"/>
  <c r="P753" i="7"/>
  <c r="O753" i="7"/>
  <c r="N753" i="7"/>
  <c r="M753" i="7"/>
  <c r="L753" i="7"/>
  <c r="W752" i="7"/>
  <c r="V752" i="7"/>
  <c r="U752" i="7"/>
  <c r="T752" i="7"/>
  <c r="S752" i="7"/>
  <c r="R752" i="7"/>
  <c r="Q752" i="7"/>
  <c r="P752" i="7"/>
  <c r="O752" i="7"/>
  <c r="N752" i="7"/>
  <c r="M752" i="7"/>
  <c r="L752" i="7"/>
  <c r="W751" i="7"/>
  <c r="V751" i="7"/>
  <c r="U751" i="7"/>
  <c r="T751" i="7"/>
  <c r="S751" i="7"/>
  <c r="R751" i="7"/>
  <c r="Q751" i="7"/>
  <c r="P751" i="7"/>
  <c r="O751" i="7"/>
  <c r="N751" i="7"/>
  <c r="M751" i="7"/>
  <c r="L751" i="7"/>
  <c r="W750" i="7"/>
  <c r="V750" i="7"/>
  <c r="U750" i="7"/>
  <c r="T750" i="7"/>
  <c r="S750" i="7"/>
  <c r="R750" i="7"/>
  <c r="Q750" i="7"/>
  <c r="P750" i="7"/>
  <c r="O750" i="7"/>
  <c r="N750" i="7"/>
  <c r="M750" i="7"/>
  <c r="L750" i="7"/>
  <c r="W749" i="7"/>
  <c r="V749" i="7"/>
  <c r="U749" i="7"/>
  <c r="T749" i="7"/>
  <c r="S749" i="7"/>
  <c r="R749" i="7"/>
  <c r="Q749" i="7"/>
  <c r="P749" i="7"/>
  <c r="O749" i="7"/>
  <c r="N749" i="7"/>
  <c r="M749" i="7"/>
  <c r="L749" i="7"/>
  <c r="W748" i="7"/>
  <c r="V748" i="7"/>
  <c r="U748" i="7"/>
  <c r="T748" i="7"/>
  <c r="S748" i="7"/>
  <c r="R748" i="7"/>
  <c r="Q748" i="7"/>
  <c r="P748" i="7"/>
  <c r="O748" i="7"/>
  <c r="N748" i="7"/>
  <c r="M748" i="7"/>
  <c r="L748" i="7"/>
  <c r="W747" i="7"/>
  <c r="V747" i="7"/>
  <c r="U747" i="7"/>
  <c r="T747" i="7"/>
  <c r="S747" i="7"/>
  <c r="R747" i="7"/>
  <c r="Q747" i="7"/>
  <c r="P747" i="7"/>
  <c r="O747" i="7"/>
  <c r="N747" i="7"/>
  <c r="M747" i="7"/>
  <c r="L747" i="7"/>
  <c r="W746" i="7"/>
  <c r="V746" i="7"/>
  <c r="U746" i="7"/>
  <c r="T746" i="7"/>
  <c r="S746" i="7"/>
  <c r="R746" i="7"/>
  <c r="Q746" i="7"/>
  <c r="P746" i="7"/>
  <c r="O746" i="7"/>
  <c r="N746" i="7"/>
  <c r="M746" i="7"/>
  <c r="L746" i="7"/>
  <c r="W745" i="7"/>
  <c r="V745" i="7"/>
  <c r="U745" i="7"/>
  <c r="T745" i="7"/>
  <c r="S745" i="7"/>
  <c r="R745" i="7"/>
  <c r="Q745" i="7"/>
  <c r="P745" i="7"/>
  <c r="O745" i="7"/>
  <c r="N745" i="7"/>
  <c r="M745" i="7"/>
  <c r="L745" i="7"/>
  <c r="W744" i="7"/>
  <c r="V744" i="7"/>
  <c r="U744" i="7"/>
  <c r="T744" i="7"/>
  <c r="S744" i="7"/>
  <c r="R744" i="7"/>
  <c r="Q744" i="7"/>
  <c r="P744" i="7"/>
  <c r="O744" i="7"/>
  <c r="N744" i="7"/>
  <c r="M744" i="7"/>
  <c r="L744" i="7"/>
  <c r="W743" i="7"/>
  <c r="V743" i="7"/>
  <c r="U743" i="7"/>
  <c r="T743" i="7"/>
  <c r="S743" i="7"/>
  <c r="R743" i="7"/>
  <c r="Q743" i="7"/>
  <c r="P743" i="7"/>
  <c r="O743" i="7"/>
  <c r="N743" i="7"/>
  <c r="M743" i="7"/>
  <c r="L743" i="7"/>
  <c r="W742" i="7"/>
  <c r="V742" i="7"/>
  <c r="U742" i="7"/>
  <c r="T742" i="7"/>
  <c r="S742" i="7"/>
  <c r="R742" i="7"/>
  <c r="Q742" i="7"/>
  <c r="P742" i="7"/>
  <c r="O742" i="7"/>
  <c r="N742" i="7"/>
  <c r="M742" i="7"/>
  <c r="L742" i="7"/>
  <c r="W741" i="7"/>
  <c r="V741" i="7"/>
  <c r="U741" i="7"/>
  <c r="T741" i="7"/>
  <c r="S741" i="7"/>
  <c r="R741" i="7"/>
  <c r="Q741" i="7"/>
  <c r="P741" i="7"/>
  <c r="O741" i="7"/>
  <c r="N741" i="7"/>
  <c r="M741" i="7"/>
  <c r="L741" i="7"/>
  <c r="W740" i="7"/>
  <c r="V740" i="7"/>
  <c r="U740" i="7"/>
  <c r="T740" i="7"/>
  <c r="S740" i="7"/>
  <c r="R740" i="7"/>
  <c r="Q740" i="7"/>
  <c r="P740" i="7"/>
  <c r="O740" i="7"/>
  <c r="N740" i="7"/>
  <c r="M740" i="7"/>
  <c r="L740" i="7"/>
  <c r="W739" i="7"/>
  <c r="V739" i="7"/>
  <c r="U739" i="7"/>
  <c r="T739" i="7"/>
  <c r="S739" i="7"/>
  <c r="R739" i="7"/>
  <c r="Q739" i="7"/>
  <c r="P739" i="7"/>
  <c r="O739" i="7"/>
  <c r="N739" i="7"/>
  <c r="M739" i="7"/>
  <c r="L739" i="7"/>
  <c r="W738" i="7"/>
  <c r="V738" i="7"/>
  <c r="U738" i="7"/>
  <c r="T738" i="7"/>
  <c r="S738" i="7"/>
  <c r="R738" i="7"/>
  <c r="Q738" i="7"/>
  <c r="P738" i="7"/>
  <c r="O738" i="7"/>
  <c r="N738" i="7"/>
  <c r="M738" i="7"/>
  <c r="L738" i="7"/>
  <c r="W737" i="7"/>
  <c r="V737" i="7"/>
  <c r="U737" i="7"/>
  <c r="T737" i="7"/>
  <c r="S737" i="7"/>
  <c r="R737" i="7"/>
  <c r="Q737" i="7"/>
  <c r="P737" i="7"/>
  <c r="O737" i="7"/>
  <c r="N737" i="7"/>
  <c r="M737" i="7"/>
  <c r="L737" i="7"/>
  <c r="W736" i="7"/>
  <c r="V736" i="7"/>
  <c r="U736" i="7"/>
  <c r="T736" i="7"/>
  <c r="S736" i="7"/>
  <c r="R736" i="7"/>
  <c r="Q736" i="7"/>
  <c r="P736" i="7"/>
  <c r="O736" i="7"/>
  <c r="N736" i="7"/>
  <c r="M736" i="7"/>
  <c r="L736" i="7"/>
  <c r="W735" i="7"/>
  <c r="V735" i="7"/>
  <c r="U735" i="7"/>
  <c r="T735" i="7"/>
  <c r="S735" i="7"/>
  <c r="R735" i="7"/>
  <c r="Q735" i="7"/>
  <c r="P735" i="7"/>
  <c r="O735" i="7"/>
  <c r="N735" i="7"/>
  <c r="M735" i="7"/>
  <c r="L735" i="7"/>
  <c r="W734" i="7"/>
  <c r="V734" i="7"/>
  <c r="U734" i="7"/>
  <c r="T734" i="7"/>
  <c r="S734" i="7"/>
  <c r="R734" i="7"/>
  <c r="Q734" i="7"/>
  <c r="P734" i="7"/>
  <c r="O734" i="7"/>
  <c r="N734" i="7"/>
  <c r="M734" i="7"/>
  <c r="L734" i="7"/>
  <c r="W733" i="7"/>
  <c r="V733" i="7"/>
  <c r="U733" i="7"/>
  <c r="T733" i="7"/>
  <c r="S733" i="7"/>
  <c r="R733" i="7"/>
  <c r="Q733" i="7"/>
  <c r="P733" i="7"/>
  <c r="O733" i="7"/>
  <c r="N733" i="7"/>
  <c r="M733" i="7"/>
  <c r="L733" i="7"/>
  <c r="W732" i="7"/>
  <c r="V732" i="7"/>
  <c r="U732" i="7"/>
  <c r="T732" i="7"/>
  <c r="S732" i="7"/>
  <c r="R732" i="7"/>
  <c r="Q732" i="7"/>
  <c r="P732" i="7"/>
  <c r="O732" i="7"/>
  <c r="N732" i="7"/>
  <c r="M732" i="7"/>
  <c r="L732" i="7"/>
  <c r="W731" i="7"/>
  <c r="V731" i="7"/>
  <c r="U731" i="7"/>
  <c r="T731" i="7"/>
  <c r="S731" i="7"/>
  <c r="R731" i="7"/>
  <c r="Q731" i="7"/>
  <c r="P731" i="7"/>
  <c r="O731" i="7"/>
  <c r="N731" i="7"/>
  <c r="M731" i="7"/>
  <c r="L731" i="7"/>
  <c r="W730" i="7"/>
  <c r="V730" i="7"/>
  <c r="U730" i="7"/>
  <c r="T730" i="7"/>
  <c r="S730" i="7"/>
  <c r="R730" i="7"/>
  <c r="Q730" i="7"/>
  <c r="P730" i="7"/>
  <c r="O730" i="7"/>
  <c r="N730" i="7"/>
  <c r="M730" i="7"/>
  <c r="L730" i="7"/>
  <c r="W729" i="7"/>
  <c r="V729" i="7"/>
  <c r="U729" i="7"/>
  <c r="T729" i="7"/>
  <c r="S729" i="7"/>
  <c r="R729" i="7"/>
  <c r="Q729" i="7"/>
  <c r="P729" i="7"/>
  <c r="O729" i="7"/>
  <c r="N729" i="7"/>
  <c r="M729" i="7"/>
  <c r="L729" i="7"/>
  <c r="W728" i="7"/>
  <c r="V728" i="7"/>
  <c r="U728" i="7"/>
  <c r="T728" i="7"/>
  <c r="S728" i="7"/>
  <c r="R728" i="7"/>
  <c r="Q728" i="7"/>
  <c r="P728" i="7"/>
  <c r="O728" i="7"/>
  <c r="N728" i="7"/>
  <c r="M728" i="7"/>
  <c r="L728" i="7"/>
  <c r="W727" i="7"/>
  <c r="V727" i="7"/>
  <c r="U727" i="7"/>
  <c r="T727" i="7"/>
  <c r="S727" i="7"/>
  <c r="R727" i="7"/>
  <c r="Q727" i="7"/>
  <c r="P727" i="7"/>
  <c r="O727" i="7"/>
  <c r="N727" i="7"/>
  <c r="M727" i="7"/>
  <c r="L727" i="7"/>
  <c r="W726" i="7"/>
  <c r="V726" i="7"/>
  <c r="U726" i="7"/>
  <c r="T726" i="7"/>
  <c r="S726" i="7"/>
  <c r="R726" i="7"/>
  <c r="Q726" i="7"/>
  <c r="P726" i="7"/>
  <c r="O726" i="7"/>
  <c r="N726" i="7"/>
  <c r="M726" i="7"/>
  <c r="L726" i="7"/>
  <c r="W725" i="7"/>
  <c r="V725" i="7"/>
  <c r="U725" i="7"/>
  <c r="T725" i="7"/>
  <c r="S725" i="7"/>
  <c r="R725" i="7"/>
  <c r="Q725" i="7"/>
  <c r="P725" i="7"/>
  <c r="O725" i="7"/>
  <c r="N725" i="7"/>
  <c r="M725" i="7"/>
  <c r="L725" i="7"/>
  <c r="W724" i="7"/>
  <c r="V724" i="7"/>
  <c r="U724" i="7"/>
  <c r="T724" i="7"/>
  <c r="S724" i="7"/>
  <c r="R724" i="7"/>
  <c r="Q724" i="7"/>
  <c r="P724" i="7"/>
  <c r="O724" i="7"/>
  <c r="N724" i="7"/>
  <c r="M724" i="7"/>
  <c r="L724" i="7"/>
  <c r="W723" i="7"/>
  <c r="V723" i="7"/>
  <c r="U723" i="7"/>
  <c r="T723" i="7"/>
  <c r="S723" i="7"/>
  <c r="R723" i="7"/>
  <c r="Q723" i="7"/>
  <c r="P723" i="7"/>
  <c r="O723" i="7"/>
  <c r="N723" i="7"/>
  <c r="M723" i="7"/>
  <c r="L723" i="7"/>
  <c r="W722" i="7"/>
  <c r="V722" i="7"/>
  <c r="U722" i="7"/>
  <c r="T722" i="7"/>
  <c r="S722" i="7"/>
  <c r="R722" i="7"/>
  <c r="Q722" i="7"/>
  <c r="P722" i="7"/>
  <c r="O722" i="7"/>
  <c r="N722" i="7"/>
  <c r="M722" i="7"/>
  <c r="L722" i="7"/>
  <c r="W721" i="7"/>
  <c r="V721" i="7"/>
  <c r="U721" i="7"/>
  <c r="T721" i="7"/>
  <c r="S721" i="7"/>
  <c r="R721" i="7"/>
  <c r="Q721" i="7"/>
  <c r="P721" i="7"/>
  <c r="O721" i="7"/>
  <c r="N721" i="7"/>
  <c r="M721" i="7"/>
  <c r="L721" i="7"/>
  <c r="W720" i="7"/>
  <c r="V720" i="7"/>
  <c r="U720" i="7"/>
  <c r="T720" i="7"/>
  <c r="S720" i="7"/>
  <c r="R720" i="7"/>
  <c r="Q720" i="7"/>
  <c r="P720" i="7"/>
  <c r="O720" i="7"/>
  <c r="N720" i="7"/>
  <c r="M720" i="7"/>
  <c r="L720" i="7"/>
  <c r="W719" i="7"/>
  <c r="V719" i="7"/>
  <c r="U719" i="7"/>
  <c r="T719" i="7"/>
  <c r="S719" i="7"/>
  <c r="R719" i="7"/>
  <c r="Q719" i="7"/>
  <c r="P719" i="7"/>
  <c r="O719" i="7"/>
  <c r="N719" i="7"/>
  <c r="M719" i="7"/>
  <c r="L719" i="7"/>
  <c r="W718" i="7"/>
  <c r="V718" i="7"/>
  <c r="U718" i="7"/>
  <c r="T718" i="7"/>
  <c r="S718" i="7"/>
  <c r="R718" i="7"/>
  <c r="Q718" i="7"/>
  <c r="P718" i="7"/>
  <c r="O718" i="7"/>
  <c r="N718" i="7"/>
  <c r="M718" i="7"/>
  <c r="L718" i="7"/>
  <c r="W717" i="7"/>
  <c r="V717" i="7"/>
  <c r="U717" i="7"/>
  <c r="T717" i="7"/>
  <c r="S717" i="7"/>
  <c r="R717" i="7"/>
  <c r="Q717" i="7"/>
  <c r="P717" i="7"/>
  <c r="O717" i="7"/>
  <c r="N717" i="7"/>
  <c r="M717" i="7"/>
  <c r="L717" i="7"/>
  <c r="W716" i="7"/>
  <c r="V716" i="7"/>
  <c r="U716" i="7"/>
  <c r="T716" i="7"/>
  <c r="S716" i="7"/>
  <c r="R716" i="7"/>
  <c r="Q716" i="7"/>
  <c r="P716" i="7"/>
  <c r="O716" i="7"/>
  <c r="N716" i="7"/>
  <c r="M716" i="7"/>
  <c r="L716" i="7"/>
  <c r="W715" i="7"/>
  <c r="V715" i="7"/>
  <c r="U715" i="7"/>
  <c r="T715" i="7"/>
  <c r="S715" i="7"/>
  <c r="R715" i="7"/>
  <c r="Q715" i="7"/>
  <c r="P715" i="7"/>
  <c r="O715" i="7"/>
  <c r="N715" i="7"/>
  <c r="M715" i="7"/>
  <c r="L715" i="7"/>
  <c r="W714" i="7"/>
  <c r="V714" i="7"/>
  <c r="U714" i="7"/>
  <c r="T714" i="7"/>
  <c r="S714" i="7"/>
  <c r="R714" i="7"/>
  <c r="Q714" i="7"/>
  <c r="P714" i="7"/>
  <c r="O714" i="7"/>
  <c r="N714" i="7"/>
  <c r="M714" i="7"/>
  <c r="L714" i="7"/>
  <c r="W713" i="7"/>
  <c r="V713" i="7"/>
  <c r="U713" i="7"/>
  <c r="T713" i="7"/>
  <c r="S713" i="7"/>
  <c r="R713" i="7"/>
  <c r="Q713" i="7"/>
  <c r="P713" i="7"/>
  <c r="O713" i="7"/>
  <c r="N713" i="7"/>
  <c r="M713" i="7"/>
  <c r="L713" i="7"/>
  <c r="W712" i="7"/>
  <c r="V712" i="7"/>
  <c r="U712" i="7"/>
  <c r="T712" i="7"/>
  <c r="S712" i="7"/>
  <c r="R712" i="7"/>
  <c r="Q712" i="7"/>
  <c r="P712" i="7"/>
  <c r="O712" i="7"/>
  <c r="N712" i="7"/>
  <c r="M712" i="7"/>
  <c r="L712" i="7"/>
  <c r="W711" i="7"/>
  <c r="V711" i="7"/>
  <c r="U711" i="7"/>
  <c r="T711" i="7"/>
  <c r="S711" i="7"/>
  <c r="R711" i="7"/>
  <c r="Q711" i="7"/>
  <c r="P711" i="7"/>
  <c r="O711" i="7"/>
  <c r="N711" i="7"/>
  <c r="M711" i="7"/>
  <c r="L711" i="7"/>
  <c r="W710" i="7"/>
  <c r="V710" i="7"/>
  <c r="U710" i="7"/>
  <c r="T710" i="7"/>
  <c r="S710" i="7"/>
  <c r="R710" i="7"/>
  <c r="Q710" i="7"/>
  <c r="P710" i="7"/>
  <c r="O710" i="7"/>
  <c r="N710" i="7"/>
  <c r="M710" i="7"/>
  <c r="L710" i="7"/>
  <c r="W709" i="7"/>
  <c r="V709" i="7"/>
  <c r="U709" i="7"/>
  <c r="T709" i="7"/>
  <c r="S709" i="7"/>
  <c r="R709" i="7"/>
  <c r="Q709" i="7"/>
  <c r="P709" i="7"/>
  <c r="O709" i="7"/>
  <c r="N709" i="7"/>
  <c r="M709" i="7"/>
  <c r="L709" i="7"/>
  <c r="W708" i="7"/>
  <c r="V708" i="7"/>
  <c r="U708" i="7"/>
  <c r="T708" i="7"/>
  <c r="S708" i="7"/>
  <c r="R708" i="7"/>
  <c r="Q708" i="7"/>
  <c r="P708" i="7"/>
  <c r="O708" i="7"/>
  <c r="N708" i="7"/>
  <c r="M708" i="7"/>
  <c r="L708" i="7"/>
  <c r="W707" i="7"/>
  <c r="V707" i="7"/>
  <c r="U707" i="7"/>
  <c r="T707" i="7"/>
  <c r="S707" i="7"/>
  <c r="R707" i="7"/>
  <c r="Q707" i="7"/>
  <c r="P707" i="7"/>
  <c r="O707" i="7"/>
  <c r="N707" i="7"/>
  <c r="M707" i="7"/>
  <c r="L707" i="7"/>
  <c r="W706" i="7"/>
  <c r="V706" i="7"/>
  <c r="U706" i="7"/>
  <c r="T706" i="7"/>
  <c r="S706" i="7"/>
  <c r="R706" i="7"/>
  <c r="Q706" i="7"/>
  <c r="P706" i="7"/>
  <c r="O706" i="7"/>
  <c r="N706" i="7"/>
  <c r="M706" i="7"/>
  <c r="L706" i="7"/>
  <c r="W705" i="7"/>
  <c r="V705" i="7"/>
  <c r="U705" i="7"/>
  <c r="T705" i="7"/>
  <c r="S705" i="7"/>
  <c r="R705" i="7"/>
  <c r="Q705" i="7"/>
  <c r="P705" i="7"/>
  <c r="O705" i="7"/>
  <c r="N705" i="7"/>
  <c r="M705" i="7"/>
  <c r="L705" i="7"/>
  <c r="W704" i="7"/>
  <c r="V704" i="7"/>
  <c r="U704" i="7"/>
  <c r="T704" i="7"/>
  <c r="S704" i="7"/>
  <c r="R704" i="7"/>
  <c r="Q704" i="7"/>
  <c r="P704" i="7"/>
  <c r="O704" i="7"/>
  <c r="N704" i="7"/>
  <c r="M704" i="7"/>
  <c r="L704" i="7"/>
  <c r="W703" i="7"/>
  <c r="V703" i="7"/>
  <c r="U703" i="7"/>
  <c r="T703" i="7"/>
  <c r="S703" i="7"/>
  <c r="R703" i="7"/>
  <c r="Q703" i="7"/>
  <c r="P703" i="7"/>
  <c r="O703" i="7"/>
  <c r="N703" i="7"/>
  <c r="M703" i="7"/>
  <c r="L703" i="7"/>
  <c r="W702" i="7"/>
  <c r="V702" i="7"/>
  <c r="U702" i="7"/>
  <c r="T702" i="7"/>
  <c r="S702" i="7"/>
  <c r="R702" i="7"/>
  <c r="Q702" i="7"/>
  <c r="P702" i="7"/>
  <c r="O702" i="7"/>
  <c r="N702" i="7"/>
  <c r="M702" i="7"/>
  <c r="L702" i="7"/>
  <c r="W701" i="7"/>
  <c r="V701" i="7"/>
  <c r="U701" i="7"/>
  <c r="T701" i="7"/>
  <c r="S701" i="7"/>
  <c r="R701" i="7"/>
  <c r="Q701" i="7"/>
  <c r="P701" i="7"/>
  <c r="O701" i="7"/>
  <c r="N701" i="7"/>
  <c r="M701" i="7"/>
  <c r="L701" i="7"/>
  <c r="W700" i="7"/>
  <c r="V700" i="7"/>
  <c r="U700" i="7"/>
  <c r="T700" i="7"/>
  <c r="S700" i="7"/>
  <c r="R700" i="7"/>
  <c r="Q700" i="7"/>
  <c r="P700" i="7"/>
  <c r="O700" i="7"/>
  <c r="N700" i="7"/>
  <c r="M700" i="7"/>
  <c r="L700" i="7"/>
  <c r="W699" i="7"/>
  <c r="V699" i="7"/>
  <c r="U699" i="7"/>
  <c r="T699" i="7"/>
  <c r="S699" i="7"/>
  <c r="R699" i="7"/>
  <c r="Q699" i="7"/>
  <c r="P699" i="7"/>
  <c r="O699" i="7"/>
  <c r="N699" i="7"/>
  <c r="M699" i="7"/>
  <c r="L699" i="7"/>
  <c r="W698" i="7"/>
  <c r="V698" i="7"/>
  <c r="U698" i="7"/>
  <c r="T698" i="7"/>
  <c r="S698" i="7"/>
  <c r="R698" i="7"/>
  <c r="Q698" i="7"/>
  <c r="P698" i="7"/>
  <c r="O698" i="7"/>
  <c r="N698" i="7"/>
  <c r="M698" i="7"/>
  <c r="L698" i="7"/>
  <c r="W697" i="7"/>
  <c r="V697" i="7"/>
  <c r="U697" i="7"/>
  <c r="T697" i="7"/>
  <c r="S697" i="7"/>
  <c r="R697" i="7"/>
  <c r="Q697" i="7"/>
  <c r="P697" i="7"/>
  <c r="O697" i="7"/>
  <c r="N697" i="7"/>
  <c r="M697" i="7"/>
  <c r="L697" i="7"/>
  <c r="W696" i="7"/>
  <c r="V696" i="7"/>
  <c r="U696" i="7"/>
  <c r="T696" i="7"/>
  <c r="S696" i="7"/>
  <c r="R696" i="7"/>
  <c r="Q696" i="7"/>
  <c r="P696" i="7"/>
  <c r="O696" i="7"/>
  <c r="N696" i="7"/>
  <c r="M696" i="7"/>
  <c r="L696" i="7"/>
  <c r="W695" i="7"/>
  <c r="V695" i="7"/>
  <c r="U695" i="7"/>
  <c r="T695" i="7"/>
  <c r="S695" i="7"/>
  <c r="R695" i="7"/>
  <c r="Q695" i="7"/>
  <c r="P695" i="7"/>
  <c r="O695" i="7"/>
  <c r="N695" i="7"/>
  <c r="M695" i="7"/>
  <c r="L695" i="7"/>
  <c r="W694" i="7"/>
  <c r="V694" i="7"/>
  <c r="U694" i="7"/>
  <c r="T694" i="7"/>
  <c r="S694" i="7"/>
  <c r="R694" i="7"/>
  <c r="Q694" i="7"/>
  <c r="P694" i="7"/>
  <c r="O694" i="7"/>
  <c r="N694" i="7"/>
  <c r="M694" i="7"/>
  <c r="L694" i="7"/>
  <c r="W693" i="7"/>
  <c r="V693" i="7"/>
  <c r="U693" i="7"/>
  <c r="T693" i="7"/>
  <c r="S693" i="7"/>
  <c r="R693" i="7"/>
  <c r="Q693" i="7"/>
  <c r="P693" i="7"/>
  <c r="O693" i="7"/>
  <c r="N693" i="7"/>
  <c r="M693" i="7"/>
  <c r="L693" i="7"/>
  <c r="W692" i="7"/>
  <c r="V692" i="7"/>
  <c r="U692" i="7"/>
  <c r="T692" i="7"/>
  <c r="S692" i="7"/>
  <c r="R692" i="7"/>
  <c r="Q692" i="7"/>
  <c r="P692" i="7"/>
  <c r="O692" i="7"/>
  <c r="N692" i="7"/>
  <c r="M692" i="7"/>
  <c r="L692" i="7"/>
  <c r="W691" i="7"/>
  <c r="V691" i="7"/>
  <c r="U691" i="7"/>
  <c r="T691" i="7"/>
  <c r="S691" i="7"/>
  <c r="R691" i="7"/>
  <c r="Q691" i="7"/>
  <c r="P691" i="7"/>
  <c r="O691" i="7"/>
  <c r="N691" i="7"/>
  <c r="M691" i="7"/>
  <c r="L691" i="7"/>
  <c r="W690" i="7"/>
  <c r="V690" i="7"/>
  <c r="U690" i="7"/>
  <c r="T690" i="7"/>
  <c r="S690" i="7"/>
  <c r="R690" i="7"/>
  <c r="Q690" i="7"/>
  <c r="P690" i="7"/>
  <c r="O690" i="7"/>
  <c r="N690" i="7"/>
  <c r="M690" i="7"/>
  <c r="L690" i="7"/>
  <c r="W689" i="7"/>
  <c r="V689" i="7"/>
  <c r="U689" i="7"/>
  <c r="T689" i="7"/>
  <c r="S689" i="7"/>
  <c r="R689" i="7"/>
  <c r="Q689" i="7"/>
  <c r="P689" i="7"/>
  <c r="O689" i="7"/>
  <c r="N689" i="7"/>
  <c r="M689" i="7"/>
  <c r="L689" i="7"/>
  <c r="W688" i="7"/>
  <c r="V688" i="7"/>
  <c r="U688" i="7"/>
  <c r="T688" i="7"/>
  <c r="S688" i="7"/>
  <c r="R688" i="7"/>
  <c r="Q688" i="7"/>
  <c r="P688" i="7"/>
  <c r="O688" i="7"/>
  <c r="N688" i="7"/>
  <c r="M688" i="7"/>
  <c r="L688" i="7"/>
  <c r="W687" i="7"/>
  <c r="V687" i="7"/>
  <c r="U687" i="7"/>
  <c r="T687" i="7"/>
  <c r="S687" i="7"/>
  <c r="R687" i="7"/>
  <c r="Q687" i="7"/>
  <c r="P687" i="7"/>
  <c r="O687" i="7"/>
  <c r="N687" i="7"/>
  <c r="M687" i="7"/>
  <c r="L687" i="7"/>
  <c r="W686" i="7"/>
  <c r="V686" i="7"/>
  <c r="U686" i="7"/>
  <c r="T686" i="7"/>
  <c r="S686" i="7"/>
  <c r="R686" i="7"/>
  <c r="Q686" i="7"/>
  <c r="P686" i="7"/>
  <c r="O686" i="7"/>
  <c r="N686" i="7"/>
  <c r="M686" i="7"/>
  <c r="L686" i="7"/>
  <c r="W685" i="7"/>
  <c r="V685" i="7"/>
  <c r="U685" i="7"/>
  <c r="T685" i="7"/>
  <c r="S685" i="7"/>
  <c r="R685" i="7"/>
  <c r="Q685" i="7"/>
  <c r="P685" i="7"/>
  <c r="O685" i="7"/>
  <c r="N685" i="7"/>
  <c r="M685" i="7"/>
  <c r="L685" i="7"/>
  <c r="W684" i="7"/>
  <c r="V684" i="7"/>
  <c r="U684" i="7"/>
  <c r="T684" i="7"/>
  <c r="S684" i="7"/>
  <c r="R684" i="7"/>
  <c r="Q684" i="7"/>
  <c r="P684" i="7"/>
  <c r="O684" i="7"/>
  <c r="N684" i="7"/>
  <c r="M684" i="7"/>
  <c r="L684" i="7"/>
  <c r="W683" i="7"/>
  <c r="V683" i="7"/>
  <c r="U683" i="7"/>
  <c r="T683" i="7"/>
  <c r="S683" i="7"/>
  <c r="R683" i="7"/>
  <c r="Q683" i="7"/>
  <c r="P683" i="7"/>
  <c r="O683" i="7"/>
  <c r="N683" i="7"/>
  <c r="M683" i="7"/>
  <c r="L683" i="7"/>
  <c r="W682" i="7"/>
  <c r="V682" i="7"/>
  <c r="U682" i="7"/>
  <c r="T682" i="7"/>
  <c r="S682" i="7"/>
  <c r="R682" i="7"/>
  <c r="Q682" i="7"/>
  <c r="P682" i="7"/>
  <c r="O682" i="7"/>
  <c r="N682" i="7"/>
  <c r="M682" i="7"/>
  <c r="L682" i="7"/>
  <c r="W681" i="7"/>
  <c r="V681" i="7"/>
  <c r="U681" i="7"/>
  <c r="T681" i="7"/>
  <c r="S681" i="7"/>
  <c r="R681" i="7"/>
  <c r="Q681" i="7"/>
  <c r="P681" i="7"/>
  <c r="O681" i="7"/>
  <c r="N681" i="7"/>
  <c r="M681" i="7"/>
  <c r="L681" i="7"/>
  <c r="W680" i="7"/>
  <c r="V680" i="7"/>
  <c r="U680" i="7"/>
  <c r="T680" i="7"/>
  <c r="S680" i="7"/>
  <c r="R680" i="7"/>
  <c r="Q680" i="7"/>
  <c r="P680" i="7"/>
  <c r="O680" i="7"/>
  <c r="N680" i="7"/>
  <c r="M680" i="7"/>
  <c r="L680" i="7"/>
  <c r="W679" i="7"/>
  <c r="V679" i="7"/>
  <c r="U679" i="7"/>
  <c r="T679" i="7"/>
  <c r="S679" i="7"/>
  <c r="R679" i="7"/>
  <c r="Q679" i="7"/>
  <c r="P679" i="7"/>
  <c r="O679" i="7"/>
  <c r="N679" i="7"/>
  <c r="M679" i="7"/>
  <c r="L679" i="7"/>
  <c r="W678" i="7"/>
  <c r="V678" i="7"/>
  <c r="U678" i="7"/>
  <c r="T678" i="7"/>
  <c r="S678" i="7"/>
  <c r="R678" i="7"/>
  <c r="Q678" i="7"/>
  <c r="P678" i="7"/>
  <c r="O678" i="7"/>
  <c r="N678" i="7"/>
  <c r="M678" i="7"/>
  <c r="L678" i="7"/>
  <c r="W677" i="7"/>
  <c r="V677" i="7"/>
  <c r="U677" i="7"/>
  <c r="T677" i="7"/>
  <c r="S677" i="7"/>
  <c r="R677" i="7"/>
  <c r="Q677" i="7"/>
  <c r="P677" i="7"/>
  <c r="O677" i="7"/>
  <c r="N677" i="7"/>
  <c r="M677" i="7"/>
  <c r="L677" i="7"/>
  <c r="W676" i="7"/>
  <c r="V676" i="7"/>
  <c r="U676" i="7"/>
  <c r="T676" i="7"/>
  <c r="S676" i="7"/>
  <c r="R676" i="7"/>
  <c r="Q676" i="7"/>
  <c r="P676" i="7"/>
  <c r="O676" i="7"/>
  <c r="N676" i="7"/>
  <c r="M676" i="7"/>
  <c r="L676" i="7"/>
  <c r="W675" i="7"/>
  <c r="V675" i="7"/>
  <c r="U675" i="7"/>
  <c r="T675" i="7"/>
  <c r="S675" i="7"/>
  <c r="R675" i="7"/>
  <c r="Q675" i="7"/>
  <c r="P675" i="7"/>
  <c r="O675" i="7"/>
  <c r="N675" i="7"/>
  <c r="M675" i="7"/>
  <c r="L675" i="7"/>
  <c r="W674" i="7"/>
  <c r="V674" i="7"/>
  <c r="U674" i="7"/>
  <c r="T674" i="7"/>
  <c r="S674" i="7"/>
  <c r="R674" i="7"/>
  <c r="Q674" i="7"/>
  <c r="P674" i="7"/>
  <c r="O674" i="7"/>
  <c r="N674" i="7"/>
  <c r="M674" i="7"/>
  <c r="L674" i="7"/>
  <c r="W673" i="7"/>
  <c r="V673" i="7"/>
  <c r="U673" i="7"/>
  <c r="T673" i="7"/>
  <c r="S673" i="7"/>
  <c r="R673" i="7"/>
  <c r="Q673" i="7"/>
  <c r="P673" i="7"/>
  <c r="O673" i="7"/>
  <c r="N673" i="7"/>
  <c r="M673" i="7"/>
  <c r="L673" i="7"/>
  <c r="W672" i="7"/>
  <c r="V672" i="7"/>
  <c r="U672" i="7"/>
  <c r="T672" i="7"/>
  <c r="S672" i="7"/>
  <c r="R672" i="7"/>
  <c r="Q672" i="7"/>
  <c r="P672" i="7"/>
  <c r="O672" i="7"/>
  <c r="N672" i="7"/>
  <c r="M672" i="7"/>
  <c r="L672" i="7"/>
  <c r="W671" i="7"/>
  <c r="V671" i="7"/>
  <c r="U671" i="7"/>
  <c r="T671" i="7"/>
  <c r="S671" i="7"/>
  <c r="R671" i="7"/>
  <c r="Q671" i="7"/>
  <c r="P671" i="7"/>
  <c r="O671" i="7"/>
  <c r="N671" i="7"/>
  <c r="M671" i="7"/>
  <c r="L671" i="7"/>
  <c r="W670" i="7"/>
  <c r="V670" i="7"/>
  <c r="U670" i="7"/>
  <c r="T670" i="7"/>
  <c r="S670" i="7"/>
  <c r="R670" i="7"/>
  <c r="Q670" i="7"/>
  <c r="P670" i="7"/>
  <c r="O670" i="7"/>
  <c r="N670" i="7"/>
  <c r="M670" i="7"/>
  <c r="L670" i="7"/>
  <c r="W669" i="7"/>
  <c r="V669" i="7"/>
  <c r="U669" i="7"/>
  <c r="T669" i="7"/>
  <c r="S669" i="7"/>
  <c r="R669" i="7"/>
  <c r="Q669" i="7"/>
  <c r="P669" i="7"/>
  <c r="O669" i="7"/>
  <c r="N669" i="7"/>
  <c r="M669" i="7"/>
  <c r="L669" i="7"/>
  <c r="W668" i="7"/>
  <c r="V668" i="7"/>
  <c r="U668" i="7"/>
  <c r="T668" i="7"/>
  <c r="S668" i="7"/>
  <c r="R668" i="7"/>
  <c r="Q668" i="7"/>
  <c r="P668" i="7"/>
  <c r="O668" i="7"/>
  <c r="N668" i="7"/>
  <c r="M668" i="7"/>
  <c r="L668" i="7"/>
  <c r="W667" i="7"/>
  <c r="V667" i="7"/>
  <c r="U667" i="7"/>
  <c r="T667" i="7"/>
  <c r="S667" i="7"/>
  <c r="R667" i="7"/>
  <c r="Q667" i="7"/>
  <c r="P667" i="7"/>
  <c r="O667" i="7"/>
  <c r="N667" i="7"/>
  <c r="M667" i="7"/>
  <c r="L667" i="7"/>
  <c r="W666" i="7"/>
  <c r="V666" i="7"/>
  <c r="U666" i="7"/>
  <c r="T666" i="7"/>
  <c r="S666" i="7"/>
  <c r="R666" i="7"/>
  <c r="Q666" i="7"/>
  <c r="P666" i="7"/>
  <c r="O666" i="7"/>
  <c r="N666" i="7"/>
  <c r="M666" i="7"/>
  <c r="L666" i="7"/>
  <c r="W665" i="7"/>
  <c r="V665" i="7"/>
  <c r="U665" i="7"/>
  <c r="T665" i="7"/>
  <c r="S665" i="7"/>
  <c r="R665" i="7"/>
  <c r="Q665" i="7"/>
  <c r="P665" i="7"/>
  <c r="O665" i="7"/>
  <c r="N665" i="7"/>
  <c r="M665" i="7"/>
  <c r="L665" i="7"/>
  <c r="W664" i="7"/>
  <c r="V664" i="7"/>
  <c r="U664" i="7"/>
  <c r="T664" i="7"/>
  <c r="S664" i="7"/>
  <c r="R664" i="7"/>
  <c r="Q664" i="7"/>
  <c r="P664" i="7"/>
  <c r="O664" i="7"/>
  <c r="N664" i="7"/>
  <c r="M664" i="7"/>
  <c r="L664" i="7"/>
  <c r="W663" i="7"/>
  <c r="V663" i="7"/>
  <c r="U663" i="7"/>
  <c r="T663" i="7"/>
  <c r="S663" i="7"/>
  <c r="R663" i="7"/>
  <c r="Q663" i="7"/>
  <c r="P663" i="7"/>
  <c r="O663" i="7"/>
  <c r="N663" i="7"/>
  <c r="M663" i="7"/>
  <c r="L663" i="7"/>
  <c r="W662" i="7"/>
  <c r="V662" i="7"/>
  <c r="U662" i="7"/>
  <c r="T662" i="7"/>
  <c r="S662" i="7"/>
  <c r="R662" i="7"/>
  <c r="Q662" i="7"/>
  <c r="P662" i="7"/>
  <c r="O662" i="7"/>
  <c r="N662" i="7"/>
  <c r="M662" i="7"/>
  <c r="L662" i="7"/>
  <c r="W661" i="7"/>
  <c r="V661" i="7"/>
  <c r="U661" i="7"/>
  <c r="T661" i="7"/>
  <c r="S661" i="7"/>
  <c r="R661" i="7"/>
  <c r="Q661" i="7"/>
  <c r="P661" i="7"/>
  <c r="O661" i="7"/>
  <c r="N661" i="7"/>
  <c r="M661" i="7"/>
  <c r="L661" i="7"/>
  <c r="W660" i="7"/>
  <c r="V660" i="7"/>
  <c r="U660" i="7"/>
  <c r="T660" i="7"/>
  <c r="S660" i="7"/>
  <c r="R660" i="7"/>
  <c r="Q660" i="7"/>
  <c r="P660" i="7"/>
  <c r="O660" i="7"/>
  <c r="N660" i="7"/>
  <c r="M660" i="7"/>
  <c r="L660" i="7"/>
  <c r="W659" i="7"/>
  <c r="V659" i="7"/>
  <c r="U659" i="7"/>
  <c r="T659" i="7"/>
  <c r="S659" i="7"/>
  <c r="R659" i="7"/>
  <c r="Q659" i="7"/>
  <c r="P659" i="7"/>
  <c r="O659" i="7"/>
  <c r="N659" i="7"/>
  <c r="M659" i="7"/>
  <c r="L659" i="7"/>
  <c r="W658" i="7"/>
  <c r="V658" i="7"/>
  <c r="U658" i="7"/>
  <c r="T658" i="7"/>
  <c r="S658" i="7"/>
  <c r="R658" i="7"/>
  <c r="Q658" i="7"/>
  <c r="P658" i="7"/>
  <c r="O658" i="7"/>
  <c r="N658" i="7"/>
  <c r="M658" i="7"/>
  <c r="L658" i="7"/>
  <c r="W657" i="7"/>
  <c r="V657" i="7"/>
  <c r="U657" i="7"/>
  <c r="T657" i="7"/>
  <c r="S657" i="7"/>
  <c r="R657" i="7"/>
  <c r="Q657" i="7"/>
  <c r="P657" i="7"/>
  <c r="O657" i="7"/>
  <c r="N657" i="7"/>
  <c r="M657" i="7"/>
  <c r="L657" i="7"/>
  <c r="W656" i="7"/>
  <c r="V656" i="7"/>
  <c r="U656" i="7"/>
  <c r="T656" i="7"/>
  <c r="S656" i="7"/>
  <c r="R656" i="7"/>
  <c r="Q656" i="7"/>
  <c r="P656" i="7"/>
  <c r="O656" i="7"/>
  <c r="N656" i="7"/>
  <c r="M656" i="7"/>
  <c r="L656" i="7"/>
  <c r="W655" i="7"/>
  <c r="V655" i="7"/>
  <c r="U655" i="7"/>
  <c r="T655" i="7"/>
  <c r="S655" i="7"/>
  <c r="R655" i="7"/>
  <c r="Q655" i="7"/>
  <c r="P655" i="7"/>
  <c r="O655" i="7"/>
  <c r="N655" i="7"/>
  <c r="M655" i="7"/>
  <c r="L655" i="7"/>
  <c r="W654" i="7"/>
  <c r="V654" i="7"/>
  <c r="U654" i="7"/>
  <c r="T654" i="7"/>
  <c r="S654" i="7"/>
  <c r="R654" i="7"/>
  <c r="Q654" i="7"/>
  <c r="P654" i="7"/>
  <c r="O654" i="7"/>
  <c r="N654" i="7"/>
  <c r="M654" i="7"/>
  <c r="L654" i="7"/>
  <c r="W653" i="7"/>
  <c r="V653" i="7"/>
  <c r="U653" i="7"/>
  <c r="T653" i="7"/>
  <c r="S653" i="7"/>
  <c r="R653" i="7"/>
  <c r="Q653" i="7"/>
  <c r="P653" i="7"/>
  <c r="O653" i="7"/>
  <c r="N653" i="7"/>
  <c r="M653" i="7"/>
  <c r="L653" i="7"/>
  <c r="W652" i="7"/>
  <c r="V652" i="7"/>
  <c r="U652" i="7"/>
  <c r="T652" i="7"/>
  <c r="S652" i="7"/>
  <c r="R652" i="7"/>
  <c r="Q652" i="7"/>
  <c r="P652" i="7"/>
  <c r="O652" i="7"/>
  <c r="N652" i="7"/>
  <c r="M652" i="7"/>
  <c r="L652" i="7"/>
  <c r="W651" i="7"/>
  <c r="V651" i="7"/>
  <c r="U651" i="7"/>
  <c r="T651" i="7"/>
  <c r="S651" i="7"/>
  <c r="R651" i="7"/>
  <c r="Q651" i="7"/>
  <c r="P651" i="7"/>
  <c r="O651" i="7"/>
  <c r="N651" i="7"/>
  <c r="M651" i="7"/>
  <c r="L651" i="7"/>
  <c r="W650" i="7"/>
  <c r="V650" i="7"/>
  <c r="U650" i="7"/>
  <c r="T650" i="7"/>
  <c r="S650" i="7"/>
  <c r="R650" i="7"/>
  <c r="Q650" i="7"/>
  <c r="P650" i="7"/>
  <c r="O650" i="7"/>
  <c r="N650" i="7"/>
  <c r="M650" i="7"/>
  <c r="L650" i="7"/>
  <c r="W649" i="7"/>
  <c r="V649" i="7"/>
  <c r="U649" i="7"/>
  <c r="T649" i="7"/>
  <c r="S649" i="7"/>
  <c r="R649" i="7"/>
  <c r="Q649" i="7"/>
  <c r="P649" i="7"/>
  <c r="O649" i="7"/>
  <c r="N649" i="7"/>
  <c r="M649" i="7"/>
  <c r="L649" i="7"/>
  <c r="W648" i="7"/>
  <c r="V648" i="7"/>
  <c r="U648" i="7"/>
  <c r="T648" i="7"/>
  <c r="S648" i="7"/>
  <c r="R648" i="7"/>
  <c r="Q648" i="7"/>
  <c r="P648" i="7"/>
  <c r="O648" i="7"/>
  <c r="N648" i="7"/>
  <c r="M648" i="7"/>
  <c r="L648" i="7"/>
  <c r="W647" i="7"/>
  <c r="V647" i="7"/>
  <c r="U647" i="7"/>
  <c r="T647" i="7"/>
  <c r="S647" i="7"/>
  <c r="R647" i="7"/>
  <c r="Q647" i="7"/>
  <c r="P647" i="7"/>
  <c r="O647" i="7"/>
  <c r="N647" i="7"/>
  <c r="M647" i="7"/>
  <c r="L647" i="7"/>
  <c r="W646" i="7"/>
  <c r="V646" i="7"/>
  <c r="U646" i="7"/>
  <c r="T646" i="7"/>
  <c r="S646" i="7"/>
  <c r="R646" i="7"/>
  <c r="Q646" i="7"/>
  <c r="P646" i="7"/>
  <c r="O646" i="7"/>
  <c r="N646" i="7"/>
  <c r="M646" i="7"/>
  <c r="L646" i="7"/>
  <c r="W645" i="7"/>
  <c r="V645" i="7"/>
  <c r="U645" i="7"/>
  <c r="T645" i="7"/>
  <c r="S645" i="7"/>
  <c r="R645" i="7"/>
  <c r="Q645" i="7"/>
  <c r="P645" i="7"/>
  <c r="O645" i="7"/>
  <c r="N645" i="7"/>
  <c r="M645" i="7"/>
  <c r="L645" i="7"/>
  <c r="W644" i="7"/>
  <c r="V644" i="7"/>
  <c r="U644" i="7"/>
  <c r="T644" i="7"/>
  <c r="S644" i="7"/>
  <c r="R644" i="7"/>
  <c r="Q644" i="7"/>
  <c r="P644" i="7"/>
  <c r="O644" i="7"/>
  <c r="N644" i="7"/>
  <c r="M644" i="7"/>
  <c r="L644" i="7"/>
  <c r="W643" i="7"/>
  <c r="V643" i="7"/>
  <c r="U643" i="7"/>
  <c r="T643" i="7"/>
  <c r="S643" i="7"/>
  <c r="R643" i="7"/>
  <c r="Q643" i="7"/>
  <c r="P643" i="7"/>
  <c r="O643" i="7"/>
  <c r="N643" i="7"/>
  <c r="M643" i="7"/>
  <c r="L643" i="7"/>
  <c r="W642" i="7"/>
  <c r="V642" i="7"/>
  <c r="U642" i="7"/>
  <c r="T642" i="7"/>
  <c r="S642" i="7"/>
  <c r="R642" i="7"/>
  <c r="Q642" i="7"/>
  <c r="P642" i="7"/>
  <c r="O642" i="7"/>
  <c r="N642" i="7"/>
  <c r="M642" i="7"/>
  <c r="L642" i="7"/>
  <c r="W641" i="7"/>
  <c r="V641" i="7"/>
  <c r="U641" i="7"/>
  <c r="T641" i="7"/>
  <c r="S641" i="7"/>
  <c r="R641" i="7"/>
  <c r="Q641" i="7"/>
  <c r="P641" i="7"/>
  <c r="O641" i="7"/>
  <c r="N641" i="7"/>
  <c r="M641" i="7"/>
  <c r="L641" i="7"/>
  <c r="W640" i="7"/>
  <c r="V640" i="7"/>
  <c r="U640" i="7"/>
  <c r="T640" i="7"/>
  <c r="S640" i="7"/>
  <c r="R640" i="7"/>
  <c r="Q640" i="7"/>
  <c r="P640" i="7"/>
  <c r="O640" i="7"/>
  <c r="N640" i="7"/>
  <c r="M640" i="7"/>
  <c r="L640" i="7"/>
  <c r="W639" i="7"/>
  <c r="V639" i="7"/>
  <c r="U639" i="7"/>
  <c r="T639" i="7"/>
  <c r="S639" i="7"/>
  <c r="R639" i="7"/>
  <c r="Q639" i="7"/>
  <c r="P639" i="7"/>
  <c r="O639" i="7"/>
  <c r="N639" i="7"/>
  <c r="M639" i="7"/>
  <c r="L639" i="7"/>
  <c r="W638" i="7"/>
  <c r="V638" i="7"/>
  <c r="U638" i="7"/>
  <c r="T638" i="7"/>
  <c r="S638" i="7"/>
  <c r="R638" i="7"/>
  <c r="Q638" i="7"/>
  <c r="P638" i="7"/>
  <c r="O638" i="7"/>
  <c r="N638" i="7"/>
  <c r="M638" i="7"/>
  <c r="L638" i="7"/>
  <c r="W637" i="7"/>
  <c r="V637" i="7"/>
  <c r="U637" i="7"/>
  <c r="T637" i="7"/>
  <c r="S637" i="7"/>
  <c r="R637" i="7"/>
  <c r="Q637" i="7"/>
  <c r="P637" i="7"/>
  <c r="O637" i="7"/>
  <c r="N637" i="7"/>
  <c r="M637" i="7"/>
  <c r="L637" i="7"/>
  <c r="W636" i="7"/>
  <c r="V636" i="7"/>
  <c r="U636" i="7"/>
  <c r="T636" i="7"/>
  <c r="S636" i="7"/>
  <c r="R636" i="7"/>
  <c r="Q636" i="7"/>
  <c r="P636" i="7"/>
  <c r="O636" i="7"/>
  <c r="N636" i="7"/>
  <c r="M636" i="7"/>
  <c r="L636" i="7"/>
  <c r="W635" i="7"/>
  <c r="V635" i="7"/>
  <c r="U635" i="7"/>
  <c r="T635" i="7"/>
  <c r="S635" i="7"/>
  <c r="R635" i="7"/>
  <c r="Q635" i="7"/>
  <c r="P635" i="7"/>
  <c r="O635" i="7"/>
  <c r="N635" i="7"/>
  <c r="M635" i="7"/>
  <c r="L635" i="7"/>
  <c r="W634" i="7"/>
  <c r="V634" i="7"/>
  <c r="U634" i="7"/>
  <c r="T634" i="7"/>
  <c r="S634" i="7"/>
  <c r="R634" i="7"/>
  <c r="Q634" i="7"/>
  <c r="P634" i="7"/>
  <c r="O634" i="7"/>
  <c r="N634" i="7"/>
  <c r="M634" i="7"/>
  <c r="L634" i="7"/>
  <c r="W633" i="7"/>
  <c r="V633" i="7"/>
  <c r="U633" i="7"/>
  <c r="T633" i="7"/>
  <c r="S633" i="7"/>
  <c r="R633" i="7"/>
  <c r="Q633" i="7"/>
  <c r="P633" i="7"/>
  <c r="O633" i="7"/>
  <c r="N633" i="7"/>
  <c r="M633" i="7"/>
  <c r="L633" i="7"/>
  <c r="W632" i="7"/>
  <c r="V632" i="7"/>
  <c r="U632" i="7"/>
  <c r="T632" i="7"/>
  <c r="S632" i="7"/>
  <c r="R632" i="7"/>
  <c r="Q632" i="7"/>
  <c r="P632" i="7"/>
  <c r="O632" i="7"/>
  <c r="N632" i="7"/>
  <c r="M632" i="7"/>
  <c r="L632" i="7"/>
  <c r="W631" i="7"/>
  <c r="V631" i="7"/>
  <c r="U631" i="7"/>
  <c r="T631" i="7"/>
  <c r="S631" i="7"/>
  <c r="R631" i="7"/>
  <c r="Q631" i="7"/>
  <c r="P631" i="7"/>
  <c r="O631" i="7"/>
  <c r="N631" i="7"/>
  <c r="M631" i="7"/>
  <c r="L631" i="7"/>
  <c r="W630" i="7"/>
  <c r="V630" i="7"/>
  <c r="U630" i="7"/>
  <c r="T630" i="7"/>
  <c r="S630" i="7"/>
  <c r="R630" i="7"/>
  <c r="Q630" i="7"/>
  <c r="P630" i="7"/>
  <c r="O630" i="7"/>
  <c r="N630" i="7"/>
  <c r="M630" i="7"/>
  <c r="L630" i="7"/>
  <c r="W629" i="7"/>
  <c r="V629" i="7"/>
  <c r="U629" i="7"/>
  <c r="T629" i="7"/>
  <c r="S629" i="7"/>
  <c r="R629" i="7"/>
  <c r="Q629" i="7"/>
  <c r="P629" i="7"/>
  <c r="O629" i="7"/>
  <c r="N629" i="7"/>
  <c r="M629" i="7"/>
  <c r="L629" i="7"/>
  <c r="W628" i="7"/>
  <c r="V628" i="7"/>
  <c r="U628" i="7"/>
  <c r="T628" i="7"/>
  <c r="S628" i="7"/>
  <c r="R628" i="7"/>
  <c r="Q628" i="7"/>
  <c r="P628" i="7"/>
  <c r="O628" i="7"/>
  <c r="N628" i="7"/>
  <c r="M628" i="7"/>
  <c r="L628" i="7"/>
  <c r="W627" i="7"/>
  <c r="V627" i="7"/>
  <c r="U627" i="7"/>
  <c r="T627" i="7"/>
  <c r="S627" i="7"/>
  <c r="R627" i="7"/>
  <c r="Q627" i="7"/>
  <c r="P627" i="7"/>
  <c r="O627" i="7"/>
  <c r="N627" i="7"/>
  <c r="M627" i="7"/>
  <c r="L627" i="7"/>
  <c r="W626" i="7"/>
  <c r="V626" i="7"/>
  <c r="U626" i="7"/>
  <c r="T626" i="7"/>
  <c r="S626" i="7"/>
  <c r="R626" i="7"/>
  <c r="Q626" i="7"/>
  <c r="P626" i="7"/>
  <c r="O626" i="7"/>
  <c r="N626" i="7"/>
  <c r="M626" i="7"/>
  <c r="L626" i="7"/>
  <c r="W625" i="7"/>
  <c r="V625" i="7"/>
  <c r="U625" i="7"/>
  <c r="T625" i="7"/>
  <c r="S625" i="7"/>
  <c r="R625" i="7"/>
  <c r="Q625" i="7"/>
  <c r="P625" i="7"/>
  <c r="O625" i="7"/>
  <c r="N625" i="7"/>
  <c r="M625" i="7"/>
  <c r="L625" i="7"/>
  <c r="W624" i="7"/>
  <c r="V624" i="7"/>
  <c r="U624" i="7"/>
  <c r="T624" i="7"/>
  <c r="S624" i="7"/>
  <c r="R624" i="7"/>
  <c r="Q624" i="7"/>
  <c r="P624" i="7"/>
  <c r="O624" i="7"/>
  <c r="N624" i="7"/>
  <c r="M624" i="7"/>
  <c r="L624" i="7"/>
  <c r="W623" i="7"/>
  <c r="V623" i="7"/>
  <c r="U623" i="7"/>
  <c r="T623" i="7"/>
  <c r="S623" i="7"/>
  <c r="R623" i="7"/>
  <c r="Q623" i="7"/>
  <c r="P623" i="7"/>
  <c r="O623" i="7"/>
  <c r="N623" i="7"/>
  <c r="M623" i="7"/>
  <c r="L623" i="7"/>
  <c r="W622" i="7"/>
  <c r="V622" i="7"/>
  <c r="U622" i="7"/>
  <c r="T622" i="7"/>
  <c r="S622" i="7"/>
  <c r="R622" i="7"/>
  <c r="Q622" i="7"/>
  <c r="P622" i="7"/>
  <c r="O622" i="7"/>
  <c r="N622" i="7"/>
  <c r="M622" i="7"/>
  <c r="L622" i="7"/>
  <c r="W621" i="7"/>
  <c r="V621" i="7"/>
  <c r="U621" i="7"/>
  <c r="T621" i="7"/>
  <c r="S621" i="7"/>
  <c r="R621" i="7"/>
  <c r="Q621" i="7"/>
  <c r="P621" i="7"/>
  <c r="O621" i="7"/>
  <c r="N621" i="7"/>
  <c r="M621" i="7"/>
  <c r="L621" i="7"/>
  <c r="W620" i="7"/>
  <c r="V620" i="7"/>
  <c r="U620" i="7"/>
  <c r="T620" i="7"/>
  <c r="S620" i="7"/>
  <c r="R620" i="7"/>
  <c r="Q620" i="7"/>
  <c r="P620" i="7"/>
  <c r="O620" i="7"/>
  <c r="N620" i="7"/>
  <c r="M620" i="7"/>
  <c r="L620" i="7"/>
  <c r="W619" i="7"/>
  <c r="V619" i="7"/>
  <c r="U619" i="7"/>
  <c r="T619" i="7"/>
  <c r="S619" i="7"/>
  <c r="R619" i="7"/>
  <c r="Q619" i="7"/>
  <c r="P619" i="7"/>
  <c r="O619" i="7"/>
  <c r="N619" i="7"/>
  <c r="M619" i="7"/>
  <c r="L619" i="7"/>
  <c r="W618" i="7"/>
  <c r="V618" i="7"/>
  <c r="U618" i="7"/>
  <c r="T618" i="7"/>
  <c r="S618" i="7"/>
  <c r="R618" i="7"/>
  <c r="Q618" i="7"/>
  <c r="P618" i="7"/>
  <c r="O618" i="7"/>
  <c r="N618" i="7"/>
  <c r="M618" i="7"/>
  <c r="L618" i="7"/>
  <c r="W617" i="7"/>
  <c r="V617" i="7"/>
  <c r="U617" i="7"/>
  <c r="T617" i="7"/>
  <c r="S617" i="7"/>
  <c r="R617" i="7"/>
  <c r="Q617" i="7"/>
  <c r="P617" i="7"/>
  <c r="O617" i="7"/>
  <c r="N617" i="7"/>
  <c r="M617" i="7"/>
  <c r="L617" i="7"/>
  <c r="W616" i="7"/>
  <c r="V616" i="7"/>
  <c r="U616" i="7"/>
  <c r="T616" i="7"/>
  <c r="S616" i="7"/>
  <c r="R616" i="7"/>
  <c r="Q616" i="7"/>
  <c r="P616" i="7"/>
  <c r="O616" i="7"/>
  <c r="N616" i="7"/>
  <c r="M616" i="7"/>
  <c r="L616" i="7"/>
  <c r="W615" i="7"/>
  <c r="V615" i="7"/>
  <c r="U615" i="7"/>
  <c r="T615" i="7"/>
  <c r="S615" i="7"/>
  <c r="R615" i="7"/>
  <c r="Q615" i="7"/>
  <c r="P615" i="7"/>
  <c r="O615" i="7"/>
  <c r="N615" i="7"/>
  <c r="M615" i="7"/>
  <c r="L615" i="7"/>
  <c r="W614" i="7"/>
  <c r="V614" i="7"/>
  <c r="U614" i="7"/>
  <c r="T614" i="7"/>
  <c r="S614" i="7"/>
  <c r="R614" i="7"/>
  <c r="Q614" i="7"/>
  <c r="P614" i="7"/>
  <c r="O614" i="7"/>
  <c r="N614" i="7"/>
  <c r="M614" i="7"/>
  <c r="L614" i="7"/>
  <c r="W613" i="7"/>
  <c r="V613" i="7"/>
  <c r="U613" i="7"/>
  <c r="T613" i="7"/>
  <c r="S613" i="7"/>
  <c r="R613" i="7"/>
  <c r="Q613" i="7"/>
  <c r="P613" i="7"/>
  <c r="O613" i="7"/>
  <c r="N613" i="7"/>
  <c r="M613" i="7"/>
  <c r="L613" i="7"/>
  <c r="W612" i="7"/>
  <c r="V612" i="7"/>
  <c r="U612" i="7"/>
  <c r="T612" i="7"/>
  <c r="S612" i="7"/>
  <c r="R612" i="7"/>
  <c r="Q612" i="7"/>
  <c r="P612" i="7"/>
  <c r="O612" i="7"/>
  <c r="N612" i="7"/>
  <c r="M612" i="7"/>
  <c r="L612" i="7"/>
  <c r="W611" i="7"/>
  <c r="V611" i="7"/>
  <c r="U611" i="7"/>
  <c r="T611" i="7"/>
  <c r="S611" i="7"/>
  <c r="R611" i="7"/>
  <c r="Q611" i="7"/>
  <c r="P611" i="7"/>
  <c r="O611" i="7"/>
  <c r="N611" i="7"/>
  <c r="M611" i="7"/>
  <c r="L611" i="7"/>
  <c r="W610" i="7"/>
  <c r="V610" i="7"/>
  <c r="U610" i="7"/>
  <c r="T610" i="7"/>
  <c r="S610" i="7"/>
  <c r="R610" i="7"/>
  <c r="Q610" i="7"/>
  <c r="P610" i="7"/>
  <c r="O610" i="7"/>
  <c r="N610" i="7"/>
  <c r="M610" i="7"/>
  <c r="L610" i="7"/>
  <c r="W609" i="7"/>
  <c r="V609" i="7"/>
  <c r="U609" i="7"/>
  <c r="T609" i="7"/>
  <c r="S609" i="7"/>
  <c r="R609" i="7"/>
  <c r="Q609" i="7"/>
  <c r="P609" i="7"/>
  <c r="O609" i="7"/>
  <c r="N609" i="7"/>
  <c r="M609" i="7"/>
  <c r="L609" i="7"/>
  <c r="W608" i="7"/>
  <c r="V608" i="7"/>
  <c r="U608" i="7"/>
  <c r="T608" i="7"/>
  <c r="S608" i="7"/>
  <c r="R608" i="7"/>
  <c r="Q608" i="7"/>
  <c r="P608" i="7"/>
  <c r="O608" i="7"/>
  <c r="N608" i="7"/>
  <c r="M608" i="7"/>
  <c r="L608" i="7"/>
  <c r="W607" i="7"/>
  <c r="V607" i="7"/>
  <c r="U607" i="7"/>
  <c r="T607" i="7"/>
  <c r="S607" i="7"/>
  <c r="R607" i="7"/>
  <c r="Q607" i="7"/>
  <c r="P607" i="7"/>
  <c r="O607" i="7"/>
  <c r="N607" i="7"/>
  <c r="M607" i="7"/>
  <c r="L607" i="7"/>
  <c r="W606" i="7"/>
  <c r="V606" i="7"/>
  <c r="U606" i="7"/>
  <c r="T606" i="7"/>
  <c r="S606" i="7"/>
  <c r="R606" i="7"/>
  <c r="Q606" i="7"/>
  <c r="P606" i="7"/>
  <c r="O606" i="7"/>
  <c r="N606" i="7"/>
  <c r="M606" i="7"/>
  <c r="L606" i="7"/>
  <c r="W605" i="7"/>
  <c r="V605" i="7"/>
  <c r="U605" i="7"/>
  <c r="T605" i="7"/>
  <c r="S605" i="7"/>
  <c r="R605" i="7"/>
  <c r="Q605" i="7"/>
  <c r="P605" i="7"/>
  <c r="O605" i="7"/>
  <c r="N605" i="7"/>
  <c r="M605" i="7"/>
  <c r="L605" i="7"/>
  <c r="W604" i="7"/>
  <c r="V604" i="7"/>
  <c r="U604" i="7"/>
  <c r="T604" i="7"/>
  <c r="S604" i="7"/>
  <c r="R604" i="7"/>
  <c r="Q604" i="7"/>
  <c r="P604" i="7"/>
  <c r="O604" i="7"/>
  <c r="N604" i="7"/>
  <c r="M604" i="7"/>
  <c r="L604" i="7"/>
  <c r="W603" i="7"/>
  <c r="V603" i="7"/>
  <c r="U603" i="7"/>
  <c r="T603" i="7"/>
  <c r="S603" i="7"/>
  <c r="R603" i="7"/>
  <c r="Q603" i="7"/>
  <c r="P603" i="7"/>
  <c r="O603" i="7"/>
  <c r="N603" i="7"/>
  <c r="M603" i="7"/>
  <c r="L603" i="7"/>
  <c r="W602" i="7"/>
  <c r="V602" i="7"/>
  <c r="U602" i="7"/>
  <c r="T602" i="7"/>
  <c r="S602" i="7"/>
  <c r="R602" i="7"/>
  <c r="Q602" i="7"/>
  <c r="P602" i="7"/>
  <c r="O602" i="7"/>
  <c r="N602" i="7"/>
  <c r="M602" i="7"/>
  <c r="L602" i="7"/>
  <c r="W601" i="7"/>
  <c r="V601" i="7"/>
  <c r="U601" i="7"/>
  <c r="T601" i="7"/>
  <c r="S601" i="7"/>
  <c r="R601" i="7"/>
  <c r="Q601" i="7"/>
  <c r="P601" i="7"/>
  <c r="O601" i="7"/>
  <c r="N601" i="7"/>
  <c r="M601" i="7"/>
  <c r="L601" i="7"/>
  <c r="W600" i="7"/>
  <c r="V600" i="7"/>
  <c r="U600" i="7"/>
  <c r="T600" i="7"/>
  <c r="S600" i="7"/>
  <c r="R600" i="7"/>
  <c r="Q600" i="7"/>
  <c r="P600" i="7"/>
  <c r="O600" i="7"/>
  <c r="N600" i="7"/>
  <c r="M600" i="7"/>
  <c r="L600" i="7"/>
  <c r="W599" i="7"/>
  <c r="V599" i="7"/>
  <c r="U599" i="7"/>
  <c r="T599" i="7"/>
  <c r="S599" i="7"/>
  <c r="R599" i="7"/>
  <c r="Q599" i="7"/>
  <c r="P599" i="7"/>
  <c r="O599" i="7"/>
  <c r="N599" i="7"/>
  <c r="M599" i="7"/>
  <c r="L599" i="7"/>
  <c r="W598" i="7"/>
  <c r="V598" i="7"/>
  <c r="U598" i="7"/>
  <c r="T598" i="7"/>
  <c r="S598" i="7"/>
  <c r="R598" i="7"/>
  <c r="Q598" i="7"/>
  <c r="P598" i="7"/>
  <c r="O598" i="7"/>
  <c r="N598" i="7"/>
  <c r="M598" i="7"/>
  <c r="L598" i="7"/>
  <c r="W597" i="7"/>
  <c r="V597" i="7"/>
  <c r="U597" i="7"/>
  <c r="T597" i="7"/>
  <c r="S597" i="7"/>
  <c r="R597" i="7"/>
  <c r="Q597" i="7"/>
  <c r="P597" i="7"/>
  <c r="O597" i="7"/>
  <c r="N597" i="7"/>
  <c r="M597" i="7"/>
  <c r="L597" i="7"/>
  <c r="W596" i="7"/>
  <c r="V596" i="7"/>
  <c r="U596" i="7"/>
  <c r="T596" i="7"/>
  <c r="S596" i="7"/>
  <c r="R596" i="7"/>
  <c r="Q596" i="7"/>
  <c r="P596" i="7"/>
  <c r="O596" i="7"/>
  <c r="N596" i="7"/>
  <c r="M596" i="7"/>
  <c r="L596" i="7"/>
  <c r="W595" i="7"/>
  <c r="V595" i="7"/>
  <c r="U595" i="7"/>
  <c r="T595" i="7"/>
  <c r="S595" i="7"/>
  <c r="R595" i="7"/>
  <c r="Q595" i="7"/>
  <c r="P595" i="7"/>
  <c r="O595" i="7"/>
  <c r="N595" i="7"/>
  <c r="M595" i="7"/>
  <c r="L595" i="7"/>
  <c r="W594" i="7"/>
  <c r="V594" i="7"/>
  <c r="U594" i="7"/>
  <c r="T594" i="7"/>
  <c r="S594" i="7"/>
  <c r="R594" i="7"/>
  <c r="Q594" i="7"/>
  <c r="P594" i="7"/>
  <c r="O594" i="7"/>
  <c r="N594" i="7"/>
  <c r="M594" i="7"/>
  <c r="L594" i="7"/>
  <c r="W593" i="7"/>
  <c r="V593" i="7"/>
  <c r="U593" i="7"/>
  <c r="T593" i="7"/>
  <c r="S593" i="7"/>
  <c r="R593" i="7"/>
  <c r="Q593" i="7"/>
  <c r="P593" i="7"/>
  <c r="O593" i="7"/>
  <c r="N593" i="7"/>
  <c r="M593" i="7"/>
  <c r="L593" i="7"/>
  <c r="W592" i="7"/>
  <c r="V592" i="7"/>
  <c r="U592" i="7"/>
  <c r="T592" i="7"/>
  <c r="S592" i="7"/>
  <c r="R592" i="7"/>
  <c r="Q592" i="7"/>
  <c r="P592" i="7"/>
  <c r="O592" i="7"/>
  <c r="N592" i="7"/>
  <c r="M592" i="7"/>
  <c r="L592" i="7"/>
  <c r="W591" i="7"/>
  <c r="V591" i="7"/>
  <c r="U591" i="7"/>
  <c r="T591" i="7"/>
  <c r="S591" i="7"/>
  <c r="R591" i="7"/>
  <c r="Q591" i="7"/>
  <c r="P591" i="7"/>
  <c r="O591" i="7"/>
  <c r="N591" i="7"/>
  <c r="M591" i="7"/>
  <c r="L591" i="7"/>
  <c r="W590" i="7"/>
  <c r="V590" i="7"/>
  <c r="U590" i="7"/>
  <c r="T590" i="7"/>
  <c r="S590" i="7"/>
  <c r="R590" i="7"/>
  <c r="Q590" i="7"/>
  <c r="P590" i="7"/>
  <c r="O590" i="7"/>
  <c r="N590" i="7"/>
  <c r="M590" i="7"/>
  <c r="L590" i="7"/>
  <c r="W589" i="7"/>
  <c r="V589" i="7"/>
  <c r="U589" i="7"/>
  <c r="T589" i="7"/>
  <c r="S589" i="7"/>
  <c r="R589" i="7"/>
  <c r="Q589" i="7"/>
  <c r="P589" i="7"/>
  <c r="O589" i="7"/>
  <c r="N589" i="7"/>
  <c r="M589" i="7"/>
  <c r="L589" i="7"/>
  <c r="W588" i="7"/>
  <c r="V588" i="7"/>
  <c r="U588" i="7"/>
  <c r="T588" i="7"/>
  <c r="S588" i="7"/>
  <c r="R588" i="7"/>
  <c r="Q588" i="7"/>
  <c r="P588" i="7"/>
  <c r="O588" i="7"/>
  <c r="N588" i="7"/>
  <c r="M588" i="7"/>
  <c r="L588" i="7"/>
  <c r="W587" i="7"/>
  <c r="V587" i="7"/>
  <c r="U587" i="7"/>
  <c r="T587" i="7"/>
  <c r="S587" i="7"/>
  <c r="R587" i="7"/>
  <c r="Q587" i="7"/>
  <c r="P587" i="7"/>
  <c r="O587" i="7"/>
  <c r="N587" i="7"/>
  <c r="M587" i="7"/>
  <c r="L587" i="7"/>
  <c r="W586" i="7"/>
  <c r="V586" i="7"/>
  <c r="U586" i="7"/>
  <c r="T586" i="7"/>
  <c r="S586" i="7"/>
  <c r="R586" i="7"/>
  <c r="Q586" i="7"/>
  <c r="P586" i="7"/>
  <c r="O586" i="7"/>
  <c r="N586" i="7"/>
  <c r="M586" i="7"/>
  <c r="L586" i="7"/>
  <c r="W585" i="7"/>
  <c r="V585" i="7"/>
  <c r="U585" i="7"/>
  <c r="T585" i="7"/>
  <c r="S585" i="7"/>
  <c r="R585" i="7"/>
  <c r="Q585" i="7"/>
  <c r="P585" i="7"/>
  <c r="O585" i="7"/>
  <c r="N585" i="7"/>
  <c r="M585" i="7"/>
  <c r="L585" i="7"/>
  <c r="W584" i="7"/>
  <c r="V584" i="7"/>
  <c r="U584" i="7"/>
  <c r="T584" i="7"/>
  <c r="S584" i="7"/>
  <c r="R584" i="7"/>
  <c r="Q584" i="7"/>
  <c r="P584" i="7"/>
  <c r="O584" i="7"/>
  <c r="N584" i="7"/>
  <c r="M584" i="7"/>
  <c r="L584" i="7"/>
  <c r="W583" i="7"/>
  <c r="V583" i="7"/>
  <c r="U583" i="7"/>
  <c r="T583" i="7"/>
  <c r="S583" i="7"/>
  <c r="R583" i="7"/>
  <c r="Q583" i="7"/>
  <c r="P583" i="7"/>
  <c r="O583" i="7"/>
  <c r="N583" i="7"/>
  <c r="M583" i="7"/>
  <c r="L583" i="7"/>
  <c r="W582" i="7"/>
  <c r="V582" i="7"/>
  <c r="U582" i="7"/>
  <c r="T582" i="7"/>
  <c r="S582" i="7"/>
  <c r="R582" i="7"/>
  <c r="Q582" i="7"/>
  <c r="P582" i="7"/>
  <c r="O582" i="7"/>
  <c r="N582" i="7"/>
  <c r="M582" i="7"/>
  <c r="L582" i="7"/>
  <c r="W581" i="7"/>
  <c r="V581" i="7"/>
  <c r="U581" i="7"/>
  <c r="T581" i="7"/>
  <c r="S581" i="7"/>
  <c r="R581" i="7"/>
  <c r="Q581" i="7"/>
  <c r="P581" i="7"/>
  <c r="O581" i="7"/>
  <c r="N581" i="7"/>
  <c r="M581" i="7"/>
  <c r="L581" i="7"/>
  <c r="W580" i="7"/>
  <c r="V580" i="7"/>
  <c r="U580" i="7"/>
  <c r="T580" i="7"/>
  <c r="S580" i="7"/>
  <c r="R580" i="7"/>
  <c r="Q580" i="7"/>
  <c r="P580" i="7"/>
  <c r="O580" i="7"/>
  <c r="N580" i="7"/>
  <c r="M580" i="7"/>
  <c r="L580" i="7"/>
  <c r="W579" i="7"/>
  <c r="V579" i="7"/>
  <c r="U579" i="7"/>
  <c r="T579" i="7"/>
  <c r="S579" i="7"/>
  <c r="R579" i="7"/>
  <c r="Q579" i="7"/>
  <c r="P579" i="7"/>
  <c r="O579" i="7"/>
  <c r="N579" i="7"/>
  <c r="M579" i="7"/>
  <c r="L579" i="7"/>
  <c r="W578" i="7"/>
  <c r="V578" i="7"/>
  <c r="U578" i="7"/>
  <c r="T578" i="7"/>
  <c r="S578" i="7"/>
  <c r="R578" i="7"/>
  <c r="Q578" i="7"/>
  <c r="P578" i="7"/>
  <c r="O578" i="7"/>
  <c r="N578" i="7"/>
  <c r="M578" i="7"/>
  <c r="L578" i="7"/>
  <c r="W577" i="7"/>
  <c r="V577" i="7"/>
  <c r="U577" i="7"/>
  <c r="T577" i="7"/>
  <c r="S577" i="7"/>
  <c r="R577" i="7"/>
  <c r="Q577" i="7"/>
  <c r="P577" i="7"/>
  <c r="O577" i="7"/>
  <c r="N577" i="7"/>
  <c r="M577" i="7"/>
  <c r="L577" i="7"/>
  <c r="W576" i="7"/>
  <c r="V576" i="7"/>
  <c r="U576" i="7"/>
  <c r="T576" i="7"/>
  <c r="S576" i="7"/>
  <c r="R576" i="7"/>
  <c r="Q576" i="7"/>
  <c r="P576" i="7"/>
  <c r="O576" i="7"/>
  <c r="N576" i="7"/>
  <c r="M576" i="7"/>
  <c r="L576" i="7"/>
  <c r="W575" i="7"/>
  <c r="V575" i="7"/>
  <c r="U575" i="7"/>
  <c r="T575" i="7"/>
  <c r="S575" i="7"/>
  <c r="R575" i="7"/>
  <c r="Q575" i="7"/>
  <c r="P575" i="7"/>
  <c r="O575" i="7"/>
  <c r="N575" i="7"/>
  <c r="M575" i="7"/>
  <c r="L575" i="7"/>
  <c r="W574" i="7"/>
  <c r="V574" i="7"/>
  <c r="U574" i="7"/>
  <c r="T574" i="7"/>
  <c r="S574" i="7"/>
  <c r="R574" i="7"/>
  <c r="Q574" i="7"/>
  <c r="P574" i="7"/>
  <c r="O574" i="7"/>
  <c r="N574" i="7"/>
  <c r="M574" i="7"/>
  <c r="L574" i="7"/>
  <c r="W573" i="7"/>
  <c r="V573" i="7"/>
  <c r="U573" i="7"/>
  <c r="T573" i="7"/>
  <c r="S573" i="7"/>
  <c r="R573" i="7"/>
  <c r="Q573" i="7"/>
  <c r="P573" i="7"/>
  <c r="O573" i="7"/>
  <c r="N573" i="7"/>
  <c r="M573" i="7"/>
  <c r="L573" i="7"/>
  <c r="W572" i="7"/>
  <c r="V572" i="7"/>
  <c r="U572" i="7"/>
  <c r="T572" i="7"/>
  <c r="S572" i="7"/>
  <c r="R572" i="7"/>
  <c r="Q572" i="7"/>
  <c r="P572" i="7"/>
  <c r="O572" i="7"/>
  <c r="N572" i="7"/>
  <c r="M572" i="7"/>
  <c r="L572" i="7"/>
  <c r="W571" i="7"/>
  <c r="V571" i="7"/>
  <c r="U571" i="7"/>
  <c r="T571" i="7"/>
  <c r="S571" i="7"/>
  <c r="R571" i="7"/>
  <c r="Q571" i="7"/>
  <c r="P571" i="7"/>
  <c r="O571" i="7"/>
  <c r="N571" i="7"/>
  <c r="M571" i="7"/>
  <c r="L571" i="7"/>
  <c r="W570" i="7"/>
  <c r="V570" i="7"/>
  <c r="U570" i="7"/>
  <c r="T570" i="7"/>
  <c r="S570" i="7"/>
  <c r="R570" i="7"/>
  <c r="Q570" i="7"/>
  <c r="P570" i="7"/>
  <c r="O570" i="7"/>
  <c r="N570" i="7"/>
  <c r="M570" i="7"/>
  <c r="L570" i="7"/>
  <c r="W569" i="7"/>
  <c r="V569" i="7"/>
  <c r="U569" i="7"/>
  <c r="T569" i="7"/>
  <c r="S569" i="7"/>
  <c r="R569" i="7"/>
  <c r="Q569" i="7"/>
  <c r="P569" i="7"/>
  <c r="O569" i="7"/>
  <c r="N569" i="7"/>
  <c r="M569" i="7"/>
  <c r="L569" i="7"/>
  <c r="W568" i="7"/>
  <c r="V568" i="7"/>
  <c r="U568" i="7"/>
  <c r="T568" i="7"/>
  <c r="S568" i="7"/>
  <c r="R568" i="7"/>
  <c r="Q568" i="7"/>
  <c r="P568" i="7"/>
  <c r="O568" i="7"/>
  <c r="N568" i="7"/>
  <c r="M568" i="7"/>
  <c r="L568" i="7"/>
  <c r="W567" i="7"/>
  <c r="V567" i="7"/>
  <c r="U567" i="7"/>
  <c r="T567" i="7"/>
  <c r="S567" i="7"/>
  <c r="R567" i="7"/>
  <c r="Q567" i="7"/>
  <c r="P567" i="7"/>
  <c r="O567" i="7"/>
  <c r="N567" i="7"/>
  <c r="M567" i="7"/>
  <c r="L567" i="7"/>
  <c r="W566" i="7"/>
  <c r="V566" i="7"/>
  <c r="U566" i="7"/>
  <c r="T566" i="7"/>
  <c r="S566" i="7"/>
  <c r="R566" i="7"/>
  <c r="Q566" i="7"/>
  <c r="P566" i="7"/>
  <c r="O566" i="7"/>
  <c r="N566" i="7"/>
  <c r="M566" i="7"/>
  <c r="L566" i="7"/>
  <c r="W565" i="7"/>
  <c r="V565" i="7"/>
  <c r="U565" i="7"/>
  <c r="T565" i="7"/>
  <c r="S565" i="7"/>
  <c r="R565" i="7"/>
  <c r="Q565" i="7"/>
  <c r="P565" i="7"/>
  <c r="O565" i="7"/>
  <c r="N565" i="7"/>
  <c r="M565" i="7"/>
  <c r="L565" i="7"/>
  <c r="W564" i="7"/>
  <c r="V564" i="7"/>
  <c r="U564" i="7"/>
  <c r="T564" i="7"/>
  <c r="S564" i="7"/>
  <c r="R564" i="7"/>
  <c r="Q564" i="7"/>
  <c r="P564" i="7"/>
  <c r="O564" i="7"/>
  <c r="N564" i="7"/>
  <c r="M564" i="7"/>
  <c r="L564" i="7"/>
  <c r="W563" i="7"/>
  <c r="V563" i="7"/>
  <c r="U563" i="7"/>
  <c r="T563" i="7"/>
  <c r="S563" i="7"/>
  <c r="R563" i="7"/>
  <c r="Q563" i="7"/>
  <c r="P563" i="7"/>
  <c r="O563" i="7"/>
  <c r="N563" i="7"/>
  <c r="M563" i="7"/>
  <c r="L563" i="7"/>
  <c r="W562" i="7"/>
  <c r="V562" i="7"/>
  <c r="U562" i="7"/>
  <c r="T562" i="7"/>
  <c r="S562" i="7"/>
  <c r="R562" i="7"/>
  <c r="Q562" i="7"/>
  <c r="P562" i="7"/>
  <c r="O562" i="7"/>
  <c r="N562" i="7"/>
  <c r="M562" i="7"/>
  <c r="L562" i="7"/>
  <c r="W561" i="7"/>
  <c r="V561" i="7"/>
  <c r="U561" i="7"/>
  <c r="T561" i="7"/>
  <c r="S561" i="7"/>
  <c r="R561" i="7"/>
  <c r="Q561" i="7"/>
  <c r="P561" i="7"/>
  <c r="O561" i="7"/>
  <c r="N561" i="7"/>
  <c r="M561" i="7"/>
  <c r="L561" i="7"/>
  <c r="W560" i="7"/>
  <c r="V560" i="7"/>
  <c r="U560" i="7"/>
  <c r="T560" i="7"/>
  <c r="S560" i="7"/>
  <c r="R560" i="7"/>
  <c r="Q560" i="7"/>
  <c r="P560" i="7"/>
  <c r="O560" i="7"/>
  <c r="N560" i="7"/>
  <c r="M560" i="7"/>
  <c r="L560" i="7"/>
  <c r="W559" i="7"/>
  <c r="V559" i="7"/>
  <c r="U559" i="7"/>
  <c r="T559" i="7"/>
  <c r="S559" i="7"/>
  <c r="R559" i="7"/>
  <c r="Q559" i="7"/>
  <c r="P559" i="7"/>
  <c r="O559" i="7"/>
  <c r="N559" i="7"/>
  <c r="M559" i="7"/>
  <c r="L559" i="7"/>
  <c r="W558" i="7"/>
  <c r="V558" i="7"/>
  <c r="U558" i="7"/>
  <c r="T558" i="7"/>
  <c r="S558" i="7"/>
  <c r="R558" i="7"/>
  <c r="Q558" i="7"/>
  <c r="P558" i="7"/>
  <c r="O558" i="7"/>
  <c r="N558" i="7"/>
  <c r="M558" i="7"/>
  <c r="L558" i="7"/>
  <c r="W557" i="7"/>
  <c r="V557" i="7"/>
  <c r="U557" i="7"/>
  <c r="T557" i="7"/>
  <c r="S557" i="7"/>
  <c r="R557" i="7"/>
  <c r="Q557" i="7"/>
  <c r="P557" i="7"/>
  <c r="O557" i="7"/>
  <c r="N557" i="7"/>
  <c r="M557" i="7"/>
  <c r="L557" i="7"/>
  <c r="W556" i="7"/>
  <c r="V556" i="7"/>
  <c r="U556" i="7"/>
  <c r="T556" i="7"/>
  <c r="S556" i="7"/>
  <c r="R556" i="7"/>
  <c r="Q556" i="7"/>
  <c r="P556" i="7"/>
  <c r="O556" i="7"/>
  <c r="N556" i="7"/>
  <c r="M556" i="7"/>
  <c r="L556" i="7"/>
  <c r="W555" i="7"/>
  <c r="V555" i="7"/>
  <c r="U555" i="7"/>
  <c r="T555" i="7"/>
  <c r="S555" i="7"/>
  <c r="R555" i="7"/>
  <c r="Q555" i="7"/>
  <c r="P555" i="7"/>
  <c r="O555" i="7"/>
  <c r="N555" i="7"/>
  <c r="M555" i="7"/>
  <c r="L555" i="7"/>
  <c r="W554" i="7"/>
  <c r="V554" i="7"/>
  <c r="U554" i="7"/>
  <c r="T554" i="7"/>
  <c r="S554" i="7"/>
  <c r="R554" i="7"/>
  <c r="Q554" i="7"/>
  <c r="P554" i="7"/>
  <c r="O554" i="7"/>
  <c r="N554" i="7"/>
  <c r="M554" i="7"/>
  <c r="L554" i="7"/>
  <c r="W553" i="7"/>
  <c r="V553" i="7"/>
  <c r="U553" i="7"/>
  <c r="T553" i="7"/>
  <c r="S553" i="7"/>
  <c r="R553" i="7"/>
  <c r="Q553" i="7"/>
  <c r="P553" i="7"/>
  <c r="O553" i="7"/>
  <c r="N553" i="7"/>
  <c r="M553" i="7"/>
  <c r="L553" i="7"/>
  <c r="W552" i="7"/>
  <c r="V552" i="7"/>
  <c r="U552" i="7"/>
  <c r="T552" i="7"/>
  <c r="S552" i="7"/>
  <c r="R552" i="7"/>
  <c r="Q552" i="7"/>
  <c r="P552" i="7"/>
  <c r="O552" i="7"/>
  <c r="N552" i="7"/>
  <c r="M552" i="7"/>
  <c r="L552" i="7"/>
  <c r="W551" i="7"/>
  <c r="V551" i="7"/>
  <c r="U551" i="7"/>
  <c r="T551" i="7"/>
  <c r="S551" i="7"/>
  <c r="R551" i="7"/>
  <c r="Q551" i="7"/>
  <c r="P551" i="7"/>
  <c r="O551" i="7"/>
  <c r="N551" i="7"/>
  <c r="M551" i="7"/>
  <c r="L551" i="7"/>
  <c r="W550" i="7"/>
  <c r="V550" i="7"/>
  <c r="U550" i="7"/>
  <c r="T550" i="7"/>
  <c r="S550" i="7"/>
  <c r="R550" i="7"/>
  <c r="Q550" i="7"/>
  <c r="P550" i="7"/>
  <c r="O550" i="7"/>
  <c r="N550" i="7"/>
  <c r="M550" i="7"/>
  <c r="L550" i="7"/>
  <c r="W549" i="7"/>
  <c r="V549" i="7"/>
  <c r="U549" i="7"/>
  <c r="T549" i="7"/>
  <c r="S549" i="7"/>
  <c r="R549" i="7"/>
  <c r="Q549" i="7"/>
  <c r="P549" i="7"/>
  <c r="O549" i="7"/>
  <c r="N549" i="7"/>
  <c r="M549" i="7"/>
  <c r="L549" i="7"/>
  <c r="W548" i="7"/>
  <c r="V548" i="7"/>
  <c r="U548" i="7"/>
  <c r="T548" i="7"/>
  <c r="S548" i="7"/>
  <c r="R548" i="7"/>
  <c r="Q548" i="7"/>
  <c r="P548" i="7"/>
  <c r="O548" i="7"/>
  <c r="N548" i="7"/>
  <c r="M548" i="7"/>
  <c r="L548" i="7"/>
  <c r="W547" i="7"/>
  <c r="V547" i="7"/>
  <c r="U547" i="7"/>
  <c r="T547" i="7"/>
  <c r="S547" i="7"/>
  <c r="R547" i="7"/>
  <c r="Q547" i="7"/>
  <c r="P547" i="7"/>
  <c r="O547" i="7"/>
  <c r="N547" i="7"/>
  <c r="M547" i="7"/>
  <c r="L547" i="7"/>
  <c r="W546" i="7"/>
  <c r="V546" i="7"/>
  <c r="U546" i="7"/>
  <c r="T546" i="7"/>
  <c r="S546" i="7"/>
  <c r="R546" i="7"/>
  <c r="Q546" i="7"/>
  <c r="P546" i="7"/>
  <c r="O546" i="7"/>
  <c r="N546" i="7"/>
  <c r="M546" i="7"/>
  <c r="L546" i="7"/>
  <c r="W545" i="7"/>
  <c r="V545" i="7"/>
  <c r="U545" i="7"/>
  <c r="T545" i="7"/>
  <c r="S545" i="7"/>
  <c r="R545" i="7"/>
  <c r="Q545" i="7"/>
  <c r="P545" i="7"/>
  <c r="O545" i="7"/>
  <c r="N545" i="7"/>
  <c r="M545" i="7"/>
  <c r="L545" i="7"/>
  <c r="W544" i="7"/>
  <c r="V544" i="7"/>
  <c r="U544" i="7"/>
  <c r="T544" i="7"/>
  <c r="S544" i="7"/>
  <c r="R544" i="7"/>
  <c r="Q544" i="7"/>
  <c r="P544" i="7"/>
  <c r="O544" i="7"/>
  <c r="N544" i="7"/>
  <c r="M544" i="7"/>
  <c r="L544" i="7"/>
  <c r="W543" i="7"/>
  <c r="V543" i="7"/>
  <c r="U543" i="7"/>
  <c r="T543" i="7"/>
  <c r="S543" i="7"/>
  <c r="R543" i="7"/>
  <c r="Q543" i="7"/>
  <c r="P543" i="7"/>
  <c r="O543" i="7"/>
  <c r="N543" i="7"/>
  <c r="M543" i="7"/>
  <c r="L543" i="7"/>
  <c r="W542" i="7"/>
  <c r="V542" i="7"/>
  <c r="U542" i="7"/>
  <c r="T542" i="7"/>
  <c r="S542" i="7"/>
  <c r="R542" i="7"/>
  <c r="Q542" i="7"/>
  <c r="P542" i="7"/>
  <c r="O542" i="7"/>
  <c r="N542" i="7"/>
  <c r="M542" i="7"/>
  <c r="L542" i="7"/>
  <c r="W541" i="7"/>
  <c r="V541" i="7"/>
  <c r="U541" i="7"/>
  <c r="T541" i="7"/>
  <c r="S541" i="7"/>
  <c r="R541" i="7"/>
  <c r="Q541" i="7"/>
  <c r="P541" i="7"/>
  <c r="O541" i="7"/>
  <c r="N541" i="7"/>
  <c r="M541" i="7"/>
  <c r="L541" i="7"/>
  <c r="W540" i="7"/>
  <c r="V540" i="7"/>
  <c r="U540" i="7"/>
  <c r="T540" i="7"/>
  <c r="S540" i="7"/>
  <c r="R540" i="7"/>
  <c r="Q540" i="7"/>
  <c r="P540" i="7"/>
  <c r="O540" i="7"/>
  <c r="N540" i="7"/>
  <c r="M540" i="7"/>
  <c r="L540" i="7"/>
  <c r="W539" i="7"/>
  <c r="V539" i="7"/>
  <c r="U539" i="7"/>
  <c r="T539" i="7"/>
  <c r="S539" i="7"/>
  <c r="R539" i="7"/>
  <c r="Q539" i="7"/>
  <c r="P539" i="7"/>
  <c r="O539" i="7"/>
  <c r="N539" i="7"/>
  <c r="M539" i="7"/>
  <c r="L539" i="7"/>
  <c r="W538" i="7"/>
  <c r="V538" i="7"/>
  <c r="U538" i="7"/>
  <c r="T538" i="7"/>
  <c r="S538" i="7"/>
  <c r="R538" i="7"/>
  <c r="Q538" i="7"/>
  <c r="P538" i="7"/>
  <c r="O538" i="7"/>
  <c r="N538" i="7"/>
  <c r="M538" i="7"/>
  <c r="L538" i="7"/>
  <c r="W537" i="7"/>
  <c r="V537" i="7"/>
  <c r="U537" i="7"/>
  <c r="T537" i="7"/>
  <c r="S537" i="7"/>
  <c r="R537" i="7"/>
  <c r="Q537" i="7"/>
  <c r="P537" i="7"/>
  <c r="O537" i="7"/>
  <c r="N537" i="7"/>
  <c r="M537" i="7"/>
  <c r="L537" i="7"/>
  <c r="W536" i="7"/>
  <c r="V536" i="7"/>
  <c r="U536" i="7"/>
  <c r="T536" i="7"/>
  <c r="S536" i="7"/>
  <c r="R536" i="7"/>
  <c r="Q536" i="7"/>
  <c r="P536" i="7"/>
  <c r="O536" i="7"/>
  <c r="N536" i="7"/>
  <c r="M536" i="7"/>
  <c r="L536" i="7"/>
  <c r="W535" i="7"/>
  <c r="V535" i="7"/>
  <c r="U535" i="7"/>
  <c r="T535" i="7"/>
  <c r="S535" i="7"/>
  <c r="R535" i="7"/>
  <c r="Q535" i="7"/>
  <c r="P535" i="7"/>
  <c r="O535" i="7"/>
  <c r="N535" i="7"/>
  <c r="M535" i="7"/>
  <c r="L535" i="7"/>
  <c r="W534" i="7"/>
  <c r="V534" i="7"/>
  <c r="U534" i="7"/>
  <c r="T534" i="7"/>
  <c r="S534" i="7"/>
  <c r="R534" i="7"/>
  <c r="Q534" i="7"/>
  <c r="P534" i="7"/>
  <c r="O534" i="7"/>
  <c r="N534" i="7"/>
  <c r="M534" i="7"/>
  <c r="L534" i="7"/>
  <c r="W533" i="7"/>
  <c r="V533" i="7"/>
  <c r="U533" i="7"/>
  <c r="T533" i="7"/>
  <c r="S533" i="7"/>
  <c r="R533" i="7"/>
  <c r="Q533" i="7"/>
  <c r="P533" i="7"/>
  <c r="O533" i="7"/>
  <c r="N533" i="7"/>
  <c r="M533" i="7"/>
  <c r="L533" i="7"/>
  <c r="W532" i="7"/>
  <c r="V532" i="7"/>
  <c r="U532" i="7"/>
  <c r="T532" i="7"/>
  <c r="S532" i="7"/>
  <c r="R532" i="7"/>
  <c r="Q532" i="7"/>
  <c r="P532" i="7"/>
  <c r="O532" i="7"/>
  <c r="N532" i="7"/>
  <c r="M532" i="7"/>
  <c r="L532" i="7"/>
  <c r="W531" i="7"/>
  <c r="V531" i="7"/>
  <c r="U531" i="7"/>
  <c r="T531" i="7"/>
  <c r="S531" i="7"/>
  <c r="R531" i="7"/>
  <c r="Q531" i="7"/>
  <c r="P531" i="7"/>
  <c r="O531" i="7"/>
  <c r="N531" i="7"/>
  <c r="M531" i="7"/>
  <c r="L531" i="7"/>
  <c r="W530" i="7"/>
  <c r="V530" i="7"/>
  <c r="U530" i="7"/>
  <c r="T530" i="7"/>
  <c r="S530" i="7"/>
  <c r="R530" i="7"/>
  <c r="Q530" i="7"/>
  <c r="P530" i="7"/>
  <c r="O530" i="7"/>
  <c r="N530" i="7"/>
  <c r="M530" i="7"/>
  <c r="L530" i="7"/>
  <c r="W529" i="7"/>
  <c r="V529" i="7"/>
  <c r="U529" i="7"/>
  <c r="T529" i="7"/>
  <c r="S529" i="7"/>
  <c r="R529" i="7"/>
  <c r="Q529" i="7"/>
  <c r="P529" i="7"/>
  <c r="O529" i="7"/>
  <c r="N529" i="7"/>
  <c r="M529" i="7"/>
  <c r="L529" i="7"/>
  <c r="W528" i="7"/>
  <c r="V528" i="7"/>
  <c r="U528" i="7"/>
  <c r="T528" i="7"/>
  <c r="S528" i="7"/>
  <c r="R528" i="7"/>
  <c r="Q528" i="7"/>
  <c r="P528" i="7"/>
  <c r="O528" i="7"/>
  <c r="N528" i="7"/>
  <c r="M528" i="7"/>
  <c r="L528" i="7"/>
  <c r="W527" i="7"/>
  <c r="V527" i="7"/>
  <c r="U527" i="7"/>
  <c r="T527" i="7"/>
  <c r="S527" i="7"/>
  <c r="R527" i="7"/>
  <c r="Q527" i="7"/>
  <c r="P527" i="7"/>
  <c r="O527" i="7"/>
  <c r="N527" i="7"/>
  <c r="M527" i="7"/>
  <c r="L527" i="7"/>
  <c r="W526" i="7"/>
  <c r="V526" i="7"/>
  <c r="U526" i="7"/>
  <c r="T526" i="7"/>
  <c r="S526" i="7"/>
  <c r="R526" i="7"/>
  <c r="Q526" i="7"/>
  <c r="P526" i="7"/>
  <c r="O526" i="7"/>
  <c r="N526" i="7"/>
  <c r="M526" i="7"/>
  <c r="L526" i="7"/>
  <c r="W525" i="7"/>
  <c r="V525" i="7"/>
  <c r="U525" i="7"/>
  <c r="T525" i="7"/>
  <c r="S525" i="7"/>
  <c r="R525" i="7"/>
  <c r="Q525" i="7"/>
  <c r="P525" i="7"/>
  <c r="O525" i="7"/>
  <c r="N525" i="7"/>
  <c r="M525" i="7"/>
  <c r="L525" i="7"/>
  <c r="W524" i="7"/>
  <c r="V524" i="7"/>
  <c r="U524" i="7"/>
  <c r="T524" i="7"/>
  <c r="S524" i="7"/>
  <c r="R524" i="7"/>
  <c r="Q524" i="7"/>
  <c r="P524" i="7"/>
  <c r="O524" i="7"/>
  <c r="N524" i="7"/>
  <c r="M524" i="7"/>
  <c r="L524" i="7"/>
  <c r="W523" i="7"/>
  <c r="V523" i="7"/>
  <c r="U523" i="7"/>
  <c r="T523" i="7"/>
  <c r="S523" i="7"/>
  <c r="R523" i="7"/>
  <c r="Q523" i="7"/>
  <c r="P523" i="7"/>
  <c r="O523" i="7"/>
  <c r="N523" i="7"/>
  <c r="M523" i="7"/>
  <c r="L523" i="7"/>
  <c r="W522" i="7"/>
  <c r="V522" i="7"/>
  <c r="U522" i="7"/>
  <c r="T522" i="7"/>
  <c r="S522" i="7"/>
  <c r="R522" i="7"/>
  <c r="Q522" i="7"/>
  <c r="P522" i="7"/>
  <c r="O522" i="7"/>
  <c r="N522" i="7"/>
  <c r="M522" i="7"/>
  <c r="L522" i="7"/>
  <c r="W521" i="7"/>
  <c r="V521" i="7"/>
  <c r="U521" i="7"/>
  <c r="T521" i="7"/>
  <c r="S521" i="7"/>
  <c r="R521" i="7"/>
  <c r="Q521" i="7"/>
  <c r="P521" i="7"/>
  <c r="O521" i="7"/>
  <c r="N521" i="7"/>
  <c r="M521" i="7"/>
  <c r="L521" i="7"/>
  <c r="W520" i="7"/>
  <c r="V520" i="7"/>
  <c r="U520" i="7"/>
  <c r="T520" i="7"/>
  <c r="S520" i="7"/>
  <c r="R520" i="7"/>
  <c r="Q520" i="7"/>
  <c r="P520" i="7"/>
  <c r="O520" i="7"/>
  <c r="N520" i="7"/>
  <c r="M520" i="7"/>
  <c r="L520" i="7"/>
  <c r="W519" i="7"/>
  <c r="V519" i="7"/>
  <c r="U519" i="7"/>
  <c r="T519" i="7"/>
  <c r="S519" i="7"/>
  <c r="R519" i="7"/>
  <c r="Q519" i="7"/>
  <c r="P519" i="7"/>
  <c r="O519" i="7"/>
  <c r="N519" i="7"/>
  <c r="M519" i="7"/>
  <c r="L519" i="7"/>
  <c r="W518" i="7"/>
  <c r="V518" i="7"/>
  <c r="U518" i="7"/>
  <c r="T518" i="7"/>
  <c r="S518" i="7"/>
  <c r="R518" i="7"/>
  <c r="Q518" i="7"/>
  <c r="P518" i="7"/>
  <c r="O518" i="7"/>
  <c r="N518" i="7"/>
  <c r="M518" i="7"/>
  <c r="L518" i="7"/>
  <c r="W517" i="7"/>
  <c r="V517" i="7"/>
  <c r="U517" i="7"/>
  <c r="T517" i="7"/>
  <c r="S517" i="7"/>
  <c r="R517" i="7"/>
  <c r="Q517" i="7"/>
  <c r="P517" i="7"/>
  <c r="O517" i="7"/>
  <c r="N517" i="7"/>
  <c r="M517" i="7"/>
  <c r="L517" i="7"/>
  <c r="W516" i="7"/>
  <c r="V516" i="7"/>
  <c r="U516" i="7"/>
  <c r="T516" i="7"/>
  <c r="S516" i="7"/>
  <c r="R516" i="7"/>
  <c r="Q516" i="7"/>
  <c r="P516" i="7"/>
  <c r="O516" i="7"/>
  <c r="N516" i="7"/>
  <c r="M516" i="7"/>
  <c r="L516" i="7"/>
  <c r="W515" i="7"/>
  <c r="V515" i="7"/>
  <c r="U515" i="7"/>
  <c r="T515" i="7"/>
  <c r="S515" i="7"/>
  <c r="R515" i="7"/>
  <c r="Q515" i="7"/>
  <c r="P515" i="7"/>
  <c r="O515" i="7"/>
  <c r="N515" i="7"/>
  <c r="M515" i="7"/>
  <c r="L515" i="7"/>
  <c r="W514" i="7"/>
  <c r="V514" i="7"/>
  <c r="U514" i="7"/>
  <c r="T514" i="7"/>
  <c r="S514" i="7"/>
  <c r="R514" i="7"/>
  <c r="Q514" i="7"/>
  <c r="P514" i="7"/>
  <c r="O514" i="7"/>
  <c r="N514" i="7"/>
  <c r="M514" i="7"/>
  <c r="L514" i="7"/>
  <c r="W513" i="7"/>
  <c r="V513" i="7"/>
  <c r="U513" i="7"/>
  <c r="T513" i="7"/>
  <c r="S513" i="7"/>
  <c r="R513" i="7"/>
  <c r="Q513" i="7"/>
  <c r="P513" i="7"/>
  <c r="O513" i="7"/>
  <c r="N513" i="7"/>
  <c r="M513" i="7"/>
  <c r="L513" i="7"/>
  <c r="W512" i="7"/>
  <c r="V512" i="7"/>
  <c r="U512" i="7"/>
  <c r="T512" i="7"/>
  <c r="S512" i="7"/>
  <c r="R512" i="7"/>
  <c r="Q512" i="7"/>
  <c r="P512" i="7"/>
  <c r="O512" i="7"/>
  <c r="N512" i="7"/>
  <c r="M512" i="7"/>
  <c r="L512" i="7"/>
  <c r="W511" i="7"/>
  <c r="V511" i="7"/>
  <c r="U511" i="7"/>
  <c r="T511" i="7"/>
  <c r="S511" i="7"/>
  <c r="R511" i="7"/>
  <c r="Q511" i="7"/>
  <c r="P511" i="7"/>
  <c r="O511" i="7"/>
  <c r="N511" i="7"/>
  <c r="M511" i="7"/>
  <c r="L511" i="7"/>
  <c r="W510" i="7"/>
  <c r="V510" i="7"/>
  <c r="U510" i="7"/>
  <c r="T510" i="7"/>
  <c r="S510" i="7"/>
  <c r="R510" i="7"/>
  <c r="Q510" i="7"/>
  <c r="P510" i="7"/>
  <c r="O510" i="7"/>
  <c r="N510" i="7"/>
  <c r="M510" i="7"/>
  <c r="L510" i="7"/>
  <c r="W509" i="7"/>
  <c r="V509" i="7"/>
  <c r="U509" i="7"/>
  <c r="T509" i="7"/>
  <c r="S509" i="7"/>
  <c r="R509" i="7"/>
  <c r="Q509" i="7"/>
  <c r="P509" i="7"/>
  <c r="O509" i="7"/>
  <c r="N509" i="7"/>
  <c r="M509" i="7"/>
  <c r="L509" i="7"/>
  <c r="W508" i="7"/>
  <c r="V508" i="7"/>
  <c r="U508" i="7"/>
  <c r="T508" i="7"/>
  <c r="S508" i="7"/>
  <c r="R508" i="7"/>
  <c r="Q508" i="7"/>
  <c r="P508" i="7"/>
  <c r="O508" i="7"/>
  <c r="N508" i="7"/>
  <c r="M508" i="7"/>
  <c r="L508" i="7"/>
  <c r="W507" i="7"/>
  <c r="V507" i="7"/>
  <c r="U507" i="7"/>
  <c r="T507" i="7"/>
  <c r="S507" i="7"/>
  <c r="R507" i="7"/>
  <c r="Q507" i="7"/>
  <c r="P507" i="7"/>
  <c r="O507" i="7"/>
  <c r="N507" i="7"/>
  <c r="M507" i="7"/>
  <c r="L507" i="7"/>
  <c r="W506" i="7"/>
  <c r="V506" i="7"/>
  <c r="U506" i="7"/>
  <c r="T506" i="7"/>
  <c r="S506" i="7"/>
  <c r="R506" i="7"/>
  <c r="Q506" i="7"/>
  <c r="P506" i="7"/>
  <c r="O506" i="7"/>
  <c r="N506" i="7"/>
  <c r="M506" i="7"/>
  <c r="L506" i="7"/>
  <c r="W505" i="7"/>
  <c r="V505" i="7"/>
  <c r="U505" i="7"/>
  <c r="T505" i="7"/>
  <c r="S505" i="7"/>
  <c r="R505" i="7"/>
  <c r="Q505" i="7"/>
  <c r="P505" i="7"/>
  <c r="O505" i="7"/>
  <c r="N505" i="7"/>
  <c r="M505" i="7"/>
  <c r="L505" i="7"/>
  <c r="W504" i="7"/>
  <c r="V504" i="7"/>
  <c r="U504" i="7"/>
  <c r="T504" i="7"/>
  <c r="S504" i="7"/>
  <c r="R504" i="7"/>
  <c r="Q504" i="7"/>
  <c r="P504" i="7"/>
  <c r="O504" i="7"/>
  <c r="N504" i="7"/>
  <c r="M504" i="7"/>
  <c r="L504" i="7"/>
  <c r="W503" i="7"/>
  <c r="V503" i="7"/>
  <c r="U503" i="7"/>
  <c r="T503" i="7"/>
  <c r="S503" i="7"/>
  <c r="R503" i="7"/>
  <c r="Q503" i="7"/>
  <c r="P503" i="7"/>
  <c r="O503" i="7"/>
  <c r="N503" i="7"/>
  <c r="M503" i="7"/>
  <c r="L503" i="7"/>
  <c r="W502" i="7"/>
  <c r="V502" i="7"/>
  <c r="U502" i="7"/>
  <c r="T502" i="7"/>
  <c r="S502" i="7"/>
  <c r="R502" i="7"/>
  <c r="Q502" i="7"/>
  <c r="P502" i="7"/>
  <c r="O502" i="7"/>
  <c r="N502" i="7"/>
  <c r="M502" i="7"/>
  <c r="L502" i="7"/>
  <c r="W501" i="7"/>
  <c r="V501" i="7"/>
  <c r="U501" i="7"/>
  <c r="T501" i="7"/>
  <c r="S501" i="7"/>
  <c r="R501" i="7"/>
  <c r="Q501" i="7"/>
  <c r="P501" i="7"/>
  <c r="O501" i="7"/>
  <c r="N501" i="7"/>
  <c r="M501" i="7"/>
  <c r="L501" i="7"/>
  <c r="W500" i="7"/>
  <c r="V500" i="7"/>
  <c r="U500" i="7"/>
  <c r="T500" i="7"/>
  <c r="S500" i="7"/>
  <c r="R500" i="7"/>
  <c r="Q500" i="7"/>
  <c r="P500" i="7"/>
  <c r="O500" i="7"/>
  <c r="N500" i="7"/>
  <c r="M500" i="7"/>
  <c r="L500" i="7"/>
  <c r="W499" i="7"/>
  <c r="V499" i="7"/>
  <c r="U499" i="7"/>
  <c r="T499" i="7"/>
  <c r="S499" i="7"/>
  <c r="R499" i="7"/>
  <c r="Q499" i="7"/>
  <c r="P499" i="7"/>
  <c r="O499" i="7"/>
  <c r="N499" i="7"/>
  <c r="M499" i="7"/>
  <c r="L499" i="7"/>
  <c r="W498" i="7"/>
  <c r="V498" i="7"/>
  <c r="U498" i="7"/>
  <c r="T498" i="7"/>
  <c r="S498" i="7"/>
  <c r="R498" i="7"/>
  <c r="Q498" i="7"/>
  <c r="P498" i="7"/>
  <c r="O498" i="7"/>
  <c r="N498" i="7"/>
  <c r="M498" i="7"/>
  <c r="L498" i="7"/>
  <c r="W497" i="7"/>
  <c r="V497" i="7"/>
  <c r="U497" i="7"/>
  <c r="T497" i="7"/>
  <c r="S497" i="7"/>
  <c r="R497" i="7"/>
  <c r="Q497" i="7"/>
  <c r="P497" i="7"/>
  <c r="O497" i="7"/>
  <c r="N497" i="7"/>
  <c r="M497" i="7"/>
  <c r="L497" i="7"/>
  <c r="W496" i="7"/>
  <c r="V496" i="7"/>
  <c r="U496" i="7"/>
  <c r="T496" i="7"/>
  <c r="S496" i="7"/>
  <c r="R496" i="7"/>
  <c r="Q496" i="7"/>
  <c r="P496" i="7"/>
  <c r="O496" i="7"/>
  <c r="N496" i="7"/>
  <c r="M496" i="7"/>
  <c r="L496" i="7"/>
  <c r="W495" i="7"/>
  <c r="V495" i="7"/>
  <c r="U495" i="7"/>
  <c r="T495" i="7"/>
  <c r="S495" i="7"/>
  <c r="R495" i="7"/>
  <c r="Q495" i="7"/>
  <c r="P495" i="7"/>
  <c r="O495" i="7"/>
  <c r="N495" i="7"/>
  <c r="M495" i="7"/>
  <c r="L495" i="7"/>
  <c r="W494" i="7"/>
  <c r="V494" i="7"/>
  <c r="U494" i="7"/>
  <c r="T494" i="7"/>
  <c r="S494" i="7"/>
  <c r="R494" i="7"/>
  <c r="Q494" i="7"/>
  <c r="P494" i="7"/>
  <c r="O494" i="7"/>
  <c r="N494" i="7"/>
  <c r="M494" i="7"/>
  <c r="L494" i="7"/>
  <c r="W493" i="7"/>
  <c r="V493" i="7"/>
  <c r="U493" i="7"/>
  <c r="T493" i="7"/>
  <c r="S493" i="7"/>
  <c r="R493" i="7"/>
  <c r="Q493" i="7"/>
  <c r="P493" i="7"/>
  <c r="O493" i="7"/>
  <c r="N493" i="7"/>
  <c r="M493" i="7"/>
  <c r="L493" i="7"/>
  <c r="W492" i="7"/>
  <c r="V492" i="7"/>
  <c r="U492" i="7"/>
  <c r="T492" i="7"/>
  <c r="S492" i="7"/>
  <c r="R492" i="7"/>
  <c r="Q492" i="7"/>
  <c r="P492" i="7"/>
  <c r="O492" i="7"/>
  <c r="N492" i="7"/>
  <c r="M492" i="7"/>
  <c r="L492" i="7"/>
  <c r="W491" i="7"/>
  <c r="V491" i="7"/>
  <c r="U491" i="7"/>
  <c r="T491" i="7"/>
  <c r="S491" i="7"/>
  <c r="R491" i="7"/>
  <c r="Q491" i="7"/>
  <c r="P491" i="7"/>
  <c r="O491" i="7"/>
  <c r="N491" i="7"/>
  <c r="M491" i="7"/>
  <c r="L491" i="7"/>
  <c r="W490" i="7"/>
  <c r="V490" i="7"/>
  <c r="U490" i="7"/>
  <c r="T490" i="7"/>
  <c r="S490" i="7"/>
  <c r="R490" i="7"/>
  <c r="Q490" i="7"/>
  <c r="P490" i="7"/>
  <c r="O490" i="7"/>
  <c r="N490" i="7"/>
  <c r="M490" i="7"/>
  <c r="L490" i="7"/>
  <c r="W489" i="7"/>
  <c r="V489" i="7"/>
  <c r="U489" i="7"/>
  <c r="T489" i="7"/>
  <c r="S489" i="7"/>
  <c r="R489" i="7"/>
  <c r="Q489" i="7"/>
  <c r="P489" i="7"/>
  <c r="O489" i="7"/>
  <c r="N489" i="7"/>
  <c r="M489" i="7"/>
  <c r="L489" i="7"/>
  <c r="W488" i="7"/>
  <c r="V488" i="7"/>
  <c r="U488" i="7"/>
  <c r="T488" i="7"/>
  <c r="S488" i="7"/>
  <c r="R488" i="7"/>
  <c r="Q488" i="7"/>
  <c r="P488" i="7"/>
  <c r="O488" i="7"/>
  <c r="N488" i="7"/>
  <c r="M488" i="7"/>
  <c r="L488" i="7"/>
  <c r="W487" i="7"/>
  <c r="V487" i="7"/>
  <c r="U487" i="7"/>
  <c r="T487" i="7"/>
  <c r="S487" i="7"/>
  <c r="R487" i="7"/>
  <c r="Q487" i="7"/>
  <c r="P487" i="7"/>
  <c r="O487" i="7"/>
  <c r="N487" i="7"/>
  <c r="M487" i="7"/>
  <c r="L487" i="7"/>
  <c r="W486" i="7"/>
  <c r="V486" i="7"/>
  <c r="U486" i="7"/>
  <c r="T486" i="7"/>
  <c r="S486" i="7"/>
  <c r="R486" i="7"/>
  <c r="Q486" i="7"/>
  <c r="P486" i="7"/>
  <c r="O486" i="7"/>
  <c r="N486" i="7"/>
  <c r="M486" i="7"/>
  <c r="L486" i="7"/>
  <c r="W485" i="7"/>
  <c r="V485" i="7"/>
  <c r="U485" i="7"/>
  <c r="T485" i="7"/>
  <c r="S485" i="7"/>
  <c r="R485" i="7"/>
  <c r="Q485" i="7"/>
  <c r="P485" i="7"/>
  <c r="O485" i="7"/>
  <c r="N485" i="7"/>
  <c r="M485" i="7"/>
  <c r="L485" i="7"/>
  <c r="W484" i="7"/>
  <c r="V484" i="7"/>
  <c r="U484" i="7"/>
  <c r="T484" i="7"/>
  <c r="S484" i="7"/>
  <c r="R484" i="7"/>
  <c r="Q484" i="7"/>
  <c r="P484" i="7"/>
  <c r="O484" i="7"/>
  <c r="N484" i="7"/>
  <c r="M484" i="7"/>
  <c r="L484" i="7"/>
  <c r="W483" i="7"/>
  <c r="V483" i="7"/>
  <c r="U483" i="7"/>
  <c r="T483" i="7"/>
  <c r="S483" i="7"/>
  <c r="R483" i="7"/>
  <c r="Q483" i="7"/>
  <c r="P483" i="7"/>
  <c r="O483" i="7"/>
  <c r="N483" i="7"/>
  <c r="M483" i="7"/>
  <c r="L483" i="7"/>
  <c r="W482" i="7"/>
  <c r="V482" i="7"/>
  <c r="U482" i="7"/>
  <c r="T482" i="7"/>
  <c r="S482" i="7"/>
  <c r="R482" i="7"/>
  <c r="Q482" i="7"/>
  <c r="P482" i="7"/>
  <c r="O482" i="7"/>
  <c r="N482" i="7"/>
  <c r="M482" i="7"/>
  <c r="L482" i="7"/>
  <c r="W481" i="7"/>
  <c r="V481" i="7"/>
  <c r="U481" i="7"/>
  <c r="T481" i="7"/>
  <c r="S481" i="7"/>
  <c r="R481" i="7"/>
  <c r="Q481" i="7"/>
  <c r="P481" i="7"/>
  <c r="O481" i="7"/>
  <c r="N481" i="7"/>
  <c r="M481" i="7"/>
  <c r="L481" i="7"/>
  <c r="W480" i="7"/>
  <c r="V480" i="7"/>
  <c r="U480" i="7"/>
  <c r="T480" i="7"/>
  <c r="S480" i="7"/>
  <c r="R480" i="7"/>
  <c r="Q480" i="7"/>
  <c r="P480" i="7"/>
  <c r="O480" i="7"/>
  <c r="N480" i="7"/>
  <c r="M480" i="7"/>
  <c r="L480" i="7"/>
  <c r="W479" i="7"/>
  <c r="V479" i="7"/>
  <c r="U479" i="7"/>
  <c r="T479" i="7"/>
  <c r="S479" i="7"/>
  <c r="R479" i="7"/>
  <c r="Q479" i="7"/>
  <c r="P479" i="7"/>
  <c r="O479" i="7"/>
  <c r="N479" i="7"/>
  <c r="M479" i="7"/>
  <c r="L479" i="7"/>
  <c r="W478" i="7"/>
  <c r="V478" i="7"/>
  <c r="U478" i="7"/>
  <c r="T478" i="7"/>
  <c r="S478" i="7"/>
  <c r="R478" i="7"/>
  <c r="Q478" i="7"/>
  <c r="P478" i="7"/>
  <c r="O478" i="7"/>
  <c r="N478" i="7"/>
  <c r="M478" i="7"/>
  <c r="L478" i="7"/>
  <c r="W477" i="7"/>
  <c r="V477" i="7"/>
  <c r="U477" i="7"/>
  <c r="T477" i="7"/>
  <c r="S477" i="7"/>
  <c r="R477" i="7"/>
  <c r="Q477" i="7"/>
  <c r="P477" i="7"/>
  <c r="O477" i="7"/>
  <c r="N477" i="7"/>
  <c r="M477" i="7"/>
  <c r="L477" i="7"/>
  <c r="W476" i="7"/>
  <c r="V476" i="7"/>
  <c r="U476" i="7"/>
  <c r="T476" i="7"/>
  <c r="S476" i="7"/>
  <c r="R476" i="7"/>
  <c r="Q476" i="7"/>
  <c r="P476" i="7"/>
  <c r="O476" i="7"/>
  <c r="N476" i="7"/>
  <c r="M476" i="7"/>
  <c r="L476" i="7"/>
  <c r="W475" i="7"/>
  <c r="V475" i="7"/>
  <c r="U475" i="7"/>
  <c r="T475" i="7"/>
  <c r="S475" i="7"/>
  <c r="R475" i="7"/>
  <c r="Q475" i="7"/>
  <c r="P475" i="7"/>
  <c r="O475" i="7"/>
  <c r="N475" i="7"/>
  <c r="M475" i="7"/>
  <c r="L475" i="7"/>
  <c r="W474" i="7"/>
  <c r="V474" i="7"/>
  <c r="U474" i="7"/>
  <c r="T474" i="7"/>
  <c r="S474" i="7"/>
  <c r="R474" i="7"/>
  <c r="Q474" i="7"/>
  <c r="P474" i="7"/>
  <c r="O474" i="7"/>
  <c r="N474" i="7"/>
  <c r="M474" i="7"/>
  <c r="L474" i="7"/>
  <c r="W473" i="7"/>
  <c r="V473" i="7"/>
  <c r="U473" i="7"/>
  <c r="T473" i="7"/>
  <c r="S473" i="7"/>
  <c r="R473" i="7"/>
  <c r="Q473" i="7"/>
  <c r="P473" i="7"/>
  <c r="O473" i="7"/>
  <c r="N473" i="7"/>
  <c r="M473" i="7"/>
  <c r="L473" i="7"/>
  <c r="W472" i="7"/>
  <c r="V472" i="7"/>
  <c r="U472" i="7"/>
  <c r="T472" i="7"/>
  <c r="S472" i="7"/>
  <c r="R472" i="7"/>
  <c r="Q472" i="7"/>
  <c r="P472" i="7"/>
  <c r="O472" i="7"/>
  <c r="N472" i="7"/>
  <c r="M472" i="7"/>
  <c r="L472" i="7"/>
  <c r="W471" i="7"/>
  <c r="V471" i="7"/>
  <c r="U471" i="7"/>
  <c r="T471" i="7"/>
  <c r="S471" i="7"/>
  <c r="R471" i="7"/>
  <c r="Q471" i="7"/>
  <c r="P471" i="7"/>
  <c r="O471" i="7"/>
  <c r="N471" i="7"/>
  <c r="M471" i="7"/>
  <c r="L471" i="7"/>
  <c r="W470" i="7"/>
  <c r="V470" i="7"/>
  <c r="U470" i="7"/>
  <c r="T470" i="7"/>
  <c r="S470" i="7"/>
  <c r="R470" i="7"/>
  <c r="Q470" i="7"/>
  <c r="P470" i="7"/>
  <c r="O470" i="7"/>
  <c r="N470" i="7"/>
  <c r="M470" i="7"/>
  <c r="L470" i="7"/>
  <c r="W469" i="7"/>
  <c r="V469" i="7"/>
  <c r="U469" i="7"/>
  <c r="T469" i="7"/>
  <c r="S469" i="7"/>
  <c r="R469" i="7"/>
  <c r="Q469" i="7"/>
  <c r="P469" i="7"/>
  <c r="O469" i="7"/>
  <c r="N469" i="7"/>
  <c r="M469" i="7"/>
  <c r="L469" i="7"/>
  <c r="W468" i="7"/>
  <c r="V468" i="7"/>
  <c r="U468" i="7"/>
  <c r="T468" i="7"/>
  <c r="S468" i="7"/>
  <c r="R468" i="7"/>
  <c r="Q468" i="7"/>
  <c r="P468" i="7"/>
  <c r="O468" i="7"/>
  <c r="N468" i="7"/>
  <c r="M468" i="7"/>
  <c r="L468" i="7"/>
  <c r="W467" i="7"/>
  <c r="V467" i="7"/>
  <c r="U467" i="7"/>
  <c r="T467" i="7"/>
  <c r="S467" i="7"/>
  <c r="R467" i="7"/>
  <c r="Q467" i="7"/>
  <c r="P467" i="7"/>
  <c r="O467" i="7"/>
  <c r="N467" i="7"/>
  <c r="M467" i="7"/>
  <c r="L467" i="7"/>
  <c r="W466" i="7"/>
  <c r="V466" i="7"/>
  <c r="U466" i="7"/>
  <c r="T466" i="7"/>
  <c r="S466" i="7"/>
  <c r="R466" i="7"/>
  <c r="Q466" i="7"/>
  <c r="P466" i="7"/>
  <c r="O466" i="7"/>
  <c r="N466" i="7"/>
  <c r="M466" i="7"/>
  <c r="L466" i="7"/>
  <c r="W465" i="7"/>
  <c r="V465" i="7"/>
  <c r="U465" i="7"/>
  <c r="T465" i="7"/>
  <c r="S465" i="7"/>
  <c r="R465" i="7"/>
  <c r="Q465" i="7"/>
  <c r="P465" i="7"/>
  <c r="O465" i="7"/>
  <c r="N465" i="7"/>
  <c r="M465" i="7"/>
  <c r="L465" i="7"/>
  <c r="W464" i="7"/>
  <c r="V464" i="7"/>
  <c r="U464" i="7"/>
  <c r="T464" i="7"/>
  <c r="S464" i="7"/>
  <c r="R464" i="7"/>
  <c r="Q464" i="7"/>
  <c r="P464" i="7"/>
  <c r="O464" i="7"/>
  <c r="N464" i="7"/>
  <c r="M464" i="7"/>
  <c r="L464" i="7"/>
  <c r="W463" i="7"/>
  <c r="V463" i="7"/>
  <c r="U463" i="7"/>
  <c r="T463" i="7"/>
  <c r="S463" i="7"/>
  <c r="R463" i="7"/>
  <c r="Q463" i="7"/>
  <c r="P463" i="7"/>
  <c r="O463" i="7"/>
  <c r="N463" i="7"/>
  <c r="M463" i="7"/>
  <c r="L463" i="7"/>
  <c r="W462" i="7"/>
  <c r="V462" i="7"/>
  <c r="U462" i="7"/>
  <c r="T462" i="7"/>
  <c r="S462" i="7"/>
  <c r="R462" i="7"/>
  <c r="Q462" i="7"/>
  <c r="P462" i="7"/>
  <c r="O462" i="7"/>
  <c r="N462" i="7"/>
  <c r="M462" i="7"/>
  <c r="L462" i="7"/>
  <c r="W461" i="7"/>
  <c r="V461" i="7"/>
  <c r="U461" i="7"/>
  <c r="T461" i="7"/>
  <c r="S461" i="7"/>
  <c r="R461" i="7"/>
  <c r="Q461" i="7"/>
  <c r="P461" i="7"/>
  <c r="O461" i="7"/>
  <c r="N461" i="7"/>
  <c r="M461" i="7"/>
  <c r="L461" i="7"/>
  <c r="W460" i="7"/>
  <c r="V460" i="7"/>
  <c r="U460" i="7"/>
  <c r="T460" i="7"/>
  <c r="S460" i="7"/>
  <c r="R460" i="7"/>
  <c r="Q460" i="7"/>
  <c r="P460" i="7"/>
  <c r="O460" i="7"/>
  <c r="N460" i="7"/>
  <c r="M460" i="7"/>
  <c r="L460" i="7"/>
  <c r="W459" i="7"/>
  <c r="V459" i="7"/>
  <c r="U459" i="7"/>
  <c r="T459" i="7"/>
  <c r="S459" i="7"/>
  <c r="R459" i="7"/>
  <c r="Q459" i="7"/>
  <c r="P459" i="7"/>
  <c r="O459" i="7"/>
  <c r="N459" i="7"/>
  <c r="M459" i="7"/>
  <c r="L459" i="7"/>
  <c r="W458" i="7"/>
  <c r="V458" i="7"/>
  <c r="U458" i="7"/>
  <c r="T458" i="7"/>
  <c r="S458" i="7"/>
  <c r="R458" i="7"/>
  <c r="Q458" i="7"/>
  <c r="P458" i="7"/>
  <c r="O458" i="7"/>
  <c r="N458" i="7"/>
  <c r="M458" i="7"/>
  <c r="L458" i="7"/>
  <c r="W457" i="7"/>
  <c r="V457" i="7"/>
  <c r="U457" i="7"/>
  <c r="T457" i="7"/>
  <c r="S457" i="7"/>
  <c r="R457" i="7"/>
  <c r="Q457" i="7"/>
  <c r="P457" i="7"/>
  <c r="O457" i="7"/>
  <c r="N457" i="7"/>
  <c r="M457" i="7"/>
  <c r="L457" i="7"/>
  <c r="W456" i="7"/>
  <c r="V456" i="7"/>
  <c r="U456" i="7"/>
  <c r="T456" i="7"/>
  <c r="S456" i="7"/>
  <c r="R456" i="7"/>
  <c r="Q456" i="7"/>
  <c r="P456" i="7"/>
  <c r="O456" i="7"/>
  <c r="N456" i="7"/>
  <c r="M456" i="7"/>
  <c r="L456" i="7"/>
  <c r="W455" i="7"/>
  <c r="V455" i="7"/>
  <c r="U455" i="7"/>
  <c r="T455" i="7"/>
  <c r="S455" i="7"/>
  <c r="R455" i="7"/>
  <c r="Q455" i="7"/>
  <c r="P455" i="7"/>
  <c r="O455" i="7"/>
  <c r="N455" i="7"/>
  <c r="M455" i="7"/>
  <c r="L455" i="7"/>
  <c r="W454" i="7"/>
  <c r="V454" i="7"/>
  <c r="U454" i="7"/>
  <c r="T454" i="7"/>
  <c r="S454" i="7"/>
  <c r="R454" i="7"/>
  <c r="Q454" i="7"/>
  <c r="P454" i="7"/>
  <c r="O454" i="7"/>
  <c r="N454" i="7"/>
  <c r="M454" i="7"/>
  <c r="L454" i="7"/>
  <c r="W453" i="7"/>
  <c r="V453" i="7"/>
  <c r="U453" i="7"/>
  <c r="T453" i="7"/>
  <c r="S453" i="7"/>
  <c r="R453" i="7"/>
  <c r="Q453" i="7"/>
  <c r="P453" i="7"/>
  <c r="O453" i="7"/>
  <c r="N453" i="7"/>
  <c r="M453" i="7"/>
  <c r="L453" i="7"/>
  <c r="W452" i="7"/>
  <c r="V452" i="7"/>
  <c r="U452" i="7"/>
  <c r="T452" i="7"/>
  <c r="S452" i="7"/>
  <c r="R452" i="7"/>
  <c r="Q452" i="7"/>
  <c r="P452" i="7"/>
  <c r="O452" i="7"/>
  <c r="N452" i="7"/>
  <c r="M452" i="7"/>
  <c r="L452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W450" i="7"/>
  <c r="V450" i="7"/>
  <c r="U450" i="7"/>
  <c r="T450" i="7"/>
  <c r="S450" i="7"/>
  <c r="R450" i="7"/>
  <c r="Q450" i="7"/>
  <c r="P450" i="7"/>
  <c r="O450" i="7"/>
  <c r="N450" i="7"/>
  <c r="M450" i="7"/>
  <c r="L450" i="7"/>
  <c r="W449" i="7"/>
  <c r="V449" i="7"/>
  <c r="U449" i="7"/>
  <c r="T449" i="7"/>
  <c r="S449" i="7"/>
  <c r="R449" i="7"/>
  <c r="Q449" i="7"/>
  <c r="P449" i="7"/>
  <c r="O449" i="7"/>
  <c r="N449" i="7"/>
  <c r="M449" i="7"/>
  <c r="L449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W447" i="7"/>
  <c r="V447" i="7"/>
  <c r="U447" i="7"/>
  <c r="T447" i="7"/>
  <c r="S447" i="7"/>
  <c r="R447" i="7"/>
  <c r="Q447" i="7"/>
  <c r="P447" i="7"/>
  <c r="O447" i="7"/>
  <c r="N447" i="7"/>
  <c r="M447" i="7"/>
  <c r="L447" i="7"/>
  <c r="W446" i="7"/>
  <c r="V446" i="7"/>
  <c r="U446" i="7"/>
  <c r="T446" i="7"/>
  <c r="S446" i="7"/>
  <c r="R446" i="7"/>
  <c r="Q446" i="7"/>
  <c r="P446" i="7"/>
  <c r="O446" i="7"/>
  <c r="N446" i="7"/>
  <c r="M446" i="7"/>
  <c r="L446" i="7"/>
  <c r="W445" i="7"/>
  <c r="V445" i="7"/>
  <c r="U445" i="7"/>
  <c r="T445" i="7"/>
  <c r="S445" i="7"/>
  <c r="R445" i="7"/>
  <c r="Q445" i="7"/>
  <c r="P445" i="7"/>
  <c r="O445" i="7"/>
  <c r="N445" i="7"/>
  <c r="M445" i="7"/>
  <c r="L445" i="7"/>
  <c r="W444" i="7"/>
  <c r="V444" i="7"/>
  <c r="U444" i="7"/>
  <c r="T444" i="7"/>
  <c r="S444" i="7"/>
  <c r="R444" i="7"/>
  <c r="Q444" i="7"/>
  <c r="P444" i="7"/>
  <c r="O444" i="7"/>
  <c r="N444" i="7"/>
  <c r="M444" i="7"/>
  <c r="L444" i="7"/>
  <c r="W443" i="7"/>
  <c r="V443" i="7"/>
  <c r="U443" i="7"/>
  <c r="T443" i="7"/>
  <c r="S443" i="7"/>
  <c r="R443" i="7"/>
  <c r="Q443" i="7"/>
  <c r="P443" i="7"/>
  <c r="O443" i="7"/>
  <c r="N443" i="7"/>
  <c r="M443" i="7"/>
  <c r="L443" i="7"/>
  <c r="W442" i="7"/>
  <c r="V442" i="7"/>
  <c r="U442" i="7"/>
  <c r="T442" i="7"/>
  <c r="S442" i="7"/>
  <c r="R442" i="7"/>
  <c r="Q442" i="7"/>
  <c r="P442" i="7"/>
  <c r="O442" i="7"/>
  <c r="N442" i="7"/>
  <c r="M442" i="7"/>
  <c r="L442" i="7"/>
  <c r="W441" i="7"/>
  <c r="V441" i="7"/>
  <c r="U441" i="7"/>
  <c r="T441" i="7"/>
  <c r="S441" i="7"/>
  <c r="R441" i="7"/>
  <c r="Q441" i="7"/>
  <c r="P441" i="7"/>
  <c r="O441" i="7"/>
  <c r="N441" i="7"/>
  <c r="M441" i="7"/>
  <c r="L441" i="7"/>
  <c r="W440" i="7"/>
  <c r="V440" i="7"/>
  <c r="U440" i="7"/>
  <c r="T440" i="7"/>
  <c r="S440" i="7"/>
  <c r="R440" i="7"/>
  <c r="Q440" i="7"/>
  <c r="P440" i="7"/>
  <c r="O440" i="7"/>
  <c r="N440" i="7"/>
  <c r="M440" i="7"/>
  <c r="L440" i="7"/>
  <c r="W439" i="7"/>
  <c r="V439" i="7"/>
  <c r="U439" i="7"/>
  <c r="T439" i="7"/>
  <c r="S439" i="7"/>
  <c r="R439" i="7"/>
  <c r="Q439" i="7"/>
  <c r="P439" i="7"/>
  <c r="O439" i="7"/>
  <c r="N439" i="7"/>
  <c r="M439" i="7"/>
  <c r="L439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W437" i="7"/>
  <c r="V437" i="7"/>
  <c r="U437" i="7"/>
  <c r="T437" i="7"/>
  <c r="S437" i="7"/>
  <c r="R437" i="7"/>
  <c r="Q437" i="7"/>
  <c r="P437" i="7"/>
  <c r="O437" i="7"/>
  <c r="N437" i="7"/>
  <c r="M437" i="7"/>
  <c r="L437" i="7"/>
  <c r="W436" i="7"/>
  <c r="V436" i="7"/>
  <c r="U436" i="7"/>
  <c r="T436" i="7"/>
  <c r="S436" i="7"/>
  <c r="R436" i="7"/>
  <c r="Q436" i="7"/>
  <c r="P436" i="7"/>
  <c r="O436" i="7"/>
  <c r="N436" i="7"/>
  <c r="M436" i="7"/>
  <c r="L436" i="7"/>
  <c r="W435" i="7"/>
  <c r="V435" i="7"/>
  <c r="U435" i="7"/>
  <c r="T435" i="7"/>
  <c r="S435" i="7"/>
  <c r="R435" i="7"/>
  <c r="Q435" i="7"/>
  <c r="P435" i="7"/>
  <c r="O435" i="7"/>
  <c r="N435" i="7"/>
  <c r="M435" i="7"/>
  <c r="L435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W433" i="7"/>
  <c r="V433" i="7"/>
  <c r="U433" i="7"/>
  <c r="T433" i="7"/>
  <c r="S433" i="7"/>
  <c r="R433" i="7"/>
  <c r="Q433" i="7"/>
  <c r="P433" i="7"/>
  <c r="O433" i="7"/>
  <c r="N433" i="7"/>
  <c r="M433" i="7"/>
  <c r="L433" i="7"/>
  <c r="W432" i="7"/>
  <c r="V432" i="7"/>
  <c r="U432" i="7"/>
  <c r="T432" i="7"/>
  <c r="S432" i="7"/>
  <c r="R432" i="7"/>
  <c r="Q432" i="7"/>
  <c r="P432" i="7"/>
  <c r="O432" i="7"/>
  <c r="N432" i="7"/>
  <c r="M432" i="7"/>
  <c r="L432" i="7"/>
  <c r="W431" i="7"/>
  <c r="V431" i="7"/>
  <c r="U431" i="7"/>
  <c r="T431" i="7"/>
  <c r="S431" i="7"/>
  <c r="R431" i="7"/>
  <c r="Q431" i="7"/>
  <c r="P431" i="7"/>
  <c r="O431" i="7"/>
  <c r="N431" i="7"/>
  <c r="M431" i="7"/>
  <c r="L431" i="7"/>
  <c r="W430" i="7"/>
  <c r="V430" i="7"/>
  <c r="U430" i="7"/>
  <c r="T430" i="7"/>
  <c r="S430" i="7"/>
  <c r="R430" i="7"/>
  <c r="Q430" i="7"/>
  <c r="P430" i="7"/>
  <c r="O430" i="7"/>
  <c r="N430" i="7"/>
  <c r="M430" i="7"/>
  <c r="L430" i="7"/>
  <c r="W429" i="7"/>
  <c r="V429" i="7"/>
  <c r="U429" i="7"/>
  <c r="T429" i="7"/>
  <c r="S429" i="7"/>
  <c r="R429" i="7"/>
  <c r="Q429" i="7"/>
  <c r="P429" i="7"/>
  <c r="O429" i="7"/>
  <c r="N429" i="7"/>
  <c r="M429" i="7"/>
  <c r="L429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W427" i="7"/>
  <c r="V427" i="7"/>
  <c r="U427" i="7"/>
  <c r="T427" i="7"/>
  <c r="S427" i="7"/>
  <c r="R427" i="7"/>
  <c r="Q427" i="7"/>
  <c r="P427" i="7"/>
  <c r="O427" i="7"/>
  <c r="N427" i="7"/>
  <c r="M427" i="7"/>
  <c r="L427" i="7"/>
  <c r="W426" i="7"/>
  <c r="V426" i="7"/>
  <c r="U426" i="7"/>
  <c r="T426" i="7"/>
  <c r="S426" i="7"/>
  <c r="R426" i="7"/>
  <c r="Q426" i="7"/>
  <c r="P426" i="7"/>
  <c r="O426" i="7"/>
  <c r="N426" i="7"/>
  <c r="M426" i="7"/>
  <c r="L426" i="7"/>
  <c r="W425" i="7"/>
  <c r="V425" i="7"/>
  <c r="U425" i="7"/>
  <c r="T425" i="7"/>
  <c r="S425" i="7"/>
  <c r="R425" i="7"/>
  <c r="Q425" i="7"/>
  <c r="P425" i="7"/>
  <c r="O425" i="7"/>
  <c r="N425" i="7"/>
  <c r="M425" i="7"/>
  <c r="L425" i="7"/>
  <c r="W424" i="7"/>
  <c r="V424" i="7"/>
  <c r="U424" i="7"/>
  <c r="T424" i="7"/>
  <c r="S424" i="7"/>
  <c r="R424" i="7"/>
  <c r="Q424" i="7"/>
  <c r="P424" i="7"/>
  <c r="O424" i="7"/>
  <c r="N424" i="7"/>
  <c r="M424" i="7"/>
  <c r="L424" i="7"/>
  <c r="W423" i="7"/>
  <c r="V423" i="7"/>
  <c r="U423" i="7"/>
  <c r="T423" i="7"/>
  <c r="S423" i="7"/>
  <c r="R423" i="7"/>
  <c r="Q423" i="7"/>
  <c r="P423" i="7"/>
  <c r="O423" i="7"/>
  <c r="N423" i="7"/>
  <c r="M423" i="7"/>
  <c r="L423" i="7"/>
  <c r="W422" i="7"/>
  <c r="V422" i="7"/>
  <c r="U422" i="7"/>
  <c r="T422" i="7"/>
  <c r="S422" i="7"/>
  <c r="R422" i="7"/>
  <c r="Q422" i="7"/>
  <c r="P422" i="7"/>
  <c r="O422" i="7"/>
  <c r="N422" i="7"/>
  <c r="M422" i="7"/>
  <c r="L422" i="7"/>
  <c r="W421" i="7"/>
  <c r="V421" i="7"/>
  <c r="U421" i="7"/>
  <c r="T421" i="7"/>
  <c r="S421" i="7"/>
  <c r="R421" i="7"/>
  <c r="Q421" i="7"/>
  <c r="P421" i="7"/>
  <c r="O421" i="7"/>
  <c r="N421" i="7"/>
  <c r="M421" i="7"/>
  <c r="L421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W418" i="7"/>
  <c r="V418" i="7"/>
  <c r="U418" i="7"/>
  <c r="T418" i="7"/>
  <c r="S418" i="7"/>
  <c r="R418" i="7"/>
  <c r="Q418" i="7"/>
  <c r="P418" i="7"/>
  <c r="O418" i="7"/>
  <c r="N418" i="7"/>
  <c r="M418" i="7"/>
  <c r="L418" i="7"/>
  <c r="W417" i="7"/>
  <c r="V417" i="7"/>
  <c r="U417" i="7"/>
  <c r="T417" i="7"/>
  <c r="S417" i="7"/>
  <c r="R417" i="7"/>
  <c r="Q417" i="7"/>
  <c r="P417" i="7"/>
  <c r="O417" i="7"/>
  <c r="N417" i="7"/>
  <c r="M417" i="7"/>
  <c r="L417" i="7"/>
  <c r="W416" i="7"/>
  <c r="V416" i="7"/>
  <c r="U416" i="7"/>
  <c r="T416" i="7"/>
  <c r="S416" i="7"/>
  <c r="R416" i="7"/>
  <c r="Q416" i="7"/>
  <c r="P416" i="7"/>
  <c r="O416" i="7"/>
  <c r="N416" i="7"/>
  <c r="M416" i="7"/>
  <c r="L416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W413" i="7"/>
  <c r="V413" i="7"/>
  <c r="U413" i="7"/>
  <c r="T413" i="7"/>
  <c r="S413" i="7"/>
  <c r="R413" i="7"/>
  <c r="Q413" i="7"/>
  <c r="P413" i="7"/>
  <c r="O413" i="7"/>
  <c r="N413" i="7"/>
  <c r="M413" i="7"/>
  <c r="L413" i="7"/>
  <c r="W412" i="7"/>
  <c r="V412" i="7"/>
  <c r="U412" i="7"/>
  <c r="T412" i="7"/>
  <c r="S412" i="7"/>
  <c r="R412" i="7"/>
  <c r="Q412" i="7"/>
  <c r="P412" i="7"/>
  <c r="O412" i="7"/>
  <c r="N412" i="7"/>
  <c r="M412" i="7"/>
  <c r="L412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W410" i="7"/>
  <c r="V410" i="7"/>
  <c r="U410" i="7"/>
  <c r="T410" i="7"/>
  <c r="S410" i="7"/>
  <c r="R410" i="7"/>
  <c r="Q410" i="7"/>
  <c r="P410" i="7"/>
  <c r="O410" i="7"/>
  <c r="N410" i="7"/>
  <c r="M410" i="7"/>
  <c r="L410" i="7"/>
  <c r="W409" i="7"/>
  <c r="V409" i="7"/>
  <c r="U409" i="7"/>
  <c r="T409" i="7"/>
  <c r="S409" i="7"/>
  <c r="R409" i="7"/>
  <c r="Q409" i="7"/>
  <c r="P409" i="7"/>
  <c r="O409" i="7"/>
  <c r="N409" i="7"/>
  <c r="M409" i="7"/>
  <c r="L409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W407" i="7"/>
  <c r="V407" i="7"/>
  <c r="U407" i="7"/>
  <c r="T407" i="7"/>
  <c r="S407" i="7"/>
  <c r="R407" i="7"/>
  <c r="Q407" i="7"/>
  <c r="P407" i="7"/>
  <c r="O407" i="7"/>
  <c r="N407" i="7"/>
  <c r="M407" i="7"/>
  <c r="L407" i="7"/>
  <c r="W406" i="7"/>
  <c r="V406" i="7"/>
  <c r="U406" i="7"/>
  <c r="T406" i="7"/>
  <c r="S406" i="7"/>
  <c r="R406" i="7"/>
  <c r="Q406" i="7"/>
  <c r="P406" i="7"/>
  <c r="O406" i="7"/>
  <c r="N406" i="7"/>
  <c r="M406" i="7"/>
  <c r="L406" i="7"/>
  <c r="W405" i="7"/>
  <c r="V405" i="7"/>
  <c r="U405" i="7"/>
  <c r="T405" i="7"/>
  <c r="S405" i="7"/>
  <c r="R405" i="7"/>
  <c r="Q405" i="7"/>
  <c r="P405" i="7"/>
  <c r="O405" i="7"/>
  <c r="N405" i="7"/>
  <c r="M405" i="7"/>
  <c r="L405" i="7"/>
  <c r="W404" i="7"/>
  <c r="V404" i="7"/>
  <c r="U404" i="7"/>
  <c r="T404" i="7"/>
  <c r="S404" i="7"/>
  <c r="R404" i="7"/>
  <c r="Q404" i="7"/>
  <c r="P404" i="7"/>
  <c r="O404" i="7"/>
  <c r="N404" i="7"/>
  <c r="M404" i="7"/>
  <c r="L404" i="7"/>
  <c r="W403" i="7"/>
  <c r="V403" i="7"/>
  <c r="U403" i="7"/>
  <c r="T403" i="7"/>
  <c r="S403" i="7"/>
  <c r="R403" i="7"/>
  <c r="Q403" i="7"/>
  <c r="P403" i="7"/>
  <c r="O403" i="7"/>
  <c r="N403" i="7"/>
  <c r="M403" i="7"/>
  <c r="L403" i="7"/>
  <c r="W402" i="7"/>
  <c r="V402" i="7"/>
  <c r="U402" i="7"/>
  <c r="T402" i="7"/>
  <c r="S402" i="7"/>
  <c r="R402" i="7"/>
  <c r="Q402" i="7"/>
  <c r="P402" i="7"/>
  <c r="O402" i="7"/>
  <c r="N402" i="7"/>
  <c r="M402" i="7"/>
  <c r="L402" i="7"/>
  <c r="W401" i="7"/>
  <c r="V401" i="7"/>
  <c r="U401" i="7"/>
  <c r="T401" i="7"/>
  <c r="S401" i="7"/>
  <c r="R401" i="7"/>
  <c r="Q401" i="7"/>
  <c r="P401" i="7"/>
  <c r="O401" i="7"/>
  <c r="N401" i="7"/>
  <c r="M401" i="7"/>
  <c r="L401" i="7"/>
  <c r="W400" i="7"/>
  <c r="V400" i="7"/>
  <c r="U400" i="7"/>
  <c r="T400" i="7"/>
  <c r="S400" i="7"/>
  <c r="R400" i="7"/>
  <c r="Q400" i="7"/>
  <c r="P400" i="7"/>
  <c r="O400" i="7"/>
  <c r="N400" i="7"/>
  <c r="M400" i="7"/>
  <c r="L400" i="7"/>
  <c r="W399" i="7"/>
  <c r="V399" i="7"/>
  <c r="U399" i="7"/>
  <c r="T399" i="7"/>
  <c r="S399" i="7"/>
  <c r="R399" i="7"/>
  <c r="Q399" i="7"/>
  <c r="P399" i="7"/>
  <c r="O399" i="7"/>
  <c r="N399" i="7"/>
  <c r="M399" i="7"/>
  <c r="L399" i="7"/>
  <c r="W398" i="7"/>
  <c r="V398" i="7"/>
  <c r="U398" i="7"/>
  <c r="T398" i="7"/>
  <c r="S398" i="7"/>
  <c r="R398" i="7"/>
  <c r="Q398" i="7"/>
  <c r="P398" i="7"/>
  <c r="O398" i="7"/>
  <c r="N398" i="7"/>
  <c r="M398" i="7"/>
  <c r="L398" i="7"/>
  <c r="W397" i="7"/>
  <c r="V397" i="7"/>
  <c r="U397" i="7"/>
  <c r="T397" i="7"/>
  <c r="S397" i="7"/>
  <c r="R397" i="7"/>
  <c r="Q397" i="7"/>
  <c r="P397" i="7"/>
  <c r="O397" i="7"/>
  <c r="N397" i="7"/>
  <c r="M397" i="7"/>
  <c r="L397" i="7"/>
  <c r="W396" i="7"/>
  <c r="V396" i="7"/>
  <c r="U396" i="7"/>
  <c r="T396" i="7"/>
  <c r="S396" i="7"/>
  <c r="R396" i="7"/>
  <c r="Q396" i="7"/>
  <c r="P396" i="7"/>
  <c r="O396" i="7"/>
  <c r="N396" i="7"/>
  <c r="M396" i="7"/>
  <c r="L396" i="7"/>
  <c r="W395" i="7"/>
  <c r="V395" i="7"/>
  <c r="U395" i="7"/>
  <c r="T395" i="7"/>
  <c r="S395" i="7"/>
  <c r="R395" i="7"/>
  <c r="Q395" i="7"/>
  <c r="P395" i="7"/>
  <c r="O395" i="7"/>
  <c r="N395" i="7"/>
  <c r="M395" i="7"/>
  <c r="L395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W393" i="7"/>
  <c r="V393" i="7"/>
  <c r="U393" i="7"/>
  <c r="T393" i="7"/>
  <c r="S393" i="7"/>
  <c r="R393" i="7"/>
  <c r="Q393" i="7"/>
  <c r="P393" i="7"/>
  <c r="O393" i="7"/>
  <c r="N393" i="7"/>
  <c r="M393" i="7"/>
  <c r="L393" i="7"/>
  <c r="W392" i="7"/>
  <c r="V392" i="7"/>
  <c r="U392" i="7"/>
  <c r="T392" i="7"/>
  <c r="S392" i="7"/>
  <c r="R392" i="7"/>
  <c r="Q392" i="7"/>
  <c r="P392" i="7"/>
  <c r="O392" i="7"/>
  <c r="N392" i="7"/>
  <c r="M392" i="7"/>
  <c r="L392" i="7"/>
  <c r="W391" i="7"/>
  <c r="V391" i="7"/>
  <c r="U391" i="7"/>
  <c r="T391" i="7"/>
  <c r="S391" i="7"/>
  <c r="R391" i="7"/>
  <c r="Q391" i="7"/>
  <c r="P391" i="7"/>
  <c r="O391" i="7"/>
  <c r="N391" i="7"/>
  <c r="M391" i="7"/>
  <c r="L391" i="7"/>
  <c r="W390" i="7"/>
  <c r="V390" i="7"/>
  <c r="U390" i="7"/>
  <c r="T390" i="7"/>
  <c r="S390" i="7"/>
  <c r="R390" i="7"/>
  <c r="Q390" i="7"/>
  <c r="P390" i="7"/>
  <c r="O390" i="7"/>
  <c r="N390" i="7"/>
  <c r="M390" i="7"/>
  <c r="L390" i="7"/>
  <c r="W389" i="7"/>
  <c r="V389" i="7"/>
  <c r="U389" i="7"/>
  <c r="T389" i="7"/>
  <c r="S389" i="7"/>
  <c r="R389" i="7"/>
  <c r="Q389" i="7"/>
  <c r="P389" i="7"/>
  <c r="O389" i="7"/>
  <c r="N389" i="7"/>
  <c r="M389" i="7"/>
  <c r="L389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W387" i="7"/>
  <c r="V387" i="7"/>
  <c r="U387" i="7"/>
  <c r="T387" i="7"/>
  <c r="S387" i="7"/>
  <c r="R387" i="7"/>
  <c r="Q387" i="7"/>
  <c r="P387" i="7"/>
  <c r="O387" i="7"/>
  <c r="N387" i="7"/>
  <c r="M387" i="7"/>
  <c r="L387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W385" i="7"/>
  <c r="V385" i="7"/>
  <c r="U385" i="7"/>
  <c r="T385" i="7"/>
  <c r="S385" i="7"/>
  <c r="R385" i="7"/>
  <c r="Q385" i="7"/>
  <c r="P385" i="7"/>
  <c r="O385" i="7"/>
  <c r="N385" i="7"/>
  <c r="M385" i="7"/>
  <c r="L385" i="7"/>
  <c r="W384" i="7"/>
  <c r="V384" i="7"/>
  <c r="U384" i="7"/>
  <c r="T384" i="7"/>
  <c r="S384" i="7"/>
  <c r="R384" i="7"/>
  <c r="Q384" i="7"/>
  <c r="P384" i="7"/>
  <c r="O384" i="7"/>
  <c r="N384" i="7"/>
  <c r="M384" i="7"/>
  <c r="L384" i="7"/>
  <c r="W383" i="7"/>
  <c r="V383" i="7"/>
  <c r="U383" i="7"/>
  <c r="T383" i="7"/>
  <c r="S383" i="7"/>
  <c r="R383" i="7"/>
  <c r="Q383" i="7"/>
  <c r="P383" i="7"/>
  <c r="O383" i="7"/>
  <c r="N383" i="7"/>
  <c r="M383" i="7"/>
  <c r="L383" i="7"/>
  <c r="W382" i="7"/>
  <c r="V382" i="7"/>
  <c r="U382" i="7"/>
  <c r="T382" i="7"/>
  <c r="S382" i="7"/>
  <c r="R382" i="7"/>
  <c r="Q382" i="7"/>
  <c r="P382" i="7"/>
  <c r="O382" i="7"/>
  <c r="N382" i="7"/>
  <c r="M382" i="7"/>
  <c r="L382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W380" i="7"/>
  <c r="V380" i="7"/>
  <c r="U380" i="7"/>
  <c r="T380" i="7"/>
  <c r="S380" i="7"/>
  <c r="R380" i="7"/>
  <c r="Q380" i="7"/>
  <c r="P380" i="7"/>
  <c r="O380" i="7"/>
  <c r="N380" i="7"/>
  <c r="M380" i="7"/>
  <c r="L380" i="7"/>
  <c r="W379" i="7"/>
  <c r="V379" i="7"/>
  <c r="U379" i="7"/>
  <c r="T379" i="7"/>
  <c r="S379" i="7"/>
  <c r="R379" i="7"/>
  <c r="Q379" i="7"/>
  <c r="P379" i="7"/>
  <c r="O379" i="7"/>
  <c r="N379" i="7"/>
  <c r="M379" i="7"/>
  <c r="L379" i="7"/>
  <c r="W378" i="7"/>
  <c r="V378" i="7"/>
  <c r="U378" i="7"/>
  <c r="T378" i="7"/>
  <c r="S378" i="7"/>
  <c r="R378" i="7"/>
  <c r="Q378" i="7"/>
  <c r="P378" i="7"/>
  <c r="O378" i="7"/>
  <c r="N378" i="7"/>
  <c r="M378" i="7"/>
  <c r="L378" i="7"/>
  <c r="W377" i="7"/>
  <c r="V377" i="7"/>
  <c r="U377" i="7"/>
  <c r="T377" i="7"/>
  <c r="S377" i="7"/>
  <c r="R377" i="7"/>
  <c r="Q377" i="7"/>
  <c r="P377" i="7"/>
  <c r="O377" i="7"/>
  <c r="N377" i="7"/>
  <c r="M377" i="7"/>
  <c r="L377" i="7"/>
  <c r="W376" i="7"/>
  <c r="V376" i="7"/>
  <c r="U376" i="7"/>
  <c r="T376" i="7"/>
  <c r="S376" i="7"/>
  <c r="R376" i="7"/>
  <c r="Q376" i="7"/>
  <c r="P376" i="7"/>
  <c r="O376" i="7"/>
  <c r="N376" i="7"/>
  <c r="M376" i="7"/>
  <c r="L376" i="7"/>
  <c r="W375" i="7"/>
  <c r="V375" i="7"/>
  <c r="U375" i="7"/>
  <c r="T375" i="7"/>
  <c r="S375" i="7"/>
  <c r="R375" i="7"/>
  <c r="Q375" i="7"/>
  <c r="P375" i="7"/>
  <c r="O375" i="7"/>
  <c r="N375" i="7"/>
  <c r="M375" i="7"/>
  <c r="L375" i="7"/>
  <c r="W374" i="7"/>
  <c r="V374" i="7"/>
  <c r="U374" i="7"/>
  <c r="T374" i="7"/>
  <c r="S374" i="7"/>
  <c r="R374" i="7"/>
  <c r="Q374" i="7"/>
  <c r="P374" i="7"/>
  <c r="O374" i="7"/>
  <c r="N374" i="7"/>
  <c r="M374" i="7"/>
  <c r="L374" i="7"/>
  <c r="W373" i="7"/>
  <c r="V373" i="7"/>
  <c r="U373" i="7"/>
  <c r="T373" i="7"/>
  <c r="S373" i="7"/>
  <c r="R373" i="7"/>
  <c r="Q373" i="7"/>
  <c r="P373" i="7"/>
  <c r="O373" i="7"/>
  <c r="N373" i="7"/>
  <c r="M373" i="7"/>
  <c r="L373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W371" i="7"/>
  <c r="V371" i="7"/>
  <c r="U371" i="7"/>
  <c r="T371" i="7"/>
  <c r="S371" i="7"/>
  <c r="R371" i="7"/>
  <c r="Q371" i="7"/>
  <c r="P371" i="7"/>
  <c r="O371" i="7"/>
  <c r="N371" i="7"/>
  <c r="M371" i="7"/>
  <c r="L371" i="7"/>
  <c r="W370" i="7"/>
  <c r="V370" i="7"/>
  <c r="U370" i="7"/>
  <c r="T370" i="7"/>
  <c r="S370" i="7"/>
  <c r="R370" i="7"/>
  <c r="Q370" i="7"/>
  <c r="P370" i="7"/>
  <c r="O370" i="7"/>
  <c r="N370" i="7"/>
  <c r="M370" i="7"/>
  <c r="L370" i="7"/>
  <c r="W369" i="7"/>
  <c r="V369" i="7"/>
  <c r="U369" i="7"/>
  <c r="T369" i="7"/>
  <c r="S369" i="7"/>
  <c r="R369" i="7"/>
  <c r="Q369" i="7"/>
  <c r="P369" i="7"/>
  <c r="O369" i="7"/>
  <c r="N369" i="7"/>
  <c r="M369" i="7"/>
  <c r="L369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W367" i="7"/>
  <c r="V367" i="7"/>
  <c r="U367" i="7"/>
  <c r="T367" i="7"/>
  <c r="S367" i="7"/>
  <c r="R367" i="7"/>
  <c r="Q367" i="7"/>
  <c r="P367" i="7"/>
  <c r="O367" i="7"/>
  <c r="N367" i="7"/>
  <c r="M367" i="7"/>
  <c r="L367" i="7"/>
  <c r="W366" i="7"/>
  <c r="V366" i="7"/>
  <c r="U366" i="7"/>
  <c r="T366" i="7"/>
  <c r="S366" i="7"/>
  <c r="R366" i="7"/>
  <c r="Q366" i="7"/>
  <c r="P366" i="7"/>
  <c r="O366" i="7"/>
  <c r="N366" i="7"/>
  <c r="M366" i="7"/>
  <c r="L366" i="7"/>
  <c r="W365" i="7"/>
  <c r="V365" i="7"/>
  <c r="U365" i="7"/>
  <c r="T365" i="7"/>
  <c r="S365" i="7"/>
  <c r="R365" i="7"/>
  <c r="Q365" i="7"/>
  <c r="P365" i="7"/>
  <c r="O365" i="7"/>
  <c r="N365" i="7"/>
  <c r="M365" i="7"/>
  <c r="L365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W363" i="7"/>
  <c r="V363" i="7"/>
  <c r="U363" i="7"/>
  <c r="T363" i="7"/>
  <c r="S363" i="7"/>
  <c r="R363" i="7"/>
  <c r="Q363" i="7"/>
  <c r="P363" i="7"/>
  <c r="O363" i="7"/>
  <c r="N363" i="7"/>
  <c r="M363" i="7"/>
  <c r="L363" i="7"/>
  <c r="W362" i="7"/>
  <c r="V362" i="7"/>
  <c r="U362" i="7"/>
  <c r="T362" i="7"/>
  <c r="S362" i="7"/>
  <c r="R362" i="7"/>
  <c r="Q362" i="7"/>
  <c r="P362" i="7"/>
  <c r="O362" i="7"/>
  <c r="N362" i="7"/>
  <c r="M362" i="7"/>
  <c r="L362" i="7"/>
  <c r="W361" i="7"/>
  <c r="V361" i="7"/>
  <c r="U361" i="7"/>
  <c r="T361" i="7"/>
  <c r="S361" i="7"/>
  <c r="R361" i="7"/>
  <c r="Q361" i="7"/>
  <c r="P361" i="7"/>
  <c r="O361" i="7"/>
  <c r="N361" i="7"/>
  <c r="M361" i="7"/>
  <c r="L361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W359" i="7"/>
  <c r="V359" i="7"/>
  <c r="U359" i="7"/>
  <c r="T359" i="7"/>
  <c r="S359" i="7"/>
  <c r="R359" i="7"/>
  <c r="Q359" i="7"/>
  <c r="P359" i="7"/>
  <c r="O359" i="7"/>
  <c r="N359" i="7"/>
  <c r="M359" i="7"/>
  <c r="L359" i="7"/>
  <c r="W358" i="7"/>
  <c r="V358" i="7"/>
  <c r="U358" i="7"/>
  <c r="T358" i="7"/>
  <c r="S358" i="7"/>
  <c r="R358" i="7"/>
  <c r="Q358" i="7"/>
  <c r="P358" i="7"/>
  <c r="O358" i="7"/>
  <c r="N358" i="7"/>
  <c r="M358" i="7"/>
  <c r="L358" i="7"/>
  <c r="W357" i="7"/>
  <c r="V357" i="7"/>
  <c r="U357" i="7"/>
  <c r="T357" i="7"/>
  <c r="S357" i="7"/>
  <c r="R357" i="7"/>
  <c r="Q357" i="7"/>
  <c r="P357" i="7"/>
  <c r="O357" i="7"/>
  <c r="N357" i="7"/>
  <c r="M357" i="7"/>
  <c r="L357" i="7"/>
  <c r="W356" i="7"/>
  <c r="V356" i="7"/>
  <c r="U356" i="7"/>
  <c r="T356" i="7"/>
  <c r="S356" i="7"/>
  <c r="R356" i="7"/>
  <c r="Q356" i="7"/>
  <c r="P356" i="7"/>
  <c r="O356" i="7"/>
  <c r="N356" i="7"/>
  <c r="M356" i="7"/>
  <c r="L356" i="7"/>
  <c r="W355" i="7"/>
  <c r="V355" i="7"/>
  <c r="U355" i="7"/>
  <c r="T355" i="7"/>
  <c r="S355" i="7"/>
  <c r="R355" i="7"/>
  <c r="Q355" i="7"/>
  <c r="P355" i="7"/>
  <c r="O355" i="7"/>
  <c r="N355" i="7"/>
  <c r="M355" i="7"/>
  <c r="L355" i="7"/>
  <c r="W354" i="7"/>
  <c r="V354" i="7"/>
  <c r="U354" i="7"/>
  <c r="T354" i="7"/>
  <c r="S354" i="7"/>
  <c r="R354" i="7"/>
  <c r="Q354" i="7"/>
  <c r="P354" i="7"/>
  <c r="O354" i="7"/>
  <c r="N354" i="7"/>
  <c r="M354" i="7"/>
  <c r="L354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W352" i="7"/>
  <c r="V352" i="7"/>
  <c r="U352" i="7"/>
  <c r="T352" i="7"/>
  <c r="S352" i="7"/>
  <c r="R352" i="7"/>
  <c r="Q352" i="7"/>
  <c r="P352" i="7"/>
  <c r="O352" i="7"/>
  <c r="N352" i="7"/>
  <c r="M352" i="7"/>
  <c r="L352" i="7"/>
  <c r="W351" i="7"/>
  <c r="V351" i="7"/>
  <c r="U351" i="7"/>
  <c r="T351" i="7"/>
  <c r="S351" i="7"/>
  <c r="R351" i="7"/>
  <c r="Q351" i="7"/>
  <c r="P351" i="7"/>
  <c r="O351" i="7"/>
  <c r="N351" i="7"/>
  <c r="M351" i="7"/>
  <c r="L351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W349" i="7"/>
  <c r="V349" i="7"/>
  <c r="U349" i="7"/>
  <c r="T349" i="7"/>
  <c r="S349" i="7"/>
  <c r="R349" i="7"/>
  <c r="Q349" i="7"/>
  <c r="P349" i="7"/>
  <c r="O349" i="7"/>
  <c r="N349" i="7"/>
  <c r="M349" i="7"/>
  <c r="L349" i="7"/>
  <c r="W348" i="7"/>
  <c r="V348" i="7"/>
  <c r="U348" i="7"/>
  <c r="T348" i="7"/>
  <c r="S348" i="7"/>
  <c r="R348" i="7"/>
  <c r="Q348" i="7"/>
  <c r="P348" i="7"/>
  <c r="O348" i="7"/>
  <c r="N348" i="7"/>
  <c r="M348" i="7"/>
  <c r="L348" i="7"/>
  <c r="W347" i="7"/>
  <c r="V347" i="7"/>
  <c r="U347" i="7"/>
  <c r="T347" i="7"/>
  <c r="S347" i="7"/>
  <c r="R347" i="7"/>
  <c r="Q347" i="7"/>
  <c r="P347" i="7"/>
  <c r="O347" i="7"/>
  <c r="N347" i="7"/>
  <c r="M347" i="7"/>
  <c r="L347" i="7"/>
  <c r="W346" i="7"/>
  <c r="V346" i="7"/>
  <c r="U346" i="7"/>
  <c r="T346" i="7"/>
  <c r="S346" i="7"/>
  <c r="R346" i="7"/>
  <c r="Q346" i="7"/>
  <c r="P346" i="7"/>
  <c r="O346" i="7"/>
  <c r="N346" i="7"/>
  <c r="M346" i="7"/>
  <c r="L346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W344" i="7"/>
  <c r="V344" i="7"/>
  <c r="U344" i="7"/>
  <c r="T344" i="7"/>
  <c r="S344" i="7"/>
  <c r="R344" i="7"/>
  <c r="Q344" i="7"/>
  <c r="P344" i="7"/>
  <c r="O344" i="7"/>
  <c r="N344" i="7"/>
  <c r="M344" i="7"/>
  <c r="L344" i="7"/>
  <c r="W343" i="7"/>
  <c r="V343" i="7"/>
  <c r="U343" i="7"/>
  <c r="T343" i="7"/>
  <c r="S343" i="7"/>
  <c r="R343" i="7"/>
  <c r="Q343" i="7"/>
  <c r="P343" i="7"/>
  <c r="O343" i="7"/>
  <c r="N343" i="7"/>
  <c r="M343" i="7"/>
  <c r="L343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W341" i="7"/>
  <c r="V341" i="7"/>
  <c r="U341" i="7"/>
  <c r="T341" i="7"/>
  <c r="S341" i="7"/>
  <c r="R341" i="7"/>
  <c r="Q341" i="7"/>
  <c r="P341" i="7"/>
  <c r="O341" i="7"/>
  <c r="N341" i="7"/>
  <c r="M341" i="7"/>
  <c r="L341" i="7"/>
  <c r="W340" i="7"/>
  <c r="V340" i="7"/>
  <c r="U340" i="7"/>
  <c r="T340" i="7"/>
  <c r="S340" i="7"/>
  <c r="R340" i="7"/>
  <c r="Q340" i="7"/>
  <c r="P340" i="7"/>
  <c r="O340" i="7"/>
  <c r="N340" i="7"/>
  <c r="M340" i="7"/>
  <c r="L340" i="7"/>
  <c r="W339" i="7"/>
  <c r="V339" i="7"/>
  <c r="U339" i="7"/>
  <c r="T339" i="7"/>
  <c r="S339" i="7"/>
  <c r="R339" i="7"/>
  <c r="Q339" i="7"/>
  <c r="P339" i="7"/>
  <c r="O339" i="7"/>
  <c r="N339" i="7"/>
  <c r="M339" i="7"/>
  <c r="L339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W337" i="7"/>
  <c r="V337" i="7"/>
  <c r="U337" i="7"/>
  <c r="T337" i="7"/>
  <c r="S337" i="7"/>
  <c r="R337" i="7"/>
  <c r="Q337" i="7"/>
  <c r="P337" i="7"/>
  <c r="O337" i="7"/>
  <c r="N337" i="7"/>
  <c r="M337" i="7"/>
  <c r="L337" i="7"/>
  <c r="W336" i="7"/>
  <c r="V336" i="7"/>
  <c r="U336" i="7"/>
  <c r="T336" i="7"/>
  <c r="S336" i="7"/>
  <c r="R336" i="7"/>
  <c r="Q336" i="7"/>
  <c r="P336" i="7"/>
  <c r="O336" i="7"/>
  <c r="N336" i="7"/>
  <c r="M336" i="7"/>
  <c r="L336" i="7"/>
  <c r="W335" i="7"/>
  <c r="V335" i="7"/>
  <c r="U335" i="7"/>
  <c r="T335" i="7"/>
  <c r="S335" i="7"/>
  <c r="R335" i="7"/>
  <c r="Q335" i="7"/>
  <c r="P335" i="7"/>
  <c r="O335" i="7"/>
  <c r="N335" i="7"/>
  <c r="M335" i="7"/>
  <c r="L335" i="7"/>
  <c r="W334" i="7"/>
  <c r="V334" i="7"/>
  <c r="U334" i="7"/>
  <c r="T334" i="7"/>
  <c r="S334" i="7"/>
  <c r="R334" i="7"/>
  <c r="Q334" i="7"/>
  <c r="P334" i="7"/>
  <c r="O334" i="7"/>
  <c r="N334" i="7"/>
  <c r="M334" i="7"/>
  <c r="L334" i="7"/>
  <c r="W333" i="7"/>
  <c r="V333" i="7"/>
  <c r="U333" i="7"/>
  <c r="T333" i="7"/>
  <c r="S333" i="7"/>
  <c r="R333" i="7"/>
  <c r="Q333" i="7"/>
  <c r="P333" i="7"/>
  <c r="O333" i="7"/>
  <c r="N333" i="7"/>
  <c r="M333" i="7"/>
  <c r="L333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W331" i="7"/>
  <c r="V331" i="7"/>
  <c r="U331" i="7"/>
  <c r="T331" i="7"/>
  <c r="S331" i="7"/>
  <c r="R331" i="7"/>
  <c r="Q331" i="7"/>
  <c r="P331" i="7"/>
  <c r="O331" i="7"/>
  <c r="N331" i="7"/>
  <c r="M331" i="7"/>
  <c r="L331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W329" i="7"/>
  <c r="V329" i="7"/>
  <c r="U329" i="7"/>
  <c r="T329" i="7"/>
  <c r="S329" i="7"/>
  <c r="R329" i="7"/>
  <c r="Q329" i="7"/>
  <c r="P329" i="7"/>
  <c r="O329" i="7"/>
  <c r="N329" i="7"/>
  <c r="M329" i="7"/>
  <c r="L329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W327" i="7"/>
  <c r="V327" i="7"/>
  <c r="U327" i="7"/>
  <c r="T327" i="7"/>
  <c r="S327" i="7"/>
  <c r="R327" i="7"/>
  <c r="Q327" i="7"/>
  <c r="P327" i="7"/>
  <c r="O327" i="7"/>
  <c r="N327" i="7"/>
  <c r="M327" i="7"/>
  <c r="L327" i="7"/>
  <c r="W326" i="7"/>
  <c r="V326" i="7"/>
  <c r="U326" i="7"/>
  <c r="T326" i="7"/>
  <c r="S326" i="7"/>
  <c r="R326" i="7"/>
  <c r="Q326" i="7"/>
  <c r="P326" i="7"/>
  <c r="O326" i="7"/>
  <c r="N326" i="7"/>
  <c r="M326" i="7"/>
  <c r="L326" i="7"/>
  <c r="W325" i="7"/>
  <c r="V325" i="7"/>
  <c r="U325" i="7"/>
  <c r="T325" i="7"/>
  <c r="S325" i="7"/>
  <c r="R325" i="7"/>
  <c r="Q325" i="7"/>
  <c r="P325" i="7"/>
  <c r="O325" i="7"/>
  <c r="N325" i="7"/>
  <c r="M325" i="7"/>
  <c r="L325" i="7"/>
  <c r="W324" i="7"/>
  <c r="V324" i="7"/>
  <c r="U324" i="7"/>
  <c r="T324" i="7"/>
  <c r="S324" i="7"/>
  <c r="R324" i="7"/>
  <c r="Q324" i="7"/>
  <c r="P324" i="7"/>
  <c r="O324" i="7"/>
  <c r="N324" i="7"/>
  <c r="M324" i="7"/>
  <c r="L324" i="7"/>
  <c r="W323" i="7"/>
  <c r="V323" i="7"/>
  <c r="U323" i="7"/>
  <c r="T323" i="7"/>
  <c r="S323" i="7"/>
  <c r="R323" i="7"/>
  <c r="Q323" i="7"/>
  <c r="P323" i="7"/>
  <c r="O323" i="7"/>
  <c r="N323" i="7"/>
  <c r="M323" i="7"/>
  <c r="L323" i="7"/>
  <c r="W322" i="7"/>
  <c r="V322" i="7"/>
  <c r="U322" i="7"/>
  <c r="T322" i="7"/>
  <c r="S322" i="7"/>
  <c r="R322" i="7"/>
  <c r="Q322" i="7"/>
  <c r="P322" i="7"/>
  <c r="O322" i="7"/>
  <c r="N322" i="7"/>
  <c r="M322" i="7"/>
  <c r="L322" i="7"/>
  <c r="W321" i="7"/>
  <c r="V321" i="7"/>
  <c r="U321" i="7"/>
  <c r="T321" i="7"/>
  <c r="S321" i="7"/>
  <c r="R321" i="7"/>
  <c r="Q321" i="7"/>
  <c r="P321" i="7"/>
  <c r="O321" i="7"/>
  <c r="N321" i="7"/>
  <c r="M321" i="7"/>
  <c r="L321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W319" i="7"/>
  <c r="V319" i="7"/>
  <c r="U319" i="7"/>
  <c r="T319" i="7"/>
  <c r="S319" i="7"/>
  <c r="R319" i="7"/>
  <c r="Q319" i="7"/>
  <c r="P319" i="7"/>
  <c r="O319" i="7"/>
  <c r="N319" i="7"/>
  <c r="M319" i="7"/>
  <c r="L319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W317" i="7"/>
  <c r="V317" i="7"/>
  <c r="U317" i="7"/>
  <c r="T317" i="7"/>
  <c r="S317" i="7"/>
  <c r="R317" i="7"/>
  <c r="Q317" i="7"/>
  <c r="P317" i="7"/>
  <c r="O317" i="7"/>
  <c r="N317" i="7"/>
  <c r="M317" i="7"/>
  <c r="L317" i="7"/>
  <c r="W316" i="7"/>
  <c r="V316" i="7"/>
  <c r="U316" i="7"/>
  <c r="T316" i="7"/>
  <c r="S316" i="7"/>
  <c r="R316" i="7"/>
  <c r="Q316" i="7"/>
  <c r="P316" i="7"/>
  <c r="O316" i="7"/>
  <c r="N316" i="7"/>
  <c r="M316" i="7"/>
  <c r="L316" i="7"/>
  <c r="W315" i="7"/>
  <c r="V315" i="7"/>
  <c r="U315" i="7"/>
  <c r="T315" i="7"/>
  <c r="S315" i="7"/>
  <c r="R315" i="7"/>
  <c r="Q315" i="7"/>
  <c r="P315" i="7"/>
  <c r="O315" i="7"/>
  <c r="N315" i="7"/>
  <c r="M315" i="7"/>
  <c r="L315" i="7"/>
  <c r="W314" i="7"/>
  <c r="V314" i="7"/>
  <c r="U314" i="7"/>
  <c r="T314" i="7"/>
  <c r="S314" i="7"/>
  <c r="R314" i="7"/>
  <c r="Q314" i="7"/>
  <c r="P314" i="7"/>
  <c r="O314" i="7"/>
  <c r="N314" i="7"/>
  <c r="M314" i="7"/>
  <c r="L314" i="7"/>
  <c r="W313" i="7"/>
  <c r="V313" i="7"/>
  <c r="U313" i="7"/>
  <c r="T313" i="7"/>
  <c r="S313" i="7"/>
  <c r="R313" i="7"/>
  <c r="Q313" i="7"/>
  <c r="P313" i="7"/>
  <c r="O313" i="7"/>
  <c r="N313" i="7"/>
  <c r="M313" i="7"/>
  <c r="L313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W311" i="7"/>
  <c r="V311" i="7"/>
  <c r="U311" i="7"/>
  <c r="T311" i="7"/>
  <c r="S311" i="7"/>
  <c r="R311" i="7"/>
  <c r="Q311" i="7"/>
  <c r="P311" i="7"/>
  <c r="O311" i="7"/>
  <c r="N311" i="7"/>
  <c r="M311" i="7"/>
  <c r="L311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W309" i="7"/>
  <c r="V309" i="7"/>
  <c r="U309" i="7"/>
  <c r="T309" i="7"/>
  <c r="S309" i="7"/>
  <c r="R309" i="7"/>
  <c r="Q309" i="7"/>
  <c r="P309" i="7"/>
  <c r="O309" i="7"/>
  <c r="N309" i="7"/>
  <c r="M309" i="7"/>
  <c r="L309" i="7"/>
  <c r="W308" i="7"/>
  <c r="V308" i="7"/>
  <c r="U308" i="7"/>
  <c r="T308" i="7"/>
  <c r="S308" i="7"/>
  <c r="R308" i="7"/>
  <c r="Q308" i="7"/>
  <c r="P308" i="7"/>
  <c r="O308" i="7"/>
  <c r="N308" i="7"/>
  <c r="M308" i="7"/>
  <c r="L308" i="7"/>
  <c r="W307" i="7"/>
  <c r="V307" i="7"/>
  <c r="U307" i="7"/>
  <c r="T307" i="7"/>
  <c r="S307" i="7"/>
  <c r="R307" i="7"/>
  <c r="Q307" i="7"/>
  <c r="P307" i="7"/>
  <c r="O307" i="7"/>
  <c r="N307" i="7"/>
  <c r="M307" i="7"/>
  <c r="L307" i="7"/>
  <c r="W306" i="7"/>
  <c r="V306" i="7"/>
  <c r="U306" i="7"/>
  <c r="T306" i="7"/>
  <c r="S306" i="7"/>
  <c r="R306" i="7"/>
  <c r="Q306" i="7"/>
  <c r="P306" i="7"/>
  <c r="O306" i="7"/>
  <c r="N306" i="7"/>
  <c r="M306" i="7"/>
  <c r="L306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W99" i="7"/>
  <c r="V99" i="7"/>
  <c r="U99" i="7"/>
  <c r="T99" i="7"/>
  <c r="S99" i="7"/>
  <c r="R99" i="7"/>
  <c r="Q99" i="7"/>
  <c r="P99" i="7"/>
  <c r="O99" i="7"/>
  <c r="N99" i="7"/>
  <c r="M99" i="7"/>
  <c r="L99" i="7"/>
  <c r="W98" i="7"/>
  <c r="V98" i="7"/>
  <c r="U98" i="7"/>
  <c r="T98" i="7"/>
  <c r="S98" i="7"/>
  <c r="R98" i="7"/>
  <c r="Q98" i="7"/>
  <c r="P98" i="7"/>
  <c r="O98" i="7"/>
  <c r="N98" i="7"/>
  <c r="M98" i="7"/>
  <c r="L98" i="7"/>
  <c r="W97" i="7"/>
  <c r="V97" i="7"/>
  <c r="U97" i="7"/>
  <c r="T97" i="7"/>
  <c r="S97" i="7"/>
  <c r="R97" i="7"/>
  <c r="Q97" i="7"/>
  <c r="P97" i="7"/>
  <c r="O97" i="7"/>
  <c r="N97" i="7"/>
  <c r="M97" i="7"/>
  <c r="L97" i="7"/>
  <c r="W96" i="7"/>
  <c r="V96" i="7"/>
  <c r="U96" i="7"/>
  <c r="T96" i="7"/>
  <c r="S96" i="7"/>
  <c r="R96" i="7"/>
  <c r="Q96" i="7"/>
  <c r="P96" i="7"/>
  <c r="O96" i="7"/>
  <c r="N96" i="7"/>
  <c r="M96" i="7"/>
  <c r="L96" i="7"/>
  <c r="W95" i="7"/>
  <c r="V95" i="7"/>
  <c r="U95" i="7"/>
  <c r="T95" i="7"/>
  <c r="S95" i="7"/>
  <c r="R95" i="7"/>
  <c r="Q95" i="7"/>
  <c r="P95" i="7"/>
  <c r="O95" i="7"/>
  <c r="N95" i="7"/>
  <c r="M95" i="7"/>
  <c r="L95" i="7"/>
  <c r="W94" i="7"/>
  <c r="V94" i="7"/>
  <c r="U94" i="7"/>
  <c r="T94" i="7"/>
  <c r="S94" i="7"/>
  <c r="R94" i="7"/>
  <c r="Q94" i="7"/>
  <c r="P94" i="7"/>
  <c r="O94" i="7"/>
  <c r="N94" i="7"/>
  <c r="M94" i="7"/>
  <c r="L94" i="7"/>
  <c r="W93" i="7"/>
  <c r="V93" i="7"/>
  <c r="U93" i="7"/>
  <c r="T93" i="7"/>
  <c r="S93" i="7"/>
  <c r="R93" i="7"/>
  <c r="Q93" i="7"/>
  <c r="P93" i="7"/>
  <c r="O93" i="7"/>
  <c r="N93" i="7"/>
  <c r="M93" i="7"/>
  <c r="L93" i="7"/>
  <c r="W92" i="7"/>
  <c r="V92" i="7"/>
  <c r="U92" i="7"/>
  <c r="T92" i="7"/>
  <c r="S92" i="7"/>
  <c r="R92" i="7"/>
  <c r="Q92" i="7"/>
  <c r="P92" i="7"/>
  <c r="O92" i="7"/>
  <c r="N92" i="7"/>
  <c r="M92" i="7"/>
  <c r="L92" i="7"/>
  <c r="W91" i="7"/>
  <c r="V91" i="7"/>
  <c r="U91" i="7"/>
  <c r="T91" i="7"/>
  <c r="S91" i="7"/>
  <c r="R91" i="7"/>
  <c r="Q91" i="7"/>
  <c r="P91" i="7"/>
  <c r="O91" i="7"/>
  <c r="N91" i="7"/>
  <c r="M91" i="7"/>
  <c r="L91" i="7"/>
  <c r="W90" i="7"/>
  <c r="V90" i="7"/>
  <c r="U90" i="7"/>
  <c r="T90" i="7"/>
  <c r="S90" i="7"/>
  <c r="R90" i="7"/>
  <c r="Q90" i="7"/>
  <c r="P90" i="7"/>
  <c r="O90" i="7"/>
  <c r="N90" i="7"/>
  <c r="M90" i="7"/>
  <c r="L90" i="7"/>
  <c r="W89" i="7"/>
  <c r="V89" i="7"/>
  <c r="U89" i="7"/>
  <c r="T89" i="7"/>
  <c r="S89" i="7"/>
  <c r="R89" i="7"/>
  <c r="Q89" i="7"/>
  <c r="P89" i="7"/>
  <c r="O89" i="7"/>
  <c r="N89" i="7"/>
  <c r="M89" i="7"/>
  <c r="L89" i="7"/>
  <c r="W88" i="7"/>
  <c r="V88" i="7"/>
  <c r="U88" i="7"/>
  <c r="T88" i="7"/>
  <c r="S88" i="7"/>
  <c r="R88" i="7"/>
  <c r="Q88" i="7"/>
  <c r="P88" i="7"/>
  <c r="O88" i="7"/>
  <c r="N88" i="7"/>
  <c r="M88" i="7"/>
  <c r="L88" i="7"/>
  <c r="W87" i="7"/>
  <c r="V87" i="7"/>
  <c r="U87" i="7"/>
  <c r="T87" i="7"/>
  <c r="S87" i="7"/>
  <c r="R87" i="7"/>
  <c r="Q87" i="7"/>
  <c r="P87" i="7"/>
  <c r="O87" i="7"/>
  <c r="N87" i="7"/>
  <c r="M87" i="7"/>
  <c r="L87" i="7"/>
  <c r="W86" i="7"/>
  <c r="V86" i="7"/>
  <c r="U86" i="7"/>
  <c r="T86" i="7"/>
  <c r="S86" i="7"/>
  <c r="R86" i="7"/>
  <c r="Q86" i="7"/>
  <c r="P86" i="7"/>
  <c r="O86" i="7"/>
  <c r="N86" i="7"/>
  <c r="M86" i="7"/>
  <c r="L86" i="7"/>
  <c r="W85" i="7"/>
  <c r="V85" i="7"/>
  <c r="U85" i="7"/>
  <c r="T85" i="7"/>
  <c r="S85" i="7"/>
  <c r="R85" i="7"/>
  <c r="Q85" i="7"/>
  <c r="P85" i="7"/>
  <c r="O85" i="7"/>
  <c r="N85" i="7"/>
  <c r="M85" i="7"/>
  <c r="L85" i="7"/>
  <c r="W84" i="7"/>
  <c r="V84" i="7"/>
  <c r="U84" i="7"/>
  <c r="T84" i="7"/>
  <c r="S84" i="7"/>
  <c r="R84" i="7"/>
  <c r="Q84" i="7"/>
  <c r="P84" i="7"/>
  <c r="O84" i="7"/>
  <c r="N84" i="7"/>
  <c r="M84" i="7"/>
  <c r="L84" i="7"/>
  <c r="W83" i="7"/>
  <c r="V83" i="7"/>
  <c r="U83" i="7"/>
  <c r="T83" i="7"/>
  <c r="S83" i="7"/>
  <c r="R83" i="7"/>
  <c r="Q83" i="7"/>
  <c r="P83" i="7"/>
  <c r="O83" i="7"/>
  <c r="N83" i="7"/>
  <c r="M83" i="7"/>
  <c r="L83" i="7"/>
  <c r="W82" i="7"/>
  <c r="V82" i="7"/>
  <c r="U82" i="7"/>
  <c r="T82" i="7"/>
  <c r="S82" i="7"/>
  <c r="R82" i="7"/>
  <c r="Q82" i="7"/>
  <c r="P82" i="7"/>
  <c r="O82" i="7"/>
  <c r="N82" i="7"/>
  <c r="M82" i="7"/>
  <c r="L82" i="7"/>
  <c r="W81" i="7"/>
  <c r="V81" i="7"/>
  <c r="U81" i="7"/>
  <c r="T81" i="7"/>
  <c r="S81" i="7"/>
  <c r="R81" i="7"/>
  <c r="Q81" i="7"/>
  <c r="P81" i="7"/>
  <c r="O81" i="7"/>
  <c r="N81" i="7"/>
  <c r="M81" i="7"/>
  <c r="L81" i="7"/>
  <c r="W80" i="7"/>
  <c r="V80" i="7"/>
  <c r="U80" i="7"/>
  <c r="T80" i="7"/>
  <c r="S80" i="7"/>
  <c r="R80" i="7"/>
  <c r="Q80" i="7"/>
  <c r="P80" i="7"/>
  <c r="O80" i="7"/>
  <c r="N80" i="7"/>
  <c r="M80" i="7"/>
  <c r="L80" i="7"/>
  <c r="W79" i="7"/>
  <c r="V79" i="7"/>
  <c r="U79" i="7"/>
  <c r="T79" i="7"/>
  <c r="S79" i="7"/>
  <c r="R79" i="7"/>
  <c r="Q79" i="7"/>
  <c r="P79" i="7"/>
  <c r="O79" i="7"/>
  <c r="N79" i="7"/>
  <c r="M79" i="7"/>
  <c r="L79" i="7"/>
  <c r="W78" i="7"/>
  <c r="V78" i="7"/>
  <c r="U78" i="7"/>
  <c r="T78" i="7"/>
  <c r="S78" i="7"/>
  <c r="R78" i="7"/>
  <c r="Q78" i="7"/>
  <c r="P78" i="7"/>
  <c r="O78" i="7"/>
  <c r="N78" i="7"/>
  <c r="M78" i="7"/>
  <c r="L78" i="7"/>
  <c r="W77" i="7"/>
  <c r="V77" i="7"/>
  <c r="U77" i="7"/>
  <c r="T77" i="7"/>
  <c r="S77" i="7"/>
  <c r="R77" i="7"/>
  <c r="Q77" i="7"/>
  <c r="P77" i="7"/>
  <c r="O77" i="7"/>
  <c r="N77" i="7"/>
  <c r="M77" i="7"/>
  <c r="L77" i="7"/>
  <c r="W76" i="7"/>
  <c r="V76" i="7"/>
  <c r="U76" i="7"/>
  <c r="T76" i="7"/>
  <c r="S76" i="7"/>
  <c r="R76" i="7"/>
  <c r="Q76" i="7"/>
  <c r="P76" i="7"/>
  <c r="O76" i="7"/>
  <c r="N76" i="7"/>
  <c r="M76" i="7"/>
  <c r="L76" i="7"/>
  <c r="W75" i="7"/>
  <c r="V75" i="7"/>
  <c r="U75" i="7"/>
  <c r="T75" i="7"/>
  <c r="S75" i="7"/>
  <c r="R75" i="7"/>
  <c r="Q75" i="7"/>
  <c r="P75" i="7"/>
  <c r="O75" i="7"/>
  <c r="N75" i="7"/>
  <c r="M75" i="7"/>
  <c r="L75" i="7"/>
  <c r="W74" i="7"/>
  <c r="V74" i="7"/>
  <c r="U74" i="7"/>
  <c r="T74" i="7"/>
  <c r="S74" i="7"/>
  <c r="R74" i="7"/>
  <c r="Q74" i="7"/>
  <c r="P74" i="7"/>
  <c r="O74" i="7"/>
  <c r="N74" i="7"/>
  <c r="M74" i="7"/>
  <c r="L74" i="7"/>
  <c r="W73" i="7"/>
  <c r="V73" i="7"/>
  <c r="U73" i="7"/>
  <c r="T73" i="7"/>
  <c r="S73" i="7"/>
  <c r="R73" i="7"/>
  <c r="Q73" i="7"/>
  <c r="P73" i="7"/>
  <c r="O73" i="7"/>
  <c r="N73" i="7"/>
  <c r="M73" i="7"/>
  <c r="L73" i="7"/>
  <c r="W72" i="7"/>
  <c r="V72" i="7"/>
  <c r="U72" i="7"/>
  <c r="T72" i="7"/>
  <c r="S72" i="7"/>
  <c r="R72" i="7"/>
  <c r="Q72" i="7"/>
  <c r="P72" i="7"/>
  <c r="O72" i="7"/>
  <c r="N72" i="7"/>
  <c r="M72" i="7"/>
  <c r="L72" i="7"/>
  <c r="W71" i="7"/>
  <c r="V71" i="7"/>
  <c r="U71" i="7"/>
  <c r="T71" i="7"/>
  <c r="S71" i="7"/>
  <c r="R71" i="7"/>
  <c r="Q71" i="7"/>
  <c r="P71" i="7"/>
  <c r="O71" i="7"/>
  <c r="N71" i="7"/>
  <c r="M71" i="7"/>
  <c r="L71" i="7"/>
  <c r="W70" i="7"/>
  <c r="V70" i="7"/>
  <c r="U70" i="7"/>
  <c r="T70" i="7"/>
  <c r="S70" i="7"/>
  <c r="R70" i="7"/>
  <c r="Q70" i="7"/>
  <c r="P70" i="7"/>
  <c r="O70" i="7"/>
  <c r="N70" i="7"/>
  <c r="M70" i="7"/>
  <c r="L70" i="7"/>
  <c r="W69" i="7"/>
  <c r="V69" i="7"/>
  <c r="U69" i="7"/>
  <c r="T69" i="7"/>
  <c r="S69" i="7"/>
  <c r="R69" i="7"/>
  <c r="Q69" i="7"/>
  <c r="P69" i="7"/>
  <c r="O69" i="7"/>
  <c r="N69" i="7"/>
  <c r="M69" i="7"/>
  <c r="L69" i="7"/>
  <c r="W68" i="7"/>
  <c r="V68" i="7"/>
  <c r="U68" i="7"/>
  <c r="T68" i="7"/>
  <c r="S68" i="7"/>
  <c r="R68" i="7"/>
  <c r="Q68" i="7"/>
  <c r="P68" i="7"/>
  <c r="O68" i="7"/>
  <c r="N68" i="7"/>
  <c r="M68" i="7"/>
  <c r="L68" i="7"/>
  <c r="W67" i="7"/>
  <c r="V67" i="7"/>
  <c r="U67" i="7"/>
  <c r="T67" i="7"/>
  <c r="S67" i="7"/>
  <c r="R67" i="7"/>
  <c r="Q67" i="7"/>
  <c r="P67" i="7"/>
  <c r="O67" i="7"/>
  <c r="N67" i="7"/>
  <c r="M67" i="7"/>
  <c r="L67" i="7"/>
  <c r="W66" i="7"/>
  <c r="V66" i="7"/>
  <c r="U66" i="7"/>
  <c r="T66" i="7"/>
  <c r="S66" i="7"/>
  <c r="R66" i="7"/>
  <c r="Q66" i="7"/>
  <c r="P66" i="7"/>
  <c r="O66" i="7"/>
  <c r="N66" i="7"/>
  <c r="M66" i="7"/>
  <c r="L66" i="7"/>
  <c r="W65" i="7"/>
  <c r="V65" i="7"/>
  <c r="U65" i="7"/>
  <c r="T65" i="7"/>
  <c r="S65" i="7"/>
  <c r="R65" i="7"/>
  <c r="Q65" i="7"/>
  <c r="P65" i="7"/>
  <c r="O65" i="7"/>
  <c r="N65" i="7"/>
  <c r="M65" i="7"/>
  <c r="L65" i="7"/>
  <c r="W64" i="7"/>
  <c r="V64" i="7"/>
  <c r="U64" i="7"/>
  <c r="T64" i="7"/>
  <c r="S64" i="7"/>
  <c r="R64" i="7"/>
  <c r="Q64" i="7"/>
  <c r="P64" i="7"/>
  <c r="O64" i="7"/>
  <c r="N64" i="7"/>
  <c r="M64" i="7"/>
  <c r="L64" i="7"/>
  <c r="W63" i="7"/>
  <c r="V63" i="7"/>
  <c r="U63" i="7"/>
  <c r="T63" i="7"/>
  <c r="S63" i="7"/>
  <c r="R63" i="7"/>
  <c r="Q63" i="7"/>
  <c r="P63" i="7"/>
  <c r="O63" i="7"/>
  <c r="N63" i="7"/>
  <c r="M63" i="7"/>
  <c r="L63" i="7"/>
  <c r="W62" i="7"/>
  <c r="V62" i="7"/>
  <c r="U62" i="7"/>
  <c r="T62" i="7"/>
  <c r="S62" i="7"/>
  <c r="R62" i="7"/>
  <c r="Q62" i="7"/>
  <c r="P62" i="7"/>
  <c r="O62" i="7"/>
  <c r="N62" i="7"/>
  <c r="M62" i="7"/>
  <c r="L62" i="7"/>
  <c r="W61" i="7"/>
  <c r="V61" i="7"/>
  <c r="U61" i="7"/>
  <c r="T61" i="7"/>
  <c r="S61" i="7"/>
  <c r="R61" i="7"/>
  <c r="Q61" i="7"/>
  <c r="P61" i="7"/>
  <c r="O61" i="7"/>
  <c r="N61" i="7"/>
  <c r="M61" i="7"/>
  <c r="L61" i="7"/>
  <c r="W60" i="7"/>
  <c r="V60" i="7"/>
  <c r="U60" i="7"/>
  <c r="T60" i="7"/>
  <c r="S60" i="7"/>
  <c r="R60" i="7"/>
  <c r="Q60" i="7"/>
  <c r="P60" i="7"/>
  <c r="O60" i="7"/>
  <c r="N60" i="7"/>
  <c r="M60" i="7"/>
  <c r="L60" i="7"/>
  <c r="W59" i="7"/>
  <c r="V59" i="7"/>
  <c r="U59" i="7"/>
  <c r="T59" i="7"/>
  <c r="S59" i="7"/>
  <c r="R59" i="7"/>
  <c r="Q59" i="7"/>
  <c r="P59" i="7"/>
  <c r="O59" i="7"/>
  <c r="N59" i="7"/>
  <c r="M59" i="7"/>
  <c r="L59" i="7"/>
  <c r="W58" i="7"/>
  <c r="V58" i="7"/>
  <c r="U58" i="7"/>
  <c r="T58" i="7"/>
  <c r="S58" i="7"/>
  <c r="R58" i="7"/>
  <c r="Q58" i="7"/>
  <c r="P58" i="7"/>
  <c r="O58" i="7"/>
  <c r="N58" i="7"/>
  <c r="M58" i="7"/>
  <c r="L58" i="7"/>
  <c r="W57" i="7"/>
  <c r="V57" i="7"/>
  <c r="U57" i="7"/>
  <c r="T57" i="7"/>
  <c r="S57" i="7"/>
  <c r="R57" i="7"/>
  <c r="Q57" i="7"/>
  <c r="P57" i="7"/>
  <c r="O57" i="7"/>
  <c r="N57" i="7"/>
  <c r="M57" i="7"/>
  <c r="L57" i="7"/>
  <c r="W56" i="7"/>
  <c r="V56" i="7"/>
  <c r="U56" i="7"/>
  <c r="T56" i="7"/>
  <c r="S56" i="7"/>
  <c r="R56" i="7"/>
  <c r="Q56" i="7"/>
  <c r="P56" i="7"/>
  <c r="O56" i="7"/>
  <c r="N56" i="7"/>
  <c r="M56" i="7"/>
  <c r="L56" i="7"/>
  <c r="W55" i="7"/>
  <c r="V55" i="7"/>
  <c r="U55" i="7"/>
  <c r="T55" i="7"/>
  <c r="S55" i="7"/>
  <c r="R55" i="7"/>
  <c r="Q55" i="7"/>
  <c r="P55" i="7"/>
  <c r="O55" i="7"/>
  <c r="N55" i="7"/>
  <c r="M55" i="7"/>
  <c r="L55" i="7"/>
  <c r="W54" i="7"/>
  <c r="V54" i="7"/>
  <c r="U54" i="7"/>
  <c r="T54" i="7"/>
  <c r="S54" i="7"/>
  <c r="R54" i="7"/>
  <c r="Q54" i="7"/>
  <c r="P54" i="7"/>
  <c r="O54" i="7"/>
  <c r="N54" i="7"/>
  <c r="M54" i="7"/>
  <c r="L54" i="7"/>
  <c r="W53" i="7"/>
  <c r="V53" i="7"/>
  <c r="U53" i="7"/>
  <c r="T53" i="7"/>
  <c r="S53" i="7"/>
  <c r="R53" i="7"/>
  <c r="Q53" i="7"/>
  <c r="P53" i="7"/>
  <c r="O53" i="7"/>
  <c r="N53" i="7"/>
  <c r="M53" i="7"/>
  <c r="L53" i="7"/>
  <c r="W52" i="7"/>
  <c r="V52" i="7"/>
  <c r="U52" i="7"/>
  <c r="T52" i="7"/>
  <c r="S52" i="7"/>
  <c r="R52" i="7"/>
  <c r="Q52" i="7"/>
  <c r="P52" i="7"/>
  <c r="O52" i="7"/>
  <c r="N52" i="7"/>
  <c r="M52" i="7"/>
  <c r="L52" i="7"/>
  <c r="W51" i="7"/>
  <c r="V51" i="7"/>
  <c r="U51" i="7"/>
  <c r="T51" i="7"/>
  <c r="S51" i="7"/>
  <c r="R51" i="7"/>
  <c r="Q51" i="7"/>
  <c r="P51" i="7"/>
  <c r="O51" i="7"/>
  <c r="N51" i="7"/>
  <c r="M51" i="7"/>
  <c r="L51" i="7"/>
  <c r="W50" i="7"/>
  <c r="V50" i="7"/>
  <c r="U50" i="7"/>
  <c r="T50" i="7"/>
  <c r="S50" i="7"/>
  <c r="R50" i="7"/>
  <c r="Q50" i="7"/>
  <c r="P50" i="7"/>
  <c r="O50" i="7"/>
  <c r="N50" i="7"/>
  <c r="M50" i="7"/>
  <c r="L50" i="7"/>
  <c r="W49" i="7"/>
  <c r="V49" i="7"/>
  <c r="U49" i="7"/>
  <c r="T49" i="7"/>
  <c r="S49" i="7"/>
  <c r="R49" i="7"/>
  <c r="Q49" i="7"/>
  <c r="P49" i="7"/>
  <c r="O49" i="7"/>
  <c r="N49" i="7"/>
  <c r="M49" i="7"/>
  <c r="L49" i="7"/>
  <c r="W48" i="7"/>
  <c r="V48" i="7"/>
  <c r="U48" i="7"/>
  <c r="T48" i="7"/>
  <c r="S48" i="7"/>
  <c r="R48" i="7"/>
  <c r="Q48" i="7"/>
  <c r="P48" i="7"/>
  <c r="O48" i="7"/>
  <c r="N48" i="7"/>
  <c r="M48" i="7"/>
  <c r="L48" i="7"/>
  <c r="W47" i="7"/>
  <c r="V47" i="7"/>
  <c r="U47" i="7"/>
  <c r="T47" i="7"/>
  <c r="S47" i="7"/>
  <c r="R47" i="7"/>
  <c r="Q47" i="7"/>
  <c r="P47" i="7"/>
  <c r="O47" i="7"/>
  <c r="N47" i="7"/>
  <c r="M47" i="7"/>
  <c r="L47" i="7"/>
  <c r="W46" i="7"/>
  <c r="V46" i="7"/>
  <c r="U46" i="7"/>
  <c r="T46" i="7"/>
  <c r="S46" i="7"/>
  <c r="R46" i="7"/>
  <c r="Q46" i="7"/>
  <c r="P46" i="7"/>
  <c r="O46" i="7"/>
  <c r="N46" i="7"/>
  <c r="M46" i="7"/>
  <c r="L46" i="7"/>
  <c r="W45" i="7"/>
  <c r="V45" i="7"/>
  <c r="U45" i="7"/>
  <c r="T45" i="7"/>
  <c r="S45" i="7"/>
  <c r="R45" i="7"/>
  <c r="Q45" i="7"/>
  <c r="P45" i="7"/>
  <c r="O45" i="7"/>
  <c r="N45" i="7"/>
  <c r="M45" i="7"/>
  <c r="L45" i="7"/>
  <c r="W44" i="7"/>
  <c r="V44" i="7"/>
  <c r="U44" i="7"/>
  <c r="T44" i="7"/>
  <c r="S44" i="7"/>
  <c r="R44" i="7"/>
  <c r="Q44" i="7"/>
  <c r="P44" i="7"/>
  <c r="O44" i="7"/>
  <c r="N44" i="7"/>
  <c r="M44" i="7"/>
  <c r="L44" i="7"/>
  <c r="W43" i="7"/>
  <c r="V43" i="7"/>
  <c r="U43" i="7"/>
  <c r="T43" i="7"/>
  <c r="S43" i="7"/>
  <c r="R43" i="7"/>
  <c r="Q43" i="7"/>
  <c r="P43" i="7"/>
  <c r="O43" i="7"/>
  <c r="N43" i="7"/>
  <c r="M43" i="7"/>
  <c r="L43" i="7"/>
  <c r="W42" i="7"/>
  <c r="V42" i="7"/>
  <c r="U42" i="7"/>
  <c r="T42" i="7"/>
  <c r="S42" i="7"/>
  <c r="R42" i="7"/>
  <c r="Q42" i="7"/>
  <c r="P42" i="7"/>
  <c r="O42" i="7"/>
  <c r="N42" i="7"/>
  <c r="M42" i="7"/>
  <c r="L42" i="7"/>
  <c r="W41" i="7"/>
  <c r="V41" i="7"/>
  <c r="U41" i="7"/>
  <c r="T41" i="7"/>
  <c r="S41" i="7"/>
  <c r="R41" i="7"/>
  <c r="Q41" i="7"/>
  <c r="P41" i="7"/>
  <c r="O41" i="7"/>
  <c r="N41" i="7"/>
  <c r="M41" i="7"/>
  <c r="L41" i="7"/>
  <c r="W40" i="7"/>
  <c r="V40" i="7"/>
  <c r="U40" i="7"/>
  <c r="T40" i="7"/>
  <c r="S40" i="7"/>
  <c r="R40" i="7"/>
  <c r="Q40" i="7"/>
  <c r="P40" i="7"/>
  <c r="O40" i="7"/>
  <c r="N40" i="7"/>
  <c r="M40" i="7"/>
  <c r="L40" i="7"/>
  <c r="W39" i="7"/>
  <c r="V39" i="7"/>
  <c r="U39" i="7"/>
  <c r="T39" i="7"/>
  <c r="S39" i="7"/>
  <c r="R39" i="7"/>
  <c r="Q39" i="7"/>
  <c r="P39" i="7"/>
  <c r="O39" i="7"/>
  <c r="N39" i="7"/>
  <c r="M39" i="7"/>
  <c r="L39" i="7"/>
  <c r="W38" i="7"/>
  <c r="V38" i="7"/>
  <c r="U38" i="7"/>
  <c r="T38" i="7"/>
  <c r="S38" i="7"/>
  <c r="R38" i="7"/>
  <c r="Q38" i="7"/>
  <c r="P38" i="7"/>
  <c r="O38" i="7"/>
  <c r="N38" i="7"/>
  <c r="M38" i="7"/>
  <c r="L38" i="7"/>
  <c r="W37" i="7"/>
  <c r="V37" i="7"/>
  <c r="U37" i="7"/>
  <c r="T37" i="7"/>
  <c r="S37" i="7"/>
  <c r="R37" i="7"/>
  <c r="Q37" i="7"/>
  <c r="P37" i="7"/>
  <c r="O37" i="7"/>
  <c r="N37" i="7"/>
  <c r="M37" i="7"/>
  <c r="L37" i="7"/>
  <c r="W36" i="7"/>
  <c r="V36" i="7"/>
  <c r="U36" i="7"/>
  <c r="T36" i="7"/>
  <c r="S36" i="7"/>
  <c r="R36" i="7"/>
  <c r="Q36" i="7"/>
  <c r="P36" i="7"/>
  <c r="O36" i="7"/>
  <c r="N36" i="7"/>
  <c r="M36" i="7"/>
  <c r="L36" i="7"/>
  <c r="W35" i="7"/>
  <c r="V35" i="7"/>
  <c r="U35" i="7"/>
  <c r="T35" i="7"/>
  <c r="S35" i="7"/>
  <c r="R35" i="7"/>
  <c r="Q35" i="7"/>
  <c r="P35" i="7"/>
  <c r="O35" i="7"/>
  <c r="N35" i="7"/>
  <c r="M35" i="7"/>
  <c r="L35" i="7"/>
  <c r="W34" i="7"/>
  <c r="V34" i="7"/>
  <c r="U34" i="7"/>
  <c r="T34" i="7"/>
  <c r="S34" i="7"/>
  <c r="R34" i="7"/>
  <c r="Q34" i="7"/>
  <c r="P34" i="7"/>
  <c r="O34" i="7"/>
  <c r="N34" i="7"/>
  <c r="M34" i="7"/>
  <c r="L34" i="7"/>
  <c r="W33" i="7"/>
  <c r="V33" i="7"/>
  <c r="U33" i="7"/>
  <c r="T33" i="7"/>
  <c r="S33" i="7"/>
  <c r="R33" i="7"/>
  <c r="Q33" i="7"/>
  <c r="P33" i="7"/>
  <c r="O33" i="7"/>
  <c r="N33" i="7"/>
  <c r="M33" i="7"/>
  <c r="L33" i="7"/>
  <c r="W32" i="7"/>
  <c r="V32" i="7"/>
  <c r="U32" i="7"/>
  <c r="T32" i="7"/>
  <c r="S32" i="7"/>
  <c r="R32" i="7"/>
  <c r="Q32" i="7"/>
  <c r="P32" i="7"/>
  <c r="O32" i="7"/>
  <c r="N32" i="7"/>
  <c r="M32" i="7"/>
  <c r="L32" i="7"/>
  <c r="W31" i="7"/>
  <c r="V31" i="7"/>
  <c r="U31" i="7"/>
  <c r="T31" i="7"/>
  <c r="S31" i="7"/>
  <c r="R31" i="7"/>
  <c r="Q31" i="7"/>
  <c r="P31" i="7"/>
  <c r="O31" i="7"/>
  <c r="N31" i="7"/>
  <c r="M31" i="7"/>
  <c r="L31" i="7"/>
  <c r="W30" i="7"/>
  <c r="V30" i="7"/>
  <c r="U30" i="7"/>
  <c r="T30" i="7"/>
  <c r="S30" i="7"/>
  <c r="R30" i="7"/>
  <c r="Q30" i="7"/>
  <c r="P30" i="7"/>
  <c r="O30" i="7"/>
  <c r="N30" i="7"/>
  <c r="M30" i="7"/>
  <c r="L30" i="7"/>
  <c r="W29" i="7"/>
  <c r="V29" i="7"/>
  <c r="U29" i="7"/>
  <c r="T29" i="7"/>
  <c r="S29" i="7"/>
  <c r="R29" i="7"/>
  <c r="Q29" i="7"/>
  <c r="P29" i="7"/>
  <c r="O29" i="7"/>
  <c r="N29" i="7"/>
  <c r="M29" i="7"/>
  <c r="L29" i="7"/>
  <c r="W28" i="7"/>
  <c r="V28" i="7"/>
  <c r="U28" i="7"/>
  <c r="T28" i="7"/>
  <c r="S28" i="7"/>
  <c r="R28" i="7"/>
  <c r="Q28" i="7"/>
  <c r="P28" i="7"/>
  <c r="O28" i="7"/>
  <c r="N28" i="7"/>
  <c r="M28" i="7"/>
  <c r="L28" i="7"/>
  <c r="W27" i="7"/>
  <c r="V27" i="7"/>
  <c r="U27" i="7"/>
  <c r="T27" i="7"/>
  <c r="S27" i="7"/>
  <c r="R27" i="7"/>
  <c r="Q27" i="7"/>
  <c r="P27" i="7"/>
  <c r="O27" i="7"/>
  <c r="N27" i="7"/>
  <c r="M27" i="7"/>
  <c r="L27" i="7"/>
  <c r="W26" i="7"/>
  <c r="V26" i="7"/>
  <c r="U26" i="7"/>
  <c r="T26" i="7"/>
  <c r="S26" i="7"/>
  <c r="R26" i="7"/>
  <c r="Q26" i="7"/>
  <c r="P26" i="7"/>
  <c r="O26" i="7"/>
  <c r="N26" i="7"/>
  <c r="M26" i="7"/>
  <c r="L26" i="7"/>
  <c r="W25" i="7"/>
  <c r="V25" i="7"/>
  <c r="U25" i="7"/>
  <c r="T25" i="7"/>
  <c r="S25" i="7"/>
  <c r="R25" i="7"/>
  <c r="Q25" i="7"/>
  <c r="P25" i="7"/>
  <c r="O25" i="7"/>
  <c r="N25" i="7"/>
  <c r="M25" i="7"/>
  <c r="L25" i="7"/>
  <c r="W24" i="7"/>
  <c r="V24" i="7"/>
  <c r="U24" i="7"/>
  <c r="T24" i="7"/>
  <c r="S24" i="7"/>
  <c r="R24" i="7"/>
  <c r="Q24" i="7"/>
  <c r="P24" i="7"/>
  <c r="O24" i="7"/>
  <c r="N24" i="7"/>
  <c r="M24" i="7"/>
  <c r="L24" i="7"/>
  <c r="W23" i="7"/>
  <c r="V23" i="7"/>
  <c r="U23" i="7"/>
  <c r="T23" i="7"/>
  <c r="S23" i="7"/>
  <c r="R23" i="7"/>
  <c r="Q23" i="7"/>
  <c r="P23" i="7"/>
  <c r="O23" i="7"/>
  <c r="N23" i="7"/>
  <c r="M23" i="7"/>
  <c r="L23" i="7"/>
  <c r="W22" i="7"/>
  <c r="V22" i="7"/>
  <c r="U22" i="7"/>
  <c r="T22" i="7"/>
  <c r="S22" i="7"/>
  <c r="R22" i="7"/>
  <c r="Q22" i="7"/>
  <c r="P22" i="7"/>
  <c r="O22" i="7"/>
  <c r="N22" i="7"/>
  <c r="M22" i="7"/>
  <c r="L22" i="7"/>
  <c r="W21" i="7"/>
  <c r="V21" i="7"/>
  <c r="U21" i="7"/>
  <c r="T21" i="7"/>
  <c r="S21" i="7"/>
  <c r="R21" i="7"/>
  <c r="Q21" i="7"/>
  <c r="P21" i="7"/>
  <c r="O21" i="7"/>
  <c r="N21" i="7"/>
  <c r="M21" i="7"/>
  <c r="L21" i="7"/>
  <c r="W20" i="7"/>
  <c r="V20" i="7"/>
  <c r="U20" i="7"/>
  <c r="T20" i="7"/>
  <c r="S20" i="7"/>
  <c r="R20" i="7"/>
  <c r="Q20" i="7"/>
  <c r="P20" i="7"/>
  <c r="O20" i="7"/>
  <c r="N20" i="7"/>
  <c r="M20" i="7"/>
  <c r="L20" i="7"/>
  <c r="W19" i="7"/>
  <c r="V19" i="7"/>
  <c r="U19" i="7"/>
  <c r="T19" i="7"/>
  <c r="S19" i="7"/>
  <c r="R19" i="7"/>
  <c r="Q19" i="7"/>
  <c r="P19" i="7"/>
  <c r="O19" i="7"/>
  <c r="N19" i="7"/>
  <c r="M19" i="7"/>
  <c r="L19" i="7"/>
  <c r="W18" i="7"/>
  <c r="V18" i="7"/>
  <c r="U18" i="7"/>
  <c r="T18" i="7"/>
  <c r="S18" i="7"/>
  <c r="R18" i="7"/>
  <c r="Q18" i="7"/>
  <c r="P18" i="7"/>
  <c r="O18" i="7"/>
  <c r="N18" i="7"/>
  <c r="M18" i="7"/>
  <c r="L18" i="7"/>
  <c r="W17" i="7"/>
  <c r="V17" i="7"/>
  <c r="U17" i="7"/>
  <c r="T17" i="7"/>
  <c r="S17" i="7"/>
  <c r="R17" i="7"/>
  <c r="Q17" i="7"/>
  <c r="P17" i="7"/>
  <c r="O17" i="7"/>
  <c r="N17" i="7"/>
  <c r="M17" i="7"/>
  <c r="L17" i="7"/>
  <c r="W16" i="7"/>
  <c r="V16" i="7"/>
  <c r="U16" i="7"/>
  <c r="T16" i="7"/>
  <c r="S16" i="7"/>
  <c r="R16" i="7"/>
  <c r="Q16" i="7"/>
  <c r="P16" i="7"/>
  <c r="O16" i="7"/>
  <c r="N16" i="7"/>
  <c r="M16" i="7"/>
  <c r="L16" i="7"/>
  <c r="W15" i="7"/>
  <c r="V15" i="7"/>
  <c r="U15" i="7"/>
  <c r="T15" i="7"/>
  <c r="S15" i="7"/>
  <c r="R15" i="7"/>
  <c r="Q15" i="7"/>
  <c r="P15" i="7"/>
  <c r="O15" i="7"/>
  <c r="N15" i="7"/>
  <c r="M15" i="7"/>
  <c r="L15" i="7"/>
  <c r="W14" i="7"/>
  <c r="V14" i="7"/>
  <c r="U14" i="7"/>
  <c r="T14" i="7"/>
  <c r="S14" i="7"/>
  <c r="R14" i="7"/>
  <c r="Q14" i="7"/>
  <c r="P14" i="7"/>
  <c r="O14" i="7"/>
  <c r="N14" i="7"/>
  <c r="M14" i="7"/>
  <c r="L14" i="7"/>
  <c r="W13" i="7"/>
  <c r="V13" i="7"/>
  <c r="U13" i="7"/>
  <c r="T13" i="7"/>
  <c r="S13" i="7"/>
  <c r="R13" i="7"/>
  <c r="Q13" i="7"/>
  <c r="P13" i="7"/>
  <c r="O13" i="7"/>
  <c r="N13" i="7"/>
  <c r="M13" i="7"/>
  <c r="L13" i="7"/>
  <c r="W12" i="7"/>
  <c r="V12" i="7"/>
  <c r="U12" i="7"/>
  <c r="T12" i="7"/>
  <c r="S12" i="7"/>
  <c r="R12" i="7"/>
  <c r="Q12" i="7"/>
  <c r="P12" i="7"/>
  <c r="O12" i="7"/>
  <c r="N12" i="7"/>
  <c r="M12" i="7"/>
  <c r="L12" i="7"/>
  <c r="W11" i="7"/>
  <c r="V11" i="7"/>
  <c r="U11" i="7"/>
  <c r="T11" i="7"/>
  <c r="S11" i="7"/>
  <c r="R11" i="7"/>
  <c r="Q11" i="7"/>
  <c r="P11" i="7"/>
  <c r="O11" i="7"/>
  <c r="N11" i="7"/>
  <c r="M11" i="7"/>
  <c r="L11" i="7"/>
  <c r="W10" i="7"/>
  <c r="V10" i="7"/>
  <c r="U10" i="7"/>
  <c r="T10" i="7"/>
  <c r="S10" i="7"/>
  <c r="R10" i="7"/>
  <c r="Q10" i="7"/>
  <c r="P10" i="7"/>
  <c r="O10" i="7"/>
  <c r="N10" i="7"/>
  <c r="M10" i="7"/>
  <c r="L10" i="7"/>
  <c r="W9" i="7"/>
  <c r="V9" i="7"/>
  <c r="U9" i="7"/>
  <c r="T9" i="7"/>
  <c r="S9" i="7"/>
  <c r="R9" i="7"/>
  <c r="Q9" i="7"/>
  <c r="P9" i="7"/>
  <c r="O9" i="7"/>
  <c r="N9" i="7"/>
  <c r="M9" i="7"/>
  <c r="L9" i="7"/>
  <c r="W8" i="7"/>
  <c r="V8" i="7"/>
  <c r="U8" i="7"/>
  <c r="T8" i="7"/>
  <c r="S8" i="7"/>
  <c r="R8" i="7"/>
  <c r="Q8" i="7"/>
  <c r="P8" i="7"/>
  <c r="O8" i="7"/>
  <c r="N8" i="7"/>
  <c r="M8" i="7"/>
  <c r="L8" i="7"/>
  <c r="W7" i="7"/>
  <c r="V7" i="7"/>
  <c r="U7" i="7"/>
  <c r="T7" i="7"/>
  <c r="S7" i="7"/>
  <c r="R7" i="7"/>
  <c r="Q7" i="7"/>
  <c r="P7" i="7"/>
  <c r="O7" i="7"/>
  <c r="N7" i="7"/>
  <c r="M7" i="7"/>
  <c r="L7" i="7"/>
  <c r="W6" i="7"/>
  <c r="V6" i="7"/>
  <c r="U6" i="7"/>
  <c r="T6" i="7"/>
  <c r="S6" i="7"/>
  <c r="R6" i="7"/>
  <c r="Q6" i="7"/>
  <c r="P6" i="7"/>
  <c r="O6" i="7"/>
  <c r="N6" i="7"/>
  <c r="M6" i="7"/>
  <c r="L6" i="7"/>
  <c r="W5" i="7"/>
  <c r="V5" i="7"/>
  <c r="U5" i="7"/>
  <c r="T5" i="7"/>
  <c r="S5" i="7"/>
  <c r="R5" i="7"/>
  <c r="Q5" i="7"/>
  <c r="P5" i="7"/>
  <c r="O5" i="7"/>
  <c r="N5" i="7"/>
  <c r="M5" i="7"/>
  <c r="L5" i="7"/>
  <c r="W4" i="7"/>
  <c r="V4" i="7"/>
  <c r="U4" i="7"/>
  <c r="T4" i="7"/>
  <c r="S4" i="7"/>
  <c r="R4" i="7"/>
  <c r="Q4" i="7"/>
  <c r="P4" i="7"/>
  <c r="O4" i="7"/>
  <c r="N4" i="7"/>
  <c r="M4" i="7"/>
  <c r="L4" i="7"/>
  <c r="W3" i="7"/>
  <c r="V3" i="7"/>
  <c r="U3" i="7"/>
  <c r="T3" i="7"/>
  <c r="S3" i="7"/>
  <c r="R3" i="7"/>
  <c r="Q3" i="7"/>
  <c r="P3" i="7"/>
  <c r="O3" i="7"/>
  <c r="N3" i="7"/>
  <c r="M3" i="7"/>
  <c r="L3" i="7"/>
  <c r="W2" i="7"/>
  <c r="V2" i="7"/>
  <c r="U2" i="7"/>
  <c r="T2" i="7"/>
  <c r="S2" i="7"/>
  <c r="R2" i="7"/>
  <c r="Q2" i="7"/>
  <c r="P2" i="7"/>
  <c r="O2" i="7"/>
  <c r="N2" i="7"/>
  <c r="M2" i="7"/>
  <c r="L2" i="7"/>
  <c r="H43" i="12"/>
  <c r="H46" i="12" l="1"/>
  <c r="J46" i="12" l="1"/>
  <c r="H49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<sst xmlns="http://schemas.openxmlformats.org/spreadsheetml/2006/main" count="8374" uniqueCount="2110">
  <si>
    <t>Excel Dashboard Case Study Dataset</t>
  </si>
  <si>
    <t>Business Scenario</t>
  </si>
  <si>
    <t>A Bangladesh retail company wants to monitor sales, target achievement, profit, discount, delivery, and customer rating across regions, stores, products, and salespeople.</t>
  </si>
  <si>
    <t>Main Goal</t>
  </si>
  <si>
    <t>Students will build an Excel dashboard and identify business problems from data.</t>
  </si>
  <si>
    <t>Data Model</t>
  </si>
  <si>
    <t>Fact_Sales connects with Dim_Customer, Dim_Region, Dim_Store, Dim_Product, and Dim_Salesman using IDs.</t>
  </si>
  <si>
    <t>Important Rule 1</t>
  </si>
  <si>
    <t>Customer, Store, and Salesperson IDs are region-wise. A Dhaka customer/store/salesperson will not be assigned to another region.</t>
  </si>
  <si>
    <t>Important Rule 2</t>
  </si>
  <si>
    <t>Product category is controlled in Dim_Product, so product name and category mismatch will not happen.</t>
  </si>
  <si>
    <t>Important Rule 3</t>
  </si>
  <si>
    <t>Customer rating is intentionally linked with delivery days. Higher delivery days usually creates lower rating.</t>
  </si>
  <si>
    <t>Student Task 1</t>
  </si>
  <si>
    <t>Clean/check the dataset and confirm IDs are consistent.</t>
  </si>
  <si>
    <t>Student Task 2</t>
  </si>
  <si>
    <t>Create pivot analysis: sales by region, category, month, salesperson, and store.</t>
  </si>
  <si>
    <t>Student Task 3</t>
  </si>
  <si>
    <t>Build dashboard with KPI cards, charts, slicers, and business findings.</t>
  </si>
  <si>
    <t>Student Task 4</t>
  </si>
  <si>
    <t>Write at least 5 business findings using Observation → Reason → Impact → Recommendation.</t>
  </si>
  <si>
    <t>Region_ID</t>
  </si>
  <si>
    <t>Region_Name</t>
  </si>
  <si>
    <t>Region_Code</t>
  </si>
  <si>
    <t>Zone</t>
  </si>
  <si>
    <t>Main_City</t>
  </si>
  <si>
    <t>Regional_Manager</t>
  </si>
  <si>
    <t>R01</t>
  </si>
  <si>
    <t>Dhaka</t>
  </si>
  <si>
    <t>DHA</t>
  </si>
  <si>
    <t>Central</t>
  </si>
  <si>
    <t>Faisal Ahmed</t>
  </si>
  <si>
    <t>R02</t>
  </si>
  <si>
    <t>Chattogram</t>
  </si>
  <si>
    <t>CTG</t>
  </si>
  <si>
    <t>South-East</t>
  </si>
  <si>
    <t>Nayeem Rahman</t>
  </si>
  <si>
    <t>R03</t>
  </si>
  <si>
    <t>Sylhet</t>
  </si>
  <si>
    <t>SYL</t>
  </si>
  <si>
    <t>North-East</t>
  </si>
  <si>
    <t>Rumana Sultana</t>
  </si>
  <si>
    <t>R04</t>
  </si>
  <si>
    <t>Rajshahi</t>
  </si>
  <si>
    <t>RAJ</t>
  </si>
  <si>
    <t>North-West</t>
  </si>
  <si>
    <t>Tanvir Hossain</t>
  </si>
  <si>
    <t>R05</t>
  </si>
  <si>
    <t>Khulna</t>
  </si>
  <si>
    <t>KHL</t>
  </si>
  <si>
    <t>South-West</t>
  </si>
  <si>
    <t>Sadia Akter</t>
  </si>
  <si>
    <t>R06</t>
  </si>
  <si>
    <t>Barishal</t>
  </si>
  <si>
    <t>BAR</t>
  </si>
  <si>
    <t>South</t>
  </si>
  <si>
    <t>Arif Khan</t>
  </si>
  <si>
    <t>R07</t>
  </si>
  <si>
    <t>Rangpur</t>
  </si>
  <si>
    <t>RAN</t>
  </si>
  <si>
    <t>North</t>
  </si>
  <si>
    <t>Mahmud Islam</t>
  </si>
  <si>
    <t>R08</t>
  </si>
  <si>
    <t>Mymensingh</t>
  </si>
  <si>
    <t>MYM</t>
  </si>
  <si>
    <t>Central-North</t>
  </si>
  <si>
    <t>Nusrat Chowdhury</t>
  </si>
  <si>
    <t>Customer_ID</t>
  </si>
  <si>
    <t>Customer_Name</t>
  </si>
  <si>
    <t>DOB</t>
  </si>
  <si>
    <t>Mobile</t>
  </si>
  <si>
    <t>Gender</t>
  </si>
  <si>
    <t>Family_Members</t>
  </si>
  <si>
    <t>CUS-DHA-001</t>
  </si>
  <si>
    <t>01601543039</t>
  </si>
  <si>
    <t>Male</t>
  </si>
  <si>
    <t>CUS-DHA-002</t>
  </si>
  <si>
    <t>Tamanna Hossain</t>
  </si>
  <si>
    <t>01878248963</t>
  </si>
  <si>
    <t>CUS-DHA-003</t>
  </si>
  <si>
    <t>Tania Chowdhury</t>
  </si>
  <si>
    <t>01333150983</t>
  </si>
  <si>
    <t>CUS-DHA-004</t>
  </si>
  <si>
    <t>Mahmud Ahmed</t>
  </si>
  <si>
    <t>01951834738</t>
  </si>
  <si>
    <t>CUS-DHA-005</t>
  </si>
  <si>
    <t>Imran Uddin</t>
  </si>
  <si>
    <t>01663116566</t>
  </si>
  <si>
    <t>Female</t>
  </si>
  <si>
    <t>CUS-DHA-006</t>
  </si>
  <si>
    <t>Tania Hossain</t>
  </si>
  <si>
    <t>01513338726</t>
  </si>
  <si>
    <t>CUS-DHA-007</t>
  </si>
  <si>
    <t>Shamim Hossain</t>
  </si>
  <si>
    <t>01380132677</t>
  </si>
  <si>
    <t>CUS-DHA-008</t>
  </si>
  <si>
    <t>Karim Islam</t>
  </si>
  <si>
    <t>01574687234</t>
  </si>
  <si>
    <t>CUS-DHA-009</t>
  </si>
  <si>
    <t>Rumana Ahmed</t>
  </si>
  <si>
    <t>01778820812</t>
  </si>
  <si>
    <t>CUS-DHA-010</t>
  </si>
  <si>
    <t>Shamim Khan</t>
  </si>
  <si>
    <t>01499091699</t>
  </si>
  <si>
    <t>CUS-DHA-011</t>
  </si>
  <si>
    <t>Nabila Chowdhury</t>
  </si>
  <si>
    <t>01447510799</t>
  </si>
  <si>
    <t>CUS-DHA-012</t>
  </si>
  <si>
    <t>01454278498</t>
  </si>
  <si>
    <t>CUS-DHA-013</t>
  </si>
  <si>
    <t>Arif Hossain</t>
  </si>
  <si>
    <t>01382449353</t>
  </si>
  <si>
    <t>CUS-DHA-014</t>
  </si>
  <si>
    <t>Shaila Ahmed</t>
  </si>
  <si>
    <t>01940052427</t>
  </si>
  <si>
    <t>CUS-DHA-015</t>
  </si>
  <si>
    <t>Hasan Islam</t>
  </si>
  <si>
    <t>01598262045</t>
  </si>
  <si>
    <t>CUS-DHA-016</t>
  </si>
  <si>
    <t>Rafi Hossain</t>
  </si>
  <si>
    <t>01692322602</t>
  </si>
  <si>
    <t>CUS-DHA-017</t>
  </si>
  <si>
    <t>Shakib Khan</t>
  </si>
  <si>
    <t>01816073375</t>
  </si>
  <si>
    <t>CUS-DHA-018</t>
  </si>
  <si>
    <t>Rafi Khan</t>
  </si>
  <si>
    <t>01654145868</t>
  </si>
  <si>
    <t>CUS-DHA-019</t>
  </si>
  <si>
    <t>Sadia Islam</t>
  </si>
  <si>
    <t>01765569816</t>
  </si>
  <si>
    <t>CUS-DHA-020</t>
  </si>
  <si>
    <t>Tanjim Ahmed</t>
  </si>
  <si>
    <t>01835615951</t>
  </si>
  <si>
    <t>CUS-DHA-021</t>
  </si>
  <si>
    <t>Tanjim Chowdhury</t>
  </si>
  <si>
    <t>01723662994</t>
  </si>
  <si>
    <t>CUS-DHA-022</t>
  </si>
  <si>
    <t>Arif Rahman</t>
  </si>
  <si>
    <t>01795777387</t>
  </si>
  <si>
    <t>CUS-DHA-023</t>
  </si>
  <si>
    <t>Nayeem Uddin</t>
  </si>
  <si>
    <t>01934332003</t>
  </si>
  <si>
    <t>CUS-DHA-024</t>
  </si>
  <si>
    <t>Hasan Akter</t>
  </si>
  <si>
    <t>01467632016</t>
  </si>
  <si>
    <t>CUS-DHA-025</t>
  </si>
  <si>
    <t>Nabila Sultana</t>
  </si>
  <si>
    <t>01417278895</t>
  </si>
  <si>
    <t>CUS-CTG-001</t>
  </si>
  <si>
    <t>Shaila Sultana</t>
  </si>
  <si>
    <t>01477434873</t>
  </si>
  <si>
    <t>CUS-CTG-002</t>
  </si>
  <si>
    <t>01712236231</t>
  </si>
  <si>
    <t>CUS-CTG-003</t>
  </si>
  <si>
    <t>Shuvo Mia</t>
  </si>
  <si>
    <t>01669096705</t>
  </si>
  <si>
    <t>CUS-CTG-004</t>
  </si>
  <si>
    <t>Shaila Mia</t>
  </si>
  <si>
    <t>01793734670</t>
  </si>
  <si>
    <t>CUS-CTG-005</t>
  </si>
  <si>
    <t>Shakib Mia</t>
  </si>
  <si>
    <t>01780699016</t>
  </si>
  <si>
    <t>CUS-CTG-006</t>
  </si>
  <si>
    <t>Karim Rahman</t>
  </si>
  <si>
    <t>01655646417</t>
  </si>
  <si>
    <t>CUS-CTG-007</t>
  </si>
  <si>
    <t>Mehedi Khan</t>
  </si>
  <si>
    <t>01903309232</t>
  </si>
  <si>
    <t>CUS-CTG-008</t>
  </si>
  <si>
    <t>Mim Akter</t>
  </si>
  <si>
    <t>01791241904</t>
  </si>
  <si>
    <t>CUS-CTG-009</t>
  </si>
  <si>
    <t>Mim Hossain</t>
  </si>
  <si>
    <t>01949190586</t>
  </si>
  <si>
    <t>CUS-CTG-010</t>
  </si>
  <si>
    <t>Jannat Ahmed</t>
  </si>
  <si>
    <t>01657262849</t>
  </si>
  <si>
    <t>CUS-CTG-011</t>
  </si>
  <si>
    <t>Rasel Uddin</t>
  </si>
  <si>
    <t>01414737996</t>
  </si>
  <si>
    <t>CUS-CTG-012</t>
  </si>
  <si>
    <t>Jannat Islam</t>
  </si>
  <si>
    <t>01945494808</t>
  </si>
  <si>
    <t>CUS-CTG-013</t>
  </si>
  <si>
    <t>Tanjim Akter</t>
  </si>
  <si>
    <t>01677014363</t>
  </si>
  <si>
    <t>CUS-CTG-014</t>
  </si>
  <si>
    <t>Ayesha Sultana</t>
  </si>
  <si>
    <t>01885574443</t>
  </si>
  <si>
    <t>CUS-CTG-015</t>
  </si>
  <si>
    <t>Sajib Sultana</t>
  </si>
  <si>
    <t>01874989413</t>
  </si>
  <si>
    <t>CUS-CTG-016</t>
  </si>
  <si>
    <t>Arif Ahmed</t>
  </si>
  <si>
    <t>01308427109</t>
  </si>
  <si>
    <t>CUS-CTG-017</t>
  </si>
  <si>
    <t>01611671902</t>
  </si>
  <si>
    <t>CUS-CTG-018</t>
  </si>
  <si>
    <t>01969993867</t>
  </si>
  <si>
    <t>CUS-CTG-019</t>
  </si>
  <si>
    <t>Tanjim Rahman</t>
  </si>
  <si>
    <t>01333412328</t>
  </si>
  <si>
    <t>CUS-CTG-020</t>
  </si>
  <si>
    <t>Shuvo Uddin</t>
  </si>
  <si>
    <t>01444713493</t>
  </si>
  <si>
    <t>CUS-CTG-021</t>
  </si>
  <si>
    <t>01324994717</t>
  </si>
  <si>
    <t>CUS-CTG-022</t>
  </si>
  <si>
    <t>Sadia Sultana</t>
  </si>
  <si>
    <t>01390659401</t>
  </si>
  <si>
    <t>CUS-CTG-023</t>
  </si>
  <si>
    <t>01590278742</t>
  </si>
  <si>
    <t>CUS-CTG-024</t>
  </si>
  <si>
    <t>01512567468</t>
  </si>
  <si>
    <t>CUS-CTG-025</t>
  </si>
  <si>
    <t>Sadia Chowdhury</t>
  </si>
  <si>
    <t>01708760385</t>
  </si>
  <si>
    <t>CUS-SYL-001</t>
  </si>
  <si>
    <t>Karim Khan</t>
  </si>
  <si>
    <t>01577109324</t>
  </si>
  <si>
    <t>CUS-SYL-002</t>
  </si>
  <si>
    <t>01927484677</t>
  </si>
  <si>
    <t>CUS-SYL-003</t>
  </si>
  <si>
    <t>Farhana Khan</t>
  </si>
  <si>
    <t>01914658404</t>
  </si>
  <si>
    <t>CUS-SYL-004</t>
  </si>
  <si>
    <t>Tania Akter</t>
  </si>
  <si>
    <t>01655886753</t>
  </si>
  <si>
    <t>CUS-SYL-005</t>
  </si>
  <si>
    <t>Shamim Mia</t>
  </si>
  <si>
    <t>01666270289</t>
  </si>
  <si>
    <t>CUS-SYL-006</t>
  </si>
  <si>
    <t>Shamim Akter</t>
  </si>
  <si>
    <t>01326217459</t>
  </si>
  <si>
    <t>CUS-SYL-007</t>
  </si>
  <si>
    <t>Jannat Sultana</t>
  </si>
  <si>
    <t>01878091343</t>
  </si>
  <si>
    <t>CUS-SYL-008</t>
  </si>
  <si>
    <t>Morshed Hossain</t>
  </si>
  <si>
    <t>01500504556</t>
  </si>
  <si>
    <t>CUS-SYL-009</t>
  </si>
  <si>
    <t>Imran Islam</t>
  </si>
  <si>
    <t>01769379237</t>
  </si>
  <si>
    <t>CUS-SYL-010</t>
  </si>
  <si>
    <t>Rahim Akter</t>
  </si>
  <si>
    <t>01417594647</t>
  </si>
  <si>
    <t>CUS-SYL-011</t>
  </si>
  <si>
    <t>01759440640</t>
  </si>
  <si>
    <t>CUS-SYL-012</t>
  </si>
  <si>
    <t>Tamanna Rahman</t>
  </si>
  <si>
    <t>01533942104</t>
  </si>
  <si>
    <t>CUS-SYL-013</t>
  </si>
  <si>
    <t>Rasel Islam</t>
  </si>
  <si>
    <t>01862328588</t>
  </si>
  <si>
    <t>CUS-SYL-014</t>
  </si>
  <si>
    <t>Fahim Akter</t>
  </si>
  <si>
    <t>01517123685</t>
  </si>
  <si>
    <t>CUS-SYL-015</t>
  </si>
  <si>
    <t>01849651370</t>
  </si>
  <si>
    <t>CUS-SYL-016</t>
  </si>
  <si>
    <t>01320047113</t>
  </si>
  <si>
    <t>CUS-SYL-017</t>
  </si>
  <si>
    <t>Tania Sultana</t>
  </si>
  <si>
    <t>01826179640</t>
  </si>
  <si>
    <t>CUS-SYL-018</t>
  </si>
  <si>
    <t>Rafi Chowdhury</t>
  </si>
  <si>
    <t>01750643171</t>
  </si>
  <si>
    <t>CUS-SYL-019</t>
  </si>
  <si>
    <t>Rahim Ahmed</t>
  </si>
  <si>
    <t>01993183933</t>
  </si>
  <si>
    <t>CUS-SYL-020</t>
  </si>
  <si>
    <t>Shaila Uddin</t>
  </si>
  <si>
    <t>01428421020</t>
  </si>
  <si>
    <t>CUS-SYL-021</t>
  </si>
  <si>
    <t>Imran Chowdhury</t>
  </si>
  <si>
    <t>01326811775</t>
  </si>
  <si>
    <t>CUS-SYL-022</t>
  </si>
  <si>
    <t>Samiha Ahmed</t>
  </si>
  <si>
    <t>01800766177</t>
  </si>
  <si>
    <t>CUS-SYL-023</t>
  </si>
  <si>
    <t>01898569847</t>
  </si>
  <si>
    <t>CUS-SYL-024</t>
  </si>
  <si>
    <t>01465766156</t>
  </si>
  <si>
    <t>CUS-SYL-025</t>
  </si>
  <si>
    <t>Tanvir Akter</t>
  </si>
  <si>
    <t>01316152809</t>
  </si>
  <si>
    <t>CUS-RAJ-001</t>
  </si>
  <si>
    <t>Mehedi Mia</t>
  </si>
  <si>
    <t>01551983273</t>
  </si>
  <si>
    <t>CUS-RAJ-002</t>
  </si>
  <si>
    <t>Mehedi Hossain</t>
  </si>
  <si>
    <t>01968998094</t>
  </si>
  <si>
    <t>CUS-RAJ-003</t>
  </si>
  <si>
    <t>Morshed Rahman</t>
  </si>
  <si>
    <t>01429612018</t>
  </si>
  <si>
    <t>CUS-RAJ-004</t>
  </si>
  <si>
    <t>01599102290</t>
  </si>
  <si>
    <t>CUS-RAJ-005</t>
  </si>
  <si>
    <t>01481561497</t>
  </si>
  <si>
    <t>CUS-RAJ-006</t>
  </si>
  <si>
    <t>01424451076</t>
  </si>
  <si>
    <t>CUS-RAJ-007</t>
  </si>
  <si>
    <t>Nabila Khan</t>
  </si>
  <si>
    <t>01851606071</t>
  </si>
  <si>
    <t>CUS-RAJ-008</t>
  </si>
  <si>
    <t>Farhana Mia</t>
  </si>
  <si>
    <t>01352975161</t>
  </si>
  <si>
    <t>CUS-RAJ-009</t>
  </si>
  <si>
    <t>Nayeem Hossain</t>
  </si>
  <si>
    <t>01535218188</t>
  </si>
  <si>
    <t>CUS-RAJ-010</t>
  </si>
  <si>
    <t>01532921277</t>
  </si>
  <si>
    <t>CUS-RAJ-011</t>
  </si>
  <si>
    <t>01471774490</t>
  </si>
  <si>
    <t>CUS-RAJ-012</t>
  </si>
  <si>
    <t>Shuvo Akter</t>
  </si>
  <si>
    <t>01941199867</t>
  </si>
  <si>
    <t>CUS-RAJ-013</t>
  </si>
  <si>
    <t>Imran Khan</t>
  </si>
  <si>
    <t>01720715182</t>
  </si>
  <si>
    <t>CUS-RAJ-014</t>
  </si>
  <si>
    <t>Shuvo Sultana</t>
  </si>
  <si>
    <t>01554665905</t>
  </si>
  <si>
    <t>CUS-RAJ-015</t>
  </si>
  <si>
    <t>Tania Mia</t>
  </si>
  <si>
    <t>01992519254</t>
  </si>
  <si>
    <t>CUS-RAJ-016</t>
  </si>
  <si>
    <t>Hasan Rahman</t>
  </si>
  <si>
    <t>01952816850</t>
  </si>
  <si>
    <t>CUS-RAJ-017</t>
  </si>
  <si>
    <t>Mim Chowdhury</t>
  </si>
  <si>
    <t>01421418880</t>
  </si>
  <si>
    <t>CUS-RAJ-018</t>
  </si>
  <si>
    <t>Samiha Mia</t>
  </si>
  <si>
    <t>01992706537</t>
  </si>
  <si>
    <t>CUS-RAJ-019</t>
  </si>
  <si>
    <t>Shuvo Khan</t>
  </si>
  <si>
    <t>01973597746</t>
  </si>
  <si>
    <t>CUS-RAJ-020</t>
  </si>
  <si>
    <t>Shakib Uddin</t>
  </si>
  <si>
    <t>01875818141</t>
  </si>
  <si>
    <t>CUS-RAJ-021</t>
  </si>
  <si>
    <t>Nayeem Islam</t>
  </si>
  <si>
    <t>01975060685</t>
  </si>
  <si>
    <t>CUS-RAJ-022</t>
  </si>
  <si>
    <t>01952204727</t>
  </si>
  <si>
    <t>CUS-RAJ-023</t>
  </si>
  <si>
    <t>Hasan Ahmed</t>
  </si>
  <si>
    <t>01489861434</t>
  </si>
  <si>
    <t>CUS-RAJ-024</t>
  </si>
  <si>
    <t>Mahmud Uddin</t>
  </si>
  <si>
    <t>01979808932</t>
  </si>
  <si>
    <t>CUS-RAJ-025</t>
  </si>
  <si>
    <t>01818518888</t>
  </si>
  <si>
    <t>CUS-KHL-001</t>
  </si>
  <si>
    <t>Karim Mia</t>
  </si>
  <si>
    <t>01351531952</t>
  </si>
  <si>
    <t>CUS-KHL-002</t>
  </si>
  <si>
    <t>Tamanna Islam</t>
  </si>
  <si>
    <t>01822170430</t>
  </si>
  <si>
    <t>CUS-KHL-003</t>
  </si>
  <si>
    <t>Arif Sultana</t>
  </si>
  <si>
    <t>01503450541</t>
  </si>
  <si>
    <t>CUS-KHL-004</t>
  </si>
  <si>
    <t>Rasel Akter</t>
  </si>
  <si>
    <t>01675841616</t>
  </si>
  <si>
    <t>CUS-KHL-005</t>
  </si>
  <si>
    <t>Sajib Hossain</t>
  </si>
  <si>
    <t>01579627570</t>
  </si>
  <si>
    <t>CUS-KHL-006</t>
  </si>
  <si>
    <t>Sadia Ahmed</t>
  </si>
  <si>
    <t>01658202970</t>
  </si>
  <si>
    <t>CUS-KHL-007</t>
  </si>
  <si>
    <t>Mahmud Chowdhury</t>
  </si>
  <si>
    <t>01392755719</t>
  </si>
  <si>
    <t>CUS-KHL-008</t>
  </si>
  <si>
    <t>Jannat Rahman</t>
  </si>
  <si>
    <t>01827868144</t>
  </si>
  <si>
    <t>CUS-KHL-009</t>
  </si>
  <si>
    <t>Arif Akter</t>
  </si>
  <si>
    <t>01917271551</t>
  </si>
  <si>
    <t>CUS-KHL-010</t>
  </si>
  <si>
    <t>Nabila Islam</t>
  </si>
  <si>
    <t>01332370589</t>
  </si>
  <si>
    <t>CUS-KHL-011</t>
  </si>
  <si>
    <t>Rumana Islam</t>
  </si>
  <si>
    <t>01678669125</t>
  </si>
  <si>
    <t>CUS-KHL-012</t>
  </si>
  <si>
    <t>Nayeem Chowdhury</t>
  </si>
  <si>
    <t>01722680182</t>
  </si>
  <si>
    <t>CUS-KHL-013</t>
  </si>
  <si>
    <t>Fahim Khan</t>
  </si>
  <si>
    <t>01914384249</t>
  </si>
  <si>
    <t>CUS-KHL-014</t>
  </si>
  <si>
    <t>01795900109</t>
  </si>
  <si>
    <t>CUS-KHL-015</t>
  </si>
  <si>
    <t>Imran Mia</t>
  </si>
  <si>
    <t>01744736471</t>
  </si>
  <si>
    <t>CUS-KHL-016</t>
  </si>
  <si>
    <t>Ayesha Akter</t>
  </si>
  <si>
    <t>01455562588</t>
  </si>
  <si>
    <t>CUS-KHL-017</t>
  </si>
  <si>
    <t>Sajib Rahman</t>
  </si>
  <si>
    <t>01304696325</t>
  </si>
  <si>
    <t>CUS-KHL-018</t>
  </si>
  <si>
    <t>01601687339</t>
  </si>
  <si>
    <t>CUS-KHL-019</t>
  </si>
  <si>
    <t>Ayesha Uddin</t>
  </si>
  <si>
    <t>01316245650</t>
  </si>
  <si>
    <t>CUS-KHL-020</t>
  </si>
  <si>
    <t>01687849912</t>
  </si>
  <si>
    <t>CUS-KHL-021</t>
  </si>
  <si>
    <t>01786800025</t>
  </si>
  <si>
    <t>CUS-KHL-022</t>
  </si>
  <si>
    <t>Samiha Sultana</t>
  </si>
  <si>
    <t>01526949588</t>
  </si>
  <si>
    <t>CUS-KHL-023</t>
  </si>
  <si>
    <t>Ayesha Ahmed</t>
  </si>
  <si>
    <t>01369409749</t>
  </si>
  <si>
    <t>CUS-KHL-024</t>
  </si>
  <si>
    <t>Ayesha Islam</t>
  </si>
  <si>
    <t>01762309130</t>
  </si>
  <si>
    <t>CUS-KHL-025</t>
  </si>
  <si>
    <t>Tanjim Khan</t>
  </si>
  <si>
    <t>01770283857</t>
  </si>
  <si>
    <t>CUS-BAR-001</t>
  </si>
  <si>
    <t>01849733484</t>
  </si>
  <si>
    <t>CUS-BAR-002</t>
  </si>
  <si>
    <t>01584419866</t>
  </si>
  <si>
    <t>CUS-BAR-003</t>
  </si>
  <si>
    <t>01574733848</t>
  </si>
  <si>
    <t>CUS-BAR-004</t>
  </si>
  <si>
    <t>01883301657</t>
  </si>
  <si>
    <t>CUS-BAR-005</t>
  </si>
  <si>
    <t>Rahim Sultana</t>
  </si>
  <si>
    <t>01673454019</t>
  </si>
  <si>
    <t>CUS-BAR-006</t>
  </si>
  <si>
    <t>Shamim Ahmed</t>
  </si>
  <si>
    <t>01406724004</t>
  </si>
  <si>
    <t>CUS-BAR-007</t>
  </si>
  <si>
    <t>Mahmud Sultana</t>
  </si>
  <si>
    <t>01987431527</t>
  </si>
  <si>
    <t>CUS-BAR-008</t>
  </si>
  <si>
    <t>Rasel Chowdhury</t>
  </si>
  <si>
    <t>01932966851</t>
  </si>
  <si>
    <t>CUS-BAR-009</t>
  </si>
  <si>
    <t>01563745499</t>
  </si>
  <si>
    <t>CUS-BAR-010</t>
  </si>
  <si>
    <t>01642684145</t>
  </si>
  <si>
    <t>CUS-BAR-011</t>
  </si>
  <si>
    <t>01568783391</t>
  </si>
  <si>
    <t>CUS-BAR-012</t>
  </si>
  <si>
    <t>Hasan Uddin</t>
  </si>
  <si>
    <t>01783982258</t>
  </si>
  <si>
    <t>CUS-BAR-013</t>
  </si>
  <si>
    <t>Nabila Uddin</t>
  </si>
  <si>
    <t>01607286790</t>
  </si>
  <si>
    <t>CUS-BAR-014</t>
  </si>
  <si>
    <t>Rasel Ahmed</t>
  </si>
  <si>
    <t>01339106518</t>
  </si>
  <si>
    <t>CUS-BAR-015</t>
  </si>
  <si>
    <t>01926567661</t>
  </si>
  <si>
    <t>CUS-BAR-016</t>
  </si>
  <si>
    <t>Sajib Islam</t>
  </si>
  <si>
    <t>01430047868</t>
  </si>
  <si>
    <t>CUS-BAR-017</t>
  </si>
  <si>
    <t>Shuvo Chowdhury</t>
  </si>
  <si>
    <t>01810690331</t>
  </si>
  <si>
    <t>CUS-BAR-018</t>
  </si>
  <si>
    <t>01673830284</t>
  </si>
  <si>
    <t>CUS-BAR-019</t>
  </si>
  <si>
    <t>01483644089</t>
  </si>
  <si>
    <t>CUS-BAR-020</t>
  </si>
  <si>
    <t>Rumana Akter</t>
  </si>
  <si>
    <t>01868566246</t>
  </si>
  <si>
    <t>CUS-BAR-021</t>
  </si>
  <si>
    <t>01970866882</t>
  </si>
  <si>
    <t>CUS-BAR-022</t>
  </si>
  <si>
    <t>Jannat Hossain</t>
  </si>
  <si>
    <t>01730469901</t>
  </si>
  <si>
    <t>CUS-BAR-023</t>
  </si>
  <si>
    <t>Rasel Sultana</t>
  </si>
  <si>
    <t>01954033173</t>
  </si>
  <si>
    <t>CUS-BAR-024</t>
  </si>
  <si>
    <t>Rumana Chowdhury</t>
  </si>
  <si>
    <t>01754458771</t>
  </si>
  <si>
    <t>CUS-BAR-025</t>
  </si>
  <si>
    <t>01393204899</t>
  </si>
  <si>
    <t>CUS-RAN-001</t>
  </si>
  <si>
    <t>Jannat Khan</t>
  </si>
  <si>
    <t>01478547772</t>
  </si>
  <si>
    <t>CUS-RAN-002</t>
  </si>
  <si>
    <t>01380100623</t>
  </si>
  <si>
    <t>CUS-RAN-003</t>
  </si>
  <si>
    <t>Mim Sultana</t>
  </si>
  <si>
    <t>01797700886</t>
  </si>
  <si>
    <t>CUS-RAN-004</t>
  </si>
  <si>
    <t>01962118233</t>
  </si>
  <si>
    <t>CUS-RAN-005</t>
  </si>
  <si>
    <t>01693341016</t>
  </si>
  <si>
    <t>CUS-RAN-006</t>
  </si>
  <si>
    <t>Karim Ahmed</t>
  </si>
  <si>
    <t>01965918033</t>
  </si>
  <si>
    <t>CUS-RAN-007</t>
  </si>
  <si>
    <t>01325039261</t>
  </si>
  <si>
    <t>CUS-RAN-008</t>
  </si>
  <si>
    <t>01921850163</t>
  </si>
  <si>
    <t>CUS-RAN-009</t>
  </si>
  <si>
    <t>Samiha Uddin</t>
  </si>
  <si>
    <t>01847735866</t>
  </si>
  <si>
    <t>CUS-RAN-010</t>
  </si>
  <si>
    <t>Farhana Hossain</t>
  </si>
  <si>
    <t>01314262655</t>
  </si>
  <si>
    <t>CUS-RAN-011</t>
  </si>
  <si>
    <t>01412678886</t>
  </si>
  <si>
    <t>CUS-RAN-012</t>
  </si>
  <si>
    <t>Rumana Hossain</t>
  </si>
  <si>
    <t>01566183982</t>
  </si>
  <si>
    <t>CUS-RAN-013</t>
  </si>
  <si>
    <t>01464647154</t>
  </si>
  <si>
    <t>CUS-RAN-014</t>
  </si>
  <si>
    <t>01440659657</t>
  </si>
  <si>
    <t>CUS-RAN-015</t>
  </si>
  <si>
    <t>Shamim Uddin</t>
  </si>
  <si>
    <t>01737526547</t>
  </si>
  <si>
    <t>CUS-RAN-016</t>
  </si>
  <si>
    <t>Tamanna Mia</t>
  </si>
  <si>
    <t>01498280737</t>
  </si>
  <si>
    <t>CUS-RAN-017</t>
  </si>
  <si>
    <t>01534266179</t>
  </si>
  <si>
    <t>CUS-RAN-018</t>
  </si>
  <si>
    <t>Nayeem Mia</t>
  </si>
  <si>
    <t>01589113529</t>
  </si>
  <si>
    <t>CUS-RAN-019</t>
  </si>
  <si>
    <t>01314388899</t>
  </si>
  <si>
    <t>CUS-RAN-020</t>
  </si>
  <si>
    <t>01371461125</t>
  </si>
  <si>
    <t>CUS-RAN-021</t>
  </si>
  <si>
    <t>01377514010</t>
  </si>
  <si>
    <t>CUS-RAN-022</t>
  </si>
  <si>
    <t>Shakib Islam</t>
  </si>
  <si>
    <t>01725867362</t>
  </si>
  <si>
    <t>CUS-RAN-023</t>
  </si>
  <si>
    <t>Farhana Ahmed</t>
  </si>
  <si>
    <t>01660334191</t>
  </si>
  <si>
    <t>CUS-RAN-024</t>
  </si>
  <si>
    <t>Shuvo Hossain</t>
  </si>
  <si>
    <t>01685969691</t>
  </si>
  <si>
    <t>CUS-RAN-025</t>
  </si>
  <si>
    <t>Samiha Islam</t>
  </si>
  <si>
    <t>01325134125</t>
  </si>
  <si>
    <t>CUS-MYM-001</t>
  </si>
  <si>
    <t>01682827422</t>
  </si>
  <si>
    <t>CUS-MYM-002</t>
  </si>
  <si>
    <t>Karim Chowdhury</t>
  </si>
  <si>
    <t>01468876767</t>
  </si>
  <si>
    <t>CUS-MYM-003</t>
  </si>
  <si>
    <t>Rahim Khan</t>
  </si>
  <si>
    <t>01484279788</t>
  </si>
  <si>
    <t>CUS-MYM-004</t>
  </si>
  <si>
    <t>Morshed Sultana</t>
  </si>
  <si>
    <t>01907836134</t>
  </si>
  <si>
    <t>CUS-MYM-005</t>
  </si>
  <si>
    <t>01933959629</t>
  </si>
  <si>
    <t>CUS-MYM-006</t>
  </si>
  <si>
    <t>Mim Ahmed</t>
  </si>
  <si>
    <t>01782544948</t>
  </si>
  <si>
    <t>CUS-MYM-007</t>
  </si>
  <si>
    <t>01822325367</t>
  </si>
  <si>
    <t>CUS-MYM-008</t>
  </si>
  <si>
    <t>Mahmud Mia</t>
  </si>
  <si>
    <t>01816845775</t>
  </si>
  <si>
    <t>CUS-MYM-009</t>
  </si>
  <si>
    <t>Rasel Hossain</t>
  </si>
  <si>
    <t>01851863637</t>
  </si>
  <si>
    <t>CUS-MYM-010</t>
  </si>
  <si>
    <t>01650017012</t>
  </si>
  <si>
    <t>CUS-MYM-011</t>
  </si>
  <si>
    <t>01441541520</t>
  </si>
  <si>
    <t>CUS-MYM-012</t>
  </si>
  <si>
    <t>01810371293</t>
  </si>
  <si>
    <t>CUS-MYM-013</t>
  </si>
  <si>
    <t>01613611155</t>
  </si>
  <si>
    <t>CUS-MYM-014</t>
  </si>
  <si>
    <t>01709275326</t>
  </si>
  <si>
    <t>CUS-MYM-015</t>
  </si>
  <si>
    <t>Shaila Hossain</t>
  </si>
  <si>
    <t>01865652341</t>
  </si>
  <si>
    <t>CUS-MYM-016</t>
  </si>
  <si>
    <t>01943898364</t>
  </si>
  <si>
    <t>CUS-MYM-017</t>
  </si>
  <si>
    <t>Rafi Akter</t>
  </si>
  <si>
    <t>01691805526</t>
  </si>
  <si>
    <t>CUS-MYM-018</t>
  </si>
  <si>
    <t>Nusrat Akter</t>
  </si>
  <si>
    <t>01304300684</t>
  </si>
  <si>
    <t>CUS-MYM-019</t>
  </si>
  <si>
    <t>Hasan Sultana</t>
  </si>
  <si>
    <t>01514183285</t>
  </si>
  <si>
    <t>CUS-MYM-020</t>
  </si>
  <si>
    <t>01830316179</t>
  </si>
  <si>
    <t>CUS-MYM-021</t>
  </si>
  <si>
    <t>Tania Islam</t>
  </si>
  <si>
    <t>01402758842</t>
  </si>
  <si>
    <t>CUS-MYM-022</t>
  </si>
  <si>
    <t>Shamim Rahman</t>
  </si>
  <si>
    <t>01964814917</t>
  </si>
  <si>
    <t>CUS-MYM-023</t>
  </si>
  <si>
    <t>01519138000</t>
  </si>
  <si>
    <t>CUS-MYM-024</t>
  </si>
  <si>
    <t>Farhana Islam</t>
  </si>
  <si>
    <t>01963536541</t>
  </si>
  <si>
    <t>CUS-MYM-025</t>
  </si>
  <si>
    <t>01706174451</t>
  </si>
  <si>
    <t>Store_ID</t>
  </si>
  <si>
    <t>Store_Name</t>
  </si>
  <si>
    <t>City_Area</t>
  </si>
  <si>
    <t>Store_Type</t>
  </si>
  <si>
    <t>ST-DHA-01</t>
  </si>
  <si>
    <t>Dhaka Gulshan Store</t>
  </si>
  <si>
    <t>Gulshan</t>
  </si>
  <si>
    <t>Flagship</t>
  </si>
  <si>
    <t>ST-DHA-02</t>
  </si>
  <si>
    <t>Dhaka Dhanmondi Store</t>
  </si>
  <si>
    <t>Dhanmondi</t>
  </si>
  <si>
    <t>Express</t>
  </si>
  <si>
    <t>ST-DHA-03</t>
  </si>
  <si>
    <t>Dhaka Mirpur Store</t>
  </si>
  <si>
    <t>Mirpur</t>
  </si>
  <si>
    <t>Standard</t>
  </si>
  <si>
    <t>ST-DHA-04</t>
  </si>
  <si>
    <t>Dhaka Uttara Store</t>
  </si>
  <si>
    <t>Uttara</t>
  </si>
  <si>
    <t>Outlet</t>
  </si>
  <si>
    <t>ST-DHA-05</t>
  </si>
  <si>
    <t>Dhaka Motijheel Store</t>
  </si>
  <si>
    <t>Motijheel</t>
  </si>
  <si>
    <t>Mall</t>
  </si>
  <si>
    <t>ST-CTG-01</t>
  </si>
  <si>
    <t>Chattogram Agrabad Store</t>
  </si>
  <si>
    <t>Agrabad</t>
  </si>
  <si>
    <t>ST-CTG-02</t>
  </si>
  <si>
    <t>Chattogram GEC Store</t>
  </si>
  <si>
    <t>GEC</t>
  </si>
  <si>
    <t>ST-CTG-03</t>
  </si>
  <si>
    <t>Chattogram Panchlaish Store</t>
  </si>
  <si>
    <t>Panchlaish</t>
  </si>
  <si>
    <t>ST-CTG-04</t>
  </si>
  <si>
    <t>Chattogram Nasirabad Store</t>
  </si>
  <si>
    <t>Nasirabad</t>
  </si>
  <si>
    <t>ST-CTG-05</t>
  </si>
  <si>
    <t>Chattogram Halishahar Store</t>
  </si>
  <si>
    <t>Halishahar</t>
  </si>
  <si>
    <t>ST-SYL-01</t>
  </si>
  <si>
    <t>Sylhet Zindabazar Store</t>
  </si>
  <si>
    <t>Zindabazar</t>
  </si>
  <si>
    <t>ST-SYL-02</t>
  </si>
  <si>
    <t>Sylhet Ambarkhana Store</t>
  </si>
  <si>
    <t>Ambarkhana</t>
  </si>
  <si>
    <t>ST-SYL-03</t>
  </si>
  <si>
    <t>Sylhet South Surma Store</t>
  </si>
  <si>
    <t>South Surma</t>
  </si>
  <si>
    <t>ST-SYL-04</t>
  </si>
  <si>
    <t>Sylhet Subidbazar Store</t>
  </si>
  <si>
    <t>Subidbazar</t>
  </si>
  <si>
    <t>ST-SYL-05</t>
  </si>
  <si>
    <t>Sylhet Upashahar Store</t>
  </si>
  <si>
    <t>Upashahar</t>
  </si>
  <si>
    <t>ST-RAJ-01</t>
  </si>
  <si>
    <t>Rajshahi Shaheb Bazar Store</t>
  </si>
  <si>
    <t>Shaheb Bazar</t>
  </si>
  <si>
    <t>ST-RAJ-02</t>
  </si>
  <si>
    <t>Rajshahi Kazla Store</t>
  </si>
  <si>
    <t>Kazla</t>
  </si>
  <si>
    <t>ST-RAJ-03</t>
  </si>
  <si>
    <t>Rajshahi Uposhohor Store</t>
  </si>
  <si>
    <t>Uposhohor</t>
  </si>
  <si>
    <t>ST-RAJ-04</t>
  </si>
  <si>
    <t>Rajshahi Railgate Store</t>
  </si>
  <si>
    <t>Railgate</t>
  </si>
  <si>
    <t>ST-RAJ-05</t>
  </si>
  <si>
    <t>Rajshahi Lakshmipur Store</t>
  </si>
  <si>
    <t>Lakshmipur</t>
  </si>
  <si>
    <t>ST-KHL-01</t>
  </si>
  <si>
    <t>Khulna Sonadanga Store</t>
  </si>
  <si>
    <t>Sonadanga</t>
  </si>
  <si>
    <t>ST-KHL-02</t>
  </si>
  <si>
    <t>Khulna Khalishpur Store</t>
  </si>
  <si>
    <t>Khalishpur</t>
  </si>
  <si>
    <t>ST-KHL-03</t>
  </si>
  <si>
    <t>Khulna Daulatpur Store</t>
  </si>
  <si>
    <t>Daulatpur</t>
  </si>
  <si>
    <t>ST-KHL-04</t>
  </si>
  <si>
    <t>Khulna Boyra Store</t>
  </si>
  <si>
    <t>Boyra</t>
  </si>
  <si>
    <t>ST-KHL-05</t>
  </si>
  <si>
    <t>Khulna Shibbari Store</t>
  </si>
  <si>
    <t>Shibbari</t>
  </si>
  <si>
    <t>ST-BAR-01</t>
  </si>
  <si>
    <t>Barishal Nathullabad Store</t>
  </si>
  <si>
    <t>Nathullabad</t>
  </si>
  <si>
    <t>ST-BAR-02</t>
  </si>
  <si>
    <t>Barishal Sadar Road Store</t>
  </si>
  <si>
    <t>Sadar Road</t>
  </si>
  <si>
    <t>ST-BAR-03</t>
  </si>
  <si>
    <t>Barishal Rupatali Store</t>
  </si>
  <si>
    <t>Rupatali</t>
  </si>
  <si>
    <t>ST-BAR-04</t>
  </si>
  <si>
    <t>Barishal Chowmatha Store</t>
  </si>
  <si>
    <t>Chowmatha</t>
  </si>
  <si>
    <t>ST-BAR-05</t>
  </si>
  <si>
    <t>Barishal Kawnia Store</t>
  </si>
  <si>
    <t>Kawnia</t>
  </si>
  <si>
    <t>ST-RAN-01</t>
  </si>
  <si>
    <t>Rangpur Jahaj Company Store</t>
  </si>
  <si>
    <t>Jahaj Company</t>
  </si>
  <si>
    <t>ST-RAN-02</t>
  </si>
  <si>
    <t>Rangpur Shapla Chattar Store</t>
  </si>
  <si>
    <t>Shapla Chattar</t>
  </si>
  <si>
    <t>ST-RAN-03</t>
  </si>
  <si>
    <t>Rangpur Modern More Store</t>
  </si>
  <si>
    <t>Modern More</t>
  </si>
  <si>
    <t>ST-RAN-04</t>
  </si>
  <si>
    <t>Rangpur Dhap Store</t>
  </si>
  <si>
    <t>Dhap</t>
  </si>
  <si>
    <t>ST-RAN-05</t>
  </si>
  <si>
    <t>Rangpur Central Road Store</t>
  </si>
  <si>
    <t>Central Road</t>
  </si>
  <si>
    <t>ST-MYM-01</t>
  </si>
  <si>
    <t>Mymensingh Ganginarpar Store</t>
  </si>
  <si>
    <t>Ganginarpar</t>
  </si>
  <si>
    <t>ST-MYM-02</t>
  </si>
  <si>
    <t>Mymensingh Town Hall Store</t>
  </si>
  <si>
    <t>Town Hall</t>
  </si>
  <si>
    <t>ST-MYM-03</t>
  </si>
  <si>
    <t>Mymensingh Charpara Store</t>
  </si>
  <si>
    <t>Charpara</t>
  </si>
  <si>
    <t>ST-MYM-04</t>
  </si>
  <si>
    <t>Mymensingh Kewatkhali Store</t>
  </si>
  <si>
    <t>Kewatkhali</t>
  </si>
  <si>
    <t>ST-MYM-05</t>
  </si>
  <si>
    <t>Mymensingh Maskanda Store</t>
  </si>
  <si>
    <t>Maskanda</t>
  </si>
  <si>
    <t>Product_ID</t>
  </si>
  <si>
    <t>Product_Name</t>
  </si>
  <si>
    <t>Category</t>
  </si>
  <si>
    <t>Sub_Category</t>
  </si>
  <si>
    <t>Brand</t>
  </si>
  <si>
    <t>Unit_Price</t>
  </si>
  <si>
    <t>Unit_Cost</t>
  </si>
  <si>
    <t>P001</t>
  </si>
  <si>
    <t>Bluetooth Speaker</t>
  </si>
  <si>
    <t>Electronics</t>
  </si>
  <si>
    <t>Audio</t>
  </si>
  <si>
    <t>DailyPlus</t>
  </si>
  <si>
    <t>P002</t>
  </si>
  <si>
    <t>Wireless Mouse</t>
  </si>
  <si>
    <t>Computer Accessories</t>
  </si>
  <si>
    <t>P003</t>
  </si>
  <si>
    <t>Power Bank</t>
  </si>
  <si>
    <t>Mobile Accessories</t>
  </si>
  <si>
    <t>Nexus</t>
  </si>
  <si>
    <t>P004</t>
  </si>
  <si>
    <t>Smart Watch</t>
  </si>
  <si>
    <t>Wearable</t>
  </si>
  <si>
    <t>P005</t>
  </si>
  <si>
    <t>USB-C Hub</t>
  </si>
  <si>
    <t>GreenMart</t>
  </si>
  <si>
    <t>P006</t>
  </si>
  <si>
    <t>Electric Kettle</t>
  </si>
  <si>
    <t>Home Appliance</t>
  </si>
  <si>
    <t>Kitchen</t>
  </si>
  <si>
    <t>SmartLife</t>
  </si>
  <si>
    <t>P007</t>
  </si>
  <si>
    <t>Rice Cooker</t>
  </si>
  <si>
    <t>P008</t>
  </si>
  <si>
    <t>Blender Machine</t>
  </si>
  <si>
    <t>Nova</t>
  </si>
  <si>
    <t>P009</t>
  </si>
  <si>
    <t>Steam Iron</t>
  </si>
  <si>
    <t>Laundry</t>
  </si>
  <si>
    <t>P010</t>
  </si>
  <si>
    <t>Table Fan</t>
  </si>
  <si>
    <t>Cooling</t>
  </si>
  <si>
    <t>P011</t>
  </si>
  <si>
    <t>Cotton T-Shirt</t>
  </si>
  <si>
    <t>Fashion</t>
  </si>
  <si>
    <t>Men Wear</t>
  </si>
  <si>
    <t>P012</t>
  </si>
  <si>
    <t>Formal Shirt</t>
  </si>
  <si>
    <t>P013</t>
  </si>
  <si>
    <t>Women Kurti</t>
  </si>
  <si>
    <t>Women Wear</t>
  </si>
  <si>
    <t>Urban</t>
  </si>
  <si>
    <t>P014</t>
  </si>
  <si>
    <t>Denim Jeans</t>
  </si>
  <si>
    <t>Casual Wear</t>
  </si>
  <si>
    <t>P015</t>
  </si>
  <si>
    <t>Leather Belt</t>
  </si>
  <si>
    <t>Accessories</t>
  </si>
  <si>
    <t>P016</t>
  </si>
  <si>
    <t>Premium Rice 5kg</t>
  </si>
  <si>
    <t>Grocery</t>
  </si>
  <si>
    <t>Staple</t>
  </si>
  <si>
    <t>P017</t>
  </si>
  <si>
    <t>Soybean Oil 5L</t>
  </si>
  <si>
    <t>Cooking</t>
  </si>
  <si>
    <t>Apexia</t>
  </si>
  <si>
    <t>P018</t>
  </si>
  <si>
    <t>Lentil 1kg</t>
  </si>
  <si>
    <t>P019</t>
  </si>
  <si>
    <t>Flour 2kg</t>
  </si>
  <si>
    <t>Baking</t>
  </si>
  <si>
    <t>P020</t>
  </si>
  <si>
    <t>Tea Pack 500g</t>
  </si>
  <si>
    <t>Beverage</t>
  </si>
  <si>
    <t>P021</t>
  </si>
  <si>
    <t>Face Wash</t>
  </si>
  <si>
    <t>Beauty &amp; Personal Care</t>
  </si>
  <si>
    <t>Skin Care</t>
  </si>
  <si>
    <t>Bengal</t>
  </si>
  <si>
    <t>P022</t>
  </si>
  <si>
    <t>Shampoo 375ml</t>
  </si>
  <si>
    <t>Hair Care</t>
  </si>
  <si>
    <t>Prime</t>
  </si>
  <si>
    <t>P023</t>
  </si>
  <si>
    <t>Body Lotion</t>
  </si>
  <si>
    <t>Spark</t>
  </si>
  <si>
    <t>P024</t>
  </si>
  <si>
    <t>Toothpaste Twin Pack</t>
  </si>
  <si>
    <t>Oral Care</t>
  </si>
  <si>
    <t>P025</t>
  </si>
  <si>
    <t>Perfume Spray</t>
  </si>
  <si>
    <t>Fragrance</t>
  </si>
  <si>
    <t>P026</t>
  </si>
  <si>
    <t>Running Shoe</t>
  </si>
  <si>
    <t>Footwear</t>
  </si>
  <si>
    <t>Sports Shoe</t>
  </si>
  <si>
    <t>P027</t>
  </si>
  <si>
    <t>Formal Shoe</t>
  </si>
  <si>
    <t>Men Shoe</t>
  </si>
  <si>
    <t>P028</t>
  </si>
  <si>
    <t>Ladies Sandal</t>
  </si>
  <si>
    <t>Women Shoe</t>
  </si>
  <si>
    <t>P029</t>
  </si>
  <si>
    <t>Kids Sneaker</t>
  </si>
  <si>
    <t>Kids Shoe</t>
  </si>
  <si>
    <t>P030</t>
  </si>
  <si>
    <t>Casual Loafer</t>
  </si>
  <si>
    <t>Casual Shoe</t>
  </si>
  <si>
    <t>P031</t>
  </si>
  <si>
    <t>Cricket Bat</t>
  </si>
  <si>
    <t>Sports</t>
  </si>
  <si>
    <t>Cricket</t>
  </si>
  <si>
    <t>P032</t>
  </si>
  <si>
    <t>Football</t>
  </si>
  <si>
    <t>P033</t>
  </si>
  <si>
    <t>Badminton Racket</t>
  </si>
  <si>
    <t>Badminton</t>
  </si>
  <si>
    <t>P034</t>
  </si>
  <si>
    <t>Yoga Mat</t>
  </si>
  <si>
    <t>Fitness</t>
  </si>
  <si>
    <t>P035</t>
  </si>
  <si>
    <t>Dumbbell Set</t>
  </si>
  <si>
    <t>P036</t>
  </si>
  <si>
    <t>Notebook Pack</t>
  </si>
  <si>
    <t>Stationery</t>
  </si>
  <si>
    <t>Paper</t>
  </si>
  <si>
    <t>P037</t>
  </si>
  <si>
    <t>Ball Pen Box</t>
  </si>
  <si>
    <t>Writing</t>
  </si>
  <si>
    <t>P038</t>
  </si>
  <si>
    <t>Office File Set</t>
  </si>
  <si>
    <t>Office Supply</t>
  </si>
  <si>
    <t>P039</t>
  </si>
  <si>
    <t>Marker Set</t>
  </si>
  <si>
    <t>P040</t>
  </si>
  <si>
    <t>Sticky Notes</t>
  </si>
  <si>
    <t>P041</t>
  </si>
  <si>
    <t>Building Blocks</t>
  </si>
  <si>
    <t>Kids &amp; Toys</t>
  </si>
  <si>
    <t>Educational Toy</t>
  </si>
  <si>
    <t>P042</t>
  </si>
  <si>
    <t>Toy Car Set</t>
  </si>
  <si>
    <t>Vehicle Toy</t>
  </si>
  <si>
    <t>P043</t>
  </si>
  <si>
    <t>Puzzle Board</t>
  </si>
  <si>
    <t>P044</t>
  </si>
  <si>
    <t>Color Pencil Set</t>
  </si>
  <si>
    <t>Art</t>
  </si>
  <si>
    <t>P045</t>
  </si>
  <si>
    <t>Kids Story Book</t>
  </si>
  <si>
    <t>Book</t>
  </si>
  <si>
    <t>P046</t>
  </si>
  <si>
    <t>Office Chair</t>
  </si>
  <si>
    <t>Furniture</t>
  </si>
  <si>
    <t>Chair</t>
  </si>
  <si>
    <t>P047</t>
  </si>
  <si>
    <t>Study Table</t>
  </si>
  <si>
    <t>Table</t>
  </si>
  <si>
    <t>P048</t>
  </si>
  <si>
    <t>Shoe Rack</t>
  </si>
  <si>
    <t>Storage</t>
  </si>
  <si>
    <t>P049</t>
  </si>
  <si>
    <t>Bookshelf</t>
  </si>
  <si>
    <t>P050</t>
  </si>
  <si>
    <t>Bedside Table</t>
  </si>
  <si>
    <t>Salesperson_ID</t>
  </si>
  <si>
    <t>Salesperson_Name</t>
  </si>
  <si>
    <t>Assigned_Store_ID</t>
  </si>
  <si>
    <t>Joining_Date</t>
  </si>
  <si>
    <t>Experience_Years</t>
  </si>
  <si>
    <t>SM-DHA-001</t>
  </si>
  <si>
    <t>Mahmud Hossain</t>
  </si>
  <si>
    <t>SM-DHA-002</t>
  </si>
  <si>
    <t>Rasel Rahman</t>
  </si>
  <si>
    <t>SM-DHA-003</t>
  </si>
  <si>
    <t>Rafi Islam</t>
  </si>
  <si>
    <t>SM-DHA-004</t>
  </si>
  <si>
    <t>SM-DHA-005</t>
  </si>
  <si>
    <t>SM-DHA-006</t>
  </si>
  <si>
    <t>Rahim Hossain</t>
  </si>
  <si>
    <t>SM-CTG-001</t>
  </si>
  <si>
    <t>Rafi Sultana</t>
  </si>
  <si>
    <t>SM-CTG-002</t>
  </si>
  <si>
    <t>Rumana Khan</t>
  </si>
  <si>
    <t>SM-CTG-003</t>
  </si>
  <si>
    <t>SM-CTG-004</t>
  </si>
  <si>
    <t>Shakib Ahmed</t>
  </si>
  <si>
    <t>SM-CTG-005</t>
  </si>
  <si>
    <t>Nabila Mia</t>
  </si>
  <si>
    <t>SM-CTG-006</t>
  </si>
  <si>
    <t>SM-SYL-001</t>
  </si>
  <si>
    <t>Morshed Chowdhury</t>
  </si>
  <si>
    <t>SM-SYL-002</t>
  </si>
  <si>
    <t>Hasan Mia</t>
  </si>
  <si>
    <t>SM-SYL-003</t>
  </si>
  <si>
    <t>Mehedi Chowdhury</t>
  </si>
  <si>
    <t>SM-SYL-004</t>
  </si>
  <si>
    <t>SM-SYL-005</t>
  </si>
  <si>
    <t>Fahim Mia</t>
  </si>
  <si>
    <t>SM-SYL-006</t>
  </si>
  <si>
    <t>Rumana Rahman</t>
  </si>
  <si>
    <t>SM-RAJ-001</t>
  </si>
  <si>
    <t>SM-RAJ-002</t>
  </si>
  <si>
    <t>SM-RAJ-003</t>
  </si>
  <si>
    <t>Hasan Khan</t>
  </si>
  <si>
    <t>SM-RAJ-004</t>
  </si>
  <si>
    <t>Farhana Rahman</t>
  </si>
  <si>
    <t>SM-RAJ-005</t>
  </si>
  <si>
    <t>SM-RAJ-006</t>
  </si>
  <si>
    <t>Mim Rahman</t>
  </si>
  <si>
    <t>SM-KHL-001</t>
  </si>
  <si>
    <t>SM-KHL-002</t>
  </si>
  <si>
    <t>SM-KHL-003</t>
  </si>
  <si>
    <t>SM-KHL-004</t>
  </si>
  <si>
    <t>SM-KHL-005</t>
  </si>
  <si>
    <t>Rafi Ahmed</t>
  </si>
  <si>
    <t>SM-KHL-006</t>
  </si>
  <si>
    <t>Fahim Uddin</t>
  </si>
  <si>
    <t>SM-BAR-001</t>
  </si>
  <si>
    <t>SM-BAR-002</t>
  </si>
  <si>
    <t>Shaila Akter</t>
  </si>
  <si>
    <t>SM-BAR-003</t>
  </si>
  <si>
    <t>SM-BAR-004</t>
  </si>
  <si>
    <t>SM-BAR-005</t>
  </si>
  <si>
    <t>SM-BAR-006</t>
  </si>
  <si>
    <t>Nayeem Akter</t>
  </si>
  <si>
    <t>SM-RAN-001</t>
  </si>
  <si>
    <t>Morshed Ahmed</t>
  </si>
  <si>
    <t>SM-RAN-002</t>
  </si>
  <si>
    <t>Tanvir Islam</t>
  </si>
  <si>
    <t>SM-RAN-003</t>
  </si>
  <si>
    <t>Samiha Hossain</t>
  </si>
  <si>
    <t>SM-RAN-004</t>
  </si>
  <si>
    <t>Farhana Uddin</t>
  </si>
  <si>
    <t>SM-RAN-005</t>
  </si>
  <si>
    <t>SM-RAN-006</t>
  </si>
  <si>
    <t>SM-MYM-001</t>
  </si>
  <si>
    <t>SM-MYM-002</t>
  </si>
  <si>
    <t>Rahim Rahman</t>
  </si>
  <si>
    <t>SM-MYM-003</t>
  </si>
  <si>
    <t>Morshed Islam</t>
  </si>
  <si>
    <t>SM-MYM-004</t>
  </si>
  <si>
    <t>Fahim Hossain</t>
  </si>
  <si>
    <t>SM-MYM-005</t>
  </si>
  <si>
    <t>Tamanna Sultana</t>
  </si>
  <si>
    <t>SM-MYM-006</t>
  </si>
  <si>
    <t>Tanvir Chowdhury</t>
  </si>
  <si>
    <t>Order_ID</t>
  </si>
  <si>
    <t>Order_Date</t>
  </si>
  <si>
    <t>Quantity_Sold</t>
  </si>
  <si>
    <t>Discount</t>
  </si>
  <si>
    <t>Sales_Amount</t>
  </si>
  <si>
    <t>Target_Sales</t>
  </si>
  <si>
    <t>Profit</t>
  </si>
  <si>
    <t>Delivery_Days</t>
  </si>
  <si>
    <t>Customer_Rating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</si>
  <si>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</si>
  <si>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</si>
  <si>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</si>
  <si>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</si>
  <si>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</si>
  <si>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</si>
  <si>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</si>
  <si>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</si>
  <si>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</si>
  <si>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</si>
  <si>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</si>
  <si>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</si>
  <si>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</si>
  <si>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</si>
  <si>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</si>
  <si>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</si>
  <si>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</si>
  <si>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</si>
  <si>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</si>
  <si>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</si>
  <si>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</si>
  <si>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</si>
  <si>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</si>
  <si>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</si>
  <si>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</si>
  <si>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</si>
  <si>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</si>
  <si>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</si>
  <si>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</si>
  <si>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</si>
  <si>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</si>
  <si>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</si>
  <si>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</si>
  <si>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</si>
  <si>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</si>
  <si>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</si>
  <si>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</si>
  <si>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</si>
  <si>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</si>
  <si>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</si>
  <si>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</si>
  <si>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</si>
  <si>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</si>
  <si>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</si>
  <si>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</si>
  <si>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</si>
  <si>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</si>
  <si>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</si>
  <si>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</si>
  <si>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</si>
  <si>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</si>
  <si>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</si>
  <si>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</si>
  <si>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</si>
  <si>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</si>
  <si>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</si>
  <si>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</si>
  <si>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</si>
  <si>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</si>
  <si>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</si>
  <si>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</si>
  <si>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</si>
  <si>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</si>
  <si>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</si>
  <si>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</si>
  <si>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</si>
  <si>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</si>
  <si>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</si>
  <si>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</si>
  <si>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</si>
  <si>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</si>
  <si>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</si>
  <si>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</si>
  <si>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</si>
  <si>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</si>
  <si>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</si>
  <si>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</si>
  <si>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</si>
  <si>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</si>
  <si>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</si>
  <si>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</si>
  <si>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</si>
  <si>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</si>
  <si>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</si>
  <si>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</si>
  <si>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</si>
  <si>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</si>
  <si>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</si>
  <si>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</si>
  <si>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</si>
  <si>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</si>
  <si>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</si>
  <si>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</si>
  <si>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</si>
  <si>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</si>
  <si>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</si>
  <si>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</si>
  <si>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</si>
  <si>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</si>
  <si>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</si>
  <si>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</si>
  <si>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</si>
  <si>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</si>
  <si>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</si>
  <si>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</si>
  <si>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</si>
  <si>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</si>
  <si>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</si>
  <si>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</si>
  <si>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</si>
  <si>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</si>
  <si>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</si>
  <si>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</si>
  <si>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</si>
  <si>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</si>
  <si>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</si>
  <si>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</si>
  <si>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</si>
  <si>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</si>
  <si>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</si>
  <si>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</si>
  <si>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</si>
  <si>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</si>
  <si>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</si>
  <si>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</si>
  <si>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</si>
  <si>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</si>
  <si>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</si>
  <si>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</si>
  <si>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</si>
  <si>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</si>
  <si>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</si>
  <si>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</si>
  <si>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</si>
  <si>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</si>
  <si>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</si>
  <si>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</si>
  <si>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</si>
  <si>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</si>
  <si>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</si>
  <si>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</si>
  <si>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</si>
  <si>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</si>
  <si>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</si>
  <si>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</si>
  <si>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</si>
  <si>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</si>
  <si>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</si>
  <si>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</si>
  <si>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</si>
  <si>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</si>
  <si>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</si>
  <si>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</si>
  <si>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</si>
  <si>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</si>
  <si>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</si>
  <si>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</si>
  <si>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</si>
  <si>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</si>
  <si>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</si>
  <si>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</si>
  <si>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</si>
  <si>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</si>
  <si>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</si>
  <si>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</si>
  <si>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</si>
  <si>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</si>
  <si>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</si>
  <si>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</si>
  <si>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</si>
  <si>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</si>
  <si>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</si>
  <si>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</si>
  <si>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</si>
  <si>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</si>
  <si>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</si>
  <si>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</si>
  <si>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</si>
  <si>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</si>
  <si>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</si>
  <si>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</si>
  <si>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</si>
  <si>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</si>
  <si>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</si>
  <si>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</si>
  <si>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</si>
  <si>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</si>
  <si>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</si>
  <si>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</si>
  <si>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</si>
  <si>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</si>
  <si>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</si>
  <si>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</si>
  <si>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</si>
  <si>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</si>
  <si>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</si>
  <si>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</si>
  <si>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</si>
  <si>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</si>
  <si>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</si>
  <si>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</si>
  <si>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</si>
  <si>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</si>
  <si>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</si>
  <si>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</si>
  <si>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</si>
  <si>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</si>
  <si>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</si>
  <si>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</si>
  <si>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</si>
  <si>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</si>
  <si>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</si>
  <si>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</si>
  <si>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</si>
  <si>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</si>
  <si>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</si>
  <si>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</si>
  <si>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</si>
  <si>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</si>
  <si>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</si>
  <si>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</si>
  <si>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</si>
  <si>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</si>
  <si>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</si>
  <si>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</si>
  <si>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</si>
  <si>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</si>
  <si>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</si>
  <si>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</si>
  <si>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</si>
  <si>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</si>
  <si>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</si>
  <si>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</si>
  <si>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</si>
  <si>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</si>
  <si>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</si>
  <si>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</si>
  <si>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</si>
  <si>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</si>
  <si>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</si>
  <si>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</si>
  <si>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</si>
  <si>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</si>
  <si>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</si>
  <si>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</si>
  <si>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</si>
  <si>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</si>
  <si>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</si>
  <si>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</si>
  <si>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</si>
  <si>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</si>
  <si>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</si>
  <si>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</si>
  <si>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</si>
  <si>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</si>
  <si>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</si>
  <si>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</si>
  <si>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</si>
  <si>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</si>
  <si>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</si>
  <si>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</si>
  <si>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</si>
  <si>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</si>
  <si>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</si>
  <si>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</si>
  <si>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</si>
  <si>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</si>
  <si>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</si>
  <si>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</si>
  <si>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</si>
  <si>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</si>
  <si>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</si>
  <si>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</si>
  <si>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</si>
  <si>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</si>
  <si>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</si>
  <si>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</si>
  <si>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</si>
  <si>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</si>
  <si>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</si>
  <si>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</si>
  <si>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</si>
  <si>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</si>
  <si>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</si>
  <si>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</si>
  <si>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</si>
  <si>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</si>
  <si>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</si>
  <si>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</si>
  <si>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</si>
  <si>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</si>
  <si>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</si>
  <si>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</si>
  <si>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</si>
  <si>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</si>
  <si>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</si>
  <si>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</si>
  <si>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</si>
  <si>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</si>
  <si>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</si>
  <si>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</si>
  <si>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</si>
  <si>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</si>
  <si>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</si>
  <si>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</si>
  <si>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</si>
  <si>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</si>
  <si>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</si>
  <si>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</si>
  <si>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</si>
  <si>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</si>
  <si>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</si>
  <si>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</si>
  <si>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</si>
  <si>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</si>
  <si>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</si>
  <si>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</si>
  <si>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</si>
  <si>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</si>
  <si>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</si>
  <si>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</si>
  <si>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</si>
  <si>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</si>
  <si>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</si>
  <si>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</si>
  <si>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</si>
  <si>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</si>
  <si>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</si>
  <si>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</si>
  <si>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</si>
  <si>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</si>
  <si>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</si>
  <si>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</si>
  <si>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</si>
  <si>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</si>
  <si>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</si>
  <si>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</si>
  <si>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</si>
  <si>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</si>
  <si>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</si>
  <si>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</si>
  <si>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</si>
  <si>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</si>
  <si>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</si>
  <si>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</si>
  <si>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</si>
  <si>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</si>
  <si>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</si>
  <si>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</si>
  <si>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</si>
  <si>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</si>
  <si>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</si>
  <si>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</si>
  <si>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</si>
  <si>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</si>
  <si>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</si>
  <si>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</si>
  <si>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</si>
  <si>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</si>
  <si>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</si>
  <si>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</si>
  <si>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</si>
  <si>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</si>
  <si>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</si>
  <si>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</si>
  <si>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</si>
  <si>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</si>
  <si>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</si>
  <si>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</si>
  <si>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</si>
  <si>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</si>
  <si>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</si>
  <si>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</si>
  <si>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</si>
  <si>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</si>
  <si>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</si>
  <si>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</si>
  <si>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</si>
  <si>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</si>
  <si>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</si>
  <si>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</si>
  <si>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</si>
  <si>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</si>
  <si>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</si>
  <si>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</si>
  <si>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</si>
  <si>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</si>
  <si>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</si>
  <si>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</si>
  <si>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</si>
  <si>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</si>
  <si>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</si>
  <si>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</si>
  <si>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</si>
  <si>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</si>
  <si>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</si>
  <si>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</si>
  <si>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</si>
  <si>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</si>
  <si>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</si>
  <si>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</si>
  <si>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</si>
  <si>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</si>
  <si>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</si>
  <si>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</si>
  <si>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</si>
  <si>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</si>
  <si>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</si>
  <si>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</si>
  <si>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</si>
  <si>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</si>
  <si>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</si>
  <si>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</si>
  <si>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</si>
  <si>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</si>
  <si>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</si>
  <si>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</si>
  <si>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</si>
  <si>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</si>
  <si>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</si>
  <si>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</si>
  <si>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</si>
  <si>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</si>
  <si>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</si>
  <si>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</si>
  <si>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</si>
  <si>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</si>
  <si>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</si>
  <si>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</si>
  <si>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</si>
  <si>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</si>
  <si>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</si>
  <si>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</si>
  <si>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</si>
  <si>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</si>
  <si>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</si>
  <si>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</si>
  <si>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</si>
  <si>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</si>
  <si>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</si>
  <si>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</si>
  <si>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</si>
  <si>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</si>
  <si>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</si>
  <si>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</si>
  <si>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</si>
  <si>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</si>
  <si>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</si>
  <si>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</si>
  <si>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</si>
  <si>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</si>
  <si>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</si>
  <si>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</si>
  <si>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</si>
  <si>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</si>
  <si>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</si>
  <si>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</si>
  <si>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</si>
  <si>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</si>
  <si>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</si>
  <si>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</si>
  <si>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</si>
  <si>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</si>
  <si>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</si>
  <si>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</si>
  <si>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</si>
  <si>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</si>
  <si>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</si>
  <si>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</si>
  <si>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</si>
  <si>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</si>
  <si>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</si>
  <si>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</si>
  <si>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</si>
  <si>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</si>
  <si>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</si>
  <si>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</si>
  <si>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</si>
  <si>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</si>
  <si>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</si>
  <si>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</si>
  <si>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</si>
  <si>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</si>
  <si>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</si>
  <si>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</si>
  <si>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</si>
  <si>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</si>
  <si>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</si>
  <si>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</si>
  <si>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</si>
  <si>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</si>
  <si>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</si>
  <si>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</si>
  <si>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</si>
  <si>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</si>
  <si>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</si>
  <si>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</si>
  <si>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</si>
  <si>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</si>
  <si>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</si>
  <si>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</si>
  <si>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</si>
  <si>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</si>
  <si>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</si>
  <si>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</si>
  <si>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</si>
  <si>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</si>
  <si>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</si>
  <si>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</si>
  <si>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</si>
  <si>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</si>
  <si>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</si>
  <si>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</si>
  <si>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</si>
  <si>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</si>
  <si>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</si>
  <si>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</si>
  <si>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</si>
  <si>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</si>
  <si>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</si>
  <si>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</si>
  <si>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</si>
  <si>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</si>
  <si>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</si>
  <si>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</si>
  <si>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</si>
  <si>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</si>
  <si>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</si>
  <si>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</si>
  <si>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</si>
  <si>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</si>
  <si>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</si>
  <si>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</si>
  <si>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</si>
  <si>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</si>
  <si>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</si>
  <si>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</si>
  <si>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</si>
  <si>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</si>
  <si>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</si>
  <si>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</si>
  <si>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</si>
  <si>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</si>
  <si>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</si>
  <si>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</si>
  <si>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</si>
  <si>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</si>
  <si>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</si>
  <si>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</si>
  <si>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</si>
  <si>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</si>
  <si>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</si>
  <si>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</si>
  <si>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</si>
  <si>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</si>
  <si>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</si>
  <si>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</si>
  <si>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</si>
  <si>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</si>
  <si>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</si>
  <si>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</si>
  <si>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</si>
  <si>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</si>
  <si>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</si>
  <si>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</si>
  <si>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</si>
  <si>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</si>
  <si>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</si>
  <si>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</si>
  <si>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</si>
  <si>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</si>
  <si>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</si>
  <si>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</si>
  <si>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</si>
  <si>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</si>
  <si>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</si>
  <si>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</si>
  <si>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</si>
  <si>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</si>
  <si>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</si>
  <si>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</si>
  <si>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</si>
  <si>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</si>
  <si>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</si>
  <si>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</si>
  <si>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</si>
  <si>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</si>
  <si>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</si>
  <si>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</si>
  <si>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</si>
  <si>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</si>
  <si>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</si>
  <si>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</si>
  <si>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</si>
  <si>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</si>
  <si>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</si>
  <si>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</si>
  <si>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</si>
  <si>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</si>
  <si>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</si>
  <si>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</si>
  <si>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</si>
  <si>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</si>
  <si>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</si>
  <si>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</si>
  <si>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</si>
  <si>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</si>
  <si>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</si>
  <si>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</si>
  <si>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</si>
  <si>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</si>
  <si>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</si>
  <si>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</si>
  <si>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</si>
  <si>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</si>
  <si>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</si>
  <si>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</si>
  <si>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</si>
  <si>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</si>
  <si>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</si>
  <si>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</si>
  <si>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</si>
  <si>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</si>
  <si>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</si>
  <si>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</si>
  <si>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</si>
  <si>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</si>
  <si>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</si>
  <si>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</si>
  <si>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</si>
  <si>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</si>
  <si>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</si>
  <si>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</si>
  <si>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</si>
  <si>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</si>
  <si>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</si>
  <si>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</si>
  <si>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</si>
  <si>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</si>
  <si>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</si>
  <si>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</si>
  <si>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</si>
  <si>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</si>
  <si>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</si>
  <si>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</si>
  <si>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</si>
  <si>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</si>
  <si>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</si>
  <si>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</si>
  <si>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</si>
  <si>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</si>
  <si>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</si>
  <si>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</si>
  <si>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</si>
  <si>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</si>
  <si>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</si>
  <si>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</si>
  <si>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</si>
  <si>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</si>
  <si>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</si>
  <si>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</si>
  <si>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</si>
  <si>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</si>
  <si>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</si>
  <si>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</si>
  <si>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</si>
  <si>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</si>
  <si>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</si>
  <si>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</si>
  <si>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</si>
  <si>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</si>
  <si>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</si>
  <si>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</si>
  <si>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</si>
  <si>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</si>
  <si>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</si>
  <si>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</si>
  <si>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</si>
  <si>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</si>
  <si>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</si>
  <si>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</si>
  <si>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</si>
  <si>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</si>
  <si>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</si>
  <si>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</si>
  <si>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</si>
  <si>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</si>
  <si>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</si>
  <si>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</si>
  <si>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</si>
  <si>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</si>
  <si>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</si>
  <si>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</si>
  <si>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</si>
  <si>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</si>
  <si>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</si>
  <si>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</si>
  <si>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</si>
  <si>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</si>
  <si>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</si>
  <si>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</si>
  <si>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</si>
  <si>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</si>
  <si>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</si>
  <si>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</si>
  <si>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</si>
  <si>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</si>
  <si>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</si>
  <si>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</si>
  <si>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</si>
  <si>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</si>
  <si>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</si>
  <si>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</si>
  <si>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</si>
  <si>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</si>
  <si>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</si>
  <si>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</si>
  <si>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</si>
  <si>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</si>
  <si>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</si>
  <si>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</si>
  <si>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</si>
  <si>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</si>
  <si>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</si>
  <si>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</si>
  <si>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</si>
  <si>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</si>
  <si>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</si>
  <si>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</si>
  <si>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</si>
  <si>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</si>
  <si>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</si>
  <si>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</si>
  <si>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</si>
  <si>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</si>
  <si>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</si>
  <si>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</si>
  <si>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</si>
  <si>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</si>
  <si>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</si>
  <si>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</si>
  <si>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</si>
  <si>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</si>
  <si>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</si>
  <si>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</si>
  <si>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</si>
  <si>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</si>
  <si>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</si>
  <si>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</si>
  <si>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</si>
  <si>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</si>
  <si>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</si>
  <si>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</si>
  <si>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</si>
  <si>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</si>
  <si>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</si>
  <si>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</si>
  <si>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</si>
  <si>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</si>
  <si>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</si>
  <si>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</si>
  <si>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</si>
  <si>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</si>
  <si>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</si>
  <si>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</si>
  <si>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</si>
  <si>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</si>
  <si>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</si>
  <si>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</si>
  <si>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</si>
  <si>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</si>
  <si>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</si>
  <si>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</si>
  <si>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</si>
  <si>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</si>
  <si>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</si>
  <si>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</si>
  <si>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</si>
  <si>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</si>
  <si>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</si>
  <si>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</si>
  <si>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</si>
  <si>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</si>
  <si>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</si>
  <si>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</si>
  <si>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</si>
  <si>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</si>
  <si>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</si>
  <si>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</si>
  <si>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</si>
  <si>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</si>
  <si>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</si>
  <si>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</si>
  <si>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</si>
  <si>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</si>
  <si>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</si>
  <si>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</si>
  <si>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</si>
  <si>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</si>
  <si>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</si>
  <si>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</si>
  <si>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</si>
  <si>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</si>
  <si>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</si>
  <si>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</si>
  <si>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</si>
  <si>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</si>
  <si>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</si>
  <si>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</si>
  <si>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</si>
  <si>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</si>
  <si>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</si>
  <si>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</si>
  <si>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</si>
  <si>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</si>
  <si>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</si>
  <si>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</si>
  <si>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</si>
  <si>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</si>
  <si>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</si>
  <si>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</si>
  <si>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</si>
  <si>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</si>
  <si>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</si>
  <si>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</si>
  <si>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</si>
  <si>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</si>
  <si>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</si>
  <si>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</si>
  <si>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</si>
  <si>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</si>
  <si>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</si>
  <si>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</si>
  <si>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</si>
  <si>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</si>
  <si>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</si>
  <si>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</si>
  <si>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</si>
  <si>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</si>
  <si>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</si>
  <si>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</si>
  <si>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</si>
  <si>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</si>
  <si>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</si>
  <si>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</si>
  <si>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</si>
  <si>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</si>
  <si>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</si>
  <si>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</si>
  <si>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</si>
  <si>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</si>
  <si>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</si>
  <si>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</si>
  <si>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</si>
  <si>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</si>
  <si>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</si>
  <si>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</si>
  <si>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</si>
  <si>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</si>
  <si>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</si>
  <si>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</si>
  <si>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</si>
  <si>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</si>
  <si>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</si>
  <si>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</si>
  <si>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</si>
  <si>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</si>
  <si>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</si>
  <si>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</si>
  <si>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</si>
  <si>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</si>
  <si>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</si>
  <si>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</si>
  <si>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</si>
  <si>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</si>
  <si>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</si>
  <si>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</si>
  <si>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</si>
  <si>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</si>
  <si>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</si>
  <si>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</si>
  <si>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</si>
  <si>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</si>
  <si>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</si>
  <si>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</si>
  <si>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</si>
  <si>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</si>
  <si>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</si>
  <si>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</si>
  <si>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</si>
  <si>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</si>
  <si>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</si>
  <si>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</si>
  <si>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</si>
  <si>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</si>
  <si>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</si>
  <si>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</si>
  <si>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</si>
  <si>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</si>
  <si>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</si>
  <si>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</si>
  <si>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</si>
  <si>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</si>
  <si>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</si>
  <si>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</si>
  <si>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</si>
  <si>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</si>
  <si>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</si>
  <si>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</si>
  <si>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</si>
  <si>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</si>
  <si>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</si>
  <si>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</si>
  <si>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</si>
  <si>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</si>
  <si>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</si>
  <si>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</si>
  <si>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</si>
  <si>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</si>
  <si>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</si>
  <si>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</si>
  <si>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</si>
  <si>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</si>
  <si>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</si>
  <si>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</si>
  <si>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</si>
  <si>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</si>
  <si>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</si>
  <si>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</si>
  <si>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</si>
  <si>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</si>
  <si>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</si>
  <si>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</si>
  <si>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</si>
  <si>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</si>
  <si>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</si>
  <si>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</si>
  <si>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</si>
  <si>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</si>
  <si>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</si>
  <si>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</si>
  <si>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</si>
  <si>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</si>
  <si>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</si>
  <si>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</si>
  <si>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</si>
  <si>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</si>
  <si>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</si>
  <si>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</si>
  <si>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</si>
  <si>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</si>
  <si>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</si>
  <si>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</si>
  <si>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</si>
  <si>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</si>
  <si>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</si>
  <si>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</si>
  <si>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</si>
  <si>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</si>
  <si>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</si>
  <si>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</si>
  <si>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</si>
  <si>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</si>
  <si>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</si>
  <si>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</si>
  <si>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</si>
  <si>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</si>
  <si>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</si>
  <si>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</si>
  <si>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</si>
  <si>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</si>
  <si>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</si>
  <si>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</si>
  <si>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</si>
  <si>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</si>
  <si>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</si>
  <si>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</si>
  <si>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</si>
  <si>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</si>
  <si>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</si>
  <si>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</si>
  <si>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</si>
  <si>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</si>
  <si>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</si>
  <si>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</si>
  <si>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</si>
  <si>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</si>
  <si>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</si>
  <si>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</si>
  <si>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</si>
  <si>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</si>
  <si>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</si>
  <si>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</si>
  <si>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</si>
  <si>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</si>
  <si>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</si>
  <si>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</si>
  <si>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</si>
  <si>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</si>
  <si>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</si>
  <si>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Fact Table</t>
  </si>
  <si>
    <t>Key Column</t>
  </si>
  <si>
    <t>Dimension Table</t>
  </si>
  <si>
    <t>Relationship Logic</t>
  </si>
  <si>
    <t>Mismatch Control</t>
  </si>
  <si>
    <t>Fact_Sales</t>
  </si>
  <si>
    <t>Dim_Customer</t>
  </si>
  <si>
    <t>Many orders can belong to one customer.</t>
  </si>
  <si>
    <t>Fact customer is selected from same Region_ID.</t>
  </si>
  <si>
    <t>Dim_Region</t>
  </si>
  <si>
    <t>Each order belongs to one BD region/division.</t>
  </si>
  <si>
    <t>Region_ID controls customer, store, and salesman matching.</t>
  </si>
  <si>
    <t>Dim_Store</t>
  </si>
  <si>
    <t>Each order belongs to one store.</t>
  </si>
  <si>
    <t>Store is selected from order Region_ID only.</t>
  </si>
  <si>
    <t>Dim_Product</t>
  </si>
  <si>
    <t>Each order has one product.</t>
  </si>
  <si>
    <t>Product_Name and Category are pulled from Dim_Product.</t>
  </si>
  <si>
    <t>Dim_Salesman</t>
  </si>
  <si>
    <t>Each order handled by one salesperson.</t>
  </si>
  <si>
    <t>Salesperson is selected from order Region_ID only.</t>
  </si>
  <si>
    <t>Business Question</t>
  </si>
  <si>
    <t>Metric/KPI</t>
  </si>
  <si>
    <t>Overall sales performance kemon?</t>
  </si>
  <si>
    <t>Total Sales, Total Profit, Profit Margin</t>
  </si>
  <si>
    <t>Kon region target miss korche?</t>
  </si>
  <si>
    <t>Sales vs Target, Achievement %</t>
  </si>
  <si>
    <t>Kon category low margin?</t>
  </si>
  <si>
    <t>Profit Margin %, Avg Discount</t>
  </si>
  <si>
    <t>Delivery delay rating affect korche?</t>
  </si>
  <si>
    <t>Avg Delivery Days, Avg Rating</t>
  </si>
  <si>
    <t>Top products er upor dependency ache?</t>
  </si>
  <si>
    <t>Top 5 Product Sales Share</t>
  </si>
  <si>
    <t>Salesman performance gap ache?</t>
  </si>
  <si>
    <t>Sales by Salesperson</t>
  </si>
  <si>
    <t>Problem_Area</t>
  </si>
  <si>
    <t>Observation</t>
  </si>
  <si>
    <t>Possible_Reason</t>
  </si>
  <si>
    <t>Business_Impact</t>
  </si>
  <si>
    <t>Recommendation</t>
  </si>
  <si>
    <t>Target Achievement</t>
  </si>
  <si>
    <t>Chattogram has the lowest achievement at 77.9%.</t>
  </si>
  <si>
    <t>Target factor is high and actual sales are reduced by discount.</t>
  </si>
  <si>
    <t>Overall achievement may fall even when order volume is stable.</t>
  </si>
  <si>
    <t>Review region-wise target allocation and create store-wise recovery plan.</t>
  </si>
  <si>
    <t>Delivery &amp; Rating</t>
  </si>
  <si>
    <t>Rangpur has the highest average delivery days (6.4) and average rating 2.9.</t>
  </si>
  <si>
    <t>Logistics or stock availability delay may be affecting customer satisfaction.</t>
  </si>
  <si>
    <t>Low rating can reduce repeat purchase and brand trust.</t>
  </si>
  <si>
    <t>Track delayed orders weekly and prioritize inventory for slow delivery regions.</t>
  </si>
  <si>
    <t>Profit Margin</t>
  </si>
  <si>
    <t>Grocery has the lowest profit margin at 20.1%.</t>
  </si>
  <si>
    <t>Home Appliance category has the highest average discount at 12.6%.</t>
  </si>
  <si>
    <t>High revenue may not convert into healthy profit.</t>
  </si>
  <si>
    <t>Review discount strategy and protect margin for low-profit categories.</t>
  </si>
  <si>
    <t>Product Dependency</t>
  </si>
  <si>
    <t>Top 5 products contribute 36.7% of total sales.</t>
  </si>
  <si>
    <t>Sales are concentrated on a small product group.</t>
  </si>
  <si>
    <t>Stockout in top products may cause sudden sales drop.</t>
  </si>
  <si>
    <t>Keep safety stock for top products and promote alternative products.</t>
  </si>
  <si>
    <t>Salesperson Performance Gap</t>
  </si>
  <si>
    <t>Top salesperson Rasel Uddin generated BDT 314,364; lowest salesperson Rumana Rahman generated BDT 103,337.</t>
  </si>
  <si>
    <t>Territory, lead quality, or skill gap may exist.</t>
  </si>
  <si>
    <t>Uneven performance creates dependency on few team members.</t>
  </si>
  <si>
    <t>Provide coaching to low performers and document top performer practices.</t>
  </si>
  <si>
    <t>Retail Sales Performance Dashboard - Sample Layout</t>
  </si>
  <si>
    <t>Total Sales</t>
  </si>
  <si>
    <t>Total Profit</t>
  </si>
  <si>
    <t>Achievement %</t>
  </si>
  <si>
    <t>Avg Delivery Days</t>
  </si>
  <si>
    <t>Avg Rating</t>
  </si>
  <si>
    <t>Sales</t>
  </si>
  <si>
    <t>Target</t>
  </si>
  <si>
    <t>Avg Delivery</t>
  </si>
  <si>
    <t>Avg Discount</t>
  </si>
  <si>
    <t>Qty Sold</t>
  </si>
  <si>
    <t>Total_Cost</t>
  </si>
  <si>
    <t>Customer Name</t>
  </si>
  <si>
    <t>Sales Man</t>
  </si>
  <si>
    <t>Region</t>
  </si>
  <si>
    <t>Store Name</t>
  </si>
  <si>
    <t>Total Order</t>
  </si>
  <si>
    <t xml:space="preserve"> Target Sales</t>
  </si>
  <si>
    <t>KPI</t>
  </si>
  <si>
    <t xml:space="preserve">Target Achieved </t>
  </si>
  <si>
    <t>Grand Total</t>
  </si>
  <si>
    <t>Rank</t>
  </si>
  <si>
    <t>Target sales</t>
  </si>
  <si>
    <t>Column Labels</t>
  </si>
  <si>
    <t>2-3</t>
  </si>
  <si>
    <t>3-4</t>
  </si>
  <si>
    <t>4-5</t>
  </si>
  <si>
    <t>Count of Customer_ID</t>
  </si>
  <si>
    <t>Avg Delivery Date</t>
  </si>
  <si>
    <t>Dhaka Total</t>
  </si>
  <si>
    <t>Khulna Total</t>
  </si>
  <si>
    <t>Sylhet Total</t>
  </si>
  <si>
    <t>Rajshahi Total</t>
  </si>
  <si>
    <t>Mymensingh Total</t>
  </si>
  <si>
    <t>Barishal Total</t>
  </si>
  <si>
    <t>Chattogram Total</t>
  </si>
  <si>
    <t>Rangpur Total</t>
  </si>
  <si>
    <t>Sum of Sales_Amount</t>
  </si>
  <si>
    <t>Total Sale by top ten sales man</t>
  </si>
  <si>
    <t>Total sales</t>
  </si>
  <si>
    <t>Sale % by top 10 sales man</t>
  </si>
  <si>
    <t>Sales % by remaining sellers</t>
  </si>
  <si>
    <t>Sales Amount</t>
  </si>
  <si>
    <t xml:space="preserve">Target Sales </t>
  </si>
  <si>
    <t>Top 5 Sales by Performance</t>
  </si>
  <si>
    <t>Bottom 5 Sales by Performance</t>
  </si>
  <si>
    <t>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</si>
</sst>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0.0"/>
    <numFmt numFmtId="166" formatCode="0.0%"/>
    <numFmt numFmtId="167" formatCode="[&gt;=1000000000]0.0...&quot;B&quot;;[&gt;=1000000]0.0,,&quot;M&quot;;0.0,&quot;K&quot;"/>
  </numFmts>
  <fonts count="12">
    <font>
      <sz val="11"/>
      <name val="Carlito"/>
    </font>
    <font>
      <b/>
      <sz val="16"/>
      <color rgb="FFFFFFFF"/>
      <name val="Carlito"/>
    </font>
    <font>
      <b/>
      <sz val="11"/>
      <color rgb="FF14532D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theme="0"/>
      <name val="Carlito"/>
    </font>
    <font>
      <sz val="11"/>
      <color theme="0"/>
      <name val="Carlito"/>
    </font>
    <font>
      <b/>
      <sz val="20"/>
      <name val="Carlito"/>
    </font>
    <font>
      <sz val="11"/>
      <name val="Carlito"/>
    </font>
    <font>
      <b/>
      <sz val="11"/>
      <color theme="6"/>
      <name val="Carlito"/>
    </font>
    <font>
      <b/>
      <sz val="11"/>
      <color rgb="FFC00000"/>
      <name val="Carlito"/>
    </font>
    <font>
      <b/>
      <sz val="14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52E16"/>
      </patternFill>
    </fill>
    <fill>
      <patternFill patternType="solid">
        <fgColor rgb="FFD9F99D"/>
      </patternFill>
    </fill>
    <fill>
      <patternFill patternType="solid">
        <fgColor rgb="FF0F5132"/>
      </patternFill>
    </fill>
    <fill>
      <patternFill patternType="solid">
        <fgColor rgb="FF14532D"/>
      </patternFill>
    </fill>
    <fill>
      <patternFill patternType="solid">
        <fgColor rgb="FFECFDF5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86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3" fontId="4" fillId="6" borderId="0" xfId="0" applyNumberFormat="1" applyFont="1" applyFill="1" applyAlignment="1">
      <alignment vertical="center"/>
    </xf>
    <xf numFmtId="166" fontId="4" fillId="6" borderId="0" xfId="0" applyNumberFormat="1" applyFont="1" applyFill="1" applyAlignment="1">
      <alignment vertical="center"/>
    </xf>
    <xf numFmtId="165" fontId="4" fillId="6" borderId="0" xfId="0" applyNumberFormat="1" applyFont="1" applyFill="1" applyAlignment="1">
      <alignment vertical="center"/>
    </xf>
    <xf numFmtId="0" fontId="3" fillId="5" borderId="0" xfId="0" applyFont="1" applyFill="1" applyAlignment="1">
      <alignment horizontal="center"/>
    </xf>
    <xf numFmtId="3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3" fillId="4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9" borderId="0" xfId="0" applyNumberFormat="1" applyFill="1" applyAlignment="1">
      <alignment horizontal="right"/>
    </xf>
    <xf numFmtId="0" fontId="6" fillId="7" borderId="0" xfId="0" applyFont="1" applyFill="1" applyAlignment="1">
      <alignment horizontal="right"/>
    </xf>
    <xf numFmtId="2" fontId="0" fillId="0" borderId="0" xfId="0" applyNumberFormat="1" applyAlignment="1">
      <alignment horizontal="right"/>
    </xf>
    <xf numFmtId="0" fontId="6" fillId="7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10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3" xfId="0" applyBorder="1" applyAlignment="1">
      <alignment horizontal="center"/>
    </xf>
    <xf numFmtId="10" fontId="0" fillId="0" borderId="8" xfId="1" applyNumberFormat="1" applyFont="1" applyBorder="1"/>
    <xf numFmtId="10" fontId="0" fillId="0" borderId="0" xfId="1" applyNumberFormat="1" applyFont="1" applyBorder="1"/>
    <xf numFmtId="0" fontId="0" fillId="11" borderId="6" xfId="0" applyFill="1" applyBorder="1"/>
    <xf numFmtId="0" fontId="0" fillId="11" borderId="2" xfId="0" applyFill="1" applyBorder="1"/>
    <xf numFmtId="0" fontId="0" fillId="11" borderId="7" xfId="0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13" xfId="0" pivotButton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0" fillId="11" borderId="0" xfId="0" applyFill="1"/>
    <xf numFmtId="167" fontId="0" fillId="0" borderId="0" xfId="0" applyNumberFormat="1"/>
    <xf numFmtId="167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167" fontId="0" fillId="0" borderId="9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167" fontId="0" fillId="0" borderId="3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0" fontId="0" fillId="0" borderId="1" xfId="0" pivotButton="1" applyBorder="1" applyAlignment="1">
      <alignment horizontal="center"/>
    </xf>
    <xf numFmtId="167" fontId="11" fillId="0" borderId="10" xfId="0" applyNumberFormat="1" applyFont="1" applyBorder="1" applyAlignment="1">
      <alignment horizontal="center" vertical="center"/>
    </xf>
    <xf numFmtId="167" fontId="11" fillId="0" borderId="11" xfId="0" applyNumberFormat="1" applyFont="1" applyBorder="1" applyAlignment="1">
      <alignment horizontal="center" vertical="center"/>
    </xf>
    <xf numFmtId="10" fontId="11" fillId="0" borderId="12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8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167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NumberFormat="1" applyAlignment="1">
      <alignment horizontal="right"/>
    </xf>
  </cellXfs>
  <cellStyles count="2">
    <cellStyle name="Normal" xfId="0" builtinId="0"/>
    <cellStyle name="Per cent" xfId="1" builtinId="5"/>
  </cellStyles>
  <dxfs count="145">
    <dxf>
      <font>
        <color rgb="FF991B1B"/>
      </font>
      <fill>
        <patternFill patternType="solid">
          <bgColor rgb="FFFEE2E2"/>
        </patternFill>
      </fill>
    </dxf>
    <dxf>
      <font>
        <color rgb="FF991B1B"/>
      </font>
      <fill>
        <patternFill patternType="solid">
          <bgColor rgb="FFFECACA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2" formatCode="0.00"/>
    </dxf>
    <dxf>
      <numFmt numFmtId="2" formatCode="0.00"/>
    </dxf>
    <dxf>
      <numFmt numFmtId="2" formatCode="0.00"/>
    </dxf>
    <dxf>
      <alignment horizontal="right"/>
    </dxf>
    <dxf>
      <alignment horizontal="right"/>
    </dxf>
    <dxf>
      <alignment horizontal="right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rgb="FF002060"/>
        </patternFill>
      </fill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/>
      </border>
    </dxf>
    <dxf>
      <border>
        <bottom/>
      </border>
    </dxf>
    <dxf>
      <border>
        <bottom/>
      </border>
    </dxf>
    <dxf>
      <numFmt numFmtId="167" formatCode="[&gt;=1000000000]0.0...&quot;B&quot;;[&gt;=1000000]0.0,,&quot;M&quot;;0.0,&quot;K&quot;"/>
      <alignment vertical="center"/>
    </dxf>
    <dxf>
      <numFmt numFmtId="167" formatCode="[&gt;=1000000000]0.0...&quot;B&quot;;[&gt;=1000000]0.0,,&quot;M&quot;;0.0,&quot;K&quot;"/>
      <alignment vertical="center"/>
    </dxf>
    <dxf>
      <numFmt numFmtId="167" formatCode="[&gt;=1000000000]0.0...&quot;B&quot;;[&gt;=1000000]0.0,,&quot;M&quot;;0.0,&quot;K&quot;"/>
      <alignment vertical="center"/>
    </dxf>
    <dxf>
      <numFmt numFmtId="167" formatCode="[&gt;=1000000000]0.0...&quot;B&quot;;[&gt;=1000000]0.0,,&quot;M&quot;;0.0,&quot;K&quot;"/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[&gt;=1000000000]0.0...&quot;B&quot;;[&gt;=1000000]0.0,,&quot;M&quot;;0.0,&quot;K&quot;"/>
      <alignment vertical="center"/>
    </dxf>
    <dxf>
      <numFmt numFmtId="167" formatCode="[&gt;=1000000000]0.0...&quot;B&quot;;[&gt;=1000000]0.0,,&quot;M&quot;;0.0,&quot;K&quot;"/>
      <alignment vertic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bottom/>
      </border>
    </dxf>
    <dxf>
      <numFmt numFmtId="167" formatCode="[&gt;=1000000000]0.0...&quot;B&quot;;[&gt;=1000000]0.0,,&quot;M&quot;;0.0,&quot;K&quot;"/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[&gt;=1000000000]0.0...&quot;B&quot;;[&gt;=1000000]0.0,,&quot;M&quot;;0.0,&quot;K&quot;"/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[&gt;=1000000000]0.0...&quot;B&quot;;[&gt;=1000000]0.0,,&quot;M&quot;;0.0,&quot;K&quot;"/>
      <alignment vertical="center"/>
    </dxf>
    <dxf>
      <numFmt numFmtId="167" formatCode="[&gt;=1000000000]0.0...&quot;B&quot;;[&gt;=1000000]0.0,,&quot;M&quot;;0.0,&quot;K&quot;"/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b/>
      </font>
    </dxf>
    <dxf>
      <numFmt numFmtId="14" formatCode="0.00%"/>
    </dxf>
    <dxf>
      <numFmt numFmtId="167" formatCode="[&gt;=1000000000]0.0...&quot;B&quot;;[&gt;=1000000]0.0,,&quot;M&quot;;0.0,&quot;K&quot;"/>
    </dxf>
    <dxf>
      <numFmt numFmtId="167" formatCode="[&gt;=1000000000]0.0...&quot;B&quot;;[&gt;=1000000]0.0,,&quot;M&quot;;0.0,&quot;K&quot;"/>
    </dxf>
    <dxf>
      <numFmt numFmtId="167" formatCode="[&gt;=1000000000]0.0...&quot;B&quot;;[&gt;=1000000]0.0,,&quot;M&quot;;0.0,&quot;K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7" formatCode="[&gt;=1000000000]0.0...&quot;B&quot;;[&gt;=1000000]0.0,,&quot;M&quot;;0.0,&quot;K&quot;"/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sz val="11"/>
        <color theme="1"/>
      </font>
      <border>
        <vertical/>
        <horizontal/>
      </border>
    </dxf>
    <dxf>
      <font>
        <color rgb="FFFF0000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</dxfs>
  <tableStyles count="1" defaultTableStyle="TableStyleMedium2" defaultPivotStyle="PivotStyleLight16">
    <tableStyle name="TimeSlicerStyleLight4 2" pivot="0" table="0" count="9" xr9:uid="{934BD639-E362-4CC6-A2DE-1F2CB5CC4D6D}">
      <tableStyleElement type="wholeTable" dxfId="144"/>
      <tableStyleElement type="headerRow" dxfId="143"/>
    </tableStyle>
  </tableStyles>
  <colors>
    <mruColors>
      <color rgb="FFF0F042"/>
      <color rgb="FFDA6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solid">
              <fgColor theme="7" tint="0.39994506668294322"/>
              <bgColor theme="4" tint="-0.2499465926084170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theme="0" tint="-4.9989318521683403E-2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theme="4" tint="0.59996337778862885"/>
            </pattern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1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4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File-Excel_Dashboard_Case_Study_Dataset (version 2).xlsx]Analysis!PivotTable8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noFill/>
            <a:round/>
          </a:ln>
          <a:effectLst/>
        </c:spPr>
        <c:marker>
          <c:symbol val="dash"/>
          <c:size val="20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Analysis!$I$26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Analysis!$H$27:$H$34</c:f>
              <c:strCache>
                <c:ptCount val="8"/>
                <c:pt idx="0">
                  <c:v>Barishal</c:v>
                </c:pt>
                <c:pt idx="1">
                  <c:v>Chattogram</c:v>
                </c:pt>
                <c:pt idx="2">
                  <c:v>Dhaka</c:v>
                </c:pt>
                <c:pt idx="3">
                  <c:v>Khulna</c:v>
                </c:pt>
                <c:pt idx="4">
                  <c:v>Mymensingh</c:v>
                </c:pt>
                <c:pt idx="5">
                  <c:v>Rajshahi</c:v>
                </c:pt>
                <c:pt idx="6">
                  <c:v>Rangpur</c:v>
                </c:pt>
                <c:pt idx="7">
                  <c:v>Sylhet</c:v>
                </c:pt>
              </c:strCache>
            </c:strRef>
          </c:cat>
          <c:val>
            <c:numRef>
              <c:f>Analysis!$I$27:$I$34</c:f>
              <c:numCache>
                <c:formatCode>[&gt;=1000000000]0.0..."B";[&gt;=1000000]0.0,,"M";0.0,"K"</c:formatCode>
                <c:ptCount val="8"/>
                <c:pt idx="0">
                  <c:v>1498090</c:v>
                </c:pt>
                <c:pt idx="1">
                  <c:v>1311820</c:v>
                </c:pt>
                <c:pt idx="2">
                  <c:v>1490960</c:v>
                </c:pt>
                <c:pt idx="3">
                  <c:v>1383370</c:v>
                </c:pt>
                <c:pt idx="4">
                  <c:v>1064080</c:v>
                </c:pt>
                <c:pt idx="5">
                  <c:v>1330400</c:v>
                </c:pt>
                <c:pt idx="6">
                  <c:v>1221030</c:v>
                </c:pt>
                <c:pt idx="7">
                  <c:v>1072720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F-42F9-AAAC-E1771C73E9A4}"/>
            </c:ext>
          </c:extLst>
        </c:ser>
        <c:dLbls>
          <c:dLblPos val="inBase"/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-18"/>
        <c:axId val="660812703"/>
        <c:axId val="660809343"/>
      </c:barChart>
      <c:lineChart>
        <c:grouping val="standard"/>
        <c:varyColors val="0"/>
        <c:ser>
          <c:idx val="1"/>
          <c:order val="1"/>
          <c:tx>
            <c:strRef>
              <c:f>Analysis!$J$26</c:f>
              <c:strCache>
                <c:ptCount val="1"/>
                <c:pt idx="0">
                  <c:v>Target Sales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2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Analysis!$H$27:$H$34</c:f>
              <c:strCache>
                <c:ptCount val="8"/>
                <c:pt idx="0">
                  <c:v>Barishal</c:v>
                </c:pt>
                <c:pt idx="1">
                  <c:v>Chattogram</c:v>
                </c:pt>
                <c:pt idx="2">
                  <c:v>Dhaka</c:v>
                </c:pt>
                <c:pt idx="3">
                  <c:v>Khulna</c:v>
                </c:pt>
                <c:pt idx="4">
                  <c:v>Mymensingh</c:v>
                </c:pt>
                <c:pt idx="5">
                  <c:v>Rajshahi</c:v>
                </c:pt>
                <c:pt idx="6">
                  <c:v>Rangpur</c:v>
                </c:pt>
                <c:pt idx="7">
                  <c:v>Sylhet</c:v>
                </c:pt>
              </c:strCache>
            </c:strRef>
          </c:cat>
          <c:val>
            <c:numRef>
              <c:f>Analysis!$J$27:$J$34</c:f>
              <c:numCache>
                <c:formatCode>[&gt;=1000000000]0.0..."B";[&gt;=1000000]0.0,,"M";0.0,"K"</c:formatCode>
                <c:ptCount val="8"/>
                <c:pt idx="0">
                  <c:v>1677860</c:v>
                </c:pt>
                <c:pt idx="1">
                  <c:v>1495472</c:v>
                </c:pt>
                <c:pt idx="2">
                  <c:v>1580413</c:v>
                </c:pt>
                <c:pt idx="3">
                  <c:v>1507877</c:v>
                </c:pt>
                <c:pt idx="4">
                  <c:v>1149207</c:v>
                </c:pt>
                <c:pt idx="5">
                  <c:v>1436830</c:v>
                </c:pt>
                <c:pt idx="6">
                  <c:v>1404174</c:v>
                </c:pt>
                <c:pt idx="7">
                  <c:v>1147816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9F-42F9-AAAC-E1771C73E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812703"/>
        <c:axId val="660809343"/>
      </c:lineChart>
      <c:catAx>
        <c:axId val="66081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660809343"/>
        <c:crosses val="autoZero"/>
        <c:auto val="1"/>
        <c:lblAlgn val="ctr"/>
        <c:lblOffset val="100"/>
        <c:noMultiLvlLbl val="0"/>
      </c:catAx>
      <c:valAx>
        <c:axId val="660809343"/>
        <c:scaling>
          <c:orientation val="minMax"/>
        </c:scaling>
        <c:delete val="1"/>
        <c:axPos val="l"/>
        <c:numFmt formatCode="[&gt;=1000000000]0.0...&quot;B&quot;;[&gt;=1000000]0.0,,&quot;M&quot;;0.0,&quot;K&quot;" sourceLinked="1"/>
        <c:majorTickMark val="none"/>
        <c:minorTickMark val="none"/>
        <c:tickLblPos val="nextTo"/>
        <c:crossAx val="66081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3759221181640802"/>
          <c:y val="1.7702435882837534E-3"/>
          <c:w val="0.33328125650960294"/>
          <c:h val="0.131426234102481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530770245898034E-2"/>
          <c:y val="4.0665434380776341E-2"/>
          <c:w val="0.61700730399204895"/>
          <c:h val="0.873573871657909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Analysis!$K$54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accent1">
                  <a:shade val="1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Analysis!$J$55:$J$59</c:f>
              <c:strCache>
                <c:ptCount val="5"/>
                <c:pt idx="0">
                  <c:v>Chattogram Agrabad Store</c:v>
                </c:pt>
                <c:pt idx="1">
                  <c:v>Mymensingh Kewatkhali Store</c:v>
                </c:pt>
                <c:pt idx="2">
                  <c:v>Rajshahi Uposhohor Store</c:v>
                </c:pt>
                <c:pt idx="3">
                  <c:v>Sylhet Upashahar Store</c:v>
                </c:pt>
                <c:pt idx="4">
                  <c:v>Sylhet Zindabazar Store</c:v>
                </c:pt>
              </c:strCache>
            </c:strRef>
          </c:cat>
          <c:val>
            <c:numRef>
              <c:f>Analysis!$K$55:$K$59</c:f>
              <c:numCache>
                <c:formatCode>[&gt;=1000000000]0.0..."B";[&gt;=1000000]0.0,,"M";0.0,"K"</c:formatCode>
                <c:ptCount val="5"/>
                <c:pt idx="0">
                  <c:v>175790</c:v>
                </c:pt>
                <c:pt idx="1">
                  <c:v>170090</c:v>
                </c:pt>
                <c:pt idx="2">
                  <c:v>126640</c:v>
                </c:pt>
                <c:pt idx="3">
                  <c:v>158070</c:v>
                </c:pt>
                <c:pt idx="4">
                  <c:v>183710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0-4D8E-A8A0-2C3843BD195D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49"/>
        <c:axId val="1908232511"/>
        <c:axId val="1908233951"/>
      </c:barChart>
      <c:catAx>
        <c:axId val="1908232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908233951"/>
        <c:crosses val="autoZero"/>
        <c:auto val="1"/>
        <c:lblAlgn val="ctr"/>
        <c:lblOffset val="100"/>
        <c:noMultiLvlLbl val="0"/>
      </c:catAx>
      <c:valAx>
        <c:axId val="1908233951"/>
        <c:scaling>
          <c:orientation val="minMax"/>
        </c:scaling>
        <c:delete val="1"/>
        <c:axPos val="b"/>
        <c:numFmt formatCode="[&gt;=1000000000]0.0...&quot;B&quot;;[&gt;=1000000]0.0,,&quot;M&quot;;0.0,&quot;K&quot;" sourceLinked="1"/>
        <c:majorTickMark val="none"/>
        <c:minorTickMark val="none"/>
        <c:tickLblPos val="nextTo"/>
        <c:crossAx val="190823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24999300957565E-2"/>
          <c:y val="2.8448279724175907E-2"/>
          <c:w val="0.73783263074298633"/>
          <c:h val="0.943103440551648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Analysis!$I$63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Analysis!$H$64:$H$73</c:f>
              <c:strCache>
                <c:ptCount val="10"/>
                <c:pt idx="0">
                  <c:v>Shaila Akter</c:v>
                </c:pt>
                <c:pt idx="1">
                  <c:v>Rasel Uddin</c:v>
                </c:pt>
                <c:pt idx="2">
                  <c:v>Shakib Ahmed</c:v>
                </c:pt>
                <c:pt idx="3">
                  <c:v>Nabila Mia</c:v>
                </c:pt>
                <c:pt idx="4">
                  <c:v>Mahmud Hossain</c:v>
                </c:pt>
                <c:pt idx="5">
                  <c:v>Tania Sultana</c:v>
                </c:pt>
                <c:pt idx="6">
                  <c:v>Sadia Sultana</c:v>
                </c:pt>
                <c:pt idx="7">
                  <c:v>Fahim Uddin</c:v>
                </c:pt>
                <c:pt idx="8">
                  <c:v>Fahim Hossain</c:v>
                </c:pt>
                <c:pt idx="9">
                  <c:v>Karim Khan</c:v>
                </c:pt>
              </c:strCache>
            </c:strRef>
          </c:cat>
          <c:val>
            <c:numRef>
              <c:f>Analysis!$I$64:$I$73</c:f>
              <c:numCache>
                <c:formatCode>[&gt;=1000000000]0.0..."B";[&gt;=1000000]0.0,,"M";0.0,"K"</c:formatCode>
                <c:ptCount val="10"/>
                <c:pt idx="0">
                  <c:v>300240</c:v>
                </c:pt>
                <c:pt idx="1">
                  <c:v>358680</c:v>
                </c:pt>
                <c:pt idx="2">
                  <c:v>323880</c:v>
                </c:pt>
                <c:pt idx="3">
                  <c:v>290270</c:v>
                </c:pt>
                <c:pt idx="4">
                  <c:v>316400</c:v>
                </c:pt>
                <c:pt idx="5">
                  <c:v>309150</c:v>
                </c:pt>
                <c:pt idx="6">
                  <c:v>294550</c:v>
                </c:pt>
                <c:pt idx="7">
                  <c:v>299560</c:v>
                </c:pt>
                <c:pt idx="8">
                  <c:v>298350</c:v>
                </c:pt>
                <c:pt idx="9">
                  <c:v>332980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0-49CE-B947-29457CFDB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621796831"/>
        <c:axId val="1621797311"/>
      </c:barChart>
      <c:catAx>
        <c:axId val="162179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621797311"/>
        <c:crosses val="autoZero"/>
        <c:auto val="1"/>
        <c:lblAlgn val="ctr"/>
        <c:lblOffset val="100"/>
        <c:noMultiLvlLbl val="0"/>
      </c:catAx>
      <c:valAx>
        <c:axId val="1621797311"/>
        <c:scaling>
          <c:orientation val="minMax"/>
        </c:scaling>
        <c:delete val="1"/>
        <c:axPos val="b"/>
        <c:numFmt formatCode="[&gt;=1000000000]0.0...&quot;B&quot;;[&gt;=1000000]0.0,,&quot;M&quot;;0.0,&quot;K&quot;" sourceLinked="1"/>
        <c:majorTickMark val="none"/>
        <c:minorTickMark val="none"/>
        <c:tickLblPos val="nextTo"/>
        <c:crossAx val="162179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File-Excel_Dashboard_Case_Study_Dataset (version 2).xlsx]Analysis!PivotTable5</c:name>
    <c:fmtId val="3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Analysis!$K$10:$K$11</c:f>
              <c:strCache>
                <c:ptCount val="1"/>
                <c:pt idx="0">
                  <c:v>1-2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Analysis!$J$12:$J$20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Rajshahi</c:v>
                </c:pt>
                <c:pt idx="3">
                  <c:v>Sylhet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Analysis!$K$12:$K$20</c:f>
              <c:numCache>
                <c:formatCode>General</c:formatCode>
                <c:ptCount val="8"/>
                <c:pt idx="0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B-465F-8358-165A7E3B05EE}"/>
            </c:ext>
          </c:extLst>
        </c:ser>
        <c:ser>
          <c:idx val="1"/>
          <c:order val="1"/>
          <c:tx>
            <c:strRef>
              <c:f>Analysis!$L$10:$L$11</c:f>
              <c:strCache>
                <c:ptCount val="1"/>
                <c:pt idx="0">
                  <c:v>2-3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Analysis!$J$12:$J$20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Rajshahi</c:v>
                </c:pt>
                <c:pt idx="3">
                  <c:v>Sylhet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Analysis!$L$12:$L$20</c:f>
              <c:numCache>
                <c:formatCode>General</c:formatCode>
                <c:ptCount val="8"/>
                <c:pt idx="0">
                  <c:v>2</c:v>
                </c:pt>
                <c:pt idx="1">
                  <c:v>10</c:v>
                </c:pt>
                <c:pt idx="2">
                  <c:v>17</c:v>
                </c:pt>
                <c:pt idx="3">
                  <c:v>5</c:v>
                </c:pt>
                <c:pt idx="4">
                  <c:v>20</c:v>
                </c:pt>
                <c:pt idx="5">
                  <c:v>41</c:v>
                </c:pt>
                <c:pt idx="6">
                  <c:v>39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1B-465F-8358-165A7E3B05EE}"/>
            </c:ext>
          </c:extLst>
        </c:ser>
        <c:ser>
          <c:idx val="2"/>
          <c:order val="2"/>
          <c:tx>
            <c:strRef>
              <c:f>Analysis!$M$10:$M$11</c:f>
              <c:strCache>
                <c:ptCount val="1"/>
                <c:pt idx="0">
                  <c:v>3-4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Analysis!$J$12:$J$20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Rajshahi</c:v>
                </c:pt>
                <c:pt idx="3">
                  <c:v>Sylhet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Analysis!$M$12:$M$20</c:f>
              <c:numCache>
                <c:formatCode>General</c:formatCode>
                <c:ptCount val="8"/>
                <c:pt idx="0">
                  <c:v>44</c:v>
                </c:pt>
                <c:pt idx="1">
                  <c:v>65</c:v>
                </c:pt>
                <c:pt idx="2">
                  <c:v>74</c:v>
                </c:pt>
                <c:pt idx="3">
                  <c:v>58</c:v>
                </c:pt>
                <c:pt idx="4">
                  <c:v>58</c:v>
                </c:pt>
                <c:pt idx="5">
                  <c:v>66</c:v>
                </c:pt>
                <c:pt idx="6">
                  <c:v>64</c:v>
                </c:pt>
                <c:pt idx="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1B-465F-8358-165A7E3B05EE}"/>
            </c:ext>
          </c:extLst>
        </c:ser>
        <c:ser>
          <c:idx val="3"/>
          <c:order val="3"/>
          <c:tx>
            <c:strRef>
              <c:f>Analysis!$N$10:$N$11</c:f>
              <c:strCache>
                <c:ptCount val="1"/>
                <c:pt idx="0">
                  <c:v>4-5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Analysis!$J$12:$J$20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Rajshahi</c:v>
                </c:pt>
                <c:pt idx="3">
                  <c:v>Sylhet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Analysis!$N$12:$N$20</c:f>
              <c:numCache>
                <c:formatCode>General</c:formatCode>
                <c:ptCount val="8"/>
                <c:pt idx="0">
                  <c:v>81</c:v>
                </c:pt>
                <c:pt idx="1">
                  <c:v>55</c:v>
                </c:pt>
                <c:pt idx="2">
                  <c:v>47</c:v>
                </c:pt>
                <c:pt idx="3">
                  <c:v>41</c:v>
                </c:pt>
                <c:pt idx="4">
                  <c:v>37</c:v>
                </c:pt>
                <c:pt idx="5">
                  <c:v>23</c:v>
                </c:pt>
                <c:pt idx="6">
                  <c:v>18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A-4A63-B277-495DB9A1CC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8"/>
        <c:overlap val="100"/>
        <c:axId val="1639038351"/>
        <c:axId val="1639035471"/>
      </c:barChart>
      <c:catAx>
        <c:axId val="163903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639035471"/>
        <c:crosses val="autoZero"/>
        <c:auto val="1"/>
        <c:lblAlgn val="ctr"/>
        <c:lblOffset val="100"/>
        <c:noMultiLvlLbl val="0"/>
      </c:catAx>
      <c:valAx>
        <c:axId val="1639035471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63903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4934857655080878"/>
          <c:y val="7.5812263593015211E-2"/>
          <c:w val="0.22759433193462861"/>
          <c:h val="7.9662251146069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File-Excel_Dashboard_Case_Study_Dataset (version 2).xlsx]Analysis!PivotTable4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418818564206E-2"/>
          <c:y val="5.3716059294531653E-2"/>
          <c:w val="0.79245326501711277"/>
          <c:h val="0.892567881410936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Analysis!$E$25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Analysis!$D$26:$D$34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Sylhet</c:v>
                </c:pt>
                <c:pt idx="3">
                  <c:v>Rajshahi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Analysis!$E$26:$E$34</c:f>
              <c:numCache>
                <c:formatCode>0.00</c:formatCode>
                <c:ptCount val="8"/>
                <c:pt idx="0">
                  <c:v>2.96875</c:v>
                </c:pt>
                <c:pt idx="1">
                  <c:v>3.7461538461538462</c:v>
                </c:pt>
                <c:pt idx="2">
                  <c:v>3.7884615384615383</c:v>
                </c:pt>
                <c:pt idx="3">
                  <c:v>4.2971014492753623</c:v>
                </c:pt>
                <c:pt idx="4">
                  <c:v>4.5641025641025639</c:v>
                </c:pt>
                <c:pt idx="5">
                  <c:v>5.3787878787878789</c:v>
                </c:pt>
                <c:pt idx="6">
                  <c:v>5.4566929133858268</c:v>
                </c:pt>
                <c:pt idx="7">
                  <c:v>6.42741935483871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7-4C18-80BA-580DE942E13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44"/>
        <c:axId val="1706533087"/>
        <c:axId val="1706530207"/>
      </c:barChart>
      <c:catAx>
        <c:axId val="170653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706530207"/>
        <c:crosses val="autoZero"/>
        <c:auto val="1"/>
        <c:lblAlgn val="ctr"/>
        <c:lblOffset val="100"/>
        <c:noMultiLvlLbl val="0"/>
      </c:catAx>
      <c:valAx>
        <c:axId val="1706530207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70653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US"/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Region_Name</c:v>
          </c:tx>
          <c:invertIfNegative val="1"/>
          <c:cat>
            <c:strRef>
              <c:f>Sample_Dashboard!$A$11:$A$18</c:f>
              <c:strCache>
                <c:ptCount val="8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</c:strCache>
            </c:strRef>
          </c:cat>
          <c:val>
            <c:numRef>
              <c:f>Sample_Dashboard!$B$11:$B$18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3-432D-B6D2-1C15B3D36504}"/>
            </c:ext>
          </c:extLst>
        </c:ser>
        <c:ser>
          <c:idx val="1"/>
          <c:order val="1"/>
          <c:tx>
            <c:v>Sales</c:v>
          </c:tx>
          <c:invertIfNegative val="1"/>
          <c:cat>
            <c:strRef>
              <c:f>Sample_Dashboard!$A$11:$A$18</c:f>
              <c:strCache>
                <c:ptCount val="8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</c:strCache>
            </c:strRef>
          </c:cat>
          <c:val>
            <c:numRef>
              <c:f>Sample_Dashboard!$C$11:$C$18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3-432D-B6D2-1C15B3D36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US"/>
              <a:t>Sales &amp; Profit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Sample_Dashboard!$I$11:$I$20</c:f>
              <c:strCache>
                <c:ptCount val="10"/>
                <c:pt idx="0">
                  <c:v>Electronics</c:v>
                </c:pt>
                <c:pt idx="1">
                  <c:v>Home Appliance</c:v>
                </c:pt>
                <c:pt idx="2">
                  <c:v>Fashion</c:v>
                </c:pt>
                <c:pt idx="3">
                  <c:v>Grocery</c:v>
                </c:pt>
                <c:pt idx="4">
                  <c:v>Beauty &amp; Personal Care</c:v>
                </c:pt>
                <c:pt idx="5">
                  <c:v>Footwear</c:v>
                </c:pt>
                <c:pt idx="6">
                  <c:v>Sports</c:v>
                </c:pt>
                <c:pt idx="7">
                  <c:v>Stationery</c:v>
                </c:pt>
                <c:pt idx="8">
                  <c:v>Kids &amp; Toys</c:v>
                </c:pt>
                <c:pt idx="9">
                  <c:v>Furniture</c:v>
                </c:pt>
              </c:strCache>
            </c:strRef>
          </c:cat>
          <c:val>
            <c:numRef>
              <c:f>Sample_Dashboard!$J$11:$J$20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B-4D63-B713-D9C15439038E}"/>
            </c:ext>
          </c:extLst>
        </c:ser>
        <c:ser>
          <c:idx val="1"/>
          <c:order val="1"/>
          <c:tx>
            <c:v>Profit</c:v>
          </c:tx>
          <c:invertIfNegative val="1"/>
          <c:cat>
            <c:strRef>
              <c:f>Sample_Dashboard!$I$11:$I$20</c:f>
              <c:strCache>
                <c:ptCount val="10"/>
                <c:pt idx="0">
                  <c:v>Electronics</c:v>
                </c:pt>
                <c:pt idx="1">
                  <c:v>Home Appliance</c:v>
                </c:pt>
                <c:pt idx="2">
                  <c:v>Fashion</c:v>
                </c:pt>
                <c:pt idx="3">
                  <c:v>Grocery</c:v>
                </c:pt>
                <c:pt idx="4">
                  <c:v>Beauty &amp; Personal Care</c:v>
                </c:pt>
                <c:pt idx="5">
                  <c:v>Footwear</c:v>
                </c:pt>
                <c:pt idx="6">
                  <c:v>Sports</c:v>
                </c:pt>
                <c:pt idx="7">
                  <c:v>Stationery</c:v>
                </c:pt>
                <c:pt idx="8">
                  <c:v>Kids &amp; Toys</c:v>
                </c:pt>
                <c:pt idx="9">
                  <c:v>Furniture</c:v>
                </c:pt>
              </c:strCache>
            </c:strRef>
          </c:cat>
          <c:val>
            <c:numRef>
              <c:f>Sample_Dashboard!$K$11:$K$20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B-4D63-B713-D9C154390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Analysis!$F$52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sh02!A1"/><Relationship Id="rId2" Type="http://schemas.openxmlformats.org/officeDocument/2006/relationships/hyperlink" Target="#Sheet1!A1"/><Relationship Id="rId1" Type="http://schemas.openxmlformats.org/officeDocument/2006/relationships/hyperlink" Target="#'Dash 01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emf"/><Relationship Id="rId7" Type="http://schemas.openxmlformats.org/officeDocument/2006/relationships/hyperlink" Target="#Dash02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Analysis!A1"/><Relationship Id="rId5" Type="http://schemas.openxmlformats.org/officeDocument/2006/relationships/hyperlink" Target="#'Dash 01'!A1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hyperlink" Target="#'Dash 01'!A1"/><Relationship Id="rId7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hyperlink" Target="#Dash02!A1"/><Relationship Id="rId4" Type="http://schemas.openxmlformats.org/officeDocument/2006/relationships/hyperlink" Target="#Analysis!A1"/><Relationship Id="rId9" Type="http://schemas.openxmlformats.org/officeDocument/2006/relationships/hyperlink" Target="#'Delivery Details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12</xdr:row>
      <xdr:rowOff>104775</xdr:rowOff>
    </xdr:from>
    <xdr:to>
      <xdr:col>2</xdr:col>
      <xdr:colOff>1015661</xdr:colOff>
      <xdr:row>36</xdr:row>
      <xdr:rowOff>70707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CBCD8743-F972-D195-1BEC-68C04283C5B7}"/>
            </a:ext>
          </a:extLst>
        </xdr:cNvPr>
        <xdr:cNvGrpSpPr/>
      </xdr:nvGrpSpPr>
      <xdr:grpSpPr>
        <a:xfrm>
          <a:off x="3562350" y="2098675"/>
          <a:ext cx="691811" cy="4233132"/>
          <a:chOff x="14792325" y="8477250"/>
          <a:chExt cx="691811" cy="4109307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DE728382-DA8F-4852-8D7A-9BF8CFBA9CEB}"/>
              </a:ext>
            </a:extLst>
          </xdr:cNvPr>
          <xdr:cNvSpPr/>
        </xdr:nvSpPr>
        <xdr:spPr>
          <a:xfrm>
            <a:off x="14792325" y="8477250"/>
            <a:ext cx="691811" cy="4109307"/>
          </a:xfrm>
          <a:prstGeom prst="roundRect">
            <a:avLst>
              <a:gd name="adj" fmla="val 24886"/>
            </a:avLst>
          </a:prstGeom>
          <a:solidFill>
            <a:srgbClr val="00060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" name="TextBox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7C1B0E36-BA0A-4361-8CA9-2369E95119C3}"/>
              </a:ext>
            </a:extLst>
          </xdr:cNvPr>
          <xdr:cNvSpPr txBox="1"/>
        </xdr:nvSpPr>
        <xdr:spPr>
          <a:xfrm>
            <a:off x="14826190" y="9760992"/>
            <a:ext cx="601134" cy="26246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D01</a:t>
            </a:r>
            <a:endParaRPr lang="en-001" sz="1100"/>
          </a:p>
        </xdr:txBody>
      </xdr:sp>
      <xdr:sp macro="" textlink="">
        <xdr:nvSpPr>
          <xdr:cNvPr id="5" name="TextBox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8628A26-9B88-4C77-BC07-53525EF6F799}"/>
              </a:ext>
            </a:extLst>
          </xdr:cNvPr>
          <xdr:cNvSpPr txBox="1"/>
        </xdr:nvSpPr>
        <xdr:spPr>
          <a:xfrm>
            <a:off x="14826190" y="10445733"/>
            <a:ext cx="601134" cy="27093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00"/>
              <a:t>Analysis</a:t>
            </a:r>
            <a:endParaRPr lang="en-001" sz="1000"/>
          </a:p>
        </xdr:txBody>
      </xdr:sp>
      <xdr:sp macro="" textlink="">
        <xdr:nvSpPr>
          <xdr:cNvPr id="8" name="TextBox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2428336-F0F1-44B5-A76E-171E3DBA6CD3}"/>
              </a:ext>
            </a:extLst>
          </xdr:cNvPr>
          <xdr:cNvSpPr txBox="1"/>
        </xdr:nvSpPr>
        <xdr:spPr>
          <a:xfrm>
            <a:off x="14826190" y="10103363"/>
            <a:ext cx="601134" cy="26246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D02</a:t>
            </a:r>
            <a:endParaRPr lang="en-001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135466</xdr:colOff>
      <xdr:row>0</xdr:row>
      <xdr:rowOff>42333</xdr:rowOff>
    </xdr:from>
    <xdr:to>
      <xdr:col>21</xdr:col>
      <xdr:colOff>431800</xdr:colOff>
      <xdr:row>43</xdr:row>
      <xdr:rowOff>4233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88A2D1C-BEAC-51C4-059F-42BD8DA50D44}"/>
            </a:ext>
          </a:extLst>
        </xdr:cNvPr>
        <xdr:cNvSpPr/>
      </xdr:nvSpPr>
      <xdr:spPr>
        <a:xfrm>
          <a:off x="2135716" y="42333"/>
          <a:ext cx="12297834" cy="7334250"/>
        </a:xfrm>
        <a:prstGeom prst="roundRect">
          <a:avLst>
            <a:gd name="adj" fmla="val 273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279400</xdr:colOff>
      <xdr:row>0</xdr:row>
      <xdr:rowOff>143933</xdr:rowOff>
    </xdr:from>
    <xdr:to>
      <xdr:col>4</xdr:col>
      <xdr:colOff>587162</xdr:colOff>
      <xdr:row>42</xdr:row>
      <xdr:rowOff>60459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1D03C44-EC6E-16E4-FBA4-14E42F44210F}"/>
            </a:ext>
          </a:extLst>
        </xdr:cNvPr>
        <xdr:cNvSpPr/>
      </xdr:nvSpPr>
      <xdr:spPr>
        <a:xfrm>
          <a:off x="2286000" y="143933"/>
          <a:ext cx="976629" cy="7384126"/>
        </a:xfrm>
        <a:prstGeom prst="roundRect">
          <a:avLst>
            <a:gd name="adj" fmla="val 10766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73635</xdr:colOff>
      <xdr:row>3</xdr:row>
      <xdr:rowOff>14515</xdr:rowOff>
    </xdr:from>
    <xdr:to>
      <xdr:col>21</xdr:col>
      <xdr:colOff>333833</xdr:colOff>
      <xdr:row>42</xdr:row>
      <xdr:rowOff>115295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4A62B02-8934-B025-6B09-94B920BFF2F7}"/>
            </a:ext>
          </a:extLst>
        </xdr:cNvPr>
        <xdr:cNvSpPr/>
      </xdr:nvSpPr>
      <xdr:spPr>
        <a:xfrm>
          <a:off x="3417968" y="547915"/>
          <a:ext cx="10962065" cy="7034980"/>
        </a:xfrm>
        <a:prstGeom prst="roundRect">
          <a:avLst>
            <a:gd name="adj" fmla="val 2640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15272</xdr:colOff>
      <xdr:row>0</xdr:row>
      <xdr:rowOff>143933</xdr:rowOff>
    </xdr:from>
    <xdr:to>
      <xdr:col>21</xdr:col>
      <xdr:colOff>262584</xdr:colOff>
      <xdr:row>2</xdr:row>
      <xdr:rowOff>52965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E32B896-C05B-90C6-D0E8-4B0327081CC5}"/>
            </a:ext>
          </a:extLst>
        </xdr:cNvPr>
        <xdr:cNvSpPr/>
      </xdr:nvSpPr>
      <xdr:spPr>
        <a:xfrm>
          <a:off x="3359605" y="143933"/>
          <a:ext cx="10949179" cy="264632"/>
        </a:xfrm>
        <a:prstGeom prst="roundRect">
          <a:avLst>
            <a:gd name="adj" fmla="val 18477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414867</xdr:colOff>
      <xdr:row>7</xdr:row>
      <xdr:rowOff>156650</xdr:rowOff>
    </xdr:from>
    <xdr:to>
      <xdr:col>4</xdr:col>
      <xdr:colOff>437811</xdr:colOff>
      <xdr:row>30</xdr:row>
      <xdr:rowOff>176557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2D91562-5F59-582B-E75B-6FC73C216808}"/>
            </a:ext>
          </a:extLst>
        </xdr:cNvPr>
        <xdr:cNvSpPr/>
      </xdr:nvSpPr>
      <xdr:spPr>
        <a:xfrm>
          <a:off x="2421467" y="1401250"/>
          <a:ext cx="691811" cy="4109307"/>
        </a:xfrm>
        <a:prstGeom prst="roundRect">
          <a:avLst>
            <a:gd name="adj" fmla="val 24886"/>
          </a:avLst>
        </a:prstGeom>
        <a:solidFill>
          <a:srgbClr val="00060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209550</xdr:colOff>
      <xdr:row>27</xdr:row>
      <xdr:rowOff>50445</xdr:rowOff>
    </xdr:from>
    <xdr:to>
      <xdr:col>21</xdr:col>
      <xdr:colOff>197555</xdr:colOff>
      <xdr:row>41</xdr:row>
      <xdr:rowOff>164853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2AD41F8-3DFB-B2FB-070C-2393F485F24A}"/>
            </a:ext>
          </a:extLst>
        </xdr:cNvPr>
        <xdr:cNvSpPr/>
      </xdr:nvSpPr>
      <xdr:spPr>
        <a:xfrm>
          <a:off x="3543300" y="4679595"/>
          <a:ext cx="10656005" cy="2514708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12</xdr:col>
      <xdr:colOff>294895</xdr:colOff>
      <xdr:row>12</xdr:row>
      <xdr:rowOff>44717</xdr:rowOff>
    </xdr:from>
    <xdr:to>
      <xdr:col>21</xdr:col>
      <xdr:colOff>206963</xdr:colOff>
      <xdr:row>26</xdr:row>
      <xdr:rowOff>44092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86C8F9E-194F-EE5F-3470-B916003D7137}"/>
            </a:ext>
          </a:extLst>
        </xdr:cNvPr>
        <xdr:cNvSpPr/>
      </xdr:nvSpPr>
      <xdr:spPr>
        <a:xfrm>
          <a:off x="8310006" y="2189606"/>
          <a:ext cx="5923401" cy="2501745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498059</xdr:colOff>
      <xdr:row>3</xdr:row>
      <xdr:rowOff>84496</xdr:rowOff>
    </xdr:from>
    <xdr:to>
      <xdr:col>4</xdr:col>
      <xdr:colOff>302474</xdr:colOff>
      <xdr:row>6</xdr:row>
      <xdr:rowOff>33868</xdr:rowOff>
    </xdr:to>
    <xdr:pic>
      <xdr:nvPicPr>
        <xdr:cNvPr id="17" name="Graphic 57" descr="Globe outline">
          <a:extLst>
            <a:ext uri="{FF2B5EF4-FFF2-40B4-BE49-F238E27FC236}">
              <a16:creationId xmlns:a16="http://schemas.microsoft.com/office/drawing/2014/main" id="{404064A8-AC58-355C-86B5-5DF5A4E28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2504659" y="617896"/>
          <a:ext cx="473282" cy="482772"/>
        </a:xfrm>
        <a:prstGeom prst="rect">
          <a:avLst/>
        </a:prstGeom>
      </xdr:spPr>
    </xdr:pic>
    <xdr:clientData/>
  </xdr:twoCellAnchor>
  <xdr:twoCellAnchor>
    <xdr:from>
      <xdr:col>5</xdr:col>
      <xdr:colOff>200484</xdr:colOff>
      <xdr:row>3</xdr:row>
      <xdr:rowOff>154814</xdr:rowOff>
    </xdr:from>
    <xdr:to>
      <xdr:col>8</xdr:col>
      <xdr:colOff>50840</xdr:colOff>
      <xdr:row>11</xdr:row>
      <xdr:rowOff>113453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1F574091-56A0-5FFD-381A-FCC097DA2E11}"/>
            </a:ext>
          </a:extLst>
        </xdr:cNvPr>
        <xdr:cNvGrpSpPr/>
      </xdr:nvGrpSpPr>
      <xdr:grpSpPr>
        <a:xfrm>
          <a:off x="3575055" y="677328"/>
          <a:ext cx="1875099" cy="1352011"/>
          <a:chOff x="2662088" y="680010"/>
          <a:chExt cx="1712682" cy="994935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5348D9BB-E466-1CB0-419F-8AE41CEDB58C}"/>
              </a:ext>
            </a:extLst>
          </xdr:cNvPr>
          <xdr:cNvSpPr/>
        </xdr:nvSpPr>
        <xdr:spPr>
          <a:xfrm>
            <a:off x="2662088" y="680010"/>
            <a:ext cx="1712682" cy="994935"/>
          </a:xfrm>
          <a:prstGeom prst="roundRect">
            <a:avLst>
              <a:gd name="adj" fmla="val 956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Analysis!D6">
        <xdr:nvSpPr>
          <xdr:cNvPr id="19" name="TextBox 18">
            <a:extLst>
              <a:ext uri="{FF2B5EF4-FFF2-40B4-BE49-F238E27FC236}">
                <a16:creationId xmlns:a16="http://schemas.microsoft.com/office/drawing/2014/main" id="{9EE4DB49-0C28-4751-FAA7-74C116A25E14}"/>
              </a:ext>
            </a:extLst>
          </xdr:cNvPr>
          <xdr:cNvSpPr txBox="1"/>
        </xdr:nvSpPr>
        <xdr:spPr>
          <a:xfrm>
            <a:off x="2880360" y="1145540"/>
            <a:ext cx="116586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BD4CBE4-56D0-447E-9992-CE1D65EA3218}" type="TxLink">
              <a:rPr lang="en-US" sz="2000" b="1" i="0" u="none" strike="noStrike">
                <a:solidFill>
                  <a:srgbClr val="000000"/>
                </a:solidFill>
                <a:latin typeface="Carlito"/>
              </a:rPr>
              <a:pPr algn="ctr"/>
              <a:t>1.0K</a:t>
            </a:fld>
            <a:endParaRPr lang="en-001" sz="2000" b="1"/>
          </a:p>
        </xdr:txBody>
      </xdr:sp>
      <xdr:sp macro="" textlink="Analysis!D5">
        <xdr:nvSpPr>
          <xdr:cNvPr id="24" name="TextBox 23">
            <a:extLst>
              <a:ext uri="{FF2B5EF4-FFF2-40B4-BE49-F238E27FC236}">
                <a16:creationId xmlns:a16="http://schemas.microsoft.com/office/drawing/2014/main" id="{B0593A1D-942A-4AF2-9663-E2E89C7970B7}"/>
              </a:ext>
            </a:extLst>
          </xdr:cNvPr>
          <xdr:cNvSpPr txBox="1"/>
        </xdr:nvSpPr>
        <xdr:spPr>
          <a:xfrm>
            <a:off x="2880685" y="864501"/>
            <a:ext cx="1276775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C0D6743-B936-4E11-B55D-B1EE22AC01E5}" type="TxLink">
              <a:rPr lang="en-US" sz="1800" b="1" i="0" u="none" strike="noStrike">
                <a:solidFill>
                  <a:srgbClr val="000000"/>
                </a:solidFill>
                <a:latin typeface="Carlito"/>
              </a:rPr>
              <a:pPr algn="ctr"/>
              <a:t>Total Order</a:t>
            </a:fld>
            <a:endParaRPr lang="en-001" sz="3200" b="1"/>
          </a:p>
        </xdr:txBody>
      </xdr:sp>
    </xdr:grpSp>
    <xdr:clientData/>
  </xdr:twoCellAnchor>
  <xdr:twoCellAnchor>
    <xdr:from>
      <xdr:col>8</xdr:col>
      <xdr:colOff>161823</xdr:colOff>
      <xdr:row>3</xdr:row>
      <xdr:rowOff>134541</xdr:rowOff>
    </xdr:from>
    <xdr:to>
      <xdr:col>11</xdr:col>
      <xdr:colOff>12179</xdr:colOff>
      <xdr:row>11</xdr:row>
      <xdr:rowOff>113453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643E8282-0BAA-0C31-6BB1-BD11F16305CF}"/>
            </a:ext>
          </a:extLst>
        </xdr:cNvPr>
        <xdr:cNvGrpSpPr/>
      </xdr:nvGrpSpPr>
      <xdr:grpSpPr>
        <a:xfrm>
          <a:off x="5561137" y="657055"/>
          <a:ext cx="1875099" cy="1372284"/>
          <a:chOff x="4540685" y="680010"/>
          <a:chExt cx="1712682" cy="994935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8B2DE470-2E60-55A1-3B84-3DF5016F6A4F}"/>
              </a:ext>
            </a:extLst>
          </xdr:cNvPr>
          <xdr:cNvSpPr/>
        </xdr:nvSpPr>
        <xdr:spPr>
          <a:xfrm>
            <a:off x="4540685" y="680010"/>
            <a:ext cx="1712682" cy="994935"/>
          </a:xfrm>
          <a:prstGeom prst="roundRect">
            <a:avLst>
              <a:gd name="adj" fmla="val 956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Analysis!E6">
        <xdr:nvSpPr>
          <xdr:cNvPr id="22" name="TextBox 21">
            <a:extLst>
              <a:ext uri="{FF2B5EF4-FFF2-40B4-BE49-F238E27FC236}">
                <a16:creationId xmlns:a16="http://schemas.microsoft.com/office/drawing/2014/main" id="{86D1E09F-79E8-7E7D-8F3A-7A63340DC607}"/>
              </a:ext>
            </a:extLst>
          </xdr:cNvPr>
          <xdr:cNvSpPr txBox="1"/>
        </xdr:nvSpPr>
        <xdr:spPr>
          <a:xfrm>
            <a:off x="4782820" y="1120140"/>
            <a:ext cx="116586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5FF59D42-75DC-489F-8EA1-27EBFABF075B}" type="TxLink">
              <a:rPr lang="en-US" sz="2000" b="1" i="0" u="none" strike="noStrike">
                <a:solidFill>
                  <a:srgbClr val="000000"/>
                </a:solidFill>
                <a:latin typeface="Carlito"/>
                <a:ea typeface="+mn-ea"/>
                <a:cs typeface="+mn-cs"/>
              </a:rPr>
              <a:pPr marL="0" indent="0" algn="ctr"/>
              <a:t>10.4M</a:t>
            </a:fld>
            <a:endParaRPr lang="en-001" sz="2000" b="1" i="0" u="none" strike="noStrike">
              <a:solidFill>
                <a:srgbClr val="000000"/>
              </a:solidFill>
              <a:latin typeface="Carlito"/>
              <a:ea typeface="+mn-ea"/>
              <a:cs typeface="+mn-cs"/>
            </a:endParaRPr>
          </a:p>
        </xdr:txBody>
      </xdr:sp>
      <xdr:sp macro="" textlink="Analysis!E5">
        <xdr:nvSpPr>
          <xdr:cNvPr id="25" name="TextBox 24">
            <a:extLst>
              <a:ext uri="{FF2B5EF4-FFF2-40B4-BE49-F238E27FC236}">
                <a16:creationId xmlns:a16="http://schemas.microsoft.com/office/drawing/2014/main" id="{1AE08349-C0BE-24B1-236F-0D1D80F1409D}"/>
              </a:ext>
            </a:extLst>
          </xdr:cNvPr>
          <xdr:cNvSpPr txBox="1"/>
        </xdr:nvSpPr>
        <xdr:spPr>
          <a:xfrm>
            <a:off x="4777740" y="868189"/>
            <a:ext cx="116586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4368C2E-F48A-4B81-A9FB-0C00206959BE}" type="TxLink">
              <a:rPr lang="en-US" sz="1800" b="1" i="0" u="none" strike="noStrike">
                <a:solidFill>
                  <a:srgbClr val="000000"/>
                </a:solidFill>
                <a:latin typeface="Carlito"/>
                <a:ea typeface="+mn-ea"/>
                <a:cs typeface="+mn-cs"/>
              </a:rPr>
              <a:pPr marL="0" indent="0" algn="ctr"/>
              <a:t>Total Sales</a:t>
            </a:fld>
            <a:endParaRPr lang="en-001" sz="1800" b="1" i="0" u="none" strike="noStrike">
              <a:solidFill>
                <a:srgbClr val="000000"/>
              </a:solidFill>
              <a:latin typeface="Carlito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11</xdr:col>
      <xdr:colOff>107015</xdr:colOff>
      <xdr:row>3</xdr:row>
      <xdr:rowOff>134541</xdr:rowOff>
    </xdr:from>
    <xdr:to>
      <xdr:col>13</xdr:col>
      <xdr:colOff>624300</xdr:colOff>
      <xdr:row>11</xdr:row>
      <xdr:rowOff>82973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33BDF024-71D1-D6FF-1C97-24B772B9D693}"/>
            </a:ext>
          </a:extLst>
        </xdr:cNvPr>
        <xdr:cNvGrpSpPr/>
      </xdr:nvGrpSpPr>
      <xdr:grpSpPr>
        <a:xfrm>
          <a:off x="7531072" y="657055"/>
          <a:ext cx="1867114" cy="1341804"/>
          <a:chOff x="6420706" y="680010"/>
          <a:chExt cx="1710901" cy="994935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D657280C-3B5F-5A8E-4DFB-D1B73E3F19B2}"/>
              </a:ext>
            </a:extLst>
          </xdr:cNvPr>
          <xdr:cNvSpPr/>
        </xdr:nvSpPr>
        <xdr:spPr>
          <a:xfrm>
            <a:off x="6420706" y="680010"/>
            <a:ext cx="1710901" cy="994935"/>
          </a:xfrm>
          <a:prstGeom prst="roundRect">
            <a:avLst>
              <a:gd name="adj" fmla="val 956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Analysis!F6">
        <xdr:nvSpPr>
          <xdr:cNvPr id="23" name="TextBox 22">
            <a:extLst>
              <a:ext uri="{FF2B5EF4-FFF2-40B4-BE49-F238E27FC236}">
                <a16:creationId xmlns:a16="http://schemas.microsoft.com/office/drawing/2014/main" id="{22EC2C9E-BC00-5C62-5D6A-506BA344659D}"/>
              </a:ext>
            </a:extLst>
          </xdr:cNvPr>
          <xdr:cNvSpPr txBox="1"/>
        </xdr:nvSpPr>
        <xdr:spPr>
          <a:xfrm>
            <a:off x="6670040" y="1117600"/>
            <a:ext cx="116586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135C27E9-036E-4769-B663-08C1C4E0473A}" type="TxLink">
              <a:rPr lang="en-US" sz="2000" b="1" i="0" u="none" strike="noStrike">
                <a:solidFill>
                  <a:srgbClr val="000000"/>
                </a:solidFill>
                <a:latin typeface="Carlito"/>
                <a:ea typeface="+mn-ea"/>
                <a:cs typeface="+mn-cs"/>
              </a:rPr>
              <a:pPr marL="0" indent="0" algn="ctr"/>
              <a:t>11.4M</a:t>
            </a:fld>
            <a:endParaRPr lang="en-001" sz="2000" b="1" i="0" u="none" strike="noStrike">
              <a:solidFill>
                <a:srgbClr val="000000"/>
              </a:solidFill>
              <a:latin typeface="Carlito"/>
              <a:ea typeface="+mn-ea"/>
              <a:cs typeface="+mn-cs"/>
            </a:endParaRPr>
          </a:p>
        </xdr:txBody>
      </xdr:sp>
      <xdr:sp macro="" textlink="Analysis!F5">
        <xdr:nvSpPr>
          <xdr:cNvPr id="26" name="TextBox 25">
            <a:extLst>
              <a:ext uri="{FF2B5EF4-FFF2-40B4-BE49-F238E27FC236}">
                <a16:creationId xmlns:a16="http://schemas.microsoft.com/office/drawing/2014/main" id="{62F1AC12-A037-4942-37F4-9FFA880B8EBD}"/>
              </a:ext>
            </a:extLst>
          </xdr:cNvPr>
          <xdr:cNvSpPr txBox="1"/>
        </xdr:nvSpPr>
        <xdr:spPr>
          <a:xfrm>
            <a:off x="6538897" y="880036"/>
            <a:ext cx="1372039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8EAA2354-C1AD-4CA3-ADC5-A7B17C85443D}" type="TxLink">
              <a:rPr lang="en-US" sz="1800" b="1" i="0" u="none" strike="noStrike">
                <a:solidFill>
                  <a:srgbClr val="000000"/>
                </a:solidFill>
                <a:latin typeface="Carlito"/>
                <a:ea typeface="+mn-ea"/>
                <a:cs typeface="+mn-cs"/>
              </a:rPr>
              <a:pPr marL="0" indent="0" algn="ctr"/>
              <a:t> Target Sales</a:t>
            </a:fld>
            <a:endParaRPr lang="en-001" sz="1800" b="1" i="0" u="none" strike="noStrike">
              <a:solidFill>
                <a:srgbClr val="000000"/>
              </a:solidFill>
              <a:latin typeface="Carlito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14</xdr:col>
      <xdr:colOff>27940</xdr:colOff>
      <xdr:row>3</xdr:row>
      <xdr:rowOff>124405</xdr:rowOff>
    </xdr:from>
    <xdr:to>
      <xdr:col>16</xdr:col>
      <xdr:colOff>585607</xdr:colOff>
      <xdr:row>11</xdr:row>
      <xdr:rowOff>82973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56AC536E-AEB5-A357-CAFF-95A345ED2EDC}"/>
            </a:ext>
          </a:extLst>
        </xdr:cNvPr>
        <xdr:cNvGrpSpPr/>
      </xdr:nvGrpSpPr>
      <xdr:grpSpPr>
        <a:xfrm>
          <a:off x="9476740" y="646919"/>
          <a:ext cx="1907496" cy="1351940"/>
          <a:chOff x="8298946" y="680010"/>
          <a:chExt cx="1711257" cy="994935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0080B103-5C7C-8C33-97A0-658CECCA7273}"/>
              </a:ext>
            </a:extLst>
          </xdr:cNvPr>
          <xdr:cNvSpPr/>
        </xdr:nvSpPr>
        <xdr:spPr>
          <a:xfrm>
            <a:off x="8298946" y="680010"/>
            <a:ext cx="1711257" cy="994935"/>
          </a:xfrm>
          <a:prstGeom prst="roundRect">
            <a:avLst>
              <a:gd name="adj" fmla="val 956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Analysis!G6">
        <xdr:nvSpPr>
          <xdr:cNvPr id="21" name="TextBox 20">
            <a:extLst>
              <a:ext uri="{FF2B5EF4-FFF2-40B4-BE49-F238E27FC236}">
                <a16:creationId xmlns:a16="http://schemas.microsoft.com/office/drawing/2014/main" id="{1148EC01-885C-D98B-EC93-65DF6086D559}"/>
              </a:ext>
            </a:extLst>
          </xdr:cNvPr>
          <xdr:cNvSpPr txBox="1"/>
        </xdr:nvSpPr>
        <xdr:spPr>
          <a:xfrm>
            <a:off x="8587740" y="1112520"/>
            <a:ext cx="116586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21DA462-E784-4A6C-925C-1B78F8140D54}" type="TxLink">
              <a:rPr lang="en-US" sz="2000" b="1" i="0" u="none" strike="noStrike">
                <a:solidFill>
                  <a:srgbClr val="000000"/>
                </a:solidFill>
                <a:latin typeface="Carlito"/>
                <a:ea typeface="+mn-ea"/>
                <a:cs typeface="+mn-cs"/>
              </a:rPr>
              <a:pPr marL="0" indent="0" algn="ctr"/>
              <a:t>90.99%</a:t>
            </a:fld>
            <a:endParaRPr lang="en-001" sz="2000" b="1" i="0" u="none" strike="noStrike">
              <a:solidFill>
                <a:srgbClr val="000000"/>
              </a:solidFill>
              <a:latin typeface="Carlito"/>
              <a:ea typeface="+mn-ea"/>
              <a:cs typeface="+mn-cs"/>
            </a:endParaRPr>
          </a:p>
        </xdr:txBody>
      </xdr:sp>
      <xdr:sp macro="" textlink="Analysis!G5">
        <xdr:nvSpPr>
          <xdr:cNvPr id="27" name="TextBox 26">
            <a:extLst>
              <a:ext uri="{FF2B5EF4-FFF2-40B4-BE49-F238E27FC236}">
                <a16:creationId xmlns:a16="http://schemas.microsoft.com/office/drawing/2014/main" id="{1E675AFF-9925-1B21-9EC3-46D376BC0A87}"/>
              </a:ext>
            </a:extLst>
          </xdr:cNvPr>
          <xdr:cNvSpPr txBox="1"/>
        </xdr:nvSpPr>
        <xdr:spPr>
          <a:xfrm>
            <a:off x="8357623" y="883840"/>
            <a:ext cx="163830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52C9619-4484-42AA-A6F5-9A02EE9432D0}" type="TxLink">
              <a:rPr lang="en-US" sz="1800" b="1" i="0" u="none" strike="noStrike">
                <a:solidFill>
                  <a:srgbClr val="000000"/>
                </a:solidFill>
                <a:latin typeface="Carlito"/>
                <a:ea typeface="+mn-ea"/>
                <a:cs typeface="+mn-cs"/>
              </a:rPr>
              <a:pPr marL="0" indent="0" algn="ctr"/>
              <a:t>Target Achieved </a:t>
            </a:fld>
            <a:endParaRPr lang="en-001" sz="1800" b="1" i="0" u="none" strike="noStrike">
              <a:solidFill>
                <a:srgbClr val="000000"/>
              </a:solidFill>
              <a:latin typeface="Carlito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5</xdr:col>
      <xdr:colOff>219075</xdr:colOff>
      <xdr:row>12</xdr:row>
      <xdr:rowOff>62903</xdr:rowOff>
    </xdr:from>
    <xdr:to>
      <xdr:col>12</xdr:col>
      <xdr:colOff>134713</xdr:colOff>
      <xdr:row>26</xdr:row>
      <xdr:rowOff>51147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1FD6DB6-A96A-794A-796B-0F2A46E29D24}"/>
            </a:ext>
          </a:extLst>
        </xdr:cNvPr>
        <xdr:cNvSpPr/>
      </xdr:nvSpPr>
      <xdr:spPr>
        <a:xfrm>
          <a:off x="3552825" y="2120303"/>
          <a:ext cx="4582888" cy="2388544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426954</xdr:colOff>
      <xdr:row>13</xdr:row>
      <xdr:rowOff>20065</xdr:rowOff>
    </xdr:from>
    <xdr:to>
      <xdr:col>9</xdr:col>
      <xdr:colOff>27165</xdr:colOff>
      <xdr:row>14</xdr:row>
      <xdr:rowOff>136150</xdr:rowOff>
    </xdr:to>
    <xdr:sp macro="" textlink="Analysis!H58">
      <xdr:nvSpPr>
        <xdr:cNvPr id="40" name="TextBox 39">
          <a:extLst>
            <a:ext uri="{FF2B5EF4-FFF2-40B4-BE49-F238E27FC236}">
              <a16:creationId xmlns:a16="http://schemas.microsoft.com/office/drawing/2014/main" id="{9E680F7B-0E6E-7D8A-3CCB-531A5FA80B21}"/>
            </a:ext>
          </a:extLst>
        </xdr:cNvPr>
        <xdr:cNvSpPr txBox="1"/>
      </xdr:nvSpPr>
      <xdr:spPr>
        <a:xfrm>
          <a:off x="3760704" y="2248915"/>
          <a:ext cx="2267211" cy="287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54BE3DD-F901-4558-913A-488F366B9334}" type="TxLink">
            <a:rPr lang="en-US" sz="1200" b="1" i="0" u="none" strike="noStrike">
              <a:solidFill>
                <a:srgbClr val="000000"/>
              </a:solidFill>
              <a:latin typeface="Carlito"/>
            </a:rPr>
            <a:pPr/>
            <a:t>Bottom 5 Sales by Performance</a:t>
          </a:fld>
          <a:endParaRPr lang="en-001" sz="1200" b="1"/>
        </a:p>
      </xdr:txBody>
    </xdr:sp>
    <xdr:clientData/>
  </xdr:twoCellAnchor>
  <xdr:twoCellAnchor>
    <xdr:from>
      <xdr:col>9</xdr:col>
      <xdr:colOff>255811</xdr:colOff>
      <xdr:row>13</xdr:row>
      <xdr:rowOff>87485</xdr:rowOff>
    </xdr:from>
    <xdr:to>
      <xdr:col>12</xdr:col>
      <xdr:colOff>157480</xdr:colOff>
      <xdr:row>14</xdr:row>
      <xdr:rowOff>109827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60253598-D24A-C998-F240-DE4F26546769}"/>
            </a:ext>
          </a:extLst>
        </xdr:cNvPr>
        <xdr:cNvGrpSpPr/>
      </xdr:nvGrpSpPr>
      <xdr:grpSpPr>
        <a:xfrm>
          <a:off x="6330040" y="2351714"/>
          <a:ext cx="1926411" cy="196513"/>
          <a:chOff x="5128260" y="2651760"/>
          <a:chExt cx="1912620" cy="198120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DA9CFE32-BCDD-FA2F-98C6-25F9E34B8541}"/>
              </a:ext>
            </a:extLst>
          </xdr:cNvPr>
          <xdr:cNvSpPr txBox="1"/>
        </xdr:nvSpPr>
        <xdr:spPr>
          <a:xfrm>
            <a:off x="5128260" y="2651760"/>
            <a:ext cx="533400" cy="1981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1100"/>
              <a:t>Top</a:t>
            </a:r>
            <a:endParaRPr lang="en-001" sz="11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A750E11D-2375-DC53-F7AF-72054F41BE86}"/>
              </a:ext>
            </a:extLst>
          </xdr:cNvPr>
          <xdr:cNvSpPr txBox="1"/>
        </xdr:nvSpPr>
        <xdr:spPr>
          <a:xfrm>
            <a:off x="6355080" y="2682240"/>
            <a:ext cx="685800" cy="1600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/>
              <a:t>Bottom</a:t>
            </a:r>
            <a:endParaRPr lang="en-001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355601</xdr:colOff>
          <xdr:row>27</xdr:row>
          <xdr:rowOff>165209</xdr:rowOff>
        </xdr:from>
        <xdr:to>
          <xdr:col>21</xdr:col>
          <xdr:colOff>18815</xdr:colOff>
          <xdr:row>41</xdr:row>
          <xdr:rowOff>53083</xdr:rowOff>
        </xdr:to>
        <xdr:pic>
          <xdr:nvPicPr>
            <xdr:cNvPr id="38" name="Picture 37">
              <a:extLst>
                <a:ext uri="{FF2B5EF4-FFF2-40B4-BE49-F238E27FC236}">
                  <a16:creationId xmlns:a16="http://schemas.microsoft.com/office/drawing/2014/main" id="{9E02A3AA-0EB7-CD02-CEEC-5A559284CC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D$11:$H$20" spid="_x0000_s1444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3695231" y="4991209"/>
              <a:ext cx="10350028" cy="239024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</xdr:colOff>
          <xdr:row>13</xdr:row>
          <xdr:rowOff>30480</xdr:rowOff>
        </xdr:from>
        <xdr:to>
          <xdr:col>10</xdr:col>
          <xdr:colOff>312420</xdr:colOff>
          <xdr:row>14</xdr:row>
          <xdr:rowOff>175260</xdr:rowOff>
        </xdr:to>
        <xdr:sp macro="" textlink="">
          <xdr:nvSpPr>
            <xdr:cNvPr id="14346" name="Option Button 10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9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</xdr:colOff>
          <xdr:row>13</xdr:row>
          <xdr:rowOff>30480</xdr:rowOff>
        </xdr:from>
        <xdr:to>
          <xdr:col>11</xdr:col>
          <xdr:colOff>304800</xdr:colOff>
          <xdr:row>14</xdr:row>
          <xdr:rowOff>175260</xdr:rowOff>
        </xdr:to>
        <xdr:sp macro="" textlink="">
          <xdr:nvSpPr>
            <xdr:cNvPr id="14347" name="Option Button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9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455206</xdr:colOff>
      <xdr:row>12</xdr:row>
      <xdr:rowOff>148621</xdr:rowOff>
    </xdr:from>
    <xdr:to>
      <xdr:col>21</xdr:col>
      <xdr:colOff>94075</xdr:colOff>
      <xdr:row>25</xdr:row>
      <xdr:rowOff>36894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93ED3E02-69C6-4954-8291-7314ED6E6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21020</xdr:colOff>
      <xdr:row>3</xdr:row>
      <xdr:rowOff>128691</xdr:rowOff>
    </xdr:from>
    <xdr:to>
      <xdr:col>21</xdr:col>
      <xdr:colOff>224357</xdr:colOff>
      <xdr:row>11</xdr:row>
      <xdr:rowOff>34712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2" name="Order_Date 1">
              <a:extLst>
                <a:ext uri="{FF2B5EF4-FFF2-40B4-BE49-F238E27FC236}">
                  <a16:creationId xmlns:a16="http://schemas.microsoft.com/office/drawing/2014/main" id="{F1CD9F99-6C40-4315-9C84-A7C65AA149DD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1753" y="662091"/>
              <a:ext cx="2878804" cy="1328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001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12</xdr:col>
      <xdr:colOff>574886</xdr:colOff>
      <xdr:row>13</xdr:row>
      <xdr:rowOff>19473</xdr:rowOff>
    </xdr:from>
    <xdr:to>
      <xdr:col>16</xdr:col>
      <xdr:colOff>651086</xdr:colOff>
      <xdr:row>14</xdr:row>
      <xdr:rowOff>136313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68E0FF4-EC07-2677-D822-D22A5D5973BE}"/>
            </a:ext>
          </a:extLst>
        </xdr:cNvPr>
        <xdr:cNvSpPr txBox="1"/>
      </xdr:nvSpPr>
      <xdr:spPr>
        <a:xfrm>
          <a:off x="8601286" y="2330873"/>
          <a:ext cx="2751667" cy="294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Regional vs Target Sales</a:t>
          </a:r>
          <a:endParaRPr lang="en-001" sz="1100" b="1"/>
        </a:p>
      </xdr:txBody>
    </xdr:sp>
    <xdr:clientData/>
  </xdr:twoCellAnchor>
  <xdr:twoCellAnchor>
    <xdr:from>
      <xdr:col>3</xdr:col>
      <xdr:colOff>448732</xdr:colOff>
      <xdr:row>15</xdr:row>
      <xdr:rowOff>17992</xdr:rowOff>
    </xdr:from>
    <xdr:to>
      <xdr:col>4</xdr:col>
      <xdr:colOff>380999</xdr:colOff>
      <xdr:row>16</xdr:row>
      <xdr:rowOff>102658</xdr:rowOff>
    </xdr:to>
    <xdr:sp macro="" textlink="">
      <xdr:nvSpPr>
        <xdr:cNvPr id="43" name="TextBox 4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11E60DB-3C7D-38C7-19AB-54E142F3CFC2}"/>
            </a:ext>
          </a:extLst>
        </xdr:cNvPr>
        <xdr:cNvSpPr txBox="1"/>
      </xdr:nvSpPr>
      <xdr:spPr>
        <a:xfrm>
          <a:off x="2455332" y="2684992"/>
          <a:ext cx="601134" cy="2624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D01</a:t>
          </a:r>
          <a:endParaRPr lang="en-001" sz="1100"/>
        </a:p>
      </xdr:txBody>
    </xdr:sp>
    <xdr:clientData/>
  </xdr:twoCellAnchor>
  <xdr:twoCellAnchor>
    <xdr:from>
      <xdr:col>3</xdr:col>
      <xdr:colOff>448732</xdr:colOff>
      <xdr:row>18</xdr:row>
      <xdr:rowOff>169333</xdr:rowOff>
    </xdr:from>
    <xdr:to>
      <xdr:col>4</xdr:col>
      <xdr:colOff>380999</xdr:colOff>
      <xdr:row>20</xdr:row>
      <xdr:rowOff>84666</xdr:rowOff>
    </xdr:to>
    <xdr:sp macro="" textlink="">
      <xdr:nvSpPr>
        <xdr:cNvPr id="44" name="TextBox 4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0E78AD1-93FC-AB68-076B-06466AEDD7FF}"/>
            </a:ext>
          </a:extLst>
        </xdr:cNvPr>
        <xdr:cNvSpPr txBox="1"/>
      </xdr:nvSpPr>
      <xdr:spPr>
        <a:xfrm>
          <a:off x="2455332" y="3369733"/>
          <a:ext cx="601134" cy="2709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Analysis</a:t>
          </a:r>
          <a:endParaRPr lang="en-001" sz="1000"/>
        </a:p>
      </xdr:txBody>
    </xdr:sp>
    <xdr:clientData/>
  </xdr:twoCellAnchor>
  <xdr:twoCellAnchor>
    <xdr:from>
      <xdr:col>3</xdr:col>
      <xdr:colOff>448732</xdr:colOff>
      <xdr:row>17</xdr:row>
      <xdr:rowOff>4763</xdr:rowOff>
    </xdr:from>
    <xdr:to>
      <xdr:col>4</xdr:col>
      <xdr:colOff>380999</xdr:colOff>
      <xdr:row>18</xdr:row>
      <xdr:rowOff>89429</xdr:rowOff>
    </xdr:to>
    <xdr:sp macro="" textlink="">
      <xdr:nvSpPr>
        <xdr:cNvPr id="45" name="TextBox 4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ED5D5A5-0628-D0DB-CAF7-5B78648D2CC0}"/>
            </a:ext>
          </a:extLst>
        </xdr:cNvPr>
        <xdr:cNvSpPr txBox="1"/>
      </xdr:nvSpPr>
      <xdr:spPr>
        <a:xfrm>
          <a:off x="2455332" y="3027363"/>
          <a:ext cx="601134" cy="2624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D02</a:t>
          </a:r>
          <a:endParaRPr lang="en-001" sz="1100"/>
        </a:p>
      </xdr:txBody>
    </xdr:sp>
    <xdr:clientData/>
  </xdr:twoCellAnchor>
  <xdr:twoCellAnchor>
    <xdr:from>
      <xdr:col>5</xdr:col>
      <xdr:colOff>190499</xdr:colOff>
      <xdr:row>15</xdr:row>
      <xdr:rowOff>0</xdr:rowOff>
    </xdr:from>
    <xdr:to>
      <xdr:col>12</xdr:col>
      <xdr:colOff>114300</xdr:colOff>
      <xdr:row>27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D7D4F75-2752-4A90-A7C0-E2955B8DE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606214</xdr:colOff>
      <xdr:row>0</xdr:row>
      <xdr:rowOff>34713</xdr:rowOff>
    </xdr:from>
    <xdr:to>
      <xdr:col>21</xdr:col>
      <xdr:colOff>203201</xdr:colOff>
      <xdr:row>43</xdr:row>
      <xdr:rowOff>111759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C2DB1D3-6069-47B8-9864-EE2E37377BEC}"/>
            </a:ext>
          </a:extLst>
        </xdr:cNvPr>
        <xdr:cNvSpPr/>
      </xdr:nvSpPr>
      <xdr:spPr>
        <a:xfrm>
          <a:off x="1939714" y="34713"/>
          <a:ext cx="12265237" cy="7449396"/>
        </a:xfrm>
        <a:prstGeom prst="roundRect">
          <a:avLst>
            <a:gd name="adj" fmla="val 273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81281</xdr:colOff>
      <xdr:row>0</xdr:row>
      <xdr:rowOff>121072</xdr:rowOff>
    </xdr:from>
    <xdr:to>
      <xdr:col>4</xdr:col>
      <xdr:colOff>385656</xdr:colOff>
      <xdr:row>42</xdr:row>
      <xdr:rowOff>165445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9D4EFE9-A41F-40AA-80DC-470FB9996BA2}"/>
            </a:ext>
          </a:extLst>
        </xdr:cNvPr>
        <xdr:cNvSpPr/>
      </xdr:nvSpPr>
      <xdr:spPr>
        <a:xfrm>
          <a:off x="2087881" y="121072"/>
          <a:ext cx="973242" cy="7511973"/>
        </a:xfrm>
        <a:prstGeom prst="roundRect">
          <a:avLst>
            <a:gd name="adj" fmla="val 10766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540995</xdr:colOff>
      <xdr:row>3</xdr:row>
      <xdr:rowOff>17901</xdr:rowOff>
    </xdr:from>
    <xdr:to>
      <xdr:col>21</xdr:col>
      <xdr:colOff>105234</xdr:colOff>
      <xdr:row>43</xdr:row>
      <xdr:rowOff>42481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CDF3072-1986-4FF9-8A46-BBC04EBA1DD5}"/>
            </a:ext>
          </a:extLst>
        </xdr:cNvPr>
        <xdr:cNvSpPr/>
      </xdr:nvSpPr>
      <xdr:spPr>
        <a:xfrm>
          <a:off x="3216462" y="551301"/>
          <a:ext cx="10934972" cy="7136580"/>
        </a:xfrm>
        <a:prstGeom prst="roundRect">
          <a:avLst>
            <a:gd name="adj" fmla="val 2640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482632</xdr:colOff>
      <xdr:row>0</xdr:row>
      <xdr:rowOff>128693</xdr:rowOff>
    </xdr:from>
    <xdr:to>
      <xdr:col>21</xdr:col>
      <xdr:colOff>33985</xdr:colOff>
      <xdr:row>2</xdr:row>
      <xdr:rowOff>53811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257317D-5FF5-42BF-91E8-89195BA137EF}"/>
            </a:ext>
          </a:extLst>
        </xdr:cNvPr>
        <xdr:cNvSpPr/>
      </xdr:nvSpPr>
      <xdr:spPr>
        <a:xfrm>
          <a:off x="3158099" y="128693"/>
          <a:ext cx="10922086" cy="280718"/>
        </a:xfrm>
        <a:prstGeom prst="roundRect">
          <a:avLst>
            <a:gd name="adj" fmla="val 18477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216748</xdr:colOff>
      <xdr:row>7</xdr:row>
      <xdr:rowOff>172736</xdr:rowOff>
    </xdr:from>
    <xdr:to>
      <xdr:col>4</xdr:col>
      <xdr:colOff>237998</xdr:colOff>
      <xdr:row>31</xdr:row>
      <xdr:rowOff>75803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6D1A070-BE84-48F4-BB73-E5046D3A566D}"/>
            </a:ext>
          </a:extLst>
        </xdr:cNvPr>
        <xdr:cNvSpPr/>
      </xdr:nvSpPr>
      <xdr:spPr>
        <a:xfrm>
          <a:off x="2223348" y="1417336"/>
          <a:ext cx="690117" cy="4170267"/>
        </a:xfrm>
        <a:prstGeom prst="roundRect">
          <a:avLst>
            <a:gd name="adj" fmla="val 24886"/>
          </a:avLst>
        </a:prstGeom>
        <a:solidFill>
          <a:srgbClr val="00060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614406</xdr:colOff>
      <xdr:row>27</xdr:row>
      <xdr:rowOff>118532</xdr:rowOff>
    </xdr:from>
    <xdr:to>
      <xdr:col>13</xdr:col>
      <xdr:colOff>516466</xdr:colOff>
      <xdr:row>42</xdr:row>
      <xdr:rowOff>50799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66CEB3D-4D66-42DB-AC4A-A661605DB038}"/>
            </a:ext>
          </a:extLst>
        </xdr:cNvPr>
        <xdr:cNvSpPr/>
      </xdr:nvSpPr>
      <xdr:spPr>
        <a:xfrm>
          <a:off x="3289873" y="4919132"/>
          <a:ext cx="5921860" cy="2599267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14</xdr:col>
      <xdr:colOff>25399</xdr:colOff>
      <xdr:row>12</xdr:row>
      <xdr:rowOff>73503</xdr:rowOff>
    </xdr:from>
    <xdr:to>
      <xdr:col>21</xdr:col>
      <xdr:colOff>0</xdr:colOff>
      <xdr:row>42</xdr:row>
      <xdr:rowOff>42333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67D9533-0F6F-484B-B1C8-8D8F486018B3}"/>
            </a:ext>
          </a:extLst>
        </xdr:cNvPr>
        <xdr:cNvSpPr/>
      </xdr:nvSpPr>
      <xdr:spPr>
        <a:xfrm>
          <a:off x="9359899" y="2130903"/>
          <a:ext cx="4641851" cy="5112330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300787</xdr:colOff>
      <xdr:row>3</xdr:row>
      <xdr:rowOff>75182</xdr:rowOff>
    </xdr:from>
    <xdr:to>
      <xdr:col>4</xdr:col>
      <xdr:colOff>103508</xdr:colOff>
      <xdr:row>6</xdr:row>
      <xdr:rowOff>29634</xdr:rowOff>
    </xdr:to>
    <xdr:pic>
      <xdr:nvPicPr>
        <xdr:cNvPr id="13" name="Graphic 57" descr="Globe outline">
          <a:extLst>
            <a:ext uri="{FF2B5EF4-FFF2-40B4-BE49-F238E27FC236}">
              <a16:creationId xmlns:a16="http://schemas.microsoft.com/office/drawing/2014/main" id="{8154EBDD-20F9-48CB-9035-5A5AD60FA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2307387" y="608582"/>
          <a:ext cx="471588" cy="487852"/>
        </a:xfrm>
        <a:prstGeom prst="rect">
          <a:avLst/>
        </a:prstGeom>
      </xdr:spPr>
    </xdr:pic>
    <xdr:clientData/>
  </xdr:twoCellAnchor>
  <xdr:twoCellAnchor>
    <xdr:from>
      <xdr:col>4</xdr:col>
      <xdr:colOff>667844</xdr:colOff>
      <xdr:row>3</xdr:row>
      <xdr:rowOff>160740</xdr:rowOff>
    </xdr:from>
    <xdr:to>
      <xdr:col>7</xdr:col>
      <xdr:colOff>513120</xdr:colOff>
      <xdr:row>11</xdr:row>
      <xdr:rowOff>139699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198BC32-06DC-4A41-BC8D-7B2CE8D6093C}"/>
            </a:ext>
          </a:extLst>
        </xdr:cNvPr>
        <xdr:cNvGrpSpPr/>
      </xdr:nvGrpSpPr>
      <xdr:grpSpPr>
        <a:xfrm>
          <a:off x="3334844" y="675090"/>
          <a:ext cx="1845526" cy="1350559"/>
          <a:chOff x="2662088" y="680010"/>
          <a:chExt cx="1712682" cy="994935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D627DE8E-79F7-B69F-59CC-BA7099359C69}"/>
              </a:ext>
            </a:extLst>
          </xdr:cNvPr>
          <xdr:cNvSpPr/>
        </xdr:nvSpPr>
        <xdr:spPr>
          <a:xfrm>
            <a:off x="2662088" y="680010"/>
            <a:ext cx="1712682" cy="994935"/>
          </a:xfrm>
          <a:prstGeom prst="roundRect">
            <a:avLst>
              <a:gd name="adj" fmla="val 956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Analysis!D6">
        <xdr:nvSpPr>
          <xdr:cNvPr id="16" name="TextBox 15">
            <a:extLst>
              <a:ext uri="{FF2B5EF4-FFF2-40B4-BE49-F238E27FC236}">
                <a16:creationId xmlns:a16="http://schemas.microsoft.com/office/drawing/2014/main" id="{CAB497ED-D43F-705D-F450-1F0D114D6108}"/>
              </a:ext>
            </a:extLst>
          </xdr:cNvPr>
          <xdr:cNvSpPr txBox="1"/>
        </xdr:nvSpPr>
        <xdr:spPr>
          <a:xfrm>
            <a:off x="2880360" y="1145540"/>
            <a:ext cx="116586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BD4CBE4-56D0-447E-9992-CE1D65EA3218}" type="TxLink">
              <a:rPr lang="en-US" sz="2000" b="1" i="0" u="none" strike="noStrike">
                <a:solidFill>
                  <a:srgbClr val="000000"/>
                </a:solidFill>
                <a:latin typeface="Carlito"/>
              </a:rPr>
              <a:pPr algn="ctr"/>
              <a:t>1.0K</a:t>
            </a:fld>
            <a:endParaRPr lang="en-001" sz="2000" b="1"/>
          </a:p>
        </xdr:txBody>
      </xdr:sp>
      <xdr:sp macro="" textlink="Analysis!D5">
        <xdr:nvSpPr>
          <xdr:cNvPr id="17" name="TextBox 16">
            <a:extLst>
              <a:ext uri="{FF2B5EF4-FFF2-40B4-BE49-F238E27FC236}">
                <a16:creationId xmlns:a16="http://schemas.microsoft.com/office/drawing/2014/main" id="{A85279E6-133D-C6A8-8282-2B100E613CF7}"/>
              </a:ext>
            </a:extLst>
          </xdr:cNvPr>
          <xdr:cNvSpPr txBox="1"/>
        </xdr:nvSpPr>
        <xdr:spPr>
          <a:xfrm>
            <a:off x="2880685" y="864501"/>
            <a:ext cx="1276775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C0D6743-B936-4E11-B55D-B1EE22AC01E5}" type="TxLink">
              <a:rPr lang="en-US" sz="1800" b="1" i="0" u="none" strike="noStrike">
                <a:solidFill>
                  <a:srgbClr val="000000"/>
                </a:solidFill>
                <a:latin typeface="Carlito"/>
              </a:rPr>
              <a:pPr algn="ctr"/>
              <a:t>Total Order</a:t>
            </a:fld>
            <a:endParaRPr lang="en-001" sz="3200" b="1"/>
          </a:p>
        </xdr:txBody>
      </xdr:sp>
    </xdr:grpSp>
    <xdr:clientData/>
  </xdr:twoCellAnchor>
  <xdr:twoCellAnchor>
    <xdr:from>
      <xdr:col>7</xdr:col>
      <xdr:colOff>624103</xdr:colOff>
      <xdr:row>3</xdr:row>
      <xdr:rowOff>140467</xdr:rowOff>
    </xdr:from>
    <xdr:to>
      <xdr:col>10</xdr:col>
      <xdr:colOff>469379</xdr:colOff>
      <xdr:row>11</xdr:row>
      <xdr:rowOff>139699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B74D071D-0E0F-405F-BECA-4F9DBAFA24F1}"/>
            </a:ext>
          </a:extLst>
        </xdr:cNvPr>
        <xdr:cNvGrpSpPr/>
      </xdr:nvGrpSpPr>
      <xdr:grpSpPr>
        <a:xfrm>
          <a:off x="5291353" y="654817"/>
          <a:ext cx="1845526" cy="1370832"/>
          <a:chOff x="4540685" y="680010"/>
          <a:chExt cx="1712682" cy="994935"/>
        </a:xfrm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74B807D2-7C6D-1F2D-7C7E-B9188FE3F153}"/>
              </a:ext>
            </a:extLst>
          </xdr:cNvPr>
          <xdr:cNvSpPr/>
        </xdr:nvSpPr>
        <xdr:spPr>
          <a:xfrm>
            <a:off x="4540685" y="680010"/>
            <a:ext cx="1712682" cy="994935"/>
          </a:xfrm>
          <a:prstGeom prst="roundRect">
            <a:avLst>
              <a:gd name="adj" fmla="val 956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Analysis!E6">
        <xdr:nvSpPr>
          <xdr:cNvPr id="20" name="TextBox 19">
            <a:extLst>
              <a:ext uri="{FF2B5EF4-FFF2-40B4-BE49-F238E27FC236}">
                <a16:creationId xmlns:a16="http://schemas.microsoft.com/office/drawing/2014/main" id="{3B9534DC-6A95-8894-5ACB-B867EE9FA0F3}"/>
              </a:ext>
            </a:extLst>
          </xdr:cNvPr>
          <xdr:cNvSpPr txBox="1"/>
        </xdr:nvSpPr>
        <xdr:spPr>
          <a:xfrm>
            <a:off x="4782820" y="1120140"/>
            <a:ext cx="116586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5FF59D42-75DC-489F-8EA1-27EBFABF075B}" type="TxLink">
              <a:rPr lang="en-US" sz="2000" b="1" i="0" u="none" strike="noStrike">
                <a:solidFill>
                  <a:srgbClr val="000000"/>
                </a:solidFill>
                <a:latin typeface="Carlito"/>
                <a:ea typeface="+mn-ea"/>
                <a:cs typeface="+mn-cs"/>
              </a:rPr>
              <a:pPr marL="0" indent="0" algn="ctr"/>
              <a:t>10.4M</a:t>
            </a:fld>
            <a:endParaRPr lang="en-001" sz="2000" b="1" i="0" u="none" strike="noStrike">
              <a:solidFill>
                <a:srgbClr val="000000"/>
              </a:solidFill>
              <a:latin typeface="Carlito"/>
              <a:ea typeface="+mn-ea"/>
              <a:cs typeface="+mn-cs"/>
            </a:endParaRPr>
          </a:p>
        </xdr:txBody>
      </xdr:sp>
      <xdr:sp macro="" textlink="Analysis!E5">
        <xdr:nvSpPr>
          <xdr:cNvPr id="21" name="TextBox 20">
            <a:extLst>
              <a:ext uri="{FF2B5EF4-FFF2-40B4-BE49-F238E27FC236}">
                <a16:creationId xmlns:a16="http://schemas.microsoft.com/office/drawing/2014/main" id="{4654408B-95BF-B8D2-8775-0A3BE1171F0D}"/>
              </a:ext>
            </a:extLst>
          </xdr:cNvPr>
          <xdr:cNvSpPr txBox="1"/>
        </xdr:nvSpPr>
        <xdr:spPr>
          <a:xfrm>
            <a:off x="4777740" y="868189"/>
            <a:ext cx="116586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4368C2E-F48A-4B81-A9FB-0C00206959BE}" type="TxLink">
              <a:rPr lang="en-US" sz="1800" b="1" i="0" u="none" strike="noStrike">
                <a:solidFill>
                  <a:srgbClr val="000000"/>
                </a:solidFill>
                <a:latin typeface="Carlito"/>
                <a:ea typeface="+mn-ea"/>
                <a:cs typeface="+mn-cs"/>
              </a:rPr>
              <a:pPr marL="0" indent="0" algn="ctr"/>
              <a:t>Total Sales</a:t>
            </a:fld>
            <a:endParaRPr lang="en-001" sz="1800" b="1" i="0" u="none" strike="noStrike">
              <a:solidFill>
                <a:srgbClr val="000000"/>
              </a:solidFill>
              <a:latin typeface="Carlito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10</xdr:col>
      <xdr:colOff>564215</xdr:colOff>
      <xdr:row>3</xdr:row>
      <xdr:rowOff>140467</xdr:rowOff>
    </xdr:from>
    <xdr:to>
      <xdr:col>13</xdr:col>
      <xdr:colOff>407554</xdr:colOff>
      <xdr:row>11</xdr:row>
      <xdr:rowOff>109219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B5DE4DAE-24E4-43CA-8031-07C717D12E08}"/>
            </a:ext>
          </a:extLst>
        </xdr:cNvPr>
        <xdr:cNvGrpSpPr/>
      </xdr:nvGrpSpPr>
      <xdr:grpSpPr>
        <a:xfrm>
          <a:off x="7231715" y="654817"/>
          <a:ext cx="1843589" cy="1340352"/>
          <a:chOff x="6420706" y="680010"/>
          <a:chExt cx="1710901" cy="994935"/>
        </a:xfrm>
      </xdr:grpSpPr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7C8AC87E-945E-83F3-3E82-22F61BFAE4A8}"/>
              </a:ext>
            </a:extLst>
          </xdr:cNvPr>
          <xdr:cNvSpPr/>
        </xdr:nvSpPr>
        <xdr:spPr>
          <a:xfrm>
            <a:off x="6420706" y="680010"/>
            <a:ext cx="1710901" cy="994935"/>
          </a:xfrm>
          <a:prstGeom prst="roundRect">
            <a:avLst>
              <a:gd name="adj" fmla="val 956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Analysis!F6">
        <xdr:nvSpPr>
          <xdr:cNvPr id="24" name="TextBox 23">
            <a:extLst>
              <a:ext uri="{FF2B5EF4-FFF2-40B4-BE49-F238E27FC236}">
                <a16:creationId xmlns:a16="http://schemas.microsoft.com/office/drawing/2014/main" id="{64DCDA89-B045-3DD7-44C7-3AA3351A53C4}"/>
              </a:ext>
            </a:extLst>
          </xdr:cNvPr>
          <xdr:cNvSpPr txBox="1"/>
        </xdr:nvSpPr>
        <xdr:spPr>
          <a:xfrm>
            <a:off x="6670040" y="1117600"/>
            <a:ext cx="116586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135C27E9-036E-4769-B663-08C1C4E0473A}" type="TxLink">
              <a:rPr lang="en-US" sz="2000" b="1" i="0" u="none" strike="noStrike">
                <a:solidFill>
                  <a:srgbClr val="000000"/>
                </a:solidFill>
                <a:latin typeface="Carlito"/>
                <a:ea typeface="+mn-ea"/>
                <a:cs typeface="+mn-cs"/>
              </a:rPr>
              <a:pPr marL="0" indent="0" algn="ctr"/>
              <a:t>11.4M</a:t>
            </a:fld>
            <a:endParaRPr lang="en-001" sz="2000" b="1" i="0" u="none" strike="noStrike">
              <a:solidFill>
                <a:srgbClr val="000000"/>
              </a:solidFill>
              <a:latin typeface="Carlito"/>
              <a:ea typeface="+mn-ea"/>
              <a:cs typeface="+mn-cs"/>
            </a:endParaRPr>
          </a:p>
        </xdr:txBody>
      </xdr:sp>
      <xdr:sp macro="" textlink="Analysis!F5">
        <xdr:nvSpPr>
          <xdr:cNvPr id="25" name="TextBox 24">
            <a:extLst>
              <a:ext uri="{FF2B5EF4-FFF2-40B4-BE49-F238E27FC236}">
                <a16:creationId xmlns:a16="http://schemas.microsoft.com/office/drawing/2014/main" id="{489ACB5A-D87A-3906-92C4-4D471CE21523}"/>
              </a:ext>
            </a:extLst>
          </xdr:cNvPr>
          <xdr:cNvSpPr txBox="1"/>
        </xdr:nvSpPr>
        <xdr:spPr>
          <a:xfrm>
            <a:off x="6538897" y="880036"/>
            <a:ext cx="1372039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8EAA2354-C1AD-4CA3-ADC5-A7B17C85443D}" type="TxLink">
              <a:rPr lang="en-US" sz="1800" b="1" i="0" u="none" strike="noStrike">
                <a:solidFill>
                  <a:srgbClr val="000000"/>
                </a:solidFill>
                <a:latin typeface="Carlito"/>
                <a:ea typeface="+mn-ea"/>
                <a:cs typeface="+mn-cs"/>
              </a:rPr>
              <a:pPr marL="0" indent="0" algn="ctr"/>
              <a:t> Target Sales</a:t>
            </a:fld>
            <a:endParaRPr lang="en-001" sz="1800" b="1" i="0" u="none" strike="noStrike">
              <a:solidFill>
                <a:srgbClr val="000000"/>
              </a:solidFill>
              <a:latin typeface="Carlito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13</xdr:col>
      <xdr:colOff>480060</xdr:colOff>
      <xdr:row>3</xdr:row>
      <xdr:rowOff>130331</xdr:rowOff>
    </xdr:from>
    <xdr:to>
      <xdr:col>16</xdr:col>
      <xdr:colOff>363781</xdr:colOff>
      <xdr:row>11</xdr:row>
      <xdr:rowOff>109219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A2A68BDC-27C1-4C07-B09E-BEC2538A13F0}"/>
            </a:ext>
          </a:extLst>
        </xdr:cNvPr>
        <xdr:cNvGrpSpPr/>
      </xdr:nvGrpSpPr>
      <xdr:grpSpPr>
        <a:xfrm>
          <a:off x="9147810" y="644681"/>
          <a:ext cx="1883971" cy="1350488"/>
          <a:chOff x="8298946" y="680010"/>
          <a:chExt cx="1711257" cy="994935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D04F906D-F351-8392-CD77-FDA76CE7D740}"/>
              </a:ext>
            </a:extLst>
          </xdr:cNvPr>
          <xdr:cNvSpPr/>
        </xdr:nvSpPr>
        <xdr:spPr>
          <a:xfrm>
            <a:off x="8298946" y="680010"/>
            <a:ext cx="1711257" cy="994935"/>
          </a:xfrm>
          <a:prstGeom prst="roundRect">
            <a:avLst>
              <a:gd name="adj" fmla="val 9563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Analysis!G6">
        <xdr:nvSpPr>
          <xdr:cNvPr id="28" name="TextBox 27">
            <a:extLst>
              <a:ext uri="{FF2B5EF4-FFF2-40B4-BE49-F238E27FC236}">
                <a16:creationId xmlns:a16="http://schemas.microsoft.com/office/drawing/2014/main" id="{F54A164F-7123-40D5-43C0-5FEAC0A0DA3F}"/>
              </a:ext>
            </a:extLst>
          </xdr:cNvPr>
          <xdr:cNvSpPr txBox="1"/>
        </xdr:nvSpPr>
        <xdr:spPr>
          <a:xfrm>
            <a:off x="8587740" y="1112520"/>
            <a:ext cx="116586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21DA462-E784-4A6C-925C-1B78F8140D54}" type="TxLink">
              <a:rPr lang="en-US" sz="2000" b="1" i="0" u="none" strike="noStrike">
                <a:solidFill>
                  <a:srgbClr val="000000"/>
                </a:solidFill>
                <a:latin typeface="Carlito"/>
                <a:ea typeface="+mn-ea"/>
                <a:cs typeface="+mn-cs"/>
              </a:rPr>
              <a:pPr marL="0" indent="0" algn="ctr"/>
              <a:t>90.99%</a:t>
            </a:fld>
            <a:endParaRPr lang="en-001" sz="2000" b="1" i="0" u="none" strike="noStrike">
              <a:solidFill>
                <a:srgbClr val="000000"/>
              </a:solidFill>
              <a:latin typeface="Carlito"/>
              <a:ea typeface="+mn-ea"/>
              <a:cs typeface="+mn-cs"/>
            </a:endParaRPr>
          </a:p>
        </xdr:txBody>
      </xdr:sp>
      <xdr:sp macro="" textlink="Analysis!G5">
        <xdr:nvSpPr>
          <xdr:cNvPr id="29" name="TextBox 28">
            <a:extLst>
              <a:ext uri="{FF2B5EF4-FFF2-40B4-BE49-F238E27FC236}">
                <a16:creationId xmlns:a16="http://schemas.microsoft.com/office/drawing/2014/main" id="{1AAF3018-BD5A-415D-D19C-5276C277BAAF}"/>
              </a:ext>
            </a:extLst>
          </xdr:cNvPr>
          <xdr:cNvSpPr txBox="1"/>
        </xdr:nvSpPr>
        <xdr:spPr>
          <a:xfrm>
            <a:off x="8357623" y="883840"/>
            <a:ext cx="163830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52C9619-4484-42AA-A6F5-9A02EE9432D0}" type="TxLink">
              <a:rPr lang="en-US" sz="1800" b="1" i="0" u="none" strike="noStrike">
                <a:solidFill>
                  <a:srgbClr val="000000"/>
                </a:solidFill>
                <a:latin typeface="Carlito"/>
                <a:ea typeface="+mn-ea"/>
                <a:cs typeface="+mn-cs"/>
              </a:rPr>
              <a:pPr marL="0" indent="0" algn="ctr"/>
              <a:t>Target Achieved </a:t>
            </a:fld>
            <a:endParaRPr lang="en-001" sz="1800" b="1" i="0" u="none" strike="noStrike">
              <a:solidFill>
                <a:srgbClr val="000000"/>
              </a:solidFill>
              <a:latin typeface="Carlito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</xdr:col>
      <xdr:colOff>635000</xdr:colOff>
      <xdr:row>12</xdr:row>
      <xdr:rowOff>91689</xdr:rowOff>
    </xdr:from>
    <xdr:to>
      <xdr:col>13</xdr:col>
      <xdr:colOff>499533</xdr:colOff>
      <xdr:row>26</xdr:row>
      <xdr:rowOff>115493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89B10038-CC26-A2EB-A3CD-6D328953B334}"/>
            </a:ext>
          </a:extLst>
        </xdr:cNvPr>
        <xdr:cNvSpPr/>
      </xdr:nvSpPr>
      <xdr:spPr>
        <a:xfrm>
          <a:off x="3310467" y="2225289"/>
          <a:ext cx="5884333" cy="2513004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16</xdr:col>
      <xdr:colOff>468060</xdr:colOff>
      <xdr:row>3</xdr:row>
      <xdr:rowOff>134617</xdr:rowOff>
    </xdr:from>
    <xdr:to>
      <xdr:col>20</xdr:col>
      <xdr:colOff>664625</xdr:colOff>
      <xdr:row>11</xdr:row>
      <xdr:rowOff>58418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9" name="Order_Date 2">
              <a:extLst>
                <a:ext uri="{FF2B5EF4-FFF2-40B4-BE49-F238E27FC236}">
                  <a16:creationId xmlns:a16="http://schemas.microsoft.com/office/drawing/2014/main" id="{6C890F63-7DAC-4E3B-AF33-26102BC18952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69927" y="668017"/>
              <a:ext cx="2872031" cy="1346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001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3</xdr:col>
      <xdr:colOff>250613</xdr:colOff>
      <xdr:row>15</xdr:row>
      <xdr:rowOff>51858</xdr:rowOff>
    </xdr:from>
    <xdr:to>
      <xdr:col>4</xdr:col>
      <xdr:colOff>181186</xdr:colOff>
      <xdr:row>16</xdr:row>
      <xdr:rowOff>141604</xdr:rowOff>
    </xdr:to>
    <xdr:sp macro="" textlink="">
      <xdr:nvSpPr>
        <xdr:cNvPr id="41" name="TextBox 4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950539-1FB6-46CA-8A27-6BD7B41F3059}"/>
            </a:ext>
          </a:extLst>
        </xdr:cNvPr>
        <xdr:cNvSpPr txBox="1"/>
      </xdr:nvSpPr>
      <xdr:spPr>
        <a:xfrm>
          <a:off x="2257213" y="2718858"/>
          <a:ext cx="599440" cy="2675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D01</a:t>
          </a:r>
          <a:endParaRPr lang="en-001" sz="1100"/>
        </a:p>
      </xdr:txBody>
    </xdr:sp>
    <xdr:clientData/>
  </xdr:twoCellAnchor>
  <xdr:twoCellAnchor>
    <xdr:from>
      <xdr:col>3</xdr:col>
      <xdr:colOff>260139</xdr:colOff>
      <xdr:row>19</xdr:row>
      <xdr:rowOff>35560</xdr:rowOff>
    </xdr:from>
    <xdr:to>
      <xdr:col>4</xdr:col>
      <xdr:colOff>180975</xdr:colOff>
      <xdr:row>20</xdr:row>
      <xdr:rowOff>133350</xdr:rowOff>
    </xdr:to>
    <xdr:sp macro="" textlink="">
      <xdr:nvSpPr>
        <xdr:cNvPr id="42" name="TextBox 4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7EF42E-D7B4-448D-909C-0246530414DE}"/>
            </a:ext>
          </a:extLst>
        </xdr:cNvPr>
        <xdr:cNvSpPr txBox="1"/>
      </xdr:nvSpPr>
      <xdr:spPr>
        <a:xfrm>
          <a:off x="2260389" y="3293110"/>
          <a:ext cx="587586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/>
            <a:t>Analysis</a:t>
          </a:r>
          <a:endParaRPr lang="en-001" sz="900"/>
        </a:p>
      </xdr:txBody>
    </xdr:sp>
    <xdr:clientData/>
  </xdr:twoCellAnchor>
  <xdr:twoCellAnchor>
    <xdr:from>
      <xdr:col>3</xdr:col>
      <xdr:colOff>250613</xdr:colOff>
      <xdr:row>17</xdr:row>
      <xdr:rowOff>43709</xdr:rowOff>
    </xdr:from>
    <xdr:to>
      <xdr:col>4</xdr:col>
      <xdr:colOff>181186</xdr:colOff>
      <xdr:row>18</xdr:row>
      <xdr:rowOff>133455</xdr:rowOff>
    </xdr:to>
    <xdr:sp macro="" textlink="">
      <xdr:nvSpPr>
        <xdr:cNvPr id="43" name="TextBox 4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5D2BB84-B3AA-4373-A08E-C2525A1A5816}"/>
            </a:ext>
          </a:extLst>
        </xdr:cNvPr>
        <xdr:cNvSpPr txBox="1"/>
      </xdr:nvSpPr>
      <xdr:spPr>
        <a:xfrm>
          <a:off x="2257213" y="3066309"/>
          <a:ext cx="599440" cy="2675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D02</a:t>
          </a:r>
          <a:endParaRPr lang="en-001" sz="1100"/>
        </a:p>
      </xdr:txBody>
    </xdr:sp>
    <xdr:clientData/>
  </xdr:twoCellAnchor>
  <xdr:twoCellAnchor>
    <xdr:from>
      <xdr:col>14</xdr:col>
      <xdr:colOff>25399</xdr:colOff>
      <xdr:row>13</xdr:row>
      <xdr:rowOff>16933</xdr:rowOff>
    </xdr:from>
    <xdr:to>
      <xdr:col>20</xdr:col>
      <xdr:colOff>609600</xdr:colOff>
      <xdr:row>41</xdr:row>
      <xdr:rowOff>126999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EAB131-FD42-49F1-BB67-E87ADB90D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30206</xdr:colOff>
      <xdr:row>27</xdr:row>
      <xdr:rowOff>8466</xdr:rowOff>
    </xdr:from>
    <xdr:to>
      <xdr:col>13</xdr:col>
      <xdr:colOff>524932</xdr:colOff>
      <xdr:row>42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A34F60-9F2E-4F12-94B1-23303E1E3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209550</xdr:colOff>
      <xdr:row>13</xdr:row>
      <xdr:rowOff>42333</xdr:rowOff>
    </xdr:from>
    <xdr:to>
      <xdr:col>13</xdr:col>
      <xdr:colOff>347133</xdr:colOff>
      <xdr:row>27</xdr:row>
      <xdr:rowOff>33867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89449D-A5E7-4B2F-BCBF-8731F73E4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245535</xdr:colOff>
      <xdr:row>23</xdr:row>
      <xdr:rowOff>32809</xdr:rowOff>
    </xdr:from>
    <xdr:to>
      <xdr:col>6</xdr:col>
      <xdr:colOff>196851</xdr:colOff>
      <xdr:row>24</xdr:row>
      <xdr:rowOff>159809</xdr:rowOff>
    </xdr:to>
    <xdr:sp macro="[0]!RectangleRoundedCorners31_Click" textlink="">
      <xdr:nvSpPr>
        <xdr:cNvPr id="33" name="Rectangle: Rounded Corners 3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D48A48-99D3-2072-A400-3BFDFE95F9CB}"/>
            </a:ext>
          </a:extLst>
        </xdr:cNvPr>
        <xdr:cNvSpPr/>
      </xdr:nvSpPr>
      <xdr:spPr>
        <a:xfrm>
          <a:off x="3579285" y="3976159"/>
          <a:ext cx="618066" cy="298450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convex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Details</a:t>
          </a:r>
          <a:endParaRPr lang="en-001" sz="1100"/>
        </a:p>
      </xdr:txBody>
    </xdr:sp>
    <xdr:clientData/>
  </xdr:twoCellAnchor>
  <xdr:twoCellAnchor>
    <xdr:from>
      <xdr:col>5</xdr:col>
      <xdr:colOff>542925</xdr:colOff>
      <xdr:row>20</xdr:row>
      <xdr:rowOff>9525</xdr:rowOff>
    </xdr:from>
    <xdr:to>
      <xdr:col>5</xdr:col>
      <xdr:colOff>542925</xdr:colOff>
      <xdr:row>22</xdr:row>
      <xdr:rowOff>76200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35C69634-CA40-7CD4-ACE0-488C1CF57813}"/>
            </a:ext>
          </a:extLst>
        </xdr:cNvPr>
        <xdr:cNvCxnSpPr/>
      </xdr:nvCxnSpPr>
      <xdr:spPr>
        <a:xfrm>
          <a:off x="3876675" y="3438525"/>
          <a:ext cx="0" cy="409575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pan Nandi" refreshedDate="46204.900445717591" createdVersion="8" refreshedVersion="8" minRefreshableVersion="3" recordCount="1000" xr:uid="{59AEA67F-D4AA-4964-B2F0-71B87760BE7E}">
  <cacheSource type="worksheet">
    <worksheetSource name="FactSales"/>
  </cacheSource>
  <cacheFields count="24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6-16T00:00:00" count="448">
        <d v="2025-06-28T00:00:00"/>
        <d v="2025-05-24T00:00:00"/>
        <d v="2025-03-28T00:00:00"/>
        <d v="2026-04-18T00:00:00"/>
        <d v="2025-06-26T00:00:00"/>
        <d v="2025-10-30T00:00:00"/>
        <d v="2026-03-06T00:00:00"/>
        <d v="2026-05-12T00:00:00"/>
        <d v="2025-08-13T00:00:00"/>
        <d v="2025-04-13T00:00:00"/>
        <d v="2026-02-02T00:00:00"/>
        <d v="2025-05-26T00:00:00"/>
        <d v="2025-04-03T00:00:00"/>
        <d v="2025-07-01T00:00:00"/>
        <d v="2025-11-06T00:00:00"/>
        <d v="2026-01-01T00:00:00"/>
        <d v="2026-02-05T00:00:00"/>
        <d v="2025-08-15T00:00:00"/>
        <d v="2025-04-01T00:00:00"/>
        <d v="2025-03-11T00:00:00"/>
        <d v="2025-12-26T00:00:00"/>
        <d v="2025-02-04T00:00:00"/>
        <d v="2025-04-06T00:00:00"/>
        <d v="2025-06-10T00:00:00"/>
        <d v="2025-02-20T00:00:00"/>
        <d v="2025-03-31T00:00:00"/>
        <d v="2025-04-29T00:00:00"/>
        <d v="2026-02-01T00:00:00"/>
        <d v="2025-10-03T00:00:00"/>
        <d v="2025-08-21T00:00:00"/>
        <d v="2026-02-09T00:00:00"/>
        <d v="2025-06-21T00:00:00"/>
        <d v="2025-03-10T00:00:00"/>
        <d v="2025-01-13T00:00:00"/>
        <d v="2026-05-13T00:00:00"/>
        <d v="2025-02-09T00:00:00"/>
        <d v="2025-01-21T00:00:00"/>
        <d v="2026-03-30T00:00:00"/>
        <d v="2026-02-21T00:00:00"/>
        <d v="2025-05-19T00:00:00"/>
        <d v="2025-09-13T00:00:00"/>
        <d v="2025-05-07T00:00:00"/>
        <d v="2026-05-01T00:00:00"/>
        <d v="2026-02-24T00:00:00"/>
        <d v="2025-11-09T00:00:00"/>
        <d v="2026-04-23T00:00:00"/>
        <d v="2025-04-21T00:00:00"/>
        <d v="2025-11-02T00:00:00"/>
        <d v="2025-01-27T00:00:00"/>
        <d v="2025-07-14T00:00:00"/>
        <d v="2025-06-24T00:00:00"/>
        <d v="2025-09-22T00:00:00"/>
        <d v="2025-11-11T00:00:00"/>
        <d v="2025-05-01T00:00:00"/>
        <d v="2026-01-26T00:00:00"/>
        <d v="2026-04-14T00:00:00"/>
        <d v="2025-08-03T00:00:00"/>
        <d v="2026-03-16T00:00:00"/>
        <d v="2025-01-05T00:00:00"/>
        <d v="2026-01-28T00:00:00"/>
        <d v="2025-12-12T00:00:00"/>
        <d v="2026-02-18T00:00:00"/>
        <d v="2025-02-08T00:00:00"/>
        <d v="2025-01-10T00:00:00"/>
        <d v="2025-04-18T00:00:00"/>
        <d v="2025-07-26T00:00:00"/>
        <d v="2025-08-01T00:00:00"/>
        <d v="2025-10-31T00:00:00"/>
        <d v="2026-03-25T00:00:00"/>
        <d v="2026-01-30T00:00:00"/>
        <d v="2025-03-02T00:00:00"/>
        <d v="2025-01-30T00:00:00"/>
        <d v="2025-03-06T00:00:00"/>
        <d v="2025-04-08T00:00:00"/>
        <d v="2025-02-25T00:00:00"/>
        <d v="2025-12-05T00:00:00"/>
        <d v="2025-03-22T00:00:00"/>
        <d v="2025-04-16T00:00:00"/>
        <d v="2026-06-05T00:00:00"/>
        <d v="2026-04-30T00:00:00"/>
        <d v="2025-10-26T00:00:00"/>
        <d v="2025-07-15T00:00:00"/>
        <d v="2026-06-01T00:00:00"/>
        <d v="2026-05-10T00:00:00"/>
        <d v="2025-11-26T00:00:00"/>
        <d v="2025-12-18T00:00:00"/>
        <d v="2025-08-11T00:00:00"/>
        <d v="2025-07-02T00:00:00"/>
        <d v="2025-10-20T00:00:00"/>
        <d v="2025-02-24T00:00:00"/>
        <d v="2025-08-18T00:00:00"/>
        <d v="2025-11-17T00:00:00"/>
        <d v="2025-03-18T00:00:00"/>
        <d v="2025-09-28T00:00:00"/>
        <d v="2025-11-27T00:00:00"/>
        <d v="2025-11-22T00:00:00"/>
        <d v="2025-12-24T00:00:00"/>
        <d v="2026-05-02T00:00:00"/>
        <d v="2025-02-10T00:00:00"/>
        <d v="2025-10-17T00:00:00"/>
        <d v="2026-06-11T00:00:00"/>
        <d v="2025-03-09T00:00:00"/>
        <d v="2026-03-22T00:00:00"/>
        <d v="2026-02-19T00:00:00"/>
        <d v="2025-05-25T00:00:00"/>
        <d v="2025-12-19T00:00:00"/>
        <d v="2025-03-13T00:00:00"/>
        <d v="2025-06-06T00:00:00"/>
        <d v="2026-03-23T00:00:00"/>
        <d v="2025-03-20T00:00:00"/>
        <d v="2025-08-06T00:00:00"/>
        <d v="2025-10-25T00:00:00"/>
        <d v="2025-09-02T00:00:00"/>
        <d v="2025-05-30T00:00:00"/>
        <d v="2025-09-27T00:00:00"/>
        <d v="2025-08-17T00:00:00"/>
        <d v="2025-05-23T00:00:00"/>
        <d v="2025-05-02T00:00:00"/>
        <d v="2026-05-06T00:00:00"/>
        <d v="2025-05-18T00:00:00"/>
        <d v="2026-06-14T00:00:00"/>
        <d v="2026-04-28T00:00:00"/>
        <d v="2025-07-06T00:00:00"/>
        <d v="2025-06-03T00:00:00"/>
        <d v="2025-05-14T00:00:00"/>
        <d v="2025-02-14T00:00:00"/>
        <d v="2025-04-11T00:00:00"/>
        <d v="2026-02-23T00:00:00"/>
        <d v="2025-11-20T00:00:00"/>
        <d v="2026-03-10T00:00:00"/>
        <d v="2026-01-15T00:00:00"/>
        <d v="2026-02-12T00:00:00"/>
        <d v="2025-12-13T00:00:00"/>
        <d v="2026-02-15T00:00:00"/>
        <d v="2025-06-29T00:00:00"/>
        <d v="2025-08-26T00:00:00"/>
        <d v="2025-10-10T00:00:00"/>
        <d v="2025-07-19T00:00:00"/>
        <d v="2025-10-29T00:00:00"/>
        <d v="2026-01-22T00:00:00"/>
        <d v="2026-05-09T00:00:00"/>
        <d v="2025-12-17T00:00:00"/>
        <d v="2025-12-31T00:00:00"/>
        <d v="2025-02-13T00:00:00"/>
        <d v="2025-08-16T00:00:00"/>
        <d v="2025-02-03T00:00:00"/>
        <d v="2025-01-09T00:00:00"/>
        <d v="2025-09-23T00:00:00"/>
        <d v="2025-08-23T00:00:00"/>
        <d v="2026-05-14T00:00:00"/>
        <d v="2025-09-18T00:00:00"/>
        <d v="2025-09-21T00:00:00"/>
        <d v="2026-04-03T00:00:00"/>
        <d v="2026-04-07T00:00:00"/>
        <d v="2025-03-23T00:00:00"/>
        <d v="2025-03-27T00:00:00"/>
        <d v="2025-10-18T00:00:00"/>
        <d v="2026-04-24T00:00:00"/>
        <d v="2026-04-13T00:00:00"/>
        <d v="2025-04-02T00:00:00"/>
        <d v="2025-05-20T00:00:00"/>
        <d v="2026-03-17T00:00:00"/>
        <d v="2026-03-24T00:00:00"/>
        <d v="2025-10-06T00:00:00"/>
        <d v="2025-10-24T00:00:00"/>
        <d v="2025-01-23T00:00:00"/>
        <d v="2025-02-02T00:00:00"/>
        <d v="2025-07-05T00:00:00"/>
        <d v="2025-08-02T00:00:00"/>
        <d v="2026-05-08T00:00:00"/>
        <d v="2026-03-21T00:00:00"/>
        <d v="2025-04-04T00:00:00"/>
        <d v="2025-12-22T00:00:00"/>
        <d v="2025-09-14T00:00:00"/>
        <d v="2025-11-28T00:00:00"/>
        <d v="2026-01-08T00:00:00"/>
        <d v="2025-04-09T00:00:00"/>
        <d v="2025-07-16T00:00:00"/>
        <d v="2025-02-11T00:00:00"/>
        <d v="2025-08-25T00:00:00"/>
        <d v="2026-01-02T00:00:00"/>
        <d v="2026-06-08T00:00:00"/>
        <d v="2025-03-21T00:00:00"/>
        <d v="2025-05-04T00:00:00"/>
        <d v="2025-02-12T00:00:00"/>
        <d v="2025-02-21T00:00:00"/>
        <d v="2025-06-01T00:00:00"/>
        <d v="2025-03-29T00:00:00"/>
        <d v="2025-09-10T00:00:00"/>
        <d v="2026-02-28T00:00:00"/>
        <d v="2026-03-29T00:00:00"/>
        <d v="2025-09-19T00:00:00"/>
        <d v="2026-01-31T00:00:00"/>
        <d v="2025-07-10T00:00:00"/>
        <d v="2026-02-07T00:00:00"/>
        <d v="2025-08-30T00:00:00"/>
        <d v="2025-08-19T00:00:00"/>
        <d v="2025-05-22T00:00:00"/>
        <d v="2025-05-29T00:00:00"/>
        <d v="2025-11-23T00:00:00"/>
        <d v="2025-10-08T00:00:00"/>
        <d v="2026-04-26T00:00:00"/>
        <d v="2025-01-16T00:00:00"/>
        <d v="2026-03-26T00:00:00"/>
        <d v="2026-01-25T00:00:00"/>
        <d v="2025-04-26T00:00:00"/>
        <d v="2025-07-03T00:00:00"/>
        <d v="2025-06-16T00:00:00"/>
        <d v="2026-04-02T00:00:00"/>
        <d v="2026-05-26T00:00:00"/>
        <d v="2026-04-10T00:00:00"/>
        <d v="2026-01-24T00:00:00"/>
        <d v="2025-12-04T00:00:00"/>
        <d v="2025-05-13T00:00:00"/>
        <d v="2025-11-03T00:00:00"/>
        <d v="2025-12-29T00:00:00"/>
        <d v="2026-02-03T00:00:00"/>
        <d v="2026-01-19T00:00:00"/>
        <d v="2026-05-28T00:00:00"/>
        <d v="2025-01-24T00:00:00"/>
        <d v="2025-07-31T00:00:00"/>
        <d v="2025-03-14T00:00:00"/>
        <d v="2025-03-30T00:00:00"/>
        <d v="2025-07-22T00:00:00"/>
        <d v="2026-04-25T00:00:00"/>
        <d v="2025-05-11T00:00:00"/>
        <d v="2025-12-15T00:00:00"/>
        <d v="2025-04-10T00:00:00"/>
        <d v="2025-03-04T00:00:00"/>
        <d v="2026-02-08T00:00:00"/>
        <d v="2025-06-27T00:00:00"/>
        <d v="2025-05-09T00:00:00"/>
        <d v="2026-04-06T00:00:00"/>
        <d v="2025-08-31T00:00:00"/>
        <d v="2026-01-13T00:00:00"/>
        <d v="2025-12-06T00:00:00"/>
        <d v="2025-03-26T00:00:00"/>
        <d v="2026-02-27T00:00:00"/>
        <d v="2025-12-20T00:00:00"/>
        <d v="2025-08-28T00:00:00"/>
        <d v="2026-03-19T00:00:00"/>
        <d v="2025-07-04T00:00:00"/>
        <d v="2025-04-17T00:00:00"/>
        <d v="2025-07-09T00:00:00"/>
        <d v="2025-03-03T00:00:00"/>
        <d v="2025-04-22T00:00:00"/>
        <d v="2026-01-03T00:00:00"/>
        <d v="2025-04-20T00:00:00"/>
        <d v="2025-02-06T00:00:00"/>
        <d v="2025-01-17T00:00:00"/>
        <d v="2026-04-15T00:00:00"/>
        <d v="2025-08-14T00:00:00"/>
        <d v="2025-05-21T00:00:00"/>
        <d v="2026-03-02T00:00:00"/>
        <d v="2025-05-27T00:00:00"/>
        <d v="2026-05-27T00:00:00"/>
        <d v="2025-06-30T00:00:00"/>
        <d v="2026-04-01T00:00:00"/>
        <d v="2025-07-18T00:00:00"/>
        <d v="2025-08-10T00:00:00"/>
        <d v="2025-06-02T00:00:00"/>
        <d v="2026-02-20T00:00:00"/>
        <d v="2025-12-07T00:00:00"/>
        <d v="2025-02-26T00:00:00"/>
        <d v="2026-05-05T00:00:00"/>
        <d v="2025-10-27T00:00:00"/>
        <d v="2025-01-22T00:00:00"/>
        <d v="2025-12-01T00:00:00"/>
        <d v="2025-11-10T00:00:00"/>
        <d v="2026-04-12T00:00:00"/>
        <d v="2025-06-07T00:00:00"/>
        <d v="2025-02-05T00:00:00"/>
        <d v="2025-11-05T00:00:00"/>
        <d v="2026-06-04T00:00:00"/>
        <d v="2026-05-18T00:00:00"/>
        <d v="2026-03-14T00:00:00"/>
        <d v="2026-03-31T00:00:00"/>
        <d v="2026-01-20T00:00:00"/>
        <d v="2026-04-20T00:00:00"/>
        <d v="2025-10-22T00:00:00"/>
        <d v="2026-05-03T00:00:00"/>
        <d v="2025-11-24T00:00:00"/>
        <d v="2025-12-27T00:00:00"/>
        <d v="2025-06-08T00:00:00"/>
        <d v="2025-05-15T00:00:00"/>
        <d v="2025-09-05T00:00:00"/>
        <d v="2025-10-16T00:00:00"/>
        <d v="2026-05-23T00:00:00"/>
        <d v="2025-11-16T00:00:00"/>
        <d v="2026-03-15T00:00:00"/>
        <d v="2025-04-15T00:00:00"/>
        <d v="2026-03-11T00:00:00"/>
        <d v="2025-11-07T00:00:00"/>
        <d v="2026-05-15T00:00:00"/>
        <d v="2025-01-29T00:00:00"/>
        <d v="2026-03-09T00:00:00"/>
        <d v="2025-11-21T00:00:00"/>
        <d v="2025-12-14T00:00:00"/>
        <d v="2025-03-19T00:00:00"/>
        <d v="2025-08-07T00:00:00"/>
        <d v="2026-04-19T00:00:00"/>
        <d v="2025-02-07T00:00:00"/>
        <d v="2025-03-07T00:00:00"/>
        <d v="2025-08-08T00:00:00"/>
        <d v="2026-01-12T00:00:00"/>
        <d v="2025-09-03T00:00:00"/>
        <d v="2025-06-14T00:00:00"/>
        <d v="2026-05-19T00:00:00"/>
        <d v="2025-09-25T00:00:00"/>
        <d v="2025-07-08T00:00:00"/>
        <d v="2025-05-17T00:00:00"/>
        <d v="2025-09-30T00:00:00"/>
        <d v="2025-07-13T00:00:00"/>
        <d v="2025-06-23T00:00:00"/>
        <d v="2025-04-30T00:00:00"/>
        <d v="2026-03-27T00:00:00"/>
        <d v="2025-10-07T00:00:00"/>
        <d v="2025-05-05T00:00:00"/>
        <d v="2026-05-07T00:00:00"/>
        <d v="2026-04-09T00:00:00"/>
        <d v="2025-11-14T00:00:00"/>
        <d v="2026-05-17T00:00:00"/>
        <d v="2025-02-18T00:00:00"/>
        <d v="2025-09-17T00:00:00"/>
        <d v="2026-04-17T00:00:00"/>
        <d v="2025-10-02T00:00:00"/>
        <d v="2025-06-15T00:00:00"/>
        <d v="2025-01-19T00:00:00"/>
        <d v="2026-05-31T00:00:00"/>
        <d v="2025-05-06T00:00:00"/>
        <d v="2026-03-08T00:00:00"/>
        <d v="2026-01-06T00:00:00"/>
        <d v="2025-06-18T00:00:00"/>
        <d v="2025-05-31T00:00:00"/>
        <d v="2025-05-10T00:00:00"/>
        <d v="2026-06-02T00:00:00"/>
        <d v="2025-05-08T00:00:00"/>
        <d v="2025-03-05T00:00:00"/>
        <d v="2026-02-17T00:00:00"/>
        <d v="2026-01-14T00:00:00"/>
        <d v="2026-05-16T00:00:00"/>
        <d v="2025-02-16T00:00:00"/>
        <d v="2025-11-13T00:00:00"/>
        <d v="2026-05-30T00:00:00"/>
        <d v="2025-01-25T00:00:00"/>
        <d v="2025-06-22T00:00:00"/>
        <d v="2025-11-30T00:00:00"/>
        <d v="2025-04-28T00:00:00"/>
        <d v="2025-11-08T00:00:00"/>
        <d v="2026-04-21T00:00:00"/>
        <d v="2025-08-04T00:00:00"/>
        <d v="2025-10-15T00:00:00"/>
        <d v="2026-02-10T00:00:00"/>
        <d v="2025-02-23T00:00:00"/>
        <d v="2025-01-06T00:00:00"/>
        <d v="2025-01-11T00:00:00"/>
        <d v="2026-03-05T00:00:00"/>
        <d v="2025-08-24T00:00:00"/>
        <d v="2026-02-14T00:00:00"/>
        <d v="2025-04-14T00:00:00"/>
        <d v="2025-09-08T00:00:00"/>
        <d v="2025-10-14T00:00:00"/>
        <d v="2025-03-08T00:00:00"/>
        <d v="2026-05-22T00:00:00"/>
        <d v="2026-05-25T00:00:00"/>
        <d v="2026-01-04T00:00:00"/>
        <d v="2025-10-09T00:00:00"/>
        <d v="2025-08-22T00:00:00"/>
        <d v="2025-01-31T00:00:00"/>
        <d v="2026-03-12T00:00:00"/>
        <d v="2025-10-13T00:00:00"/>
        <d v="2025-12-10T00:00:00"/>
        <d v="2025-08-27T00:00:00"/>
        <d v="2025-12-03T00:00:00"/>
        <d v="2026-03-28T00:00:00"/>
        <d v="2025-07-20T00:00:00"/>
        <d v="2026-01-18T00:00:00"/>
        <d v="2025-03-01T00:00:00"/>
        <d v="2025-11-12T00:00:00"/>
        <d v="2026-03-04T00:00:00"/>
        <d v="2025-06-20T00:00:00"/>
        <d v="2026-01-21T00:00:00"/>
        <d v="2026-02-06T00:00:00"/>
        <d v="2026-06-06T00:00:00"/>
        <d v="2026-05-11T00:00:00"/>
        <d v="2025-01-01T00:00:00"/>
        <d v="2025-04-12T00:00:00"/>
        <d v="2025-06-17T00:00:00"/>
        <d v="2025-08-20T00:00:00"/>
        <d v="2025-01-08T00:00:00"/>
        <d v="2026-04-05T00:00:00"/>
        <d v="2025-09-11T00:00:00"/>
        <d v="2025-01-14T00:00:00"/>
        <d v="2025-09-01T00:00:00"/>
        <d v="2025-09-16T00:00:00"/>
        <d v="2026-06-10T00:00:00"/>
        <d v="2026-02-04T00:00:00"/>
        <d v="2025-09-12T00:00:00"/>
        <d v="2025-04-19T00:00:00"/>
        <d v="2026-04-11T00:00:00"/>
        <d v="2025-04-23T00:00:00"/>
        <d v="2025-10-01T00:00:00"/>
        <d v="2026-01-29T00:00:00"/>
        <d v="2025-12-08T00:00:00"/>
        <d v="2026-05-20T00:00:00"/>
        <d v="2026-01-16T00:00:00"/>
        <d v="2026-01-10T00:00:00"/>
        <d v="2026-01-07T00:00:00"/>
        <d v="2025-02-15T00:00:00"/>
        <d v="2026-05-29T00:00:00"/>
        <d v="2026-03-18T00:00:00"/>
        <d v="2025-11-18T00:00:00"/>
        <d v="2026-04-22T00:00:00"/>
        <d v="2026-04-27T00:00:00"/>
        <d v="2026-04-08T00:00:00"/>
        <d v="2025-11-01T00:00:00"/>
        <d v="2026-01-23T00:00:00"/>
        <d v="2026-06-15T00:00:00"/>
        <d v="2025-12-21T00:00:00"/>
        <d v="2025-09-06T00:00:00"/>
        <d v="2026-01-27T00:00:00"/>
        <d v="2026-03-20T00:00:00"/>
        <d v="2025-01-04T00:00:00"/>
        <d v="2025-07-21T00:00:00"/>
        <d v="2025-07-24T00:00:00"/>
        <d v="2025-09-24T00:00:00"/>
        <d v="2025-09-04T00:00:00"/>
        <d v="2025-03-16T00:00:00"/>
        <d v="2026-05-24T00:00:00"/>
        <d v="2025-04-24T00:00:00"/>
        <d v="2025-07-28T00:00:00"/>
        <d v="2025-10-04T00:00:00"/>
        <d v="2025-09-26T00:00:00"/>
        <d v="2025-10-11T00:00:00"/>
        <d v="2026-03-13T00:00:00"/>
        <d v="2025-08-05T00:00:00"/>
        <d v="2026-02-22T00:00:00"/>
        <d v="2025-07-11T00:00:00"/>
        <d v="2025-04-27T00:00:00"/>
        <d v="2025-12-28T00:00:00"/>
        <d v="2026-06-03T00:00:00"/>
        <d v="2025-06-19T00:00:00"/>
        <d v="2025-04-07T00:00:00"/>
        <d v="2025-01-26T00:00:00"/>
        <d v="2025-02-01T00:00:00"/>
        <d v="2025-05-03T00:00:00"/>
        <d v="2025-03-25T00:00:00"/>
        <d v="2025-10-21T00:00:00"/>
      </sharedItems>
    </cacheField>
    <cacheField name="Customer_ID" numFmtId="0">
      <sharedItems/>
    </cacheField>
    <cacheField name="Region_ID" numFmtId="0">
      <sharedItems/>
    </cacheField>
    <cacheField name="Store_ID" numFmtId="0">
      <sharedItems/>
    </cacheField>
    <cacheField name="Salesperson_ID" numFmtId="0">
      <sharedItems count="48">
        <s v="SM-RAN-006"/>
        <s v="SM-RAJ-001"/>
        <s v="SM-RAJ-004"/>
        <s v="SM-MYM-003"/>
        <s v="SM-RAN-004"/>
        <s v="SM-SYL-005"/>
        <s v="SM-DHA-004"/>
        <s v="SM-RAN-001"/>
        <s v="SM-BAR-002"/>
        <s v="SM-DHA-005"/>
        <s v="SM-BAR-006"/>
        <s v="SM-MYM-002"/>
        <s v="SM-BAR-005"/>
        <s v="SM-KHL-006"/>
        <s v="SM-DHA-003"/>
        <s v="SM-CTG-003"/>
        <s v="SM-KHL-003"/>
        <s v="SM-MYM-001"/>
        <s v="SM-CTG-005"/>
        <s v="SM-MYM-004"/>
        <s v="SM-SYL-002"/>
        <s v="SM-RAN-005"/>
        <s v="SM-BAR-004"/>
        <s v="SM-CTG-002"/>
        <s v="SM-KHL-004"/>
        <s v="SM-SYL-006"/>
        <s v="SM-RAJ-003"/>
        <s v="SM-RAN-002"/>
        <s v="SM-DHA-002"/>
        <s v="SM-KHL-005"/>
        <s v="SM-RAJ-006"/>
        <s v="SM-MYM-005"/>
        <s v="SM-SYL-004"/>
        <s v="SM-BAR-003"/>
        <s v="SM-SYL-001"/>
        <s v="SM-DHA-006"/>
        <s v="SM-KHL-002"/>
        <s v="SM-CTG-006"/>
        <s v="SM-SYL-003"/>
        <s v="SM-CTG-004"/>
        <s v="SM-RAJ-005"/>
        <s v="SM-CTG-001"/>
        <s v="SM-RAN-003"/>
        <s v="SM-MYM-006"/>
        <s v="SM-DHA-001"/>
        <s v="SM-KHL-001"/>
        <s v="SM-RAJ-002"/>
        <s v="SM-BAR-001"/>
      </sharedItems>
    </cacheField>
    <cacheField name="Product_ID" numFmtId="0">
      <sharedItems/>
    </cacheField>
    <cacheField name="Quantity_Sold" numFmtId="0">
      <sharedItems containsSemiMixedTypes="0" containsString="0" containsNumber="1" containsInteger="1" minValue="1" maxValue="12"/>
    </cacheField>
    <cacheField name="Discount" numFmtId="9">
      <sharedItems containsSemiMixedTypes="0" containsString="0" containsNumber="1" minValue="0" maxValue="0.18"/>
    </cacheField>
    <cacheField name="Target_Sales" numFmtId="3">
      <sharedItems containsSemiMixedTypes="0" containsString="0" containsNumber="1" containsInteger="1" minValue="367" maxValue="130816"/>
    </cacheField>
    <cacheField name="Delivery_Days" numFmtId="0">
      <sharedItems containsSemiMixedTypes="0" containsString="0" containsNumber="1" containsInteger="1" minValue="1" maxValue="13"/>
    </cacheField>
    <cacheField name="Customer_Rating" numFmtId="165">
      <sharedItems containsSemiMixedTypes="0" containsString="0" containsNumber="1" minValue="1" maxValue="4.9000000000000004" count="36">
        <n v="2"/>
        <n v="4.5999999999999996"/>
        <n v="2.8"/>
        <n v="3.6"/>
        <n v="3.2"/>
        <n v="3.3"/>
        <n v="3.7"/>
        <n v="4.8"/>
        <n v="1"/>
        <n v="2.2000000000000002"/>
        <n v="4.2"/>
        <n v="2.9"/>
        <n v="2.7"/>
        <n v="4.7"/>
        <n v="1.9"/>
        <n v="4.5"/>
        <n v="3.1"/>
        <n v="3.9"/>
        <n v="4.4000000000000004"/>
        <n v="3.5"/>
        <n v="3.8"/>
        <n v="4"/>
        <n v="2.2999999999999998"/>
        <n v="2.6"/>
        <n v="4.3"/>
        <n v="4.0999999999999996"/>
        <n v="1.8"/>
        <n v="2.4"/>
        <n v="3"/>
        <n v="3.4"/>
        <n v="2.5"/>
        <n v="1.6"/>
        <n v="2.1"/>
        <n v="4.9000000000000004"/>
        <n v="1.4"/>
        <n v="1.7"/>
      </sharedItems>
      <fieldGroup base="11">
        <rangePr startNum="1" endNum="4.9000000000000004"/>
        <groupItems count="6">
          <s v="&lt;1"/>
          <s v="1-2"/>
          <s v="2-3"/>
          <s v="3-4"/>
          <s v="4-5"/>
          <s v="&gt;5"/>
        </groupItems>
      </fieldGroup>
    </cacheField>
    <cacheField name="Product_Name" numFmtId="3">
      <sharedItems/>
    </cacheField>
    <cacheField name="Category" numFmtId="3">
      <sharedItems/>
    </cacheField>
    <cacheField name="Unit_Price" numFmtId="3">
      <sharedItems containsSemiMixedTypes="0" containsString="0" containsNumber="1" containsInteger="1" minValue="340" maxValue="11680"/>
    </cacheField>
    <cacheField name="Unit_Cost" numFmtId="3">
      <sharedItems containsSemiMixedTypes="0" containsString="0" containsNumber="1" containsInteger="1" minValue="170" maxValue="8410"/>
    </cacheField>
    <cacheField name="Sales_Amount" numFmtId="3">
      <sharedItems containsSemiMixedTypes="0" containsString="0" containsNumber="1" containsInteger="1" minValue="340" maxValue="116800"/>
    </cacheField>
    <cacheField name="Total_Cost" numFmtId="3">
      <sharedItems containsSemiMixedTypes="0" containsString="0" containsNumber="1" containsInteger="1" minValue="170" maxValue="84100"/>
    </cacheField>
    <cacheField name="Profit" numFmtId="3">
      <sharedItems containsSemiMixedTypes="0" containsString="0" containsNumber="1" containsInteger="1" minValue="80" maxValue="32700"/>
    </cacheField>
    <cacheField name="Customer Name" numFmtId="3">
      <sharedItems/>
    </cacheField>
    <cacheField name="Sales Man" numFmtId="3">
      <sharedItems count="48">
        <s v="Tania Hossain"/>
        <s v="Imran Khan"/>
        <s v="Farhana Rahman"/>
        <s v="Morshed Islam"/>
        <s v="Farhana Uddin"/>
        <s v="Fahim Mia"/>
        <s v="Tania Sultana"/>
        <s v="Morshed Ahmed"/>
        <s v="Shaila Akter"/>
        <s v="Imran Mia"/>
        <s v="Nayeem Akter"/>
        <s v="Rahim Rahman"/>
        <s v="Mehedi Khan"/>
        <s v="Fahim Uddin"/>
        <s v="Rafi Islam"/>
        <s v="Rafi Akter"/>
        <s v="Sadia Sultana"/>
        <s v="Sajib Rahman"/>
        <s v="Nabila Mia"/>
        <s v="Fahim Hossain"/>
        <s v="Hasan Mia"/>
        <s v="Nayeem Rahman"/>
        <s v="Shaila Uddin"/>
        <s v="Rumana Khan"/>
        <s v="Tania Chowdhury"/>
        <s v="Rumana Rahman"/>
        <s v="Hasan Khan"/>
        <s v="Tanvir Islam"/>
        <s v="Rasel Rahman"/>
        <s v="Rafi Ahmed"/>
        <s v="Mim Rahman"/>
        <s v="Tamanna Sultana"/>
        <s v="Rasel Akter"/>
        <s v="Rasel Uddin"/>
        <s v="Morshed Chowdhury"/>
        <s v="Rahim Hossain"/>
        <s v="Nusrat Akter"/>
        <s v="Sadia Islam"/>
        <s v="Mehedi Chowdhury"/>
        <s v="Shakib Ahmed"/>
        <s v="Mahmud Chowdhury"/>
        <s v="Rafi Sultana"/>
        <s v="Samiha Hossain"/>
        <s v="Tanvir Chowdhury"/>
        <s v="Mahmud Hossain"/>
        <s v="Samiha Islam"/>
        <s v="Karim Khan"/>
        <s v="Mim Akter"/>
      </sharedItems>
    </cacheField>
    <cacheField name="Region" numFmtId="3">
      <sharedItems count="8">
        <s v="Rangpur"/>
        <s v="Rajshahi"/>
        <s v="Mymensingh"/>
        <s v="Sylhet"/>
        <s v="Dhaka"/>
        <s v="Barishal"/>
        <s v="Khulna"/>
        <s v="Chattogram"/>
      </sharedItems>
    </cacheField>
    <cacheField name="Store Name" numFmtId="3">
      <sharedItems count="40">
        <s v="Rangpur Jahaj Company Store"/>
        <s v="Rajshahi Railgate Store"/>
        <s v="Rajshahi Kazla Store"/>
        <s v="Mymensingh Ganginarpar Store"/>
        <s v="Sylhet Upashahar Store"/>
        <s v="Dhaka Mirpur Store"/>
        <s v="Rangpur Shapla Chattar Store"/>
        <s v="Barishal Kawnia Store"/>
        <s v="Dhaka Dhanmondi Store"/>
        <s v="Barishal Nathullabad Store"/>
        <s v="Mymensingh Charpara Store"/>
        <s v="Barishal Sadar Road Store"/>
        <s v="Barishal Chowmatha Store"/>
        <s v="Rangpur Dhap Store"/>
        <s v="Khulna Khalishpur Store"/>
        <s v="Dhaka Motijheel Store"/>
        <s v="Chattogram Panchlaish Store"/>
        <s v="Khulna Daulatpur Store"/>
        <s v="Rajshahi Uposhohor Store"/>
        <s v="Khulna Boyra Store"/>
        <s v="Mymensingh Town Hall Store"/>
        <s v="Sylhet Subidbazar Store"/>
        <s v="Chattogram GEC Store"/>
        <s v="Sylhet South Surma Store"/>
        <s v="Khulna Sonadanga Store"/>
        <s v="Sylhet Zindabazar Store"/>
        <s v="Rangpur Modern More Store"/>
        <s v="Barishal Rupatali Store"/>
        <s v="Mymensingh Maskanda Store"/>
        <s v="Dhaka Gulshan Store"/>
        <s v="Khulna Shibbari Store"/>
        <s v="Chattogram Halishahar Store"/>
        <s v="Sylhet Ambarkhana Store"/>
        <s v="Chattogram Nasirabad Store"/>
        <s v="Mymensingh Kewatkhali Store"/>
        <s v="Dhaka Uttara Store"/>
        <s v="Rajshahi Shaheb Bazar Store"/>
        <s v="Chattogram Agrabad Store"/>
        <s v="Rajshahi Lakshmipur Store"/>
        <s v="Rangpur Central Road Store"/>
      </sharedItems>
    </cacheField>
    <cacheField name="Target Achieved" numFmtId="0" formula="Sales_Amount/Target_Sales" databaseField="0"/>
  </cacheFields>
  <extLst>
    <ext xmlns:x14="http://schemas.microsoft.com/office/spreadsheetml/2009/9/main" uri="{725AE2AE-9491-48be-B2B4-4EB974FC3084}">
      <x14:pivotCacheDefinition pivotCacheId="19267547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00001"/>
    <x v="0"/>
    <s v="CUS-RAN-017"/>
    <s v="R07"/>
    <s v="ST-RAN-01"/>
    <x v="0"/>
    <s v="P006"/>
    <n v="1"/>
    <n v="0.15"/>
    <n v="8280"/>
    <n v="9"/>
    <x v="0"/>
    <s v="Electric Kettle"/>
    <s v="Home Appliance"/>
    <n v="7200"/>
    <n v="5040"/>
    <n v="7200"/>
    <n v="5040"/>
    <n v="2160"/>
    <s v="Tamanna Mia"/>
    <x v="0"/>
    <x v="0"/>
    <x v="0"/>
  </r>
  <r>
    <s v="ORD-00002"/>
    <x v="1"/>
    <s v="CUS-RAJ-004"/>
    <s v="R04"/>
    <s v="ST-RAJ-04"/>
    <x v="1"/>
    <s v="P036"/>
    <n v="1"/>
    <n v="0"/>
    <n v="432"/>
    <n v="2"/>
    <x v="1"/>
    <s v="Notebook Pack"/>
    <s v="Stationery"/>
    <n v="400"/>
    <n v="200"/>
    <n v="400"/>
    <n v="200"/>
    <n v="200"/>
    <s v="Jannat Islam"/>
    <x v="1"/>
    <x v="1"/>
    <x v="1"/>
  </r>
  <r>
    <s v="ORD-00003"/>
    <x v="2"/>
    <s v="CUS-RAJ-005"/>
    <s v="R04"/>
    <s v="ST-RAJ-02"/>
    <x v="2"/>
    <s v="P009"/>
    <n v="4"/>
    <n v="0.08"/>
    <n v="19699"/>
    <n v="7"/>
    <x v="2"/>
    <s v="Steam Iron"/>
    <s v="Home Appliance"/>
    <n v="4560"/>
    <n v="3190"/>
    <n v="18240"/>
    <n v="12760"/>
    <n v="5480"/>
    <s v="Tanjim Akter"/>
    <x v="2"/>
    <x v="1"/>
    <x v="2"/>
  </r>
  <r>
    <s v="ORD-00004"/>
    <x v="3"/>
    <s v="CUS-MYM-005"/>
    <s v="R08"/>
    <s v="ST-MYM-01"/>
    <x v="3"/>
    <s v="P003"/>
    <n v="3"/>
    <n v="0.15"/>
    <n v="9202"/>
    <n v="4"/>
    <x v="3"/>
    <s v="Power Bank"/>
    <s v="Electronics"/>
    <n v="2840"/>
    <n v="1930"/>
    <n v="8520"/>
    <n v="5790"/>
    <n v="2730"/>
    <s v="Shamim Hossain"/>
    <x v="3"/>
    <x v="2"/>
    <x v="3"/>
  </r>
  <r>
    <s v="ORD-00005"/>
    <x v="4"/>
    <s v="CUS-RAN-016"/>
    <s v="R07"/>
    <s v="ST-RAN-01"/>
    <x v="4"/>
    <s v="P028"/>
    <n v="2"/>
    <n v="0.05"/>
    <n v="7406"/>
    <n v="6"/>
    <x v="4"/>
    <s v="Ladies Sandal"/>
    <s v="Footwear"/>
    <n v="3220"/>
    <n v="1930"/>
    <n v="6440"/>
    <n v="3860"/>
    <n v="2580"/>
    <s v="Tamanna Mia"/>
    <x v="4"/>
    <x v="0"/>
    <x v="0"/>
  </r>
  <r>
    <s v="ORD-00006"/>
    <x v="5"/>
    <s v="CUS-SYL-002"/>
    <s v="R03"/>
    <s v="ST-SYL-05"/>
    <x v="5"/>
    <s v="P023"/>
    <n v="2"/>
    <n v="0.12"/>
    <n v="2482"/>
    <n v="5"/>
    <x v="5"/>
    <s v="Body Lotion"/>
    <s v="Beauty &amp; Personal Care"/>
    <n v="1160"/>
    <n v="670"/>
    <n v="2320"/>
    <n v="1340"/>
    <n v="980"/>
    <s v="Rafi Hossain"/>
    <x v="5"/>
    <x v="3"/>
    <x v="4"/>
  </r>
  <r>
    <s v="ORD-00007"/>
    <x v="6"/>
    <s v="CUS-MYM-002"/>
    <s v="R08"/>
    <s v="ST-MYM-01"/>
    <x v="3"/>
    <s v="P009"/>
    <n v="3"/>
    <n v="0.1"/>
    <n v="14774"/>
    <n v="4"/>
    <x v="6"/>
    <s v="Steam Iron"/>
    <s v="Home Appliance"/>
    <n v="4560"/>
    <n v="3190"/>
    <n v="13680"/>
    <n v="9570"/>
    <n v="4110"/>
    <s v="Karim Chowdhury"/>
    <x v="3"/>
    <x v="2"/>
    <x v="3"/>
  </r>
  <r>
    <s v="ORD-00008"/>
    <x v="7"/>
    <s v="CUS-DHA-013"/>
    <s v="R01"/>
    <s v="ST-DHA-03"/>
    <x v="6"/>
    <s v="P018"/>
    <n v="2"/>
    <n v="0.03"/>
    <n v="3625"/>
    <n v="1"/>
    <x v="7"/>
    <s v="Lentil 1kg"/>
    <s v="Grocery"/>
    <n v="1710"/>
    <n v="1330"/>
    <n v="3420"/>
    <n v="2660"/>
    <n v="760"/>
    <s v="Arif Hossain"/>
    <x v="6"/>
    <x v="4"/>
    <x v="5"/>
  </r>
  <r>
    <s v="ORD-00009"/>
    <x v="8"/>
    <s v="CUS-RAN-009"/>
    <s v="R07"/>
    <s v="ST-RAN-02"/>
    <x v="7"/>
    <s v="P007"/>
    <n v="1"/>
    <n v="0.12"/>
    <n v="8544"/>
    <n v="13"/>
    <x v="8"/>
    <s v="Rice Cooker"/>
    <s v="Home Appliance"/>
    <n v="7430"/>
    <n v="5200"/>
    <n v="7430"/>
    <n v="5200"/>
    <n v="2230"/>
    <s v="Samiha Uddin"/>
    <x v="7"/>
    <x v="0"/>
    <x v="6"/>
  </r>
  <r>
    <s v="ORD-00010"/>
    <x v="9"/>
    <s v="CUS-BAR-025"/>
    <s v="R06"/>
    <s v="ST-BAR-05"/>
    <x v="8"/>
    <s v="P049"/>
    <n v="1"/>
    <n v="7.0000000000000007E-2"/>
    <n v="4738"/>
    <n v="9"/>
    <x v="9"/>
    <s v="Bookshelf"/>
    <s v="Furniture"/>
    <n v="4230"/>
    <n v="3050"/>
    <n v="4230"/>
    <n v="3050"/>
    <n v="1180"/>
    <s v="Fahim Khan"/>
    <x v="8"/>
    <x v="5"/>
    <x v="7"/>
  </r>
  <r>
    <s v="ORD-00011"/>
    <x v="10"/>
    <s v="CUS-DHA-025"/>
    <s v="R01"/>
    <s v="ST-DHA-02"/>
    <x v="9"/>
    <s v="P039"/>
    <n v="2"/>
    <n v="0.02"/>
    <n v="2205"/>
    <n v="3"/>
    <x v="10"/>
    <s v="Marker Set"/>
    <s v="Stationery"/>
    <n v="1040"/>
    <n v="520"/>
    <n v="2080"/>
    <n v="1040"/>
    <n v="1040"/>
    <s v="Nabila Sultana"/>
    <x v="9"/>
    <x v="4"/>
    <x v="8"/>
  </r>
  <r>
    <s v="ORD-00012"/>
    <x v="11"/>
    <s v="CUS-BAR-019"/>
    <s v="R06"/>
    <s v="ST-BAR-01"/>
    <x v="10"/>
    <s v="P029"/>
    <n v="3"/>
    <n v="0.05"/>
    <n v="9005"/>
    <n v="7"/>
    <x v="11"/>
    <s v="Kids Sneaker"/>
    <s v="Footwear"/>
    <n v="2680"/>
    <n v="1610"/>
    <n v="8040"/>
    <n v="4830"/>
    <n v="3210"/>
    <s v="Imran Chowdhury"/>
    <x v="10"/>
    <x v="5"/>
    <x v="9"/>
  </r>
  <r>
    <s v="ORD-00013"/>
    <x v="12"/>
    <s v="CUS-MYM-018"/>
    <s v="R08"/>
    <s v="ST-MYM-03"/>
    <x v="11"/>
    <s v="P014"/>
    <n v="3"/>
    <n v="0.05"/>
    <n v="2851"/>
    <n v="6"/>
    <x v="4"/>
    <s v="Denim Jeans"/>
    <s v="Fashion"/>
    <n v="880"/>
    <n v="480"/>
    <n v="2640"/>
    <n v="1440"/>
    <n v="1200"/>
    <s v="Nusrat Akter"/>
    <x v="11"/>
    <x v="2"/>
    <x v="10"/>
  </r>
  <r>
    <s v="ORD-00014"/>
    <x v="13"/>
    <s v="CUS-BAR-020"/>
    <s v="R06"/>
    <s v="ST-BAR-02"/>
    <x v="8"/>
    <s v="P008"/>
    <n v="6"/>
    <n v="0.12"/>
    <n v="16330"/>
    <n v="7"/>
    <x v="12"/>
    <s v="Blender Machine"/>
    <s v="Home Appliance"/>
    <n v="2430"/>
    <n v="1700"/>
    <n v="14580"/>
    <n v="10200"/>
    <n v="4380"/>
    <s v="Rumana Akter"/>
    <x v="8"/>
    <x v="5"/>
    <x v="11"/>
  </r>
  <r>
    <s v="ORD-00015"/>
    <x v="11"/>
    <s v="CUS-DHA-001"/>
    <s v="R01"/>
    <s v="ST-DHA-02"/>
    <x v="9"/>
    <s v="P029"/>
    <n v="4"/>
    <n v="0.12"/>
    <n v="11363"/>
    <n v="5"/>
    <x v="5"/>
    <s v="Kids Sneaker"/>
    <s v="Footwear"/>
    <n v="2680"/>
    <n v="1610"/>
    <n v="10720"/>
    <n v="6440"/>
    <n v="4280"/>
    <s v="Rumana Sultana"/>
    <x v="9"/>
    <x v="4"/>
    <x v="8"/>
  </r>
  <r>
    <s v="ORD-00016"/>
    <x v="14"/>
    <s v="CUS-BAR-023"/>
    <s v="R06"/>
    <s v="ST-BAR-04"/>
    <x v="12"/>
    <s v="P002"/>
    <n v="2"/>
    <n v="0.1"/>
    <n v="7482"/>
    <n v="1"/>
    <x v="13"/>
    <s v="Wireless Mouse"/>
    <s v="Electronics"/>
    <n v="3340"/>
    <n v="2270"/>
    <n v="6680"/>
    <n v="4540"/>
    <n v="2140"/>
    <s v="Rasel Sultana"/>
    <x v="12"/>
    <x v="5"/>
    <x v="12"/>
  </r>
  <r>
    <s v="ORD-00017"/>
    <x v="15"/>
    <s v="CUS-RAN-021"/>
    <s v="R07"/>
    <s v="ST-RAN-04"/>
    <x v="0"/>
    <s v="P007"/>
    <n v="1"/>
    <n v="0.18"/>
    <n v="8544"/>
    <n v="9"/>
    <x v="14"/>
    <s v="Rice Cooker"/>
    <s v="Home Appliance"/>
    <n v="7430"/>
    <n v="5200"/>
    <n v="7430"/>
    <n v="5200"/>
    <n v="2230"/>
    <s v="Mim Sultana"/>
    <x v="0"/>
    <x v="0"/>
    <x v="13"/>
  </r>
  <r>
    <s v="ORD-00018"/>
    <x v="16"/>
    <s v="CUS-KHL-005"/>
    <s v="R05"/>
    <s v="ST-KHL-02"/>
    <x v="13"/>
    <s v="P001"/>
    <n v="5"/>
    <n v="0.18"/>
    <n v="17658"/>
    <n v="1"/>
    <x v="15"/>
    <s v="Bluetooth Speaker"/>
    <s v="Electronics"/>
    <n v="3240"/>
    <n v="2200"/>
    <n v="16200"/>
    <n v="11000"/>
    <n v="5200"/>
    <s v="Sajib Hossain"/>
    <x v="13"/>
    <x v="6"/>
    <x v="14"/>
  </r>
  <r>
    <s v="ORD-00019"/>
    <x v="17"/>
    <s v="CUS-DHA-006"/>
    <s v="R01"/>
    <s v="ST-DHA-05"/>
    <x v="14"/>
    <s v="P045"/>
    <n v="3"/>
    <n v="0.03"/>
    <n v="2671"/>
    <n v="3"/>
    <x v="10"/>
    <s v="Kids Story Book"/>
    <s v="Kids &amp; Toys"/>
    <n v="840"/>
    <n v="460"/>
    <n v="2520"/>
    <n v="1380"/>
    <n v="1140"/>
    <s v="Tania Hossain"/>
    <x v="14"/>
    <x v="4"/>
    <x v="15"/>
  </r>
  <r>
    <s v="ORD-00020"/>
    <x v="18"/>
    <s v="CUS-CTG-008"/>
    <s v="R02"/>
    <s v="ST-CTG-03"/>
    <x v="15"/>
    <s v="P004"/>
    <n v="7"/>
    <n v="0.12"/>
    <n v="30883"/>
    <n v="5"/>
    <x v="5"/>
    <s v="Smart Watch"/>
    <s v="Electronics"/>
    <n v="3870"/>
    <n v="2630"/>
    <n v="27090"/>
    <n v="18410"/>
    <n v="8680"/>
    <s v="Mim Akter"/>
    <x v="15"/>
    <x v="7"/>
    <x v="16"/>
  </r>
  <r>
    <s v="ORD-00021"/>
    <x v="19"/>
    <s v="CUS-MYM-001"/>
    <s v="R08"/>
    <s v="ST-MYM-03"/>
    <x v="11"/>
    <s v="P005"/>
    <n v="2"/>
    <n v="0.08"/>
    <n v="10562"/>
    <n v="6"/>
    <x v="16"/>
    <s v="USB-C Hub"/>
    <s v="Electronics"/>
    <n v="4890"/>
    <n v="3330"/>
    <n v="9780"/>
    <n v="6660"/>
    <n v="3120"/>
    <s v="Samiha Islam"/>
    <x v="11"/>
    <x v="2"/>
    <x v="10"/>
  </r>
  <r>
    <s v="ORD-00022"/>
    <x v="20"/>
    <s v="CUS-RAN-006"/>
    <s v="R07"/>
    <s v="ST-RAN-04"/>
    <x v="4"/>
    <s v="P042"/>
    <n v="3"/>
    <n v="0.1"/>
    <n v="6279"/>
    <n v="7"/>
    <x v="12"/>
    <s v="Toy Car Set"/>
    <s v="Kids &amp; Toys"/>
    <n v="1820"/>
    <n v="1000"/>
    <n v="5460"/>
    <n v="3000"/>
    <n v="2460"/>
    <s v="Karim Ahmed"/>
    <x v="4"/>
    <x v="0"/>
    <x v="13"/>
  </r>
  <r>
    <s v="ORD-00023"/>
    <x v="21"/>
    <s v="CUS-RAJ-006"/>
    <s v="R04"/>
    <s v="ST-RAJ-04"/>
    <x v="1"/>
    <s v="P036"/>
    <n v="2"/>
    <n v="0.03"/>
    <n v="864"/>
    <n v="4"/>
    <x v="17"/>
    <s v="Notebook Pack"/>
    <s v="Stationery"/>
    <n v="400"/>
    <n v="200"/>
    <n v="800"/>
    <n v="400"/>
    <n v="400"/>
    <s v="Samiha Ahmed"/>
    <x v="1"/>
    <x v="1"/>
    <x v="1"/>
  </r>
  <r>
    <s v="ORD-00024"/>
    <x v="22"/>
    <s v="CUS-BAR-006"/>
    <s v="R06"/>
    <s v="ST-BAR-04"/>
    <x v="8"/>
    <s v="P031"/>
    <n v="4"/>
    <n v="0.1"/>
    <n v="11827"/>
    <n v="6"/>
    <x v="16"/>
    <s v="Cricket Bat"/>
    <s v="Sports"/>
    <n v="2640"/>
    <n v="1640"/>
    <n v="10560"/>
    <n v="6560"/>
    <n v="4000"/>
    <s v="Shamim Ahmed"/>
    <x v="8"/>
    <x v="5"/>
    <x v="12"/>
  </r>
  <r>
    <s v="ORD-00025"/>
    <x v="23"/>
    <s v="CUS-DHA-014"/>
    <s v="R01"/>
    <s v="ST-DHA-02"/>
    <x v="9"/>
    <s v="P043"/>
    <n v="1"/>
    <n v="7.0000000000000007E-2"/>
    <n v="2332"/>
    <n v="2"/>
    <x v="18"/>
    <s v="Puzzle Board"/>
    <s v="Kids &amp; Toys"/>
    <n v="2200"/>
    <n v="1210"/>
    <n v="2200"/>
    <n v="1210"/>
    <n v="990"/>
    <s v="Shaila Ahmed"/>
    <x v="9"/>
    <x v="4"/>
    <x v="8"/>
  </r>
  <r>
    <s v="ORD-00026"/>
    <x v="24"/>
    <s v="CUS-KHL-022"/>
    <s v="R05"/>
    <s v="ST-KHL-03"/>
    <x v="16"/>
    <s v="P005"/>
    <n v="2"/>
    <n v="0.18"/>
    <n v="10660"/>
    <n v="4"/>
    <x v="19"/>
    <s v="USB-C Hub"/>
    <s v="Electronics"/>
    <n v="4890"/>
    <n v="3330"/>
    <n v="9780"/>
    <n v="6660"/>
    <n v="3120"/>
    <s v="Samiha Sultana"/>
    <x v="16"/>
    <x v="6"/>
    <x v="17"/>
  </r>
  <r>
    <s v="ORD-00027"/>
    <x v="25"/>
    <s v="CUS-MYM-005"/>
    <s v="R08"/>
    <s v="ST-MYM-01"/>
    <x v="3"/>
    <s v="P001"/>
    <n v="4"/>
    <n v="0.18"/>
    <n v="13997"/>
    <n v="3"/>
    <x v="20"/>
    <s v="Bluetooth Speaker"/>
    <s v="Electronics"/>
    <n v="3240"/>
    <n v="2200"/>
    <n v="12960"/>
    <n v="8800"/>
    <n v="4160"/>
    <s v="Shamim Hossain"/>
    <x v="3"/>
    <x v="2"/>
    <x v="3"/>
  </r>
  <r>
    <s v="ORD-00028"/>
    <x v="26"/>
    <s v="CUS-RAJ-006"/>
    <s v="R04"/>
    <s v="ST-RAJ-03"/>
    <x v="1"/>
    <s v="P013"/>
    <n v="3"/>
    <n v="0.1"/>
    <n v="6448"/>
    <n v="4"/>
    <x v="6"/>
    <s v="Women Kurti"/>
    <s v="Fashion"/>
    <n v="1990"/>
    <n v="1090"/>
    <n v="5970"/>
    <n v="3270"/>
    <n v="2700"/>
    <s v="Samiha Ahmed"/>
    <x v="1"/>
    <x v="1"/>
    <x v="18"/>
  </r>
  <r>
    <s v="ORD-00029"/>
    <x v="27"/>
    <s v="CUS-MYM-022"/>
    <s v="R08"/>
    <s v="ST-MYM-03"/>
    <x v="17"/>
    <s v="P025"/>
    <n v="1"/>
    <n v="0.1"/>
    <n v="1361"/>
    <n v="3"/>
    <x v="21"/>
    <s v="Perfume Spray"/>
    <s v="Beauty &amp; Personal Care"/>
    <n v="1260"/>
    <n v="730"/>
    <n v="1260"/>
    <n v="730"/>
    <n v="530"/>
    <s v="Shamim Rahman"/>
    <x v="17"/>
    <x v="2"/>
    <x v="10"/>
  </r>
  <r>
    <s v="ORD-00030"/>
    <x v="28"/>
    <s v="CUS-KHL-015"/>
    <s v="R05"/>
    <s v="ST-KHL-04"/>
    <x v="16"/>
    <s v="P005"/>
    <n v="3"/>
    <n v="0.1"/>
    <n v="15990"/>
    <n v="4"/>
    <x v="6"/>
    <s v="USB-C Hub"/>
    <s v="Electronics"/>
    <n v="4890"/>
    <n v="3330"/>
    <n v="14670"/>
    <n v="9990"/>
    <n v="4680"/>
    <s v="Imran Mia"/>
    <x v="16"/>
    <x v="6"/>
    <x v="19"/>
  </r>
  <r>
    <s v="ORD-00031"/>
    <x v="29"/>
    <s v="CUS-CTG-003"/>
    <s v="R02"/>
    <s v="ST-CTG-03"/>
    <x v="18"/>
    <s v="P010"/>
    <n v="3"/>
    <n v="0.15"/>
    <n v="10636"/>
    <n v="8"/>
    <x v="22"/>
    <s v="Table Fan"/>
    <s v="Home Appliance"/>
    <n v="3110"/>
    <n v="2180"/>
    <n v="9330"/>
    <n v="6540"/>
    <n v="2790"/>
    <s v="Shuvo Mia"/>
    <x v="18"/>
    <x v="7"/>
    <x v="16"/>
  </r>
  <r>
    <s v="ORD-00032"/>
    <x v="30"/>
    <s v="CUS-MYM-019"/>
    <s v="R08"/>
    <s v="ST-MYM-02"/>
    <x v="19"/>
    <s v="P006"/>
    <n v="6"/>
    <n v="0.08"/>
    <n v="46656"/>
    <n v="4"/>
    <x v="6"/>
    <s v="Electric Kettle"/>
    <s v="Home Appliance"/>
    <n v="7200"/>
    <n v="5040"/>
    <n v="43200"/>
    <n v="30240"/>
    <n v="12960"/>
    <s v="Hasan Sultana"/>
    <x v="19"/>
    <x v="2"/>
    <x v="20"/>
  </r>
  <r>
    <s v="ORD-00033"/>
    <x v="31"/>
    <s v="CUS-SYL-004"/>
    <s v="R03"/>
    <s v="ST-SYL-04"/>
    <x v="20"/>
    <s v="P047"/>
    <n v="8"/>
    <n v="0.05"/>
    <n v="99981"/>
    <n v="6"/>
    <x v="4"/>
    <s v="Study Table"/>
    <s v="Furniture"/>
    <n v="11680"/>
    <n v="8410"/>
    <n v="93440"/>
    <n v="67280"/>
    <n v="26160"/>
    <s v="Tania Akter"/>
    <x v="20"/>
    <x v="3"/>
    <x v="21"/>
  </r>
  <r>
    <s v="ORD-00034"/>
    <x v="32"/>
    <s v="CUS-RAN-007"/>
    <s v="R07"/>
    <s v="ST-RAN-02"/>
    <x v="21"/>
    <s v="P005"/>
    <n v="3"/>
    <n v="0.15"/>
    <n v="16870"/>
    <n v="7"/>
    <x v="23"/>
    <s v="USB-C Hub"/>
    <s v="Electronics"/>
    <n v="4890"/>
    <n v="3330"/>
    <n v="14670"/>
    <n v="9990"/>
    <n v="4680"/>
    <s v="Hasan Rahman"/>
    <x v="21"/>
    <x v="0"/>
    <x v="6"/>
  </r>
  <r>
    <s v="ORD-00035"/>
    <x v="33"/>
    <s v="CUS-BAR-009"/>
    <s v="R06"/>
    <s v="ST-BAR-05"/>
    <x v="22"/>
    <s v="P045"/>
    <n v="4"/>
    <n v="0.12"/>
    <n v="3763"/>
    <n v="2"/>
    <x v="24"/>
    <s v="Kids Story Book"/>
    <s v="Kids &amp; Toys"/>
    <n v="840"/>
    <n v="460"/>
    <n v="3360"/>
    <n v="1840"/>
    <n v="1520"/>
    <s v="Tanvir Akter"/>
    <x v="22"/>
    <x v="5"/>
    <x v="7"/>
  </r>
  <r>
    <s v="ORD-00036"/>
    <x v="9"/>
    <s v="CUS-CTG-014"/>
    <s v="R02"/>
    <s v="ST-CTG-02"/>
    <x v="23"/>
    <s v="P019"/>
    <n v="8"/>
    <n v="0"/>
    <n v="4013"/>
    <n v="3"/>
    <x v="10"/>
    <s v="Flour 2kg"/>
    <s v="Grocery"/>
    <n v="440"/>
    <n v="340"/>
    <n v="3520"/>
    <n v="2720"/>
    <n v="800"/>
    <s v="Ayesha Sultana"/>
    <x v="23"/>
    <x v="7"/>
    <x v="22"/>
  </r>
  <r>
    <s v="ORD-00037"/>
    <x v="34"/>
    <s v="CUS-KHL-018"/>
    <s v="R05"/>
    <s v="ST-KHL-03"/>
    <x v="24"/>
    <s v="P005"/>
    <n v="3"/>
    <n v="0.15"/>
    <n v="15990"/>
    <n v="4"/>
    <x v="3"/>
    <s v="USB-C Hub"/>
    <s v="Electronics"/>
    <n v="4890"/>
    <n v="3330"/>
    <n v="14670"/>
    <n v="9990"/>
    <n v="4680"/>
    <s v="Ayesha Sultana"/>
    <x v="24"/>
    <x v="6"/>
    <x v="17"/>
  </r>
  <r>
    <s v="ORD-00038"/>
    <x v="35"/>
    <s v="CUS-SYL-020"/>
    <s v="R03"/>
    <s v="ST-SYL-05"/>
    <x v="25"/>
    <s v="P028"/>
    <n v="2"/>
    <n v="7.0000000000000007E-2"/>
    <n v="6891"/>
    <n v="3"/>
    <x v="25"/>
    <s v="Ladies Sandal"/>
    <s v="Footwear"/>
    <n v="3220"/>
    <n v="1930"/>
    <n v="6440"/>
    <n v="3860"/>
    <n v="2580"/>
    <s v="Shaila Uddin"/>
    <x v="25"/>
    <x v="3"/>
    <x v="4"/>
  </r>
  <r>
    <s v="ORD-00039"/>
    <x v="36"/>
    <s v="CUS-RAJ-002"/>
    <s v="R04"/>
    <s v="ST-RAJ-04"/>
    <x v="26"/>
    <s v="P043"/>
    <n v="2"/>
    <n v="7.0000000000000007E-2"/>
    <n v="4752"/>
    <n v="3"/>
    <x v="25"/>
    <s v="Puzzle Board"/>
    <s v="Kids &amp; Toys"/>
    <n v="2200"/>
    <n v="1210"/>
    <n v="4400"/>
    <n v="2420"/>
    <n v="1980"/>
    <s v="Mehedi Hossain"/>
    <x v="26"/>
    <x v="1"/>
    <x v="1"/>
  </r>
  <r>
    <s v="ORD-00040"/>
    <x v="37"/>
    <s v="CUS-CTG-008"/>
    <s v="R02"/>
    <s v="ST-CTG-02"/>
    <x v="15"/>
    <s v="P049"/>
    <n v="5"/>
    <n v="7.0000000000000007E-2"/>
    <n v="24111"/>
    <n v="10"/>
    <x v="26"/>
    <s v="Bookshelf"/>
    <s v="Furniture"/>
    <n v="4230"/>
    <n v="3050"/>
    <n v="21150"/>
    <n v="15250"/>
    <n v="5900"/>
    <s v="Mim Akter"/>
    <x v="15"/>
    <x v="7"/>
    <x v="22"/>
  </r>
  <r>
    <s v="ORD-00041"/>
    <x v="38"/>
    <s v="CUS-RAN-020"/>
    <s v="R07"/>
    <s v="ST-RAN-01"/>
    <x v="27"/>
    <s v="P011"/>
    <n v="4"/>
    <n v="0.12"/>
    <n v="8602"/>
    <n v="8"/>
    <x v="27"/>
    <s v="Cotton T-Shirt"/>
    <s v="Fashion"/>
    <n v="1870"/>
    <n v="1030"/>
    <n v="7480"/>
    <n v="4120"/>
    <n v="3360"/>
    <s v="Shuvo Uddin"/>
    <x v="27"/>
    <x v="0"/>
    <x v="0"/>
  </r>
  <r>
    <s v="ORD-00042"/>
    <x v="39"/>
    <s v="CUS-SYL-003"/>
    <s v="R03"/>
    <s v="ST-SYL-03"/>
    <x v="25"/>
    <s v="P015"/>
    <n v="4"/>
    <n v="0.12"/>
    <n v="11214"/>
    <n v="1"/>
    <x v="1"/>
    <s v="Leather Belt"/>
    <s v="Fashion"/>
    <n v="2620"/>
    <n v="1440"/>
    <n v="10480"/>
    <n v="5760"/>
    <n v="4720"/>
    <s v="Farhana Khan"/>
    <x v="25"/>
    <x v="3"/>
    <x v="23"/>
  </r>
  <r>
    <s v="ORD-00043"/>
    <x v="40"/>
    <s v="CUS-DHA-006"/>
    <s v="R01"/>
    <s v="ST-DHA-02"/>
    <x v="28"/>
    <s v="P039"/>
    <n v="1"/>
    <n v="0"/>
    <n v="1102"/>
    <n v="4"/>
    <x v="17"/>
    <s v="Marker Set"/>
    <s v="Stationery"/>
    <n v="1040"/>
    <n v="520"/>
    <n v="1040"/>
    <n v="520"/>
    <n v="520"/>
    <s v="Tania Hossain"/>
    <x v="28"/>
    <x v="4"/>
    <x v="8"/>
  </r>
  <r>
    <s v="ORD-00044"/>
    <x v="41"/>
    <s v="CUS-KHL-012"/>
    <s v="R05"/>
    <s v="ST-KHL-04"/>
    <x v="29"/>
    <s v="P010"/>
    <n v="4"/>
    <n v="0.1"/>
    <n v="13560"/>
    <n v="4"/>
    <x v="6"/>
    <s v="Table Fan"/>
    <s v="Home Appliance"/>
    <n v="3110"/>
    <n v="2180"/>
    <n v="12440"/>
    <n v="8720"/>
    <n v="3720"/>
    <s v="Nayeem Chowdhury"/>
    <x v="29"/>
    <x v="6"/>
    <x v="19"/>
  </r>
  <r>
    <s v="ORD-00045"/>
    <x v="42"/>
    <s v="CUS-BAR-016"/>
    <s v="R06"/>
    <s v="ST-BAR-05"/>
    <x v="22"/>
    <s v="P004"/>
    <n v="3"/>
    <n v="0.12"/>
    <n v="13003"/>
    <n v="3"/>
    <x v="21"/>
    <s v="Smart Watch"/>
    <s v="Electronics"/>
    <n v="3870"/>
    <n v="2630"/>
    <n v="11610"/>
    <n v="7890"/>
    <n v="3720"/>
    <s v="Sajib Islam"/>
    <x v="22"/>
    <x v="5"/>
    <x v="7"/>
  </r>
  <r>
    <s v="ORD-00046"/>
    <x v="24"/>
    <s v="CUS-KHL-024"/>
    <s v="R05"/>
    <s v="ST-KHL-01"/>
    <x v="16"/>
    <s v="P001"/>
    <n v="1"/>
    <n v="0.18"/>
    <n v="3532"/>
    <n v="6"/>
    <x v="11"/>
    <s v="Bluetooth Speaker"/>
    <s v="Electronics"/>
    <n v="3240"/>
    <n v="2200"/>
    <n v="3240"/>
    <n v="2200"/>
    <n v="1040"/>
    <s v="Ayesha Islam"/>
    <x v="16"/>
    <x v="6"/>
    <x v="24"/>
  </r>
  <r>
    <s v="ORD-00047"/>
    <x v="43"/>
    <s v="CUS-RAJ-008"/>
    <s v="R04"/>
    <s v="ST-RAJ-02"/>
    <x v="30"/>
    <s v="P004"/>
    <n v="3"/>
    <n v="0.08"/>
    <n v="12539"/>
    <n v="3"/>
    <x v="25"/>
    <s v="Smart Watch"/>
    <s v="Electronics"/>
    <n v="3870"/>
    <n v="2630"/>
    <n v="11610"/>
    <n v="7890"/>
    <n v="3720"/>
    <s v="Farhana Mia"/>
    <x v="30"/>
    <x v="1"/>
    <x v="2"/>
  </r>
  <r>
    <s v="ORD-00048"/>
    <x v="44"/>
    <s v="CUS-SYL-020"/>
    <s v="R03"/>
    <s v="ST-SYL-01"/>
    <x v="20"/>
    <s v="P005"/>
    <n v="4"/>
    <n v="0.12"/>
    <n v="20929"/>
    <n v="3"/>
    <x v="21"/>
    <s v="USB-C Hub"/>
    <s v="Electronics"/>
    <n v="4890"/>
    <n v="3330"/>
    <n v="19560"/>
    <n v="13320"/>
    <n v="6240"/>
    <s v="Shaila Uddin"/>
    <x v="20"/>
    <x v="3"/>
    <x v="25"/>
  </r>
  <r>
    <s v="ORD-00049"/>
    <x v="45"/>
    <s v="CUS-RAN-013"/>
    <s v="R07"/>
    <s v="ST-RAN-03"/>
    <x v="4"/>
    <s v="P005"/>
    <n v="4"/>
    <n v="0.18"/>
    <n v="22494"/>
    <n v="5"/>
    <x v="4"/>
    <s v="USB-C Hub"/>
    <s v="Electronics"/>
    <n v="4890"/>
    <n v="3330"/>
    <n v="19560"/>
    <n v="13320"/>
    <n v="6240"/>
    <s v="Arif Rahman"/>
    <x v="4"/>
    <x v="0"/>
    <x v="26"/>
  </r>
  <r>
    <s v="ORD-00050"/>
    <x v="46"/>
    <s v="CUS-BAR-018"/>
    <s v="R06"/>
    <s v="ST-BAR-05"/>
    <x v="12"/>
    <s v="P006"/>
    <n v="3"/>
    <n v="0.12"/>
    <n v="24192"/>
    <n v="8"/>
    <x v="27"/>
    <s v="Electric Kettle"/>
    <s v="Home Appliance"/>
    <n v="7200"/>
    <n v="5040"/>
    <n v="21600"/>
    <n v="15120"/>
    <n v="6480"/>
    <s v="Samiha Ahmed"/>
    <x v="12"/>
    <x v="5"/>
    <x v="7"/>
  </r>
  <r>
    <s v="ORD-00051"/>
    <x v="47"/>
    <s v="CUS-BAR-009"/>
    <s v="R06"/>
    <s v="ST-BAR-03"/>
    <x v="10"/>
    <s v="P030"/>
    <n v="1"/>
    <n v="0.12"/>
    <n v="2094"/>
    <n v="5"/>
    <x v="5"/>
    <s v="Casual Loafer"/>
    <s v="Footwear"/>
    <n v="1870"/>
    <n v="1120"/>
    <n v="1870"/>
    <n v="1120"/>
    <n v="750"/>
    <s v="Tanvir Akter"/>
    <x v="10"/>
    <x v="5"/>
    <x v="27"/>
  </r>
  <r>
    <s v="ORD-00052"/>
    <x v="48"/>
    <s v="CUS-RAN-022"/>
    <s v="R07"/>
    <s v="ST-RAN-03"/>
    <x v="0"/>
    <s v="P003"/>
    <n v="3"/>
    <n v="0.12"/>
    <n v="9798"/>
    <n v="2"/>
    <x v="24"/>
    <s v="Power Bank"/>
    <s v="Electronics"/>
    <n v="2840"/>
    <n v="1930"/>
    <n v="8520"/>
    <n v="5790"/>
    <n v="2730"/>
    <s v="Shakib Islam"/>
    <x v="0"/>
    <x v="0"/>
    <x v="26"/>
  </r>
  <r>
    <s v="ORD-00053"/>
    <x v="49"/>
    <s v="CUS-KHL-014"/>
    <s v="R05"/>
    <s v="ST-KHL-04"/>
    <x v="24"/>
    <s v="P032"/>
    <n v="2"/>
    <n v="0.05"/>
    <n v="8110"/>
    <n v="2"/>
    <x v="15"/>
    <s v="Football"/>
    <s v="Sports"/>
    <n v="3720"/>
    <n v="2310"/>
    <n v="7440"/>
    <n v="4620"/>
    <n v="2820"/>
    <s v="Imran Uddin"/>
    <x v="24"/>
    <x v="6"/>
    <x v="19"/>
  </r>
  <r>
    <s v="ORD-00054"/>
    <x v="50"/>
    <s v="CUS-MYM-022"/>
    <s v="R08"/>
    <s v="ST-MYM-03"/>
    <x v="31"/>
    <s v="P006"/>
    <n v="5"/>
    <n v="0.18"/>
    <n v="38880"/>
    <n v="4"/>
    <x v="19"/>
    <s v="Electric Kettle"/>
    <s v="Home Appliance"/>
    <n v="7200"/>
    <n v="5040"/>
    <n v="36000"/>
    <n v="25200"/>
    <n v="10800"/>
    <s v="Shamim Rahman"/>
    <x v="31"/>
    <x v="2"/>
    <x v="10"/>
  </r>
  <r>
    <s v="ORD-00055"/>
    <x v="51"/>
    <s v="CUS-SYL-010"/>
    <s v="R03"/>
    <s v="ST-SYL-01"/>
    <x v="32"/>
    <s v="P003"/>
    <n v="4"/>
    <n v="0.18"/>
    <n v="12155"/>
    <n v="3"/>
    <x v="20"/>
    <s v="Power Bank"/>
    <s v="Electronics"/>
    <n v="2840"/>
    <n v="1930"/>
    <n v="11360"/>
    <n v="7720"/>
    <n v="3640"/>
    <s v="Rahim Akter"/>
    <x v="32"/>
    <x v="3"/>
    <x v="25"/>
  </r>
  <r>
    <s v="ORD-00056"/>
    <x v="52"/>
    <s v="CUS-BAR-021"/>
    <s v="R06"/>
    <s v="ST-BAR-01"/>
    <x v="8"/>
    <s v="P008"/>
    <n v="2"/>
    <n v="0.12"/>
    <n v="5443"/>
    <n v="6"/>
    <x v="28"/>
    <s v="Blender Machine"/>
    <s v="Home Appliance"/>
    <n v="2430"/>
    <n v="1700"/>
    <n v="4860"/>
    <n v="3400"/>
    <n v="1460"/>
    <s v="Rafi Khan"/>
    <x v="8"/>
    <x v="5"/>
    <x v="9"/>
  </r>
  <r>
    <s v="ORD-00057"/>
    <x v="53"/>
    <s v="CUS-BAR-009"/>
    <s v="R06"/>
    <s v="ST-BAR-05"/>
    <x v="33"/>
    <s v="P012"/>
    <n v="2"/>
    <n v="0.12"/>
    <n v="4077"/>
    <n v="3"/>
    <x v="21"/>
    <s v="Formal Shirt"/>
    <s v="Fashion"/>
    <n v="1820"/>
    <n v="1000"/>
    <n v="3640"/>
    <n v="2000"/>
    <n v="1640"/>
    <s v="Tanvir Akter"/>
    <x v="33"/>
    <x v="5"/>
    <x v="7"/>
  </r>
  <r>
    <s v="ORD-00058"/>
    <x v="54"/>
    <s v="CUS-MYM-007"/>
    <s v="R08"/>
    <s v="ST-MYM-05"/>
    <x v="17"/>
    <s v="P041"/>
    <n v="3"/>
    <n v="0.1"/>
    <n v="2722"/>
    <n v="3"/>
    <x v="21"/>
    <s v="Building Blocks"/>
    <s v="Kids &amp; Toys"/>
    <n v="840"/>
    <n v="460"/>
    <n v="2520"/>
    <n v="1380"/>
    <n v="1140"/>
    <s v="Shakib Mia"/>
    <x v="17"/>
    <x v="2"/>
    <x v="28"/>
  </r>
  <r>
    <s v="ORD-00059"/>
    <x v="55"/>
    <s v="CUS-DHA-005"/>
    <s v="R01"/>
    <s v="ST-DHA-02"/>
    <x v="28"/>
    <s v="P008"/>
    <n v="3"/>
    <n v="0.1"/>
    <n v="7727"/>
    <n v="4"/>
    <x v="6"/>
    <s v="Blender Machine"/>
    <s v="Home Appliance"/>
    <n v="2430"/>
    <n v="1700"/>
    <n v="7290"/>
    <n v="5100"/>
    <n v="2190"/>
    <s v="Imran Uddin"/>
    <x v="28"/>
    <x v="4"/>
    <x v="8"/>
  </r>
  <r>
    <s v="ORD-00060"/>
    <x v="56"/>
    <s v="CUS-SYL-011"/>
    <s v="R03"/>
    <s v="ST-SYL-01"/>
    <x v="34"/>
    <s v="P012"/>
    <n v="4"/>
    <n v="0.05"/>
    <n v="7790"/>
    <n v="1"/>
    <x v="7"/>
    <s v="Formal Shirt"/>
    <s v="Fashion"/>
    <n v="1820"/>
    <n v="1000"/>
    <n v="7280"/>
    <n v="4000"/>
    <n v="3280"/>
    <s v="Shamim Akter"/>
    <x v="34"/>
    <x v="3"/>
    <x v="25"/>
  </r>
  <r>
    <s v="ORD-00061"/>
    <x v="57"/>
    <s v="CUS-SYL-016"/>
    <s v="R03"/>
    <s v="ST-SYL-01"/>
    <x v="20"/>
    <s v="P023"/>
    <n v="3"/>
    <n v="0.1"/>
    <n v="3724"/>
    <n v="5"/>
    <x v="29"/>
    <s v="Body Lotion"/>
    <s v="Beauty &amp; Personal Care"/>
    <n v="1160"/>
    <n v="670"/>
    <n v="3480"/>
    <n v="2010"/>
    <n v="1470"/>
    <s v="Hasan Akter"/>
    <x v="20"/>
    <x v="3"/>
    <x v="25"/>
  </r>
  <r>
    <s v="ORD-00062"/>
    <x v="58"/>
    <s v="CUS-BAR-001"/>
    <s v="R06"/>
    <s v="ST-BAR-03"/>
    <x v="12"/>
    <s v="P004"/>
    <n v="3"/>
    <n v="0.1"/>
    <n v="13003"/>
    <n v="5"/>
    <x v="29"/>
    <s v="Smart Watch"/>
    <s v="Electronics"/>
    <n v="3870"/>
    <n v="2630"/>
    <n v="11610"/>
    <n v="7890"/>
    <n v="3720"/>
    <s v="Shuvo Sultana"/>
    <x v="12"/>
    <x v="5"/>
    <x v="27"/>
  </r>
  <r>
    <s v="ORD-00063"/>
    <x v="59"/>
    <s v="CUS-RAJ-023"/>
    <s v="R04"/>
    <s v="ST-RAJ-03"/>
    <x v="26"/>
    <s v="P003"/>
    <n v="3"/>
    <n v="0.12"/>
    <n v="9202"/>
    <n v="6"/>
    <x v="28"/>
    <s v="Power Bank"/>
    <s v="Electronics"/>
    <n v="2840"/>
    <n v="1930"/>
    <n v="8520"/>
    <n v="5790"/>
    <n v="2730"/>
    <s v="Hasan Ahmed"/>
    <x v="26"/>
    <x v="1"/>
    <x v="18"/>
  </r>
  <r>
    <s v="ORD-00064"/>
    <x v="60"/>
    <s v="CUS-KHL-010"/>
    <s v="R05"/>
    <s v="ST-KHL-04"/>
    <x v="13"/>
    <s v="P016"/>
    <n v="4"/>
    <n v="0.02"/>
    <n v="4840"/>
    <n v="6"/>
    <x v="4"/>
    <s v="Premium Rice 5kg"/>
    <s v="Grocery"/>
    <n v="1110"/>
    <n v="870"/>
    <n v="4440"/>
    <n v="3480"/>
    <n v="960"/>
    <s v="Nabila Islam"/>
    <x v="13"/>
    <x v="6"/>
    <x v="19"/>
  </r>
  <r>
    <s v="ORD-00065"/>
    <x v="61"/>
    <s v="CUS-BAR-016"/>
    <s v="R06"/>
    <s v="ST-BAR-03"/>
    <x v="8"/>
    <s v="P003"/>
    <n v="1"/>
    <n v="0.1"/>
    <n v="3181"/>
    <n v="5"/>
    <x v="29"/>
    <s v="Power Bank"/>
    <s v="Electronics"/>
    <n v="2840"/>
    <n v="1930"/>
    <n v="2840"/>
    <n v="1930"/>
    <n v="910"/>
    <s v="Sajib Islam"/>
    <x v="8"/>
    <x v="5"/>
    <x v="27"/>
  </r>
  <r>
    <s v="ORD-00066"/>
    <x v="62"/>
    <s v="CUS-DHA-019"/>
    <s v="R01"/>
    <s v="ST-DHA-05"/>
    <x v="28"/>
    <s v="P003"/>
    <n v="2"/>
    <n v="0.12"/>
    <n v="6021"/>
    <n v="1"/>
    <x v="1"/>
    <s v="Power Bank"/>
    <s v="Electronics"/>
    <n v="2840"/>
    <n v="1930"/>
    <n v="5680"/>
    <n v="3860"/>
    <n v="1820"/>
    <s v="Sadia Islam"/>
    <x v="28"/>
    <x v="4"/>
    <x v="15"/>
  </r>
  <r>
    <s v="ORD-00067"/>
    <x v="36"/>
    <s v="CUS-DHA-020"/>
    <s v="R01"/>
    <s v="ST-DHA-01"/>
    <x v="35"/>
    <s v="P002"/>
    <n v="1"/>
    <n v="0.08"/>
    <n v="3540"/>
    <n v="1"/>
    <x v="13"/>
    <s v="Wireless Mouse"/>
    <s v="Electronics"/>
    <n v="3340"/>
    <n v="2270"/>
    <n v="3340"/>
    <n v="2270"/>
    <n v="1070"/>
    <s v="Tanjim Ahmed"/>
    <x v="35"/>
    <x v="4"/>
    <x v="29"/>
  </r>
  <r>
    <s v="ORD-00068"/>
    <x v="63"/>
    <s v="CUS-KHL-016"/>
    <s v="R05"/>
    <s v="ST-KHL-02"/>
    <x v="36"/>
    <s v="P029"/>
    <n v="2"/>
    <n v="0.03"/>
    <n v="5842"/>
    <n v="4"/>
    <x v="17"/>
    <s v="Kids Sneaker"/>
    <s v="Footwear"/>
    <n v="2680"/>
    <n v="1610"/>
    <n v="5360"/>
    <n v="3220"/>
    <n v="2140"/>
    <s v="Ayesha Akter"/>
    <x v="36"/>
    <x v="6"/>
    <x v="14"/>
  </r>
  <r>
    <s v="ORD-00069"/>
    <x v="64"/>
    <s v="CUS-KHL-020"/>
    <s v="R05"/>
    <s v="ST-KHL-05"/>
    <x v="13"/>
    <s v="P003"/>
    <n v="5"/>
    <n v="0.08"/>
    <n v="15478"/>
    <n v="2"/>
    <x v="18"/>
    <s v="Power Bank"/>
    <s v="Electronics"/>
    <n v="2840"/>
    <n v="1930"/>
    <n v="14200"/>
    <n v="9650"/>
    <n v="4550"/>
    <s v="Mim Chowdhury"/>
    <x v="13"/>
    <x v="6"/>
    <x v="30"/>
  </r>
  <r>
    <s v="ORD-00070"/>
    <x v="65"/>
    <s v="CUS-MYM-007"/>
    <s v="R08"/>
    <s v="ST-MYM-05"/>
    <x v="11"/>
    <s v="P035"/>
    <n v="2"/>
    <n v="0.1"/>
    <n v="2398"/>
    <n v="7"/>
    <x v="12"/>
    <s v="Dumbbell Set"/>
    <s v="Sports"/>
    <n v="1110"/>
    <n v="690"/>
    <n v="2220"/>
    <n v="1380"/>
    <n v="840"/>
    <s v="Shakib Mia"/>
    <x v="11"/>
    <x v="2"/>
    <x v="28"/>
  </r>
  <r>
    <s v="ORD-00071"/>
    <x v="66"/>
    <s v="CUS-KHL-006"/>
    <s v="R05"/>
    <s v="ST-KHL-01"/>
    <x v="29"/>
    <s v="P014"/>
    <n v="4"/>
    <n v="0.1"/>
    <n v="3837"/>
    <n v="3"/>
    <x v="21"/>
    <s v="Denim Jeans"/>
    <s v="Fashion"/>
    <n v="880"/>
    <n v="480"/>
    <n v="3520"/>
    <n v="1920"/>
    <n v="1600"/>
    <s v="Sadia Ahmed"/>
    <x v="29"/>
    <x v="6"/>
    <x v="24"/>
  </r>
  <r>
    <s v="ORD-00072"/>
    <x v="12"/>
    <s v="CUS-CTG-004"/>
    <s v="R02"/>
    <s v="ST-CTG-05"/>
    <x v="37"/>
    <s v="P014"/>
    <n v="4"/>
    <n v="0.03"/>
    <n v="4013"/>
    <n v="5"/>
    <x v="19"/>
    <s v="Denim Jeans"/>
    <s v="Fashion"/>
    <n v="880"/>
    <n v="480"/>
    <n v="3520"/>
    <n v="1920"/>
    <n v="1600"/>
    <s v="Shaila Mia"/>
    <x v="37"/>
    <x v="7"/>
    <x v="31"/>
  </r>
  <r>
    <s v="ORD-00073"/>
    <x v="67"/>
    <s v="CUS-KHL-021"/>
    <s v="R05"/>
    <s v="ST-KHL-02"/>
    <x v="24"/>
    <s v="P050"/>
    <n v="2"/>
    <n v="0.03"/>
    <n v="12797"/>
    <n v="6"/>
    <x v="4"/>
    <s v="Bedside Table"/>
    <s v="Furniture"/>
    <n v="5870"/>
    <n v="4230"/>
    <n v="11740"/>
    <n v="8460"/>
    <n v="3280"/>
    <s v="Jannat Sultana"/>
    <x v="24"/>
    <x v="6"/>
    <x v="14"/>
  </r>
  <r>
    <s v="ORD-00074"/>
    <x v="26"/>
    <s v="CUS-DHA-010"/>
    <s v="R01"/>
    <s v="ST-DHA-03"/>
    <x v="35"/>
    <s v="P007"/>
    <n v="1"/>
    <n v="0.08"/>
    <n v="7876"/>
    <n v="5"/>
    <x v="29"/>
    <s v="Rice Cooker"/>
    <s v="Home Appliance"/>
    <n v="7430"/>
    <n v="5200"/>
    <n v="7430"/>
    <n v="5200"/>
    <n v="2230"/>
    <s v="Shamim Khan"/>
    <x v="35"/>
    <x v="4"/>
    <x v="5"/>
  </r>
  <r>
    <s v="ORD-00075"/>
    <x v="68"/>
    <s v="CUS-SYL-022"/>
    <s v="R03"/>
    <s v="ST-SYL-02"/>
    <x v="38"/>
    <s v="P008"/>
    <n v="9"/>
    <n v="0.08"/>
    <n v="23401"/>
    <n v="4"/>
    <x v="6"/>
    <s v="Blender Machine"/>
    <s v="Home Appliance"/>
    <n v="2430"/>
    <n v="1700"/>
    <n v="21870"/>
    <n v="15300"/>
    <n v="6570"/>
    <s v="Samiha Ahmed"/>
    <x v="38"/>
    <x v="3"/>
    <x v="32"/>
  </r>
  <r>
    <s v="ORD-00076"/>
    <x v="69"/>
    <s v="CUS-CTG-013"/>
    <s v="R02"/>
    <s v="ST-CTG-04"/>
    <x v="39"/>
    <s v="P005"/>
    <n v="4"/>
    <n v="0.15"/>
    <n v="22298"/>
    <n v="6"/>
    <x v="28"/>
    <s v="USB-C Hub"/>
    <s v="Electronics"/>
    <n v="4890"/>
    <n v="3330"/>
    <n v="19560"/>
    <n v="13320"/>
    <n v="6240"/>
    <s v="Tanjim Akter"/>
    <x v="39"/>
    <x v="7"/>
    <x v="33"/>
  </r>
  <r>
    <s v="ORD-00077"/>
    <x v="70"/>
    <s v="CUS-RAN-021"/>
    <s v="R07"/>
    <s v="ST-RAN-02"/>
    <x v="7"/>
    <s v="P003"/>
    <n v="10"/>
    <n v="0.08"/>
    <n v="32660"/>
    <n v="4"/>
    <x v="6"/>
    <s v="Power Bank"/>
    <s v="Electronics"/>
    <n v="2840"/>
    <n v="1930"/>
    <n v="28400"/>
    <n v="19300"/>
    <n v="9100"/>
    <s v="Mim Sultana"/>
    <x v="7"/>
    <x v="0"/>
    <x v="6"/>
  </r>
  <r>
    <s v="ORD-00078"/>
    <x v="71"/>
    <s v="CUS-MYM-006"/>
    <s v="R08"/>
    <s v="ST-MYM-05"/>
    <x v="19"/>
    <s v="P035"/>
    <n v="5"/>
    <n v="0.05"/>
    <n v="5994"/>
    <n v="5"/>
    <x v="19"/>
    <s v="Dumbbell Set"/>
    <s v="Sports"/>
    <n v="1110"/>
    <n v="690"/>
    <n v="5550"/>
    <n v="3450"/>
    <n v="2100"/>
    <s v="Mim Ahmed"/>
    <x v="19"/>
    <x v="2"/>
    <x v="28"/>
  </r>
  <r>
    <s v="ORD-00079"/>
    <x v="72"/>
    <s v="CUS-MYM-016"/>
    <s v="R08"/>
    <s v="ST-MYM-01"/>
    <x v="19"/>
    <s v="P011"/>
    <n v="3"/>
    <n v="0.03"/>
    <n v="6059"/>
    <n v="3"/>
    <x v="10"/>
    <s v="Cotton T-Shirt"/>
    <s v="Fashion"/>
    <n v="1870"/>
    <n v="1030"/>
    <n v="5610"/>
    <n v="3090"/>
    <n v="2520"/>
    <s v="Rasel Uddin"/>
    <x v="19"/>
    <x v="2"/>
    <x v="3"/>
  </r>
  <r>
    <s v="ORD-00080"/>
    <x v="73"/>
    <s v="CUS-RAJ-022"/>
    <s v="R04"/>
    <s v="ST-RAJ-03"/>
    <x v="40"/>
    <s v="P016"/>
    <n v="4"/>
    <n v="0.02"/>
    <n v="4795"/>
    <n v="1"/>
    <x v="7"/>
    <s v="Premium Rice 5kg"/>
    <s v="Grocery"/>
    <n v="1110"/>
    <n v="870"/>
    <n v="4440"/>
    <n v="3480"/>
    <n v="960"/>
    <s v="Mehedi Khan"/>
    <x v="40"/>
    <x v="1"/>
    <x v="18"/>
  </r>
  <r>
    <s v="ORD-00081"/>
    <x v="74"/>
    <s v="CUS-MYM-012"/>
    <s v="R08"/>
    <s v="ST-MYM-04"/>
    <x v="11"/>
    <s v="P039"/>
    <n v="1"/>
    <n v="0.02"/>
    <n v="1123"/>
    <n v="2"/>
    <x v="15"/>
    <s v="Marker Set"/>
    <s v="Stationery"/>
    <n v="1040"/>
    <n v="520"/>
    <n v="1040"/>
    <n v="520"/>
    <n v="520"/>
    <s v="Nabila Khan"/>
    <x v="11"/>
    <x v="2"/>
    <x v="34"/>
  </r>
  <r>
    <s v="ORD-00082"/>
    <x v="75"/>
    <s v="CUS-MYM-006"/>
    <s v="R08"/>
    <s v="ST-MYM-01"/>
    <x v="19"/>
    <s v="P007"/>
    <n v="8"/>
    <n v="0.18"/>
    <n v="64195"/>
    <n v="6"/>
    <x v="11"/>
    <s v="Rice Cooker"/>
    <s v="Home Appliance"/>
    <n v="7430"/>
    <n v="5200"/>
    <n v="59440"/>
    <n v="41600"/>
    <n v="17840"/>
    <s v="Mim Ahmed"/>
    <x v="19"/>
    <x v="2"/>
    <x v="3"/>
  </r>
  <r>
    <s v="ORD-00083"/>
    <x v="76"/>
    <s v="CUS-RAJ-018"/>
    <s v="R04"/>
    <s v="ST-RAJ-04"/>
    <x v="2"/>
    <s v="P037"/>
    <n v="4"/>
    <n v="0.05"/>
    <n v="1469"/>
    <n v="6"/>
    <x v="4"/>
    <s v="Ball Pen Box"/>
    <s v="Stationery"/>
    <n v="340"/>
    <n v="170"/>
    <n v="1360"/>
    <n v="680"/>
    <n v="680"/>
    <s v="Samiha Mia"/>
    <x v="2"/>
    <x v="1"/>
    <x v="1"/>
  </r>
  <r>
    <s v="ORD-00084"/>
    <x v="77"/>
    <s v="CUS-BAR-004"/>
    <s v="R06"/>
    <s v="ST-BAR-04"/>
    <x v="10"/>
    <s v="P026"/>
    <n v="2"/>
    <n v="0.12"/>
    <n v="7862"/>
    <n v="6"/>
    <x v="28"/>
    <s v="Running Shoe"/>
    <s v="Footwear"/>
    <n v="3510"/>
    <n v="2110"/>
    <n v="7020"/>
    <n v="4220"/>
    <n v="2800"/>
    <s v="Rasel Uddin"/>
    <x v="10"/>
    <x v="5"/>
    <x v="12"/>
  </r>
  <r>
    <s v="ORD-00085"/>
    <x v="78"/>
    <s v="CUS-DHA-003"/>
    <s v="R01"/>
    <s v="ST-DHA-05"/>
    <x v="9"/>
    <s v="P024"/>
    <n v="3"/>
    <n v="0.1"/>
    <n v="4484"/>
    <n v="4"/>
    <x v="6"/>
    <s v="Toothpaste Twin Pack"/>
    <s v="Beauty &amp; Personal Care"/>
    <n v="1410"/>
    <n v="820"/>
    <n v="4230"/>
    <n v="2460"/>
    <n v="1770"/>
    <s v="Tania Chowdhury"/>
    <x v="9"/>
    <x v="4"/>
    <x v="15"/>
  </r>
  <r>
    <s v="ORD-00086"/>
    <x v="79"/>
    <s v="CUS-DHA-008"/>
    <s v="R01"/>
    <s v="ST-DHA-04"/>
    <x v="14"/>
    <s v="P019"/>
    <n v="5"/>
    <n v="0.05"/>
    <n v="2332"/>
    <n v="1"/>
    <x v="7"/>
    <s v="Flour 2kg"/>
    <s v="Grocery"/>
    <n v="440"/>
    <n v="340"/>
    <n v="2200"/>
    <n v="1700"/>
    <n v="500"/>
    <s v="Karim Islam"/>
    <x v="14"/>
    <x v="4"/>
    <x v="35"/>
  </r>
  <r>
    <s v="ORD-00087"/>
    <x v="80"/>
    <s v="CUS-CTG-004"/>
    <s v="R02"/>
    <s v="ST-CTG-02"/>
    <x v="41"/>
    <s v="P008"/>
    <n v="3"/>
    <n v="0.12"/>
    <n v="8311"/>
    <n v="7"/>
    <x v="12"/>
    <s v="Blender Machine"/>
    <s v="Home Appliance"/>
    <n v="2430"/>
    <n v="1700"/>
    <n v="7290"/>
    <n v="5100"/>
    <n v="2190"/>
    <s v="Shaila Mia"/>
    <x v="41"/>
    <x v="7"/>
    <x v="22"/>
  </r>
  <r>
    <s v="ORD-00088"/>
    <x v="43"/>
    <s v="CUS-SYL-016"/>
    <s v="R03"/>
    <s v="ST-SYL-02"/>
    <x v="25"/>
    <s v="P032"/>
    <n v="1"/>
    <n v="0.12"/>
    <n v="3980"/>
    <n v="2"/>
    <x v="24"/>
    <s v="Football"/>
    <s v="Sports"/>
    <n v="3720"/>
    <n v="2310"/>
    <n v="3720"/>
    <n v="2310"/>
    <n v="1410"/>
    <s v="Hasan Akter"/>
    <x v="25"/>
    <x v="3"/>
    <x v="32"/>
  </r>
  <r>
    <s v="ORD-00089"/>
    <x v="81"/>
    <s v="CUS-RAJ-007"/>
    <s v="R04"/>
    <s v="ST-RAJ-01"/>
    <x v="2"/>
    <s v="P004"/>
    <n v="4"/>
    <n v="0.08"/>
    <n v="16718"/>
    <n v="4"/>
    <x v="6"/>
    <s v="Smart Watch"/>
    <s v="Electronics"/>
    <n v="3870"/>
    <n v="2630"/>
    <n v="15480"/>
    <n v="10520"/>
    <n v="4960"/>
    <s v="Nabila Khan"/>
    <x v="2"/>
    <x v="1"/>
    <x v="36"/>
  </r>
  <r>
    <s v="ORD-00090"/>
    <x v="82"/>
    <s v="CUS-CTG-025"/>
    <s v="R02"/>
    <s v="ST-CTG-04"/>
    <x v="39"/>
    <s v="P026"/>
    <n v="1"/>
    <n v="0.1"/>
    <n v="4001"/>
    <n v="4"/>
    <x v="6"/>
    <s v="Running Shoe"/>
    <s v="Footwear"/>
    <n v="3510"/>
    <n v="2110"/>
    <n v="3510"/>
    <n v="2110"/>
    <n v="1400"/>
    <s v="Sadia Chowdhury"/>
    <x v="39"/>
    <x v="7"/>
    <x v="33"/>
  </r>
  <r>
    <s v="ORD-00091"/>
    <x v="83"/>
    <s v="CUS-DHA-017"/>
    <s v="R01"/>
    <s v="ST-DHA-01"/>
    <x v="9"/>
    <s v="P046"/>
    <n v="6"/>
    <n v="0.05"/>
    <n v="27857"/>
    <n v="4"/>
    <x v="20"/>
    <s v="Office Chair"/>
    <s v="Furniture"/>
    <n v="4380"/>
    <n v="3150"/>
    <n v="26280"/>
    <n v="18900"/>
    <n v="7380"/>
    <s v="Shakib Khan"/>
    <x v="9"/>
    <x v="4"/>
    <x v="29"/>
  </r>
  <r>
    <s v="ORD-00092"/>
    <x v="84"/>
    <s v="CUS-SYL-004"/>
    <s v="R03"/>
    <s v="ST-SYL-04"/>
    <x v="25"/>
    <s v="P022"/>
    <n v="3"/>
    <n v="0.1"/>
    <n v="5329"/>
    <n v="2"/>
    <x v="24"/>
    <s v="Shampoo 375ml"/>
    <s v="Beauty &amp; Personal Care"/>
    <n v="1660"/>
    <n v="960"/>
    <n v="4980"/>
    <n v="2880"/>
    <n v="2100"/>
    <s v="Tania Akter"/>
    <x v="25"/>
    <x v="3"/>
    <x v="21"/>
  </r>
  <r>
    <s v="ORD-00093"/>
    <x v="85"/>
    <s v="CUS-RAN-020"/>
    <s v="R07"/>
    <s v="ST-RAN-02"/>
    <x v="42"/>
    <s v="P010"/>
    <n v="9"/>
    <n v="0.1"/>
    <n v="32188"/>
    <n v="10"/>
    <x v="26"/>
    <s v="Table Fan"/>
    <s v="Home Appliance"/>
    <n v="3110"/>
    <n v="2180"/>
    <n v="27990"/>
    <n v="19620"/>
    <n v="8370"/>
    <s v="Shuvo Uddin"/>
    <x v="42"/>
    <x v="0"/>
    <x v="6"/>
  </r>
  <r>
    <s v="ORD-00094"/>
    <x v="86"/>
    <s v="CUS-KHL-023"/>
    <s v="R05"/>
    <s v="ST-KHL-05"/>
    <x v="16"/>
    <s v="P030"/>
    <n v="1"/>
    <n v="0.12"/>
    <n v="2038"/>
    <n v="5"/>
    <x v="5"/>
    <s v="Casual Loafer"/>
    <s v="Footwear"/>
    <n v="1870"/>
    <n v="1120"/>
    <n v="1870"/>
    <n v="1120"/>
    <n v="750"/>
    <s v="Ayesha Ahmed"/>
    <x v="16"/>
    <x v="6"/>
    <x v="30"/>
  </r>
  <r>
    <s v="ORD-00095"/>
    <x v="87"/>
    <s v="CUS-KHL-022"/>
    <s v="R05"/>
    <s v="ST-KHL-03"/>
    <x v="13"/>
    <s v="P003"/>
    <n v="3"/>
    <n v="0.12"/>
    <n v="9287"/>
    <n v="2"/>
    <x v="24"/>
    <s v="Power Bank"/>
    <s v="Electronics"/>
    <n v="2840"/>
    <n v="1930"/>
    <n v="8520"/>
    <n v="5790"/>
    <n v="2730"/>
    <s v="Samiha Sultana"/>
    <x v="13"/>
    <x v="6"/>
    <x v="17"/>
  </r>
  <r>
    <s v="ORD-00096"/>
    <x v="88"/>
    <s v="CUS-MYM-019"/>
    <s v="R08"/>
    <s v="ST-MYM-05"/>
    <x v="43"/>
    <s v="P030"/>
    <n v="5"/>
    <n v="0.1"/>
    <n v="10098"/>
    <n v="1"/>
    <x v="13"/>
    <s v="Casual Loafer"/>
    <s v="Footwear"/>
    <n v="1870"/>
    <n v="1120"/>
    <n v="9350"/>
    <n v="5600"/>
    <n v="3750"/>
    <s v="Hasan Sultana"/>
    <x v="43"/>
    <x v="2"/>
    <x v="28"/>
  </r>
  <r>
    <s v="ORD-00097"/>
    <x v="89"/>
    <s v="CUS-DHA-017"/>
    <s v="R01"/>
    <s v="ST-DHA-01"/>
    <x v="44"/>
    <s v="P009"/>
    <n v="3"/>
    <n v="0.1"/>
    <n v="14501"/>
    <n v="4"/>
    <x v="6"/>
    <s v="Steam Iron"/>
    <s v="Home Appliance"/>
    <n v="4560"/>
    <n v="3190"/>
    <n v="13680"/>
    <n v="9570"/>
    <n v="4110"/>
    <s v="Shakib Khan"/>
    <x v="44"/>
    <x v="4"/>
    <x v="29"/>
  </r>
  <r>
    <s v="ORD-00098"/>
    <x v="5"/>
    <s v="CUS-KHL-022"/>
    <s v="R05"/>
    <s v="ST-KHL-03"/>
    <x v="36"/>
    <s v="P039"/>
    <n v="1"/>
    <n v="0"/>
    <n v="1134"/>
    <n v="6"/>
    <x v="5"/>
    <s v="Marker Set"/>
    <s v="Stationery"/>
    <n v="1040"/>
    <n v="520"/>
    <n v="1040"/>
    <n v="520"/>
    <n v="520"/>
    <s v="Samiha Sultana"/>
    <x v="36"/>
    <x v="6"/>
    <x v="17"/>
  </r>
  <r>
    <s v="ORD-00099"/>
    <x v="90"/>
    <s v="CUS-BAR-015"/>
    <s v="R06"/>
    <s v="ST-BAR-01"/>
    <x v="12"/>
    <s v="P041"/>
    <n v="4"/>
    <n v="0.12"/>
    <n v="3763"/>
    <n v="3"/>
    <x v="21"/>
    <s v="Building Blocks"/>
    <s v="Kids &amp; Toys"/>
    <n v="840"/>
    <n v="460"/>
    <n v="3360"/>
    <n v="1840"/>
    <n v="1520"/>
    <s v="Ayesha Ahmed"/>
    <x v="12"/>
    <x v="5"/>
    <x v="9"/>
  </r>
  <r>
    <s v="ORD-00100"/>
    <x v="91"/>
    <s v="CUS-KHL-023"/>
    <s v="R05"/>
    <s v="ST-KHL-01"/>
    <x v="24"/>
    <s v="P009"/>
    <n v="8"/>
    <n v="0.08"/>
    <n v="39763"/>
    <n v="6"/>
    <x v="16"/>
    <s v="Steam Iron"/>
    <s v="Home Appliance"/>
    <n v="4560"/>
    <n v="3190"/>
    <n v="36480"/>
    <n v="25520"/>
    <n v="10960"/>
    <s v="Ayesha Ahmed"/>
    <x v="24"/>
    <x v="6"/>
    <x v="24"/>
  </r>
  <r>
    <s v="ORD-00101"/>
    <x v="37"/>
    <s v="CUS-DHA-024"/>
    <s v="R01"/>
    <s v="ST-DHA-03"/>
    <x v="28"/>
    <s v="P023"/>
    <n v="7"/>
    <n v="7.0000000000000007E-2"/>
    <n v="8607"/>
    <n v="2"/>
    <x v="18"/>
    <s v="Body Lotion"/>
    <s v="Beauty &amp; Personal Care"/>
    <n v="1160"/>
    <n v="670"/>
    <n v="8120"/>
    <n v="4690"/>
    <n v="3430"/>
    <s v="Hasan Akter"/>
    <x v="28"/>
    <x v="4"/>
    <x v="5"/>
  </r>
  <r>
    <s v="ORD-00102"/>
    <x v="92"/>
    <s v="CUS-RAJ-025"/>
    <s v="R04"/>
    <s v="ST-RAJ-02"/>
    <x v="26"/>
    <s v="P012"/>
    <n v="1"/>
    <n v="0.12"/>
    <n v="1966"/>
    <n v="2"/>
    <x v="24"/>
    <s v="Formal Shirt"/>
    <s v="Fashion"/>
    <n v="1820"/>
    <n v="1000"/>
    <n v="1820"/>
    <n v="1000"/>
    <n v="820"/>
    <s v="Mehedi Khan"/>
    <x v="26"/>
    <x v="1"/>
    <x v="2"/>
  </r>
  <r>
    <s v="ORD-00103"/>
    <x v="93"/>
    <s v="CUS-CTG-013"/>
    <s v="R02"/>
    <s v="ST-CTG-01"/>
    <x v="39"/>
    <s v="P006"/>
    <n v="1"/>
    <n v="0.18"/>
    <n v="8208"/>
    <n v="7"/>
    <x v="23"/>
    <s v="Electric Kettle"/>
    <s v="Home Appliance"/>
    <n v="7200"/>
    <n v="5040"/>
    <n v="7200"/>
    <n v="5040"/>
    <n v="2160"/>
    <s v="Tanjim Akter"/>
    <x v="39"/>
    <x v="7"/>
    <x v="37"/>
  </r>
  <r>
    <s v="ORD-00104"/>
    <x v="94"/>
    <s v="CUS-MYM-023"/>
    <s v="R08"/>
    <s v="ST-MYM-02"/>
    <x v="17"/>
    <s v="P003"/>
    <n v="3"/>
    <n v="0.18"/>
    <n v="9202"/>
    <n v="4"/>
    <x v="19"/>
    <s v="Power Bank"/>
    <s v="Electronics"/>
    <n v="2840"/>
    <n v="1930"/>
    <n v="8520"/>
    <n v="5790"/>
    <n v="2730"/>
    <s v="Ayesha Uddin"/>
    <x v="17"/>
    <x v="2"/>
    <x v="20"/>
  </r>
  <r>
    <s v="ORD-00105"/>
    <x v="95"/>
    <s v="CUS-KHL-016"/>
    <s v="R05"/>
    <s v="ST-KHL-05"/>
    <x v="29"/>
    <s v="P008"/>
    <n v="3"/>
    <n v="0.1"/>
    <n v="7946"/>
    <n v="2"/>
    <x v="24"/>
    <s v="Blender Machine"/>
    <s v="Home Appliance"/>
    <n v="2430"/>
    <n v="1700"/>
    <n v="7290"/>
    <n v="5100"/>
    <n v="2190"/>
    <s v="Ayesha Akter"/>
    <x v="29"/>
    <x v="6"/>
    <x v="30"/>
  </r>
  <r>
    <s v="ORD-00106"/>
    <x v="96"/>
    <s v="CUS-SYL-014"/>
    <s v="R03"/>
    <s v="ST-SYL-05"/>
    <x v="5"/>
    <s v="P010"/>
    <n v="1"/>
    <n v="0.12"/>
    <n v="3328"/>
    <n v="5"/>
    <x v="5"/>
    <s v="Table Fan"/>
    <s v="Home Appliance"/>
    <n v="3110"/>
    <n v="2180"/>
    <n v="3110"/>
    <n v="2180"/>
    <n v="930"/>
    <s v="Fahim Akter"/>
    <x v="5"/>
    <x v="3"/>
    <x v="4"/>
  </r>
  <r>
    <s v="ORD-00107"/>
    <x v="97"/>
    <s v="CUS-BAR-012"/>
    <s v="R06"/>
    <s v="ST-BAR-03"/>
    <x v="8"/>
    <s v="P047"/>
    <n v="10"/>
    <n v="0.03"/>
    <n v="130816"/>
    <n v="8"/>
    <x v="23"/>
    <s v="Study Table"/>
    <s v="Furniture"/>
    <n v="11680"/>
    <n v="8410"/>
    <n v="116800"/>
    <n v="84100"/>
    <n v="32700"/>
    <s v="Hasan Uddin"/>
    <x v="8"/>
    <x v="5"/>
    <x v="27"/>
  </r>
  <r>
    <s v="ORD-00108"/>
    <x v="98"/>
    <s v="CUS-RAJ-021"/>
    <s v="R04"/>
    <s v="ST-RAJ-05"/>
    <x v="40"/>
    <s v="P005"/>
    <n v="4"/>
    <n v="0.12"/>
    <n v="21125"/>
    <n v="5"/>
    <x v="5"/>
    <s v="USB-C Hub"/>
    <s v="Electronics"/>
    <n v="4890"/>
    <n v="3330"/>
    <n v="19560"/>
    <n v="13320"/>
    <n v="6240"/>
    <s v="Nayeem Islam"/>
    <x v="40"/>
    <x v="1"/>
    <x v="38"/>
  </r>
  <r>
    <s v="ORD-00109"/>
    <x v="99"/>
    <s v="CUS-RAN-004"/>
    <s v="R07"/>
    <s v="ST-RAN-04"/>
    <x v="42"/>
    <s v="P017"/>
    <n v="1"/>
    <n v="0.03"/>
    <n v="425"/>
    <n v="4"/>
    <x v="17"/>
    <s v="Soybean Oil 5L"/>
    <s v="Grocery"/>
    <n v="370"/>
    <n v="290"/>
    <n v="370"/>
    <n v="290"/>
    <n v="80"/>
    <s v="Sadia Sultana"/>
    <x v="42"/>
    <x v="0"/>
    <x v="13"/>
  </r>
  <r>
    <s v="ORD-00110"/>
    <x v="100"/>
    <s v="CUS-MYM-002"/>
    <s v="R08"/>
    <s v="ST-MYM-03"/>
    <x v="43"/>
    <s v="P004"/>
    <n v="1"/>
    <n v="0.08"/>
    <n v="4180"/>
    <n v="4"/>
    <x v="6"/>
    <s v="Smart Watch"/>
    <s v="Electronics"/>
    <n v="3870"/>
    <n v="2630"/>
    <n v="3870"/>
    <n v="2630"/>
    <n v="1240"/>
    <s v="Karim Chowdhury"/>
    <x v="43"/>
    <x v="2"/>
    <x v="10"/>
  </r>
  <r>
    <s v="ORD-00111"/>
    <x v="101"/>
    <s v="CUS-SYL-025"/>
    <s v="R03"/>
    <s v="ST-SYL-05"/>
    <x v="5"/>
    <s v="P001"/>
    <n v="3"/>
    <n v="0.1"/>
    <n v="10400"/>
    <n v="4"/>
    <x v="6"/>
    <s v="Bluetooth Speaker"/>
    <s v="Electronics"/>
    <n v="3240"/>
    <n v="2200"/>
    <n v="9720"/>
    <n v="6600"/>
    <n v="3120"/>
    <s v="Tanvir Akter"/>
    <x v="5"/>
    <x v="3"/>
    <x v="4"/>
  </r>
  <r>
    <s v="ORD-00112"/>
    <x v="102"/>
    <s v="CUS-CTG-007"/>
    <s v="R02"/>
    <s v="ST-CTG-05"/>
    <x v="37"/>
    <s v="P042"/>
    <n v="3"/>
    <n v="0.05"/>
    <n v="6224"/>
    <n v="4"/>
    <x v="20"/>
    <s v="Toy Car Set"/>
    <s v="Kids &amp; Toys"/>
    <n v="1820"/>
    <n v="1000"/>
    <n v="5460"/>
    <n v="3000"/>
    <n v="2460"/>
    <s v="Mehedi Khan"/>
    <x v="37"/>
    <x v="7"/>
    <x v="31"/>
  </r>
  <r>
    <s v="ORD-00113"/>
    <x v="74"/>
    <s v="CUS-DHA-015"/>
    <s v="R01"/>
    <s v="ST-DHA-03"/>
    <x v="44"/>
    <s v="P002"/>
    <n v="1"/>
    <n v="0.12"/>
    <n v="3540"/>
    <n v="1"/>
    <x v="1"/>
    <s v="Wireless Mouse"/>
    <s v="Electronics"/>
    <n v="3340"/>
    <n v="2270"/>
    <n v="3340"/>
    <n v="2270"/>
    <n v="1070"/>
    <s v="Hasan Islam"/>
    <x v="44"/>
    <x v="4"/>
    <x v="5"/>
  </r>
  <r>
    <s v="ORD-00114"/>
    <x v="103"/>
    <s v="CUS-RAJ-009"/>
    <s v="R04"/>
    <s v="ST-RAJ-04"/>
    <x v="2"/>
    <s v="P012"/>
    <n v="2"/>
    <n v="0.03"/>
    <n v="3931"/>
    <n v="3"/>
    <x v="10"/>
    <s v="Formal Shirt"/>
    <s v="Fashion"/>
    <n v="1820"/>
    <n v="1000"/>
    <n v="3640"/>
    <n v="2000"/>
    <n v="1640"/>
    <s v="Nayeem Hossain"/>
    <x v="2"/>
    <x v="1"/>
    <x v="1"/>
  </r>
  <r>
    <s v="ORD-00115"/>
    <x v="72"/>
    <s v="CUS-RAN-022"/>
    <s v="R07"/>
    <s v="ST-RAN-01"/>
    <x v="21"/>
    <s v="P001"/>
    <n v="6"/>
    <n v="0.08"/>
    <n v="22356"/>
    <n v="6"/>
    <x v="16"/>
    <s v="Bluetooth Speaker"/>
    <s v="Electronics"/>
    <n v="3240"/>
    <n v="2200"/>
    <n v="19440"/>
    <n v="13200"/>
    <n v="6240"/>
    <s v="Shakib Islam"/>
    <x v="21"/>
    <x v="0"/>
    <x v="0"/>
  </r>
  <r>
    <s v="ORD-00116"/>
    <x v="68"/>
    <s v="CUS-CTG-010"/>
    <s v="R02"/>
    <s v="ST-CTG-03"/>
    <x v="18"/>
    <s v="P002"/>
    <n v="4"/>
    <n v="0.08"/>
    <n v="15230"/>
    <n v="4"/>
    <x v="6"/>
    <s v="Wireless Mouse"/>
    <s v="Electronics"/>
    <n v="3340"/>
    <n v="2270"/>
    <n v="13360"/>
    <n v="9080"/>
    <n v="4280"/>
    <s v="Jannat Ahmed"/>
    <x v="18"/>
    <x v="7"/>
    <x v="16"/>
  </r>
  <r>
    <s v="ORD-00117"/>
    <x v="16"/>
    <s v="CUS-MYM-006"/>
    <s v="R08"/>
    <s v="ST-MYM-05"/>
    <x v="11"/>
    <s v="P003"/>
    <n v="4"/>
    <n v="0.18"/>
    <n v="12269"/>
    <n v="3"/>
    <x v="20"/>
    <s v="Power Bank"/>
    <s v="Electronics"/>
    <n v="2840"/>
    <n v="1930"/>
    <n v="11360"/>
    <n v="7720"/>
    <n v="3640"/>
    <s v="Mim Ahmed"/>
    <x v="11"/>
    <x v="2"/>
    <x v="28"/>
  </r>
  <r>
    <s v="ORD-00118"/>
    <x v="104"/>
    <s v="CUS-KHL-022"/>
    <s v="R05"/>
    <s v="ST-KHL-03"/>
    <x v="45"/>
    <s v="P018"/>
    <n v="1"/>
    <n v="0"/>
    <n v="1864"/>
    <n v="5"/>
    <x v="3"/>
    <s v="Lentil 1kg"/>
    <s v="Grocery"/>
    <n v="1710"/>
    <n v="1330"/>
    <n v="1710"/>
    <n v="1330"/>
    <n v="380"/>
    <s v="Samiha Sultana"/>
    <x v="45"/>
    <x v="6"/>
    <x v="17"/>
  </r>
  <r>
    <s v="ORD-00119"/>
    <x v="105"/>
    <s v="CUS-RAN-018"/>
    <s v="R07"/>
    <s v="ST-RAN-05"/>
    <x v="7"/>
    <s v="P006"/>
    <n v="3"/>
    <n v="0.18"/>
    <n v="24840"/>
    <n v="9"/>
    <x v="14"/>
    <s v="Electric Kettle"/>
    <s v="Home Appliance"/>
    <n v="7200"/>
    <n v="5040"/>
    <n v="21600"/>
    <n v="15120"/>
    <n v="6480"/>
    <s v="Nayeem Mia"/>
    <x v="7"/>
    <x v="0"/>
    <x v="39"/>
  </r>
  <r>
    <s v="ORD-00120"/>
    <x v="74"/>
    <s v="CUS-KHL-007"/>
    <s v="R05"/>
    <s v="ST-KHL-01"/>
    <x v="36"/>
    <s v="P027"/>
    <n v="5"/>
    <n v="0.12"/>
    <n v="6595"/>
    <n v="4"/>
    <x v="6"/>
    <s v="Formal Shoe"/>
    <s v="Footwear"/>
    <n v="1210"/>
    <n v="730"/>
    <n v="6050"/>
    <n v="3650"/>
    <n v="2400"/>
    <s v="Mahmud Chowdhury"/>
    <x v="36"/>
    <x v="6"/>
    <x v="24"/>
  </r>
  <r>
    <s v="ORD-00121"/>
    <x v="32"/>
    <s v="CUS-MYM-021"/>
    <s v="R08"/>
    <s v="ST-MYM-05"/>
    <x v="17"/>
    <s v="P006"/>
    <n v="2"/>
    <n v="0.18"/>
    <n v="15552"/>
    <n v="4"/>
    <x v="19"/>
    <s v="Electric Kettle"/>
    <s v="Home Appliance"/>
    <n v="7200"/>
    <n v="5040"/>
    <n v="14400"/>
    <n v="10080"/>
    <n v="4320"/>
    <s v="Tania Islam"/>
    <x v="17"/>
    <x v="2"/>
    <x v="28"/>
  </r>
  <r>
    <s v="ORD-00122"/>
    <x v="106"/>
    <s v="CUS-SYL-022"/>
    <s v="R03"/>
    <s v="ST-SYL-02"/>
    <x v="34"/>
    <s v="P006"/>
    <n v="7"/>
    <n v="0.15"/>
    <n v="53928"/>
    <n v="5"/>
    <x v="5"/>
    <s v="Electric Kettle"/>
    <s v="Home Appliance"/>
    <n v="7200"/>
    <n v="5040"/>
    <n v="50400"/>
    <n v="35280"/>
    <n v="15120"/>
    <s v="Samiha Ahmed"/>
    <x v="34"/>
    <x v="3"/>
    <x v="32"/>
  </r>
  <r>
    <s v="ORD-00123"/>
    <x v="107"/>
    <s v="CUS-MYM-011"/>
    <s v="R08"/>
    <s v="ST-MYM-05"/>
    <x v="43"/>
    <s v="P007"/>
    <n v="3"/>
    <n v="0.12"/>
    <n v="24073"/>
    <n v="8"/>
    <x v="27"/>
    <s v="Rice Cooker"/>
    <s v="Home Appliance"/>
    <n v="7430"/>
    <n v="5200"/>
    <n v="22290"/>
    <n v="15600"/>
    <n v="6690"/>
    <s v="Tanjim Khan"/>
    <x v="43"/>
    <x v="2"/>
    <x v="28"/>
  </r>
  <r>
    <s v="ORD-00124"/>
    <x v="108"/>
    <s v="CUS-SYL-001"/>
    <s v="R03"/>
    <s v="ST-SYL-03"/>
    <x v="20"/>
    <s v="P035"/>
    <n v="3"/>
    <n v="0.05"/>
    <n v="3563"/>
    <n v="1"/>
    <x v="7"/>
    <s v="Dumbbell Set"/>
    <s v="Sports"/>
    <n v="1110"/>
    <n v="690"/>
    <n v="3330"/>
    <n v="2070"/>
    <n v="1260"/>
    <s v="Karim Khan"/>
    <x v="20"/>
    <x v="3"/>
    <x v="23"/>
  </r>
  <r>
    <s v="ORD-00125"/>
    <x v="44"/>
    <s v="CUS-BAR-016"/>
    <s v="R06"/>
    <s v="ST-BAR-04"/>
    <x v="22"/>
    <s v="P008"/>
    <n v="2"/>
    <n v="0.08"/>
    <n v="5443"/>
    <n v="8"/>
    <x v="30"/>
    <s v="Blender Machine"/>
    <s v="Home Appliance"/>
    <n v="2430"/>
    <n v="1700"/>
    <n v="4860"/>
    <n v="3400"/>
    <n v="1460"/>
    <s v="Sajib Islam"/>
    <x v="22"/>
    <x v="5"/>
    <x v="12"/>
  </r>
  <r>
    <s v="ORD-00126"/>
    <x v="109"/>
    <s v="CUS-KHL-005"/>
    <s v="R05"/>
    <s v="ST-KHL-05"/>
    <x v="36"/>
    <s v="P005"/>
    <n v="4"/>
    <n v="0.18"/>
    <n v="21320"/>
    <n v="5"/>
    <x v="4"/>
    <s v="USB-C Hub"/>
    <s v="Electronics"/>
    <n v="4890"/>
    <n v="3330"/>
    <n v="19560"/>
    <n v="13320"/>
    <n v="6240"/>
    <s v="Sajib Hossain"/>
    <x v="36"/>
    <x v="6"/>
    <x v="30"/>
  </r>
  <r>
    <s v="ORD-00127"/>
    <x v="110"/>
    <s v="CUS-DHA-019"/>
    <s v="R01"/>
    <s v="ST-DHA-05"/>
    <x v="6"/>
    <s v="P034"/>
    <n v="6"/>
    <n v="0.12"/>
    <n v="17363"/>
    <n v="2"/>
    <x v="24"/>
    <s v="Yoga Mat"/>
    <s v="Sports"/>
    <n v="2730"/>
    <n v="1690"/>
    <n v="16380"/>
    <n v="10140"/>
    <n v="6240"/>
    <s v="Sadia Islam"/>
    <x v="6"/>
    <x v="4"/>
    <x v="15"/>
  </r>
  <r>
    <s v="ORD-00128"/>
    <x v="111"/>
    <s v="CUS-MYM-021"/>
    <s v="R08"/>
    <s v="ST-MYM-02"/>
    <x v="3"/>
    <s v="P010"/>
    <n v="1"/>
    <n v="0.18"/>
    <n v="3359"/>
    <n v="10"/>
    <x v="31"/>
    <s v="Table Fan"/>
    <s v="Home Appliance"/>
    <n v="3110"/>
    <n v="2180"/>
    <n v="3110"/>
    <n v="2180"/>
    <n v="930"/>
    <s v="Tania Islam"/>
    <x v="3"/>
    <x v="2"/>
    <x v="20"/>
  </r>
  <r>
    <s v="ORD-00129"/>
    <x v="112"/>
    <s v="CUS-CTG-013"/>
    <s v="R02"/>
    <s v="ST-CTG-03"/>
    <x v="18"/>
    <s v="P001"/>
    <n v="5"/>
    <n v="0.18"/>
    <n v="18468"/>
    <n v="4"/>
    <x v="19"/>
    <s v="Bluetooth Speaker"/>
    <s v="Electronics"/>
    <n v="3240"/>
    <n v="2200"/>
    <n v="16200"/>
    <n v="11000"/>
    <n v="5200"/>
    <s v="Tanjim Akter"/>
    <x v="18"/>
    <x v="7"/>
    <x v="16"/>
  </r>
  <r>
    <s v="ORD-00130"/>
    <x v="113"/>
    <s v="CUS-SYL-015"/>
    <s v="R03"/>
    <s v="ST-SYL-02"/>
    <x v="20"/>
    <s v="P019"/>
    <n v="4"/>
    <n v="0.05"/>
    <n v="1883"/>
    <n v="1"/>
    <x v="7"/>
    <s v="Flour 2kg"/>
    <s v="Grocery"/>
    <n v="440"/>
    <n v="340"/>
    <n v="1760"/>
    <n v="1360"/>
    <n v="400"/>
    <s v="Sadia Sultana"/>
    <x v="20"/>
    <x v="3"/>
    <x v="32"/>
  </r>
  <r>
    <s v="ORD-00131"/>
    <x v="93"/>
    <s v="CUS-BAR-002"/>
    <s v="R06"/>
    <s v="ST-BAR-02"/>
    <x v="22"/>
    <s v="P005"/>
    <n v="2"/>
    <n v="0.08"/>
    <n v="10954"/>
    <n v="4"/>
    <x v="6"/>
    <s v="USB-C Hub"/>
    <s v="Electronics"/>
    <n v="4890"/>
    <n v="3330"/>
    <n v="9780"/>
    <n v="6660"/>
    <n v="3120"/>
    <s v="Nabila Khan"/>
    <x v="22"/>
    <x v="5"/>
    <x v="11"/>
  </r>
  <r>
    <s v="ORD-00132"/>
    <x v="98"/>
    <s v="CUS-BAR-013"/>
    <s v="R06"/>
    <s v="ST-BAR-04"/>
    <x v="22"/>
    <s v="P042"/>
    <n v="10"/>
    <n v="7.0000000000000007E-2"/>
    <n v="20384"/>
    <n v="3"/>
    <x v="25"/>
    <s v="Toy Car Set"/>
    <s v="Kids &amp; Toys"/>
    <n v="1820"/>
    <n v="1000"/>
    <n v="18200"/>
    <n v="10000"/>
    <n v="8200"/>
    <s v="Nabila Uddin"/>
    <x v="22"/>
    <x v="5"/>
    <x v="12"/>
  </r>
  <r>
    <s v="ORD-00133"/>
    <x v="114"/>
    <s v="CUS-CTG-023"/>
    <s v="R02"/>
    <s v="ST-CTG-05"/>
    <x v="37"/>
    <s v="P038"/>
    <n v="3"/>
    <n v="0.02"/>
    <n v="1163"/>
    <n v="4"/>
    <x v="17"/>
    <s v="Office File Set"/>
    <s v="Stationery"/>
    <n v="340"/>
    <n v="170"/>
    <n v="1020"/>
    <n v="510"/>
    <n v="510"/>
    <s v="Imran Uddin"/>
    <x v="37"/>
    <x v="7"/>
    <x v="31"/>
  </r>
  <r>
    <s v="ORD-00134"/>
    <x v="115"/>
    <s v="CUS-CTG-017"/>
    <s v="R02"/>
    <s v="ST-CTG-03"/>
    <x v="39"/>
    <s v="P049"/>
    <n v="3"/>
    <n v="7.0000000000000007E-2"/>
    <n v="14467"/>
    <n v="8"/>
    <x v="30"/>
    <s v="Bookshelf"/>
    <s v="Furniture"/>
    <n v="4230"/>
    <n v="3050"/>
    <n v="12690"/>
    <n v="9150"/>
    <n v="3540"/>
    <s v="Jannat Islam"/>
    <x v="39"/>
    <x v="7"/>
    <x v="16"/>
  </r>
  <r>
    <s v="ORD-00135"/>
    <x v="116"/>
    <s v="CUS-BAR-016"/>
    <s v="R06"/>
    <s v="ST-BAR-04"/>
    <x v="12"/>
    <s v="P001"/>
    <n v="2"/>
    <n v="0.1"/>
    <n v="7258"/>
    <n v="7"/>
    <x v="12"/>
    <s v="Bluetooth Speaker"/>
    <s v="Electronics"/>
    <n v="3240"/>
    <n v="2200"/>
    <n v="6480"/>
    <n v="4400"/>
    <n v="2080"/>
    <s v="Sajib Islam"/>
    <x v="12"/>
    <x v="5"/>
    <x v="12"/>
  </r>
  <r>
    <s v="ORD-00136"/>
    <x v="117"/>
    <s v="CUS-RAJ-005"/>
    <s v="R04"/>
    <s v="ST-RAJ-02"/>
    <x v="46"/>
    <s v="P009"/>
    <n v="3"/>
    <n v="0.15"/>
    <n v="14774"/>
    <n v="7"/>
    <x v="23"/>
    <s v="Steam Iron"/>
    <s v="Home Appliance"/>
    <n v="4560"/>
    <n v="3190"/>
    <n v="13680"/>
    <n v="9570"/>
    <n v="4110"/>
    <s v="Tanjim Akter"/>
    <x v="46"/>
    <x v="1"/>
    <x v="2"/>
  </r>
  <r>
    <s v="ORD-00137"/>
    <x v="118"/>
    <s v="CUS-BAR-024"/>
    <s v="R06"/>
    <s v="ST-BAR-01"/>
    <x v="22"/>
    <s v="P027"/>
    <n v="1"/>
    <n v="0.05"/>
    <n v="1355"/>
    <n v="4"/>
    <x v="20"/>
    <s v="Formal Shoe"/>
    <s v="Footwear"/>
    <n v="1210"/>
    <n v="730"/>
    <n v="1210"/>
    <n v="730"/>
    <n v="480"/>
    <s v="Rumana Chowdhury"/>
    <x v="22"/>
    <x v="5"/>
    <x v="9"/>
  </r>
  <r>
    <s v="ORD-00138"/>
    <x v="119"/>
    <s v="CUS-RAJ-002"/>
    <s v="R04"/>
    <s v="ST-RAJ-02"/>
    <x v="40"/>
    <s v="P021"/>
    <n v="3"/>
    <n v="0.03"/>
    <n v="4147"/>
    <n v="3"/>
    <x v="10"/>
    <s v="Face Wash"/>
    <s v="Beauty &amp; Personal Care"/>
    <n v="1280"/>
    <n v="740"/>
    <n v="3840"/>
    <n v="2220"/>
    <n v="1620"/>
    <s v="Mehedi Hossain"/>
    <x v="40"/>
    <x v="1"/>
    <x v="2"/>
  </r>
  <r>
    <s v="ORD-00139"/>
    <x v="120"/>
    <s v="CUS-SYL-002"/>
    <s v="R03"/>
    <s v="ST-SYL-02"/>
    <x v="38"/>
    <s v="P045"/>
    <n v="8"/>
    <n v="0.12"/>
    <n v="7190"/>
    <n v="6"/>
    <x v="28"/>
    <s v="Kids Story Book"/>
    <s v="Kids &amp; Toys"/>
    <n v="840"/>
    <n v="460"/>
    <n v="6720"/>
    <n v="3680"/>
    <n v="3040"/>
    <s v="Rafi Hossain"/>
    <x v="38"/>
    <x v="3"/>
    <x v="32"/>
  </r>
  <r>
    <s v="ORD-00140"/>
    <x v="121"/>
    <s v="CUS-KHL-003"/>
    <s v="R05"/>
    <s v="ST-KHL-02"/>
    <x v="24"/>
    <s v="P022"/>
    <n v="5"/>
    <n v="0.05"/>
    <n v="9047"/>
    <n v="3"/>
    <x v="25"/>
    <s v="Shampoo 375ml"/>
    <s v="Beauty &amp; Personal Care"/>
    <n v="1660"/>
    <n v="960"/>
    <n v="8300"/>
    <n v="4800"/>
    <n v="3500"/>
    <s v="Arif Sultana"/>
    <x v="24"/>
    <x v="6"/>
    <x v="14"/>
  </r>
  <r>
    <s v="ORD-00141"/>
    <x v="122"/>
    <s v="CUS-RAN-020"/>
    <s v="R07"/>
    <s v="ST-RAN-02"/>
    <x v="21"/>
    <s v="P038"/>
    <n v="3"/>
    <n v="0.03"/>
    <n v="1173"/>
    <n v="7"/>
    <x v="11"/>
    <s v="Office File Set"/>
    <s v="Stationery"/>
    <n v="340"/>
    <n v="170"/>
    <n v="1020"/>
    <n v="510"/>
    <n v="510"/>
    <s v="Shuvo Uddin"/>
    <x v="21"/>
    <x v="0"/>
    <x v="6"/>
  </r>
  <r>
    <s v="ORD-00142"/>
    <x v="69"/>
    <s v="CUS-MYM-020"/>
    <s v="R08"/>
    <s v="ST-MYM-05"/>
    <x v="17"/>
    <s v="P005"/>
    <n v="1"/>
    <n v="0.08"/>
    <n v="5281"/>
    <n v="6"/>
    <x v="16"/>
    <s v="USB-C Hub"/>
    <s v="Electronics"/>
    <n v="4890"/>
    <n v="3330"/>
    <n v="4890"/>
    <n v="3330"/>
    <n v="1560"/>
    <s v="Tamanna Hossain"/>
    <x v="17"/>
    <x v="2"/>
    <x v="28"/>
  </r>
  <r>
    <s v="ORD-00143"/>
    <x v="123"/>
    <s v="CUS-RAJ-017"/>
    <s v="R04"/>
    <s v="ST-RAJ-05"/>
    <x v="30"/>
    <s v="P011"/>
    <n v="3"/>
    <n v="0.05"/>
    <n v="6059"/>
    <n v="2"/>
    <x v="15"/>
    <s v="Cotton T-Shirt"/>
    <s v="Fashion"/>
    <n v="1870"/>
    <n v="1030"/>
    <n v="5610"/>
    <n v="3090"/>
    <n v="2520"/>
    <s v="Mim Chowdhury"/>
    <x v="30"/>
    <x v="1"/>
    <x v="38"/>
  </r>
  <r>
    <s v="ORD-00144"/>
    <x v="124"/>
    <s v="CUS-DHA-018"/>
    <s v="R01"/>
    <s v="ST-DHA-05"/>
    <x v="44"/>
    <s v="P002"/>
    <n v="6"/>
    <n v="0.18"/>
    <n v="21242"/>
    <n v="2"/>
    <x v="10"/>
    <s v="Wireless Mouse"/>
    <s v="Electronics"/>
    <n v="3340"/>
    <n v="2270"/>
    <n v="20040"/>
    <n v="13620"/>
    <n v="6420"/>
    <s v="Rafi Khan"/>
    <x v="44"/>
    <x v="4"/>
    <x v="15"/>
  </r>
  <r>
    <s v="ORD-00145"/>
    <x v="125"/>
    <s v="CUS-DHA-025"/>
    <s v="R01"/>
    <s v="ST-DHA-04"/>
    <x v="9"/>
    <s v="P011"/>
    <n v="4"/>
    <n v="0.1"/>
    <n v="7929"/>
    <n v="2"/>
    <x v="24"/>
    <s v="Cotton T-Shirt"/>
    <s v="Fashion"/>
    <n v="1870"/>
    <n v="1030"/>
    <n v="7480"/>
    <n v="4120"/>
    <n v="3360"/>
    <s v="Nabila Sultana"/>
    <x v="9"/>
    <x v="4"/>
    <x v="35"/>
  </r>
  <r>
    <s v="ORD-00146"/>
    <x v="126"/>
    <s v="CUS-RAN-012"/>
    <s v="R07"/>
    <s v="ST-RAN-05"/>
    <x v="0"/>
    <s v="P044"/>
    <n v="3"/>
    <n v="0.1"/>
    <n v="7762"/>
    <n v="9"/>
    <x v="32"/>
    <s v="Color Pencil Set"/>
    <s v="Kids &amp; Toys"/>
    <n v="2250"/>
    <n v="1240"/>
    <n v="6750"/>
    <n v="3720"/>
    <n v="3030"/>
    <s v="Rumana Hossain"/>
    <x v="0"/>
    <x v="0"/>
    <x v="39"/>
  </r>
  <r>
    <s v="ORD-00147"/>
    <x v="127"/>
    <s v="CUS-RAJ-003"/>
    <s v="R04"/>
    <s v="ST-RAJ-03"/>
    <x v="40"/>
    <s v="P042"/>
    <n v="2"/>
    <n v="0.03"/>
    <n v="3931"/>
    <n v="3"/>
    <x v="10"/>
    <s v="Toy Car Set"/>
    <s v="Kids &amp; Toys"/>
    <n v="1820"/>
    <n v="1000"/>
    <n v="3640"/>
    <n v="2000"/>
    <n v="1640"/>
    <s v="Morshed Rahman"/>
    <x v="40"/>
    <x v="1"/>
    <x v="18"/>
  </r>
  <r>
    <s v="ORD-00148"/>
    <x v="128"/>
    <s v="CUS-CTG-017"/>
    <s v="R02"/>
    <s v="ST-CTG-01"/>
    <x v="39"/>
    <s v="P026"/>
    <n v="2"/>
    <n v="0.03"/>
    <n v="8003"/>
    <n v="2"/>
    <x v="15"/>
    <s v="Running Shoe"/>
    <s v="Footwear"/>
    <n v="3510"/>
    <n v="2110"/>
    <n v="7020"/>
    <n v="4220"/>
    <n v="2800"/>
    <s v="Jannat Islam"/>
    <x v="39"/>
    <x v="7"/>
    <x v="37"/>
  </r>
  <r>
    <s v="ORD-00149"/>
    <x v="129"/>
    <s v="CUS-SYL-014"/>
    <s v="R03"/>
    <s v="ST-SYL-05"/>
    <x v="38"/>
    <s v="P005"/>
    <n v="5"/>
    <n v="0.12"/>
    <n v="26162"/>
    <n v="5"/>
    <x v="5"/>
    <s v="USB-C Hub"/>
    <s v="Electronics"/>
    <n v="4890"/>
    <n v="3330"/>
    <n v="24450"/>
    <n v="16650"/>
    <n v="7800"/>
    <s v="Fahim Akter"/>
    <x v="38"/>
    <x v="3"/>
    <x v="4"/>
  </r>
  <r>
    <s v="ORD-00150"/>
    <x v="130"/>
    <s v="CUS-RAJ-014"/>
    <s v="R04"/>
    <s v="ST-RAJ-05"/>
    <x v="40"/>
    <s v="P013"/>
    <n v="3"/>
    <n v="0.1"/>
    <n v="6448"/>
    <n v="4"/>
    <x v="6"/>
    <s v="Women Kurti"/>
    <s v="Fashion"/>
    <n v="1990"/>
    <n v="1090"/>
    <n v="5970"/>
    <n v="3270"/>
    <n v="2700"/>
    <s v="Shuvo Sultana"/>
    <x v="40"/>
    <x v="1"/>
    <x v="38"/>
  </r>
  <r>
    <s v="ORD-00151"/>
    <x v="131"/>
    <s v="CUS-KHL-010"/>
    <s v="R05"/>
    <s v="ST-KHL-05"/>
    <x v="16"/>
    <s v="P034"/>
    <n v="4"/>
    <n v="0.03"/>
    <n v="11903"/>
    <n v="3"/>
    <x v="10"/>
    <s v="Yoga Mat"/>
    <s v="Sports"/>
    <n v="2730"/>
    <n v="1690"/>
    <n v="10920"/>
    <n v="6760"/>
    <n v="4160"/>
    <s v="Nabila Islam"/>
    <x v="16"/>
    <x v="6"/>
    <x v="30"/>
  </r>
  <r>
    <s v="ORD-00152"/>
    <x v="132"/>
    <s v="CUS-SYL-004"/>
    <s v="R03"/>
    <s v="ST-SYL-02"/>
    <x v="5"/>
    <s v="P010"/>
    <n v="7"/>
    <n v="0.08"/>
    <n v="23294"/>
    <n v="3"/>
    <x v="25"/>
    <s v="Table Fan"/>
    <s v="Home Appliance"/>
    <n v="3110"/>
    <n v="2180"/>
    <n v="21770"/>
    <n v="15260"/>
    <n v="6510"/>
    <s v="Tania Akter"/>
    <x v="5"/>
    <x v="3"/>
    <x v="32"/>
  </r>
  <r>
    <s v="ORD-00153"/>
    <x v="121"/>
    <s v="CUS-SYL-013"/>
    <s v="R03"/>
    <s v="ST-SYL-01"/>
    <x v="34"/>
    <s v="P038"/>
    <n v="7"/>
    <n v="0"/>
    <n v="2547"/>
    <n v="4"/>
    <x v="17"/>
    <s v="Office File Set"/>
    <s v="Stationery"/>
    <n v="340"/>
    <n v="170"/>
    <n v="2380"/>
    <n v="1190"/>
    <n v="1190"/>
    <s v="Rasel Islam"/>
    <x v="34"/>
    <x v="3"/>
    <x v="25"/>
  </r>
  <r>
    <s v="ORD-00154"/>
    <x v="133"/>
    <s v="CUS-CTG-020"/>
    <s v="R02"/>
    <s v="ST-CTG-01"/>
    <x v="37"/>
    <s v="P009"/>
    <n v="3"/>
    <n v="0.18"/>
    <n v="15595"/>
    <n v="7"/>
    <x v="23"/>
    <s v="Steam Iron"/>
    <s v="Home Appliance"/>
    <n v="4560"/>
    <n v="3190"/>
    <n v="13680"/>
    <n v="9570"/>
    <n v="4110"/>
    <s v="Shuvo Uddin"/>
    <x v="37"/>
    <x v="7"/>
    <x v="37"/>
  </r>
  <r>
    <s v="ORD-00155"/>
    <x v="134"/>
    <s v="CUS-KHL-023"/>
    <s v="R05"/>
    <s v="ST-KHL-05"/>
    <x v="45"/>
    <s v="P047"/>
    <n v="3"/>
    <n v="0.1"/>
    <n v="38194"/>
    <n v="9"/>
    <x v="32"/>
    <s v="Study Table"/>
    <s v="Furniture"/>
    <n v="11680"/>
    <n v="8410"/>
    <n v="35040"/>
    <n v="25230"/>
    <n v="9810"/>
    <s v="Ayesha Ahmed"/>
    <x v="45"/>
    <x v="6"/>
    <x v="30"/>
  </r>
  <r>
    <s v="ORD-00156"/>
    <x v="135"/>
    <s v="CUS-KHL-007"/>
    <s v="R05"/>
    <s v="ST-KHL-01"/>
    <x v="29"/>
    <s v="P015"/>
    <n v="3"/>
    <n v="0.03"/>
    <n v="8567"/>
    <n v="3"/>
    <x v="10"/>
    <s v="Leather Belt"/>
    <s v="Fashion"/>
    <n v="2620"/>
    <n v="1440"/>
    <n v="7860"/>
    <n v="4320"/>
    <n v="3540"/>
    <s v="Mahmud Chowdhury"/>
    <x v="29"/>
    <x v="6"/>
    <x v="24"/>
  </r>
  <r>
    <s v="ORD-00157"/>
    <x v="136"/>
    <s v="CUS-BAR-008"/>
    <s v="R06"/>
    <s v="ST-BAR-01"/>
    <x v="8"/>
    <s v="P002"/>
    <n v="4"/>
    <n v="0.12"/>
    <n v="14963"/>
    <n v="4"/>
    <x v="6"/>
    <s v="Wireless Mouse"/>
    <s v="Electronics"/>
    <n v="3340"/>
    <n v="2270"/>
    <n v="13360"/>
    <n v="9080"/>
    <n v="4280"/>
    <s v="Rasel Chowdhury"/>
    <x v="8"/>
    <x v="5"/>
    <x v="9"/>
  </r>
  <r>
    <s v="ORD-00158"/>
    <x v="12"/>
    <s v="CUS-RAJ-017"/>
    <s v="R04"/>
    <s v="ST-RAJ-01"/>
    <x v="30"/>
    <s v="P029"/>
    <n v="5"/>
    <n v="0.12"/>
    <n v="14472"/>
    <n v="2"/>
    <x v="24"/>
    <s v="Kids Sneaker"/>
    <s v="Footwear"/>
    <n v="2680"/>
    <n v="1610"/>
    <n v="13400"/>
    <n v="8050"/>
    <n v="5350"/>
    <s v="Mim Chowdhury"/>
    <x v="30"/>
    <x v="1"/>
    <x v="36"/>
  </r>
  <r>
    <s v="ORD-00159"/>
    <x v="137"/>
    <s v="CUS-BAR-012"/>
    <s v="R06"/>
    <s v="ST-BAR-03"/>
    <x v="8"/>
    <s v="P022"/>
    <n v="2"/>
    <n v="0.1"/>
    <n v="3718"/>
    <n v="4"/>
    <x v="6"/>
    <s v="Shampoo 375ml"/>
    <s v="Beauty &amp; Personal Care"/>
    <n v="1660"/>
    <n v="960"/>
    <n v="3320"/>
    <n v="1920"/>
    <n v="1400"/>
    <s v="Hasan Uddin"/>
    <x v="8"/>
    <x v="5"/>
    <x v="27"/>
  </r>
  <r>
    <s v="ORD-00160"/>
    <x v="138"/>
    <s v="CUS-RAN-017"/>
    <s v="R07"/>
    <s v="ST-RAN-01"/>
    <x v="21"/>
    <s v="P002"/>
    <n v="2"/>
    <n v="0.08"/>
    <n v="7682"/>
    <n v="5"/>
    <x v="29"/>
    <s v="Wireless Mouse"/>
    <s v="Electronics"/>
    <n v="3340"/>
    <n v="2270"/>
    <n v="6680"/>
    <n v="4540"/>
    <n v="2140"/>
    <s v="Tamanna Mia"/>
    <x v="21"/>
    <x v="0"/>
    <x v="0"/>
  </r>
  <r>
    <s v="ORD-00161"/>
    <x v="139"/>
    <s v="CUS-KHL-018"/>
    <s v="R05"/>
    <s v="ST-KHL-05"/>
    <x v="16"/>
    <s v="P028"/>
    <n v="3"/>
    <n v="0.05"/>
    <n v="10529"/>
    <n v="3"/>
    <x v="25"/>
    <s v="Ladies Sandal"/>
    <s v="Footwear"/>
    <n v="3220"/>
    <n v="1930"/>
    <n v="9660"/>
    <n v="5790"/>
    <n v="3870"/>
    <s v="Ayesha Sultana"/>
    <x v="16"/>
    <x v="6"/>
    <x v="30"/>
  </r>
  <r>
    <s v="ORD-00162"/>
    <x v="140"/>
    <s v="CUS-MYM-022"/>
    <s v="R08"/>
    <s v="ST-MYM-04"/>
    <x v="31"/>
    <s v="P041"/>
    <n v="1"/>
    <n v="0.03"/>
    <n v="907"/>
    <n v="1"/>
    <x v="7"/>
    <s v="Building Blocks"/>
    <s v="Kids &amp; Toys"/>
    <n v="840"/>
    <n v="460"/>
    <n v="840"/>
    <n v="460"/>
    <n v="380"/>
    <s v="Shamim Rahman"/>
    <x v="31"/>
    <x v="2"/>
    <x v="34"/>
  </r>
  <r>
    <s v="ORD-00163"/>
    <x v="128"/>
    <s v="CUS-RAN-021"/>
    <s v="R07"/>
    <s v="ST-RAN-02"/>
    <x v="0"/>
    <s v="P029"/>
    <n v="2"/>
    <n v="7.0000000000000007E-2"/>
    <n v="6164"/>
    <n v="6"/>
    <x v="16"/>
    <s v="Kids Sneaker"/>
    <s v="Footwear"/>
    <n v="2680"/>
    <n v="1610"/>
    <n v="5360"/>
    <n v="3220"/>
    <n v="2140"/>
    <s v="Mim Sultana"/>
    <x v="0"/>
    <x v="0"/>
    <x v="6"/>
  </r>
  <r>
    <s v="ORD-00164"/>
    <x v="141"/>
    <s v="CUS-KHL-008"/>
    <s v="R05"/>
    <s v="ST-KHL-03"/>
    <x v="45"/>
    <s v="P010"/>
    <n v="1"/>
    <n v="0.15"/>
    <n v="3390"/>
    <n v="5"/>
    <x v="5"/>
    <s v="Table Fan"/>
    <s v="Home Appliance"/>
    <n v="3110"/>
    <n v="2180"/>
    <n v="3110"/>
    <n v="2180"/>
    <n v="930"/>
    <s v="Jannat Rahman"/>
    <x v="45"/>
    <x v="6"/>
    <x v="17"/>
  </r>
  <r>
    <s v="ORD-00165"/>
    <x v="49"/>
    <s v="CUS-BAR-012"/>
    <s v="R06"/>
    <s v="ST-BAR-02"/>
    <x v="12"/>
    <s v="P005"/>
    <n v="2"/>
    <n v="0.1"/>
    <n v="10954"/>
    <n v="5"/>
    <x v="29"/>
    <s v="USB-C Hub"/>
    <s v="Electronics"/>
    <n v="4890"/>
    <n v="3330"/>
    <n v="9780"/>
    <n v="6660"/>
    <n v="3120"/>
    <s v="Hasan Uddin"/>
    <x v="12"/>
    <x v="5"/>
    <x v="11"/>
  </r>
  <r>
    <s v="ORD-00166"/>
    <x v="142"/>
    <s v="CUS-KHL-007"/>
    <s v="R05"/>
    <s v="ST-KHL-02"/>
    <x v="36"/>
    <s v="P039"/>
    <n v="1"/>
    <n v="0"/>
    <n v="1134"/>
    <n v="4"/>
    <x v="17"/>
    <s v="Marker Set"/>
    <s v="Stationery"/>
    <n v="1040"/>
    <n v="520"/>
    <n v="1040"/>
    <n v="520"/>
    <n v="520"/>
    <s v="Mahmud Chowdhury"/>
    <x v="36"/>
    <x v="6"/>
    <x v="14"/>
  </r>
  <r>
    <s v="ORD-00167"/>
    <x v="143"/>
    <s v="CUS-CTG-022"/>
    <s v="R02"/>
    <s v="ST-CTG-04"/>
    <x v="18"/>
    <s v="P001"/>
    <n v="5"/>
    <n v="0.12"/>
    <n v="18468"/>
    <n v="3"/>
    <x v="21"/>
    <s v="Bluetooth Speaker"/>
    <s v="Electronics"/>
    <n v="3240"/>
    <n v="2200"/>
    <n v="16200"/>
    <n v="11000"/>
    <n v="5200"/>
    <s v="Sadia Sultana"/>
    <x v="18"/>
    <x v="7"/>
    <x v="33"/>
  </r>
  <r>
    <s v="ORD-00168"/>
    <x v="144"/>
    <s v="CUS-KHL-016"/>
    <s v="R05"/>
    <s v="ST-KHL-02"/>
    <x v="29"/>
    <s v="P006"/>
    <n v="4"/>
    <n v="0.1"/>
    <n v="31392"/>
    <n v="4"/>
    <x v="6"/>
    <s v="Electric Kettle"/>
    <s v="Home Appliance"/>
    <n v="7200"/>
    <n v="5040"/>
    <n v="28800"/>
    <n v="20160"/>
    <n v="8640"/>
    <s v="Ayesha Akter"/>
    <x v="29"/>
    <x v="6"/>
    <x v="14"/>
  </r>
  <r>
    <s v="ORD-00169"/>
    <x v="145"/>
    <s v="CUS-DHA-017"/>
    <s v="R01"/>
    <s v="ST-DHA-04"/>
    <x v="6"/>
    <s v="P046"/>
    <n v="3"/>
    <n v="0.1"/>
    <n v="13928"/>
    <n v="6"/>
    <x v="16"/>
    <s v="Office Chair"/>
    <s v="Furniture"/>
    <n v="4380"/>
    <n v="3150"/>
    <n v="13140"/>
    <n v="9450"/>
    <n v="3690"/>
    <s v="Shakib Khan"/>
    <x v="6"/>
    <x v="4"/>
    <x v="35"/>
  </r>
  <r>
    <s v="ORD-00170"/>
    <x v="146"/>
    <s v="CUS-MYM-004"/>
    <s v="R08"/>
    <s v="ST-MYM-05"/>
    <x v="19"/>
    <s v="P007"/>
    <n v="1"/>
    <n v="0.1"/>
    <n v="8024"/>
    <n v="4"/>
    <x v="6"/>
    <s v="Rice Cooker"/>
    <s v="Home Appliance"/>
    <n v="7430"/>
    <n v="5200"/>
    <n v="7430"/>
    <n v="5200"/>
    <n v="2230"/>
    <s v="Morshed Sultana"/>
    <x v="19"/>
    <x v="2"/>
    <x v="28"/>
  </r>
  <r>
    <s v="ORD-00171"/>
    <x v="147"/>
    <s v="CUS-RAN-019"/>
    <s v="R07"/>
    <s v="ST-RAN-01"/>
    <x v="42"/>
    <s v="P009"/>
    <n v="1"/>
    <n v="0.12"/>
    <n v="5244"/>
    <n v="8"/>
    <x v="27"/>
    <s v="Steam Iron"/>
    <s v="Home Appliance"/>
    <n v="4560"/>
    <n v="3190"/>
    <n v="4560"/>
    <n v="3190"/>
    <n v="1370"/>
    <s v="Tania Mia"/>
    <x v="42"/>
    <x v="0"/>
    <x v="0"/>
  </r>
  <r>
    <s v="ORD-00172"/>
    <x v="6"/>
    <s v="CUS-BAR-012"/>
    <s v="R06"/>
    <s v="ST-BAR-02"/>
    <x v="22"/>
    <s v="P011"/>
    <n v="5"/>
    <n v="7.0000000000000007E-2"/>
    <n v="10472"/>
    <n v="7"/>
    <x v="2"/>
    <s v="Cotton T-Shirt"/>
    <s v="Fashion"/>
    <n v="1870"/>
    <n v="1030"/>
    <n v="9350"/>
    <n v="5150"/>
    <n v="4200"/>
    <s v="Hasan Uddin"/>
    <x v="22"/>
    <x v="5"/>
    <x v="11"/>
  </r>
  <r>
    <s v="ORD-00173"/>
    <x v="148"/>
    <s v="CUS-RAN-009"/>
    <s v="R07"/>
    <s v="ST-RAN-04"/>
    <x v="27"/>
    <s v="P020"/>
    <n v="5"/>
    <n v="0.03"/>
    <n v="12305"/>
    <n v="7"/>
    <x v="11"/>
    <s v="Tea Pack 500g"/>
    <s v="Grocery"/>
    <n v="2140"/>
    <n v="1670"/>
    <n v="10700"/>
    <n v="8350"/>
    <n v="2350"/>
    <s v="Samiha Uddin"/>
    <x v="27"/>
    <x v="0"/>
    <x v="13"/>
  </r>
  <r>
    <s v="ORD-00174"/>
    <x v="63"/>
    <s v="CUS-RAN-007"/>
    <s v="R07"/>
    <s v="ST-RAN-02"/>
    <x v="0"/>
    <s v="P003"/>
    <n v="1"/>
    <n v="0.15"/>
    <n v="3266"/>
    <n v="4"/>
    <x v="3"/>
    <s v="Power Bank"/>
    <s v="Electronics"/>
    <n v="2840"/>
    <n v="1930"/>
    <n v="2840"/>
    <n v="1930"/>
    <n v="910"/>
    <s v="Hasan Rahman"/>
    <x v="0"/>
    <x v="0"/>
    <x v="6"/>
  </r>
  <r>
    <s v="ORD-00175"/>
    <x v="149"/>
    <s v="CUS-SYL-021"/>
    <s v="R03"/>
    <s v="ST-SYL-05"/>
    <x v="5"/>
    <s v="P030"/>
    <n v="2"/>
    <n v="0.12"/>
    <n v="4002"/>
    <n v="3"/>
    <x v="21"/>
    <s v="Casual Loafer"/>
    <s v="Footwear"/>
    <n v="1870"/>
    <n v="1120"/>
    <n v="3740"/>
    <n v="2240"/>
    <n v="1500"/>
    <s v="Imran Chowdhury"/>
    <x v="5"/>
    <x v="3"/>
    <x v="4"/>
  </r>
  <r>
    <s v="ORD-00176"/>
    <x v="150"/>
    <s v="CUS-CTG-023"/>
    <s v="R02"/>
    <s v="ST-CTG-02"/>
    <x v="41"/>
    <s v="P004"/>
    <n v="2"/>
    <n v="0.08"/>
    <n v="8824"/>
    <n v="5"/>
    <x v="29"/>
    <s v="Smart Watch"/>
    <s v="Electronics"/>
    <n v="3870"/>
    <n v="2630"/>
    <n v="7740"/>
    <n v="5260"/>
    <n v="2480"/>
    <s v="Imran Uddin"/>
    <x v="41"/>
    <x v="7"/>
    <x v="22"/>
  </r>
  <r>
    <s v="ORD-00177"/>
    <x v="151"/>
    <s v="CUS-MYM-024"/>
    <s v="R08"/>
    <s v="ST-MYM-03"/>
    <x v="3"/>
    <s v="P008"/>
    <n v="2"/>
    <n v="0.15"/>
    <n v="5249"/>
    <n v="9"/>
    <x v="0"/>
    <s v="Blender Machine"/>
    <s v="Home Appliance"/>
    <n v="2430"/>
    <n v="1700"/>
    <n v="4860"/>
    <n v="3400"/>
    <n v="1460"/>
    <s v="Farhana Islam"/>
    <x v="3"/>
    <x v="2"/>
    <x v="10"/>
  </r>
  <r>
    <s v="ORD-00178"/>
    <x v="0"/>
    <s v="CUS-RAJ-019"/>
    <s v="R04"/>
    <s v="ST-RAJ-05"/>
    <x v="30"/>
    <s v="P025"/>
    <n v="8"/>
    <n v="7.0000000000000007E-2"/>
    <n v="10886"/>
    <n v="6"/>
    <x v="16"/>
    <s v="Perfume Spray"/>
    <s v="Beauty &amp; Personal Care"/>
    <n v="1260"/>
    <n v="730"/>
    <n v="10080"/>
    <n v="5840"/>
    <n v="4240"/>
    <s v="Shuvo Khan"/>
    <x v="30"/>
    <x v="1"/>
    <x v="38"/>
  </r>
  <r>
    <s v="ORD-00179"/>
    <x v="152"/>
    <s v="CUS-BAR-011"/>
    <s v="R06"/>
    <s v="ST-BAR-05"/>
    <x v="22"/>
    <s v="P034"/>
    <n v="7"/>
    <n v="0.12"/>
    <n v="21403"/>
    <n v="4"/>
    <x v="6"/>
    <s v="Yoga Mat"/>
    <s v="Sports"/>
    <n v="2730"/>
    <n v="1690"/>
    <n v="19110"/>
    <n v="11830"/>
    <n v="7280"/>
    <s v="Ayesha Islam"/>
    <x v="22"/>
    <x v="5"/>
    <x v="7"/>
  </r>
  <r>
    <s v="ORD-00180"/>
    <x v="103"/>
    <s v="CUS-SYL-006"/>
    <s v="R03"/>
    <s v="ST-SYL-03"/>
    <x v="32"/>
    <s v="P024"/>
    <n v="5"/>
    <n v="0.03"/>
    <n v="7544"/>
    <n v="5"/>
    <x v="19"/>
    <s v="Toothpaste Twin Pack"/>
    <s v="Beauty &amp; Personal Care"/>
    <n v="1410"/>
    <n v="820"/>
    <n v="7050"/>
    <n v="4100"/>
    <n v="2950"/>
    <s v="Shamim Akter"/>
    <x v="32"/>
    <x v="3"/>
    <x v="23"/>
  </r>
  <r>
    <s v="ORD-00181"/>
    <x v="80"/>
    <s v="CUS-CTG-006"/>
    <s v="R02"/>
    <s v="ST-CTG-03"/>
    <x v="23"/>
    <s v="P007"/>
    <n v="4"/>
    <n v="0.18"/>
    <n v="33881"/>
    <n v="6"/>
    <x v="11"/>
    <s v="Rice Cooker"/>
    <s v="Home Appliance"/>
    <n v="7430"/>
    <n v="5200"/>
    <n v="29720"/>
    <n v="20800"/>
    <n v="8920"/>
    <s v="Karim Rahman"/>
    <x v="23"/>
    <x v="7"/>
    <x v="16"/>
  </r>
  <r>
    <s v="ORD-00182"/>
    <x v="153"/>
    <s v="CUS-MYM-025"/>
    <s v="R08"/>
    <s v="ST-MYM-03"/>
    <x v="43"/>
    <s v="P021"/>
    <n v="2"/>
    <n v="0.03"/>
    <n v="2765"/>
    <n v="3"/>
    <x v="10"/>
    <s v="Face Wash"/>
    <s v="Beauty &amp; Personal Care"/>
    <n v="1280"/>
    <n v="740"/>
    <n v="2560"/>
    <n v="1480"/>
    <n v="1080"/>
    <s v="Shaila Ahmed"/>
    <x v="43"/>
    <x v="2"/>
    <x v="10"/>
  </r>
  <r>
    <s v="ORD-00183"/>
    <x v="154"/>
    <s v="CUS-SYL-024"/>
    <s v="R03"/>
    <s v="ST-SYL-02"/>
    <x v="25"/>
    <s v="P005"/>
    <n v="2"/>
    <n v="0.08"/>
    <n v="10465"/>
    <n v="6"/>
    <x v="16"/>
    <s v="USB-C Hub"/>
    <s v="Electronics"/>
    <n v="4890"/>
    <n v="3330"/>
    <n v="9780"/>
    <n v="6660"/>
    <n v="3120"/>
    <s v="Sajib Sultana"/>
    <x v="25"/>
    <x v="3"/>
    <x v="32"/>
  </r>
  <r>
    <s v="ORD-00184"/>
    <x v="155"/>
    <s v="CUS-MYM-018"/>
    <s v="R08"/>
    <s v="ST-MYM-01"/>
    <x v="17"/>
    <s v="P034"/>
    <n v="3"/>
    <n v="0.05"/>
    <n v="8845"/>
    <n v="6"/>
    <x v="4"/>
    <s v="Yoga Mat"/>
    <s v="Sports"/>
    <n v="2730"/>
    <n v="1690"/>
    <n v="8190"/>
    <n v="5070"/>
    <n v="3120"/>
    <s v="Nusrat Akter"/>
    <x v="17"/>
    <x v="2"/>
    <x v="3"/>
  </r>
  <r>
    <s v="ORD-00185"/>
    <x v="156"/>
    <s v="CUS-CTG-021"/>
    <s v="R02"/>
    <s v="ST-CTG-04"/>
    <x v="15"/>
    <s v="P005"/>
    <n v="2"/>
    <n v="0.1"/>
    <n v="11149"/>
    <n v="7"/>
    <x v="12"/>
    <s v="USB-C Hub"/>
    <s v="Electronics"/>
    <n v="4890"/>
    <n v="3330"/>
    <n v="9780"/>
    <n v="6660"/>
    <n v="3120"/>
    <s v="Mahmud Islam"/>
    <x v="15"/>
    <x v="7"/>
    <x v="33"/>
  </r>
  <r>
    <s v="ORD-00186"/>
    <x v="157"/>
    <s v="CUS-DHA-002"/>
    <s v="R01"/>
    <s v="ST-DHA-03"/>
    <x v="14"/>
    <s v="P041"/>
    <n v="10"/>
    <n v="7.0000000000000007E-2"/>
    <n v="8904"/>
    <n v="5"/>
    <x v="29"/>
    <s v="Building Blocks"/>
    <s v="Kids &amp; Toys"/>
    <n v="840"/>
    <n v="460"/>
    <n v="8400"/>
    <n v="4600"/>
    <n v="3800"/>
    <s v="Tamanna Hossain"/>
    <x v="14"/>
    <x v="4"/>
    <x v="5"/>
  </r>
  <r>
    <s v="ORD-00187"/>
    <x v="158"/>
    <s v="CUS-MYM-005"/>
    <s v="R08"/>
    <s v="ST-MYM-05"/>
    <x v="11"/>
    <s v="P021"/>
    <n v="5"/>
    <n v="0.12"/>
    <n v="6912"/>
    <n v="2"/>
    <x v="24"/>
    <s v="Face Wash"/>
    <s v="Beauty &amp; Personal Care"/>
    <n v="1280"/>
    <n v="740"/>
    <n v="6400"/>
    <n v="3700"/>
    <n v="2700"/>
    <s v="Shamim Hossain"/>
    <x v="11"/>
    <x v="2"/>
    <x v="28"/>
  </r>
  <r>
    <s v="ORD-00188"/>
    <x v="159"/>
    <s v="CUS-KHL-012"/>
    <s v="R05"/>
    <s v="ST-KHL-04"/>
    <x v="29"/>
    <s v="P005"/>
    <n v="3"/>
    <n v="0.15"/>
    <n v="15990"/>
    <n v="4"/>
    <x v="3"/>
    <s v="USB-C Hub"/>
    <s v="Electronics"/>
    <n v="4890"/>
    <n v="3330"/>
    <n v="14670"/>
    <n v="9990"/>
    <n v="4680"/>
    <s v="Nayeem Chowdhury"/>
    <x v="29"/>
    <x v="6"/>
    <x v="19"/>
  </r>
  <r>
    <s v="ORD-00189"/>
    <x v="160"/>
    <s v="CUS-KHL-005"/>
    <s v="R05"/>
    <s v="ST-KHL-03"/>
    <x v="45"/>
    <s v="P001"/>
    <n v="2"/>
    <n v="0.15"/>
    <n v="7063"/>
    <n v="1"/>
    <x v="1"/>
    <s v="Bluetooth Speaker"/>
    <s v="Electronics"/>
    <n v="3240"/>
    <n v="2200"/>
    <n v="6480"/>
    <n v="4400"/>
    <n v="2080"/>
    <s v="Sajib Hossain"/>
    <x v="45"/>
    <x v="6"/>
    <x v="17"/>
  </r>
  <r>
    <s v="ORD-00190"/>
    <x v="161"/>
    <s v="CUS-MYM-025"/>
    <s v="R08"/>
    <s v="ST-MYM-04"/>
    <x v="3"/>
    <s v="P001"/>
    <n v="6"/>
    <n v="0.1"/>
    <n v="20995"/>
    <n v="3"/>
    <x v="21"/>
    <s v="Bluetooth Speaker"/>
    <s v="Electronics"/>
    <n v="3240"/>
    <n v="2200"/>
    <n v="19440"/>
    <n v="13200"/>
    <n v="6240"/>
    <s v="Shaila Ahmed"/>
    <x v="3"/>
    <x v="2"/>
    <x v="34"/>
  </r>
  <r>
    <s v="ORD-00191"/>
    <x v="162"/>
    <s v="CUS-DHA-018"/>
    <s v="R01"/>
    <s v="ST-DHA-03"/>
    <x v="28"/>
    <s v="P010"/>
    <n v="2"/>
    <n v="0.15"/>
    <n v="6593"/>
    <n v="5"/>
    <x v="5"/>
    <s v="Table Fan"/>
    <s v="Home Appliance"/>
    <n v="3110"/>
    <n v="2180"/>
    <n v="6220"/>
    <n v="4360"/>
    <n v="1860"/>
    <s v="Rafi Khan"/>
    <x v="28"/>
    <x v="4"/>
    <x v="5"/>
  </r>
  <r>
    <s v="ORD-00192"/>
    <x v="163"/>
    <s v="CUS-CTG-014"/>
    <s v="R02"/>
    <s v="ST-CTG-02"/>
    <x v="18"/>
    <s v="P034"/>
    <n v="2"/>
    <n v="0.12"/>
    <n v="6224"/>
    <n v="4"/>
    <x v="6"/>
    <s v="Yoga Mat"/>
    <s v="Sports"/>
    <n v="2730"/>
    <n v="1690"/>
    <n v="5460"/>
    <n v="3380"/>
    <n v="2080"/>
    <s v="Ayesha Sultana"/>
    <x v="18"/>
    <x v="7"/>
    <x v="22"/>
  </r>
  <r>
    <s v="ORD-00193"/>
    <x v="164"/>
    <s v="CUS-KHL-014"/>
    <s v="R05"/>
    <s v="ST-KHL-02"/>
    <x v="45"/>
    <s v="P004"/>
    <n v="1"/>
    <n v="0.15"/>
    <n v="4218"/>
    <n v="2"/>
    <x v="10"/>
    <s v="Smart Watch"/>
    <s v="Electronics"/>
    <n v="3870"/>
    <n v="2630"/>
    <n v="3870"/>
    <n v="2630"/>
    <n v="1240"/>
    <s v="Imran Uddin"/>
    <x v="45"/>
    <x v="6"/>
    <x v="14"/>
  </r>
  <r>
    <s v="ORD-00194"/>
    <x v="165"/>
    <s v="CUS-MYM-007"/>
    <s v="R08"/>
    <s v="ST-MYM-03"/>
    <x v="17"/>
    <s v="P003"/>
    <n v="1"/>
    <n v="0.08"/>
    <n v="3067"/>
    <n v="3"/>
    <x v="25"/>
    <s v="Power Bank"/>
    <s v="Electronics"/>
    <n v="2840"/>
    <n v="1930"/>
    <n v="2840"/>
    <n v="1930"/>
    <n v="910"/>
    <s v="Shakib Mia"/>
    <x v="17"/>
    <x v="2"/>
    <x v="10"/>
  </r>
  <r>
    <s v="ORD-00195"/>
    <x v="146"/>
    <s v="CUS-KHL-009"/>
    <s v="R05"/>
    <s v="ST-KHL-02"/>
    <x v="13"/>
    <s v="P011"/>
    <n v="1"/>
    <n v="0.05"/>
    <n v="2038"/>
    <n v="4"/>
    <x v="20"/>
    <s v="Cotton T-Shirt"/>
    <s v="Fashion"/>
    <n v="1870"/>
    <n v="1030"/>
    <n v="1870"/>
    <n v="1030"/>
    <n v="840"/>
    <s v="Arif Akter"/>
    <x v="13"/>
    <x v="6"/>
    <x v="14"/>
  </r>
  <r>
    <s v="ORD-00196"/>
    <x v="166"/>
    <s v="CUS-RAN-010"/>
    <s v="R07"/>
    <s v="ST-RAN-04"/>
    <x v="42"/>
    <s v="P012"/>
    <n v="2"/>
    <n v="0.05"/>
    <n v="4186"/>
    <n v="6"/>
    <x v="4"/>
    <s v="Formal Shirt"/>
    <s v="Fashion"/>
    <n v="1820"/>
    <n v="1000"/>
    <n v="3640"/>
    <n v="2000"/>
    <n v="1640"/>
    <s v="Farhana Hossain"/>
    <x v="42"/>
    <x v="0"/>
    <x v="13"/>
  </r>
  <r>
    <s v="ORD-00197"/>
    <x v="167"/>
    <s v="CUS-DHA-009"/>
    <s v="R01"/>
    <s v="ST-DHA-04"/>
    <x v="44"/>
    <s v="P018"/>
    <n v="1"/>
    <n v="0.03"/>
    <n v="1813"/>
    <n v="3"/>
    <x v="10"/>
    <s v="Lentil 1kg"/>
    <s v="Grocery"/>
    <n v="1710"/>
    <n v="1330"/>
    <n v="1710"/>
    <n v="1330"/>
    <n v="380"/>
    <s v="Rumana Ahmed"/>
    <x v="44"/>
    <x v="4"/>
    <x v="35"/>
  </r>
  <r>
    <s v="ORD-00198"/>
    <x v="37"/>
    <s v="CUS-CTG-025"/>
    <s v="R02"/>
    <s v="ST-CTG-02"/>
    <x v="39"/>
    <s v="P034"/>
    <n v="1"/>
    <n v="0.05"/>
    <n v="3112"/>
    <n v="2"/>
    <x v="15"/>
    <s v="Yoga Mat"/>
    <s v="Sports"/>
    <n v="2730"/>
    <n v="1690"/>
    <n v="2730"/>
    <n v="1690"/>
    <n v="1040"/>
    <s v="Sadia Chowdhury"/>
    <x v="39"/>
    <x v="7"/>
    <x v="22"/>
  </r>
  <r>
    <s v="ORD-00199"/>
    <x v="168"/>
    <s v="CUS-MYM-024"/>
    <s v="R08"/>
    <s v="ST-MYM-01"/>
    <x v="31"/>
    <s v="P026"/>
    <n v="2"/>
    <n v="7.0000000000000007E-2"/>
    <n v="7582"/>
    <n v="5"/>
    <x v="29"/>
    <s v="Running Shoe"/>
    <s v="Footwear"/>
    <n v="3510"/>
    <n v="2110"/>
    <n v="7020"/>
    <n v="4220"/>
    <n v="2800"/>
    <s v="Farhana Islam"/>
    <x v="31"/>
    <x v="2"/>
    <x v="3"/>
  </r>
  <r>
    <s v="ORD-00200"/>
    <x v="169"/>
    <s v="CUS-DHA-024"/>
    <s v="R01"/>
    <s v="ST-DHA-05"/>
    <x v="9"/>
    <s v="P003"/>
    <n v="3"/>
    <n v="0.1"/>
    <n v="9031"/>
    <n v="2"/>
    <x v="24"/>
    <s v="Power Bank"/>
    <s v="Electronics"/>
    <n v="2840"/>
    <n v="1930"/>
    <n v="8520"/>
    <n v="5790"/>
    <n v="2730"/>
    <s v="Hasan Akter"/>
    <x v="9"/>
    <x v="4"/>
    <x v="15"/>
  </r>
  <r>
    <s v="ORD-00201"/>
    <x v="170"/>
    <s v="CUS-BAR-002"/>
    <s v="R06"/>
    <s v="ST-BAR-02"/>
    <x v="47"/>
    <s v="P005"/>
    <n v="2"/>
    <n v="0.12"/>
    <n v="10954"/>
    <n v="3"/>
    <x v="21"/>
    <s v="USB-C Hub"/>
    <s v="Electronics"/>
    <n v="4890"/>
    <n v="3330"/>
    <n v="9780"/>
    <n v="6660"/>
    <n v="3120"/>
    <s v="Nabila Khan"/>
    <x v="47"/>
    <x v="5"/>
    <x v="11"/>
  </r>
  <r>
    <s v="ORD-00202"/>
    <x v="97"/>
    <s v="CUS-RAJ-001"/>
    <s v="R04"/>
    <s v="ST-RAJ-01"/>
    <x v="40"/>
    <s v="P035"/>
    <n v="4"/>
    <n v="0.05"/>
    <n v="4795"/>
    <n v="3"/>
    <x v="25"/>
    <s v="Dumbbell Set"/>
    <s v="Sports"/>
    <n v="1110"/>
    <n v="690"/>
    <n v="4440"/>
    <n v="2760"/>
    <n v="1680"/>
    <s v="Mehedi Mia"/>
    <x v="40"/>
    <x v="1"/>
    <x v="36"/>
  </r>
  <r>
    <s v="ORD-00203"/>
    <x v="171"/>
    <s v="CUS-BAR-025"/>
    <s v="R06"/>
    <s v="ST-BAR-01"/>
    <x v="8"/>
    <s v="P003"/>
    <n v="5"/>
    <n v="0.08"/>
    <n v="15904"/>
    <n v="7"/>
    <x v="2"/>
    <s v="Power Bank"/>
    <s v="Electronics"/>
    <n v="2840"/>
    <n v="1930"/>
    <n v="14200"/>
    <n v="9650"/>
    <n v="4550"/>
    <s v="Fahim Khan"/>
    <x v="8"/>
    <x v="5"/>
    <x v="9"/>
  </r>
  <r>
    <s v="ORD-00204"/>
    <x v="172"/>
    <s v="CUS-CTG-005"/>
    <s v="R02"/>
    <s v="ST-CTG-04"/>
    <x v="23"/>
    <s v="P007"/>
    <n v="6"/>
    <n v="0.1"/>
    <n v="50821"/>
    <n v="8"/>
    <x v="27"/>
    <s v="Rice Cooker"/>
    <s v="Home Appliance"/>
    <n v="7430"/>
    <n v="5200"/>
    <n v="44580"/>
    <n v="31200"/>
    <n v="13380"/>
    <s v="Shakib Mia"/>
    <x v="23"/>
    <x v="7"/>
    <x v="33"/>
  </r>
  <r>
    <s v="ORD-00205"/>
    <x v="173"/>
    <s v="CUS-DHA-023"/>
    <s v="R01"/>
    <s v="ST-DHA-04"/>
    <x v="14"/>
    <s v="P031"/>
    <n v="6"/>
    <n v="0.1"/>
    <n v="16790"/>
    <n v="1"/>
    <x v="13"/>
    <s v="Cricket Bat"/>
    <s v="Sports"/>
    <n v="2640"/>
    <n v="1640"/>
    <n v="15840"/>
    <n v="9840"/>
    <n v="6000"/>
    <s v="Nayeem Uddin"/>
    <x v="14"/>
    <x v="4"/>
    <x v="35"/>
  </r>
  <r>
    <s v="ORD-00206"/>
    <x v="174"/>
    <s v="CUS-MYM-007"/>
    <s v="R08"/>
    <s v="ST-MYM-05"/>
    <x v="11"/>
    <s v="P018"/>
    <n v="4"/>
    <n v="0.03"/>
    <n v="7387"/>
    <n v="2"/>
    <x v="15"/>
    <s v="Lentil 1kg"/>
    <s v="Grocery"/>
    <n v="1710"/>
    <n v="1330"/>
    <n v="6840"/>
    <n v="5320"/>
    <n v="1520"/>
    <s v="Shakib Mia"/>
    <x v="11"/>
    <x v="2"/>
    <x v="28"/>
  </r>
  <r>
    <s v="ORD-00207"/>
    <x v="114"/>
    <s v="CUS-SYL-003"/>
    <s v="R03"/>
    <s v="ST-SYL-05"/>
    <x v="20"/>
    <s v="P012"/>
    <n v="3"/>
    <n v="0.1"/>
    <n v="5842"/>
    <n v="6"/>
    <x v="16"/>
    <s v="Formal Shirt"/>
    <s v="Fashion"/>
    <n v="1820"/>
    <n v="1000"/>
    <n v="5460"/>
    <n v="3000"/>
    <n v="2460"/>
    <s v="Farhana Khan"/>
    <x v="20"/>
    <x v="3"/>
    <x v="4"/>
  </r>
  <r>
    <s v="ORD-00208"/>
    <x v="175"/>
    <s v="CUS-RAN-024"/>
    <s v="R07"/>
    <s v="ST-RAN-02"/>
    <x v="7"/>
    <s v="P023"/>
    <n v="4"/>
    <n v="0.05"/>
    <n v="5336"/>
    <n v="6"/>
    <x v="4"/>
    <s v="Body Lotion"/>
    <s v="Beauty &amp; Personal Care"/>
    <n v="1160"/>
    <n v="670"/>
    <n v="4640"/>
    <n v="2680"/>
    <n v="1960"/>
    <s v="Shuvo Hossain"/>
    <x v="7"/>
    <x v="0"/>
    <x v="6"/>
  </r>
  <r>
    <s v="ORD-00209"/>
    <x v="27"/>
    <s v="CUS-BAR-024"/>
    <s v="R06"/>
    <s v="ST-BAR-01"/>
    <x v="10"/>
    <s v="P048"/>
    <n v="1"/>
    <n v="0.1"/>
    <n v="5958"/>
    <n v="7"/>
    <x v="12"/>
    <s v="Shoe Rack"/>
    <s v="Furniture"/>
    <n v="5320"/>
    <n v="3830"/>
    <n v="5320"/>
    <n v="3830"/>
    <n v="1490"/>
    <s v="Rumana Chowdhury"/>
    <x v="10"/>
    <x v="5"/>
    <x v="9"/>
  </r>
  <r>
    <s v="ORD-00210"/>
    <x v="176"/>
    <s v="CUS-KHL-011"/>
    <s v="R05"/>
    <s v="ST-KHL-04"/>
    <x v="13"/>
    <s v="P007"/>
    <n v="3"/>
    <n v="0.08"/>
    <n v="24296"/>
    <n v="4"/>
    <x v="6"/>
    <s v="Rice Cooker"/>
    <s v="Home Appliance"/>
    <n v="7430"/>
    <n v="5200"/>
    <n v="22290"/>
    <n v="15600"/>
    <n v="6690"/>
    <s v="Rumana Islam"/>
    <x v="13"/>
    <x v="6"/>
    <x v="19"/>
  </r>
  <r>
    <s v="ORD-00211"/>
    <x v="177"/>
    <s v="CUS-SYL-006"/>
    <s v="R03"/>
    <s v="ST-SYL-01"/>
    <x v="20"/>
    <s v="P002"/>
    <n v="1"/>
    <n v="0.18"/>
    <n v="3574"/>
    <n v="2"/>
    <x v="10"/>
    <s v="Wireless Mouse"/>
    <s v="Electronics"/>
    <n v="3340"/>
    <n v="2270"/>
    <n v="3340"/>
    <n v="2270"/>
    <n v="1070"/>
    <s v="Shamim Akter"/>
    <x v="20"/>
    <x v="3"/>
    <x v="25"/>
  </r>
  <r>
    <s v="ORD-00212"/>
    <x v="24"/>
    <s v="CUS-MYM-017"/>
    <s v="R08"/>
    <s v="ST-MYM-05"/>
    <x v="43"/>
    <s v="P021"/>
    <n v="2"/>
    <n v="0.12"/>
    <n v="2765"/>
    <n v="3"/>
    <x v="21"/>
    <s v="Face Wash"/>
    <s v="Beauty &amp; Personal Care"/>
    <n v="1280"/>
    <n v="740"/>
    <n v="2560"/>
    <n v="1480"/>
    <n v="1080"/>
    <s v="Rafi Akter"/>
    <x v="43"/>
    <x v="2"/>
    <x v="28"/>
  </r>
  <r>
    <s v="ORD-00213"/>
    <x v="154"/>
    <s v="CUS-CTG-001"/>
    <s v="R02"/>
    <s v="ST-CTG-02"/>
    <x v="37"/>
    <s v="P014"/>
    <n v="4"/>
    <n v="0.03"/>
    <n v="4013"/>
    <n v="3"/>
    <x v="10"/>
    <s v="Denim Jeans"/>
    <s v="Fashion"/>
    <n v="880"/>
    <n v="480"/>
    <n v="3520"/>
    <n v="1920"/>
    <n v="1600"/>
    <s v="Shaila Sultana"/>
    <x v="37"/>
    <x v="7"/>
    <x v="22"/>
  </r>
  <r>
    <s v="ORD-00214"/>
    <x v="178"/>
    <s v="CUS-RAN-012"/>
    <s v="R07"/>
    <s v="ST-RAN-01"/>
    <x v="21"/>
    <s v="P005"/>
    <n v="4"/>
    <n v="0.12"/>
    <n v="22494"/>
    <n v="8"/>
    <x v="27"/>
    <s v="USB-C Hub"/>
    <s v="Electronics"/>
    <n v="4890"/>
    <n v="3330"/>
    <n v="19560"/>
    <n v="13320"/>
    <n v="6240"/>
    <s v="Rumana Hossain"/>
    <x v="21"/>
    <x v="0"/>
    <x v="0"/>
  </r>
  <r>
    <s v="ORD-00215"/>
    <x v="179"/>
    <s v="CUS-CTG-007"/>
    <s v="R02"/>
    <s v="ST-CTG-05"/>
    <x v="41"/>
    <s v="P002"/>
    <n v="3"/>
    <n v="0.1"/>
    <n v="11423"/>
    <n v="6"/>
    <x v="16"/>
    <s v="Wireless Mouse"/>
    <s v="Electronics"/>
    <n v="3340"/>
    <n v="2270"/>
    <n v="10020"/>
    <n v="6810"/>
    <n v="3210"/>
    <s v="Mehedi Khan"/>
    <x v="41"/>
    <x v="7"/>
    <x v="31"/>
  </r>
  <r>
    <s v="ORD-00216"/>
    <x v="180"/>
    <s v="CUS-SYL-018"/>
    <s v="R03"/>
    <s v="ST-SYL-05"/>
    <x v="32"/>
    <s v="P032"/>
    <n v="3"/>
    <n v="0.1"/>
    <n v="11941"/>
    <n v="5"/>
    <x v="29"/>
    <s v="Football"/>
    <s v="Sports"/>
    <n v="3720"/>
    <n v="2310"/>
    <n v="11160"/>
    <n v="6930"/>
    <n v="4230"/>
    <s v="Rafi Chowdhury"/>
    <x v="32"/>
    <x v="3"/>
    <x v="4"/>
  </r>
  <r>
    <s v="ORD-00217"/>
    <x v="60"/>
    <s v="CUS-CTG-006"/>
    <s v="R02"/>
    <s v="ST-CTG-02"/>
    <x v="18"/>
    <s v="P010"/>
    <n v="5"/>
    <n v="0.18"/>
    <n v="17727"/>
    <n v="5"/>
    <x v="4"/>
    <s v="Table Fan"/>
    <s v="Home Appliance"/>
    <n v="3110"/>
    <n v="2180"/>
    <n v="15550"/>
    <n v="10900"/>
    <n v="4650"/>
    <s v="Karim Rahman"/>
    <x v="18"/>
    <x v="7"/>
    <x v="22"/>
  </r>
  <r>
    <s v="ORD-00218"/>
    <x v="161"/>
    <s v="CUS-BAR-018"/>
    <s v="R06"/>
    <s v="ST-BAR-03"/>
    <x v="33"/>
    <s v="P010"/>
    <n v="6"/>
    <n v="0.18"/>
    <n v="20899"/>
    <n v="8"/>
    <x v="9"/>
    <s v="Table Fan"/>
    <s v="Home Appliance"/>
    <n v="3110"/>
    <n v="2180"/>
    <n v="18660"/>
    <n v="13080"/>
    <n v="5580"/>
    <s v="Samiha Ahmed"/>
    <x v="33"/>
    <x v="5"/>
    <x v="27"/>
  </r>
  <r>
    <s v="ORD-00219"/>
    <x v="150"/>
    <s v="CUS-RAJ-019"/>
    <s v="R04"/>
    <s v="ST-RAJ-05"/>
    <x v="46"/>
    <s v="P009"/>
    <n v="2"/>
    <n v="0.15"/>
    <n v="9850"/>
    <n v="4"/>
    <x v="3"/>
    <s v="Steam Iron"/>
    <s v="Home Appliance"/>
    <n v="4560"/>
    <n v="3190"/>
    <n v="9120"/>
    <n v="6380"/>
    <n v="2740"/>
    <s v="Shuvo Khan"/>
    <x v="46"/>
    <x v="1"/>
    <x v="38"/>
  </r>
  <r>
    <s v="ORD-00220"/>
    <x v="14"/>
    <s v="CUS-DHA-010"/>
    <s v="R01"/>
    <s v="ST-DHA-05"/>
    <x v="44"/>
    <s v="P016"/>
    <n v="1"/>
    <n v="0.02"/>
    <n v="1177"/>
    <n v="3"/>
    <x v="10"/>
    <s v="Premium Rice 5kg"/>
    <s v="Grocery"/>
    <n v="1110"/>
    <n v="870"/>
    <n v="1110"/>
    <n v="870"/>
    <n v="240"/>
    <s v="Shamim Khan"/>
    <x v="44"/>
    <x v="4"/>
    <x v="15"/>
  </r>
  <r>
    <s v="ORD-00221"/>
    <x v="181"/>
    <s v="CUS-RAJ-011"/>
    <s v="R04"/>
    <s v="ST-RAJ-01"/>
    <x v="30"/>
    <s v="P038"/>
    <n v="3"/>
    <n v="0.02"/>
    <n v="1102"/>
    <n v="6"/>
    <x v="4"/>
    <s v="Office File Set"/>
    <s v="Stationery"/>
    <n v="340"/>
    <n v="170"/>
    <n v="1020"/>
    <n v="510"/>
    <n v="510"/>
    <s v="Imran Uddin"/>
    <x v="30"/>
    <x v="1"/>
    <x v="36"/>
  </r>
  <r>
    <s v="ORD-00222"/>
    <x v="40"/>
    <s v="CUS-SYL-005"/>
    <s v="R03"/>
    <s v="ST-SYL-03"/>
    <x v="38"/>
    <s v="P043"/>
    <n v="1"/>
    <n v="7.0000000000000007E-2"/>
    <n v="2354"/>
    <n v="4"/>
    <x v="20"/>
    <s v="Puzzle Board"/>
    <s v="Kids &amp; Toys"/>
    <n v="2200"/>
    <n v="1210"/>
    <n v="2200"/>
    <n v="1210"/>
    <n v="990"/>
    <s v="Shamim Mia"/>
    <x v="38"/>
    <x v="3"/>
    <x v="23"/>
  </r>
  <r>
    <s v="ORD-00223"/>
    <x v="182"/>
    <s v="CUS-CTG-019"/>
    <s v="R02"/>
    <s v="ST-CTG-04"/>
    <x v="18"/>
    <s v="P045"/>
    <n v="5"/>
    <n v="0.05"/>
    <n v="4788"/>
    <n v="1"/>
    <x v="7"/>
    <s v="Kids Story Book"/>
    <s v="Kids &amp; Toys"/>
    <n v="840"/>
    <n v="460"/>
    <n v="4200"/>
    <n v="2300"/>
    <n v="1900"/>
    <s v="Tanjim Rahman"/>
    <x v="18"/>
    <x v="7"/>
    <x v="33"/>
  </r>
  <r>
    <s v="ORD-00224"/>
    <x v="54"/>
    <s v="CUS-CTG-020"/>
    <s v="R02"/>
    <s v="ST-CTG-03"/>
    <x v="41"/>
    <s v="P031"/>
    <n v="1"/>
    <n v="0.03"/>
    <n v="3010"/>
    <n v="5"/>
    <x v="19"/>
    <s v="Cricket Bat"/>
    <s v="Sports"/>
    <n v="2640"/>
    <n v="1640"/>
    <n v="2640"/>
    <n v="1640"/>
    <n v="1000"/>
    <s v="Shuvo Uddin"/>
    <x v="41"/>
    <x v="7"/>
    <x v="16"/>
  </r>
  <r>
    <s v="ORD-00225"/>
    <x v="183"/>
    <s v="CUS-BAR-012"/>
    <s v="R06"/>
    <s v="ST-BAR-04"/>
    <x v="22"/>
    <s v="P045"/>
    <n v="5"/>
    <n v="0.05"/>
    <n v="4704"/>
    <n v="5"/>
    <x v="19"/>
    <s v="Kids Story Book"/>
    <s v="Kids &amp; Toys"/>
    <n v="840"/>
    <n v="460"/>
    <n v="4200"/>
    <n v="2300"/>
    <n v="1900"/>
    <s v="Hasan Uddin"/>
    <x v="22"/>
    <x v="5"/>
    <x v="12"/>
  </r>
  <r>
    <s v="ORD-00226"/>
    <x v="184"/>
    <s v="CUS-DHA-021"/>
    <s v="R01"/>
    <s v="ST-DHA-04"/>
    <x v="44"/>
    <s v="P006"/>
    <n v="2"/>
    <n v="0.18"/>
    <n v="15264"/>
    <n v="1"/>
    <x v="15"/>
    <s v="Electric Kettle"/>
    <s v="Home Appliance"/>
    <n v="7200"/>
    <n v="5040"/>
    <n v="14400"/>
    <n v="10080"/>
    <n v="4320"/>
    <s v="Tanjim Chowdhury"/>
    <x v="44"/>
    <x v="4"/>
    <x v="35"/>
  </r>
  <r>
    <s v="ORD-00227"/>
    <x v="185"/>
    <s v="CUS-SYL-011"/>
    <s v="R03"/>
    <s v="ST-SYL-05"/>
    <x v="25"/>
    <s v="P004"/>
    <n v="3"/>
    <n v="0.15"/>
    <n v="12423"/>
    <n v="6"/>
    <x v="28"/>
    <s v="Smart Watch"/>
    <s v="Electronics"/>
    <n v="3870"/>
    <n v="2630"/>
    <n v="11610"/>
    <n v="7890"/>
    <n v="3720"/>
    <s v="Shamim Akter"/>
    <x v="25"/>
    <x v="3"/>
    <x v="4"/>
  </r>
  <r>
    <s v="ORD-00228"/>
    <x v="186"/>
    <s v="CUS-CTG-008"/>
    <s v="R02"/>
    <s v="ST-CTG-04"/>
    <x v="15"/>
    <s v="P035"/>
    <n v="1"/>
    <n v="0.03"/>
    <n v="1265"/>
    <n v="4"/>
    <x v="17"/>
    <s v="Dumbbell Set"/>
    <s v="Sports"/>
    <n v="1110"/>
    <n v="690"/>
    <n v="1110"/>
    <n v="690"/>
    <n v="420"/>
    <s v="Mim Akter"/>
    <x v="15"/>
    <x v="7"/>
    <x v="33"/>
  </r>
  <r>
    <s v="ORD-00229"/>
    <x v="187"/>
    <s v="CUS-MYM-019"/>
    <s v="R08"/>
    <s v="ST-MYM-01"/>
    <x v="31"/>
    <s v="P010"/>
    <n v="3"/>
    <n v="0.1"/>
    <n v="10076"/>
    <n v="6"/>
    <x v="16"/>
    <s v="Table Fan"/>
    <s v="Home Appliance"/>
    <n v="3110"/>
    <n v="2180"/>
    <n v="9330"/>
    <n v="6540"/>
    <n v="2790"/>
    <s v="Hasan Sultana"/>
    <x v="31"/>
    <x v="2"/>
    <x v="3"/>
  </r>
  <r>
    <s v="ORD-00230"/>
    <x v="188"/>
    <s v="CUS-RAJ-016"/>
    <s v="R04"/>
    <s v="ST-RAJ-04"/>
    <x v="30"/>
    <s v="P020"/>
    <n v="1"/>
    <n v="0.03"/>
    <n v="2311"/>
    <n v="2"/>
    <x v="15"/>
    <s v="Tea Pack 500g"/>
    <s v="Grocery"/>
    <n v="2140"/>
    <n v="1670"/>
    <n v="2140"/>
    <n v="1670"/>
    <n v="470"/>
    <s v="Hasan Rahman"/>
    <x v="30"/>
    <x v="1"/>
    <x v="1"/>
  </r>
  <r>
    <s v="ORD-00231"/>
    <x v="189"/>
    <s v="CUS-RAN-011"/>
    <s v="R07"/>
    <s v="ST-RAN-05"/>
    <x v="7"/>
    <s v="P003"/>
    <n v="2"/>
    <n v="0.12"/>
    <n v="6532"/>
    <n v="7"/>
    <x v="12"/>
    <s v="Power Bank"/>
    <s v="Electronics"/>
    <n v="2840"/>
    <n v="1930"/>
    <n v="5680"/>
    <n v="3860"/>
    <n v="1820"/>
    <s v="Arif Akter"/>
    <x v="7"/>
    <x v="0"/>
    <x v="39"/>
  </r>
  <r>
    <s v="ORD-00232"/>
    <x v="190"/>
    <s v="CUS-DHA-025"/>
    <s v="R01"/>
    <s v="ST-DHA-03"/>
    <x v="28"/>
    <s v="P050"/>
    <n v="4"/>
    <n v="0.03"/>
    <n v="24889"/>
    <n v="6"/>
    <x v="4"/>
    <s v="Bedside Table"/>
    <s v="Furniture"/>
    <n v="5870"/>
    <n v="4230"/>
    <n v="23480"/>
    <n v="16920"/>
    <n v="6560"/>
    <s v="Nabila Sultana"/>
    <x v="28"/>
    <x v="4"/>
    <x v="5"/>
  </r>
  <r>
    <s v="ORD-00233"/>
    <x v="187"/>
    <s v="CUS-RAJ-007"/>
    <s v="R04"/>
    <s v="ST-RAJ-03"/>
    <x v="46"/>
    <s v="P033"/>
    <n v="1"/>
    <n v="0.05"/>
    <n v="3348"/>
    <n v="8"/>
    <x v="30"/>
    <s v="Badminton Racket"/>
    <s v="Sports"/>
    <n v="3100"/>
    <n v="1920"/>
    <n v="3100"/>
    <n v="1920"/>
    <n v="1180"/>
    <s v="Nabila Khan"/>
    <x v="46"/>
    <x v="1"/>
    <x v="18"/>
  </r>
  <r>
    <s v="ORD-00234"/>
    <x v="44"/>
    <s v="CUS-KHL-001"/>
    <s v="R05"/>
    <s v="ST-KHL-03"/>
    <x v="13"/>
    <s v="P036"/>
    <n v="2"/>
    <n v="0"/>
    <n v="872"/>
    <n v="2"/>
    <x v="1"/>
    <s v="Notebook Pack"/>
    <s v="Stationery"/>
    <n v="400"/>
    <n v="200"/>
    <n v="800"/>
    <n v="400"/>
    <n v="400"/>
    <s v="Karim Mia"/>
    <x v="13"/>
    <x v="6"/>
    <x v="17"/>
  </r>
  <r>
    <s v="ORD-00235"/>
    <x v="51"/>
    <s v="CUS-BAR-007"/>
    <s v="R06"/>
    <s v="ST-BAR-05"/>
    <x v="8"/>
    <s v="P004"/>
    <n v="3"/>
    <n v="0.18"/>
    <n v="13003"/>
    <n v="5"/>
    <x v="4"/>
    <s v="Smart Watch"/>
    <s v="Electronics"/>
    <n v="3870"/>
    <n v="2630"/>
    <n v="11610"/>
    <n v="7890"/>
    <n v="3720"/>
    <s v="Mahmud Sultana"/>
    <x v="8"/>
    <x v="5"/>
    <x v="7"/>
  </r>
  <r>
    <s v="ORD-00236"/>
    <x v="191"/>
    <s v="CUS-DHA-013"/>
    <s v="R01"/>
    <s v="ST-DHA-05"/>
    <x v="35"/>
    <s v="P016"/>
    <n v="1"/>
    <n v="0.03"/>
    <n v="1177"/>
    <n v="1"/>
    <x v="7"/>
    <s v="Premium Rice 5kg"/>
    <s v="Grocery"/>
    <n v="1110"/>
    <n v="870"/>
    <n v="1110"/>
    <n v="870"/>
    <n v="240"/>
    <s v="Arif Hossain"/>
    <x v="35"/>
    <x v="4"/>
    <x v="15"/>
  </r>
  <r>
    <s v="ORD-00237"/>
    <x v="146"/>
    <s v="CUS-RAJ-023"/>
    <s v="R04"/>
    <s v="ST-RAJ-05"/>
    <x v="26"/>
    <s v="P001"/>
    <n v="1"/>
    <n v="0.12"/>
    <n v="3499"/>
    <n v="2"/>
    <x v="24"/>
    <s v="Bluetooth Speaker"/>
    <s v="Electronics"/>
    <n v="3240"/>
    <n v="2200"/>
    <n v="3240"/>
    <n v="2200"/>
    <n v="1040"/>
    <s v="Hasan Ahmed"/>
    <x v="26"/>
    <x v="1"/>
    <x v="38"/>
  </r>
  <r>
    <s v="ORD-00238"/>
    <x v="192"/>
    <s v="CUS-BAR-004"/>
    <s v="R06"/>
    <s v="ST-BAR-01"/>
    <x v="33"/>
    <s v="P041"/>
    <n v="1"/>
    <n v="0.1"/>
    <n v="941"/>
    <n v="2"/>
    <x v="24"/>
    <s v="Building Blocks"/>
    <s v="Kids &amp; Toys"/>
    <n v="840"/>
    <n v="460"/>
    <n v="840"/>
    <n v="460"/>
    <n v="380"/>
    <s v="Rasel Uddin"/>
    <x v="33"/>
    <x v="5"/>
    <x v="9"/>
  </r>
  <r>
    <s v="ORD-00239"/>
    <x v="193"/>
    <s v="CUS-CTG-011"/>
    <s v="R02"/>
    <s v="ST-CTG-04"/>
    <x v="18"/>
    <s v="P017"/>
    <n v="1"/>
    <n v="0.05"/>
    <n v="422"/>
    <n v="2"/>
    <x v="15"/>
    <s v="Soybean Oil 5L"/>
    <s v="Grocery"/>
    <n v="370"/>
    <n v="290"/>
    <n v="370"/>
    <n v="290"/>
    <n v="80"/>
    <s v="Rasel Uddin"/>
    <x v="18"/>
    <x v="7"/>
    <x v="33"/>
  </r>
  <r>
    <s v="ORD-00240"/>
    <x v="194"/>
    <s v="CUS-DHA-008"/>
    <s v="R01"/>
    <s v="ST-DHA-05"/>
    <x v="14"/>
    <s v="P008"/>
    <n v="4"/>
    <n v="0.08"/>
    <n v="10303"/>
    <n v="3"/>
    <x v="25"/>
    <s v="Blender Machine"/>
    <s v="Home Appliance"/>
    <n v="2430"/>
    <n v="1700"/>
    <n v="9720"/>
    <n v="6800"/>
    <n v="2920"/>
    <s v="Karim Islam"/>
    <x v="14"/>
    <x v="4"/>
    <x v="15"/>
  </r>
  <r>
    <s v="ORD-00241"/>
    <x v="195"/>
    <s v="CUS-BAR-022"/>
    <s v="R06"/>
    <s v="ST-BAR-03"/>
    <x v="33"/>
    <s v="P024"/>
    <n v="10"/>
    <n v="0.12"/>
    <n v="15792"/>
    <n v="5"/>
    <x v="5"/>
    <s v="Toothpaste Twin Pack"/>
    <s v="Beauty &amp; Personal Care"/>
    <n v="1410"/>
    <n v="820"/>
    <n v="14100"/>
    <n v="8200"/>
    <n v="5900"/>
    <s v="Jannat Hossain"/>
    <x v="33"/>
    <x v="5"/>
    <x v="27"/>
  </r>
  <r>
    <s v="ORD-00242"/>
    <x v="196"/>
    <s v="CUS-KHL-013"/>
    <s v="R05"/>
    <s v="ST-KHL-01"/>
    <x v="29"/>
    <s v="P047"/>
    <n v="1"/>
    <n v="0.1"/>
    <n v="12731"/>
    <n v="6"/>
    <x v="16"/>
    <s v="Study Table"/>
    <s v="Furniture"/>
    <n v="11680"/>
    <n v="8410"/>
    <n v="11680"/>
    <n v="8410"/>
    <n v="3270"/>
    <s v="Fahim Khan"/>
    <x v="29"/>
    <x v="6"/>
    <x v="24"/>
  </r>
  <r>
    <s v="ORD-00243"/>
    <x v="29"/>
    <s v="CUS-SYL-003"/>
    <s v="R03"/>
    <s v="ST-SYL-04"/>
    <x v="5"/>
    <s v="P048"/>
    <n v="2"/>
    <n v="0.12"/>
    <n v="11385"/>
    <n v="8"/>
    <x v="27"/>
    <s v="Shoe Rack"/>
    <s v="Furniture"/>
    <n v="5320"/>
    <n v="3830"/>
    <n v="10640"/>
    <n v="7660"/>
    <n v="2980"/>
    <s v="Farhana Khan"/>
    <x v="5"/>
    <x v="3"/>
    <x v="21"/>
  </r>
  <r>
    <s v="ORD-00244"/>
    <x v="197"/>
    <s v="CUS-BAR-015"/>
    <s v="R06"/>
    <s v="ST-BAR-05"/>
    <x v="8"/>
    <s v="P004"/>
    <n v="3"/>
    <n v="0.1"/>
    <n v="13003"/>
    <n v="9"/>
    <x v="32"/>
    <s v="Smart Watch"/>
    <s v="Electronics"/>
    <n v="3870"/>
    <n v="2630"/>
    <n v="11610"/>
    <n v="7890"/>
    <n v="3720"/>
    <s v="Ayesha Ahmed"/>
    <x v="8"/>
    <x v="5"/>
    <x v="7"/>
  </r>
  <r>
    <s v="ORD-00245"/>
    <x v="198"/>
    <s v="CUS-SYL-010"/>
    <s v="R03"/>
    <s v="ST-SYL-05"/>
    <x v="20"/>
    <s v="P011"/>
    <n v="3"/>
    <n v="0.12"/>
    <n v="6003"/>
    <n v="4"/>
    <x v="6"/>
    <s v="Cotton T-Shirt"/>
    <s v="Fashion"/>
    <n v="1870"/>
    <n v="1030"/>
    <n v="5610"/>
    <n v="3090"/>
    <n v="2520"/>
    <s v="Rahim Akter"/>
    <x v="20"/>
    <x v="3"/>
    <x v="4"/>
  </r>
  <r>
    <s v="ORD-00246"/>
    <x v="199"/>
    <s v="CUS-CTG-006"/>
    <s v="R02"/>
    <s v="ST-CTG-03"/>
    <x v="23"/>
    <s v="P031"/>
    <n v="6"/>
    <n v="0.1"/>
    <n v="18058"/>
    <n v="4"/>
    <x v="6"/>
    <s v="Cricket Bat"/>
    <s v="Sports"/>
    <n v="2640"/>
    <n v="1640"/>
    <n v="15840"/>
    <n v="9840"/>
    <n v="6000"/>
    <s v="Karim Rahman"/>
    <x v="23"/>
    <x v="7"/>
    <x v="16"/>
  </r>
  <r>
    <s v="ORD-00247"/>
    <x v="200"/>
    <s v="CUS-RAN-010"/>
    <s v="R07"/>
    <s v="ST-RAN-04"/>
    <x v="0"/>
    <s v="P046"/>
    <n v="1"/>
    <n v="0.05"/>
    <n v="5037"/>
    <n v="9"/>
    <x v="9"/>
    <s v="Office Chair"/>
    <s v="Furniture"/>
    <n v="4380"/>
    <n v="3150"/>
    <n v="4380"/>
    <n v="3150"/>
    <n v="1230"/>
    <s v="Farhana Hossain"/>
    <x v="0"/>
    <x v="0"/>
    <x v="13"/>
  </r>
  <r>
    <s v="ORD-00248"/>
    <x v="135"/>
    <s v="CUS-KHL-020"/>
    <s v="R05"/>
    <s v="ST-KHL-05"/>
    <x v="29"/>
    <s v="P005"/>
    <n v="1"/>
    <n v="0.08"/>
    <n v="5330"/>
    <n v="4"/>
    <x v="6"/>
    <s v="USB-C Hub"/>
    <s v="Electronics"/>
    <n v="4890"/>
    <n v="3330"/>
    <n v="4890"/>
    <n v="3330"/>
    <n v="1560"/>
    <s v="Mim Chowdhury"/>
    <x v="29"/>
    <x v="6"/>
    <x v="30"/>
  </r>
  <r>
    <s v="ORD-00249"/>
    <x v="201"/>
    <s v="CUS-BAR-003"/>
    <s v="R06"/>
    <s v="ST-BAR-04"/>
    <x v="8"/>
    <s v="P015"/>
    <n v="5"/>
    <n v="0.05"/>
    <n v="14672"/>
    <n v="6"/>
    <x v="4"/>
    <s v="Leather Belt"/>
    <s v="Fashion"/>
    <n v="2620"/>
    <n v="1440"/>
    <n v="13100"/>
    <n v="7200"/>
    <n v="5900"/>
    <s v="Arif Ahmed"/>
    <x v="8"/>
    <x v="5"/>
    <x v="12"/>
  </r>
  <r>
    <s v="ORD-00250"/>
    <x v="202"/>
    <s v="CUS-SYL-006"/>
    <s v="R03"/>
    <s v="ST-SYL-02"/>
    <x v="20"/>
    <s v="P001"/>
    <n v="6"/>
    <n v="0.15"/>
    <n v="20801"/>
    <n v="1"/>
    <x v="1"/>
    <s v="Bluetooth Speaker"/>
    <s v="Electronics"/>
    <n v="3240"/>
    <n v="2200"/>
    <n v="19440"/>
    <n v="13200"/>
    <n v="6240"/>
    <s v="Shamim Akter"/>
    <x v="20"/>
    <x v="3"/>
    <x v="32"/>
  </r>
  <r>
    <s v="ORD-00251"/>
    <x v="203"/>
    <s v="CUS-RAJ-024"/>
    <s v="R04"/>
    <s v="ST-RAJ-02"/>
    <x v="46"/>
    <s v="P002"/>
    <n v="6"/>
    <n v="0.12"/>
    <n v="21643"/>
    <n v="7"/>
    <x v="12"/>
    <s v="Wireless Mouse"/>
    <s v="Electronics"/>
    <n v="3340"/>
    <n v="2270"/>
    <n v="20040"/>
    <n v="13620"/>
    <n v="6420"/>
    <s v="Mahmud Uddin"/>
    <x v="46"/>
    <x v="1"/>
    <x v="2"/>
  </r>
  <r>
    <s v="ORD-00252"/>
    <x v="204"/>
    <s v="CUS-RAN-013"/>
    <s v="R07"/>
    <s v="ST-RAN-01"/>
    <x v="21"/>
    <s v="P031"/>
    <n v="4"/>
    <n v="0.1"/>
    <n v="12144"/>
    <n v="3"/>
    <x v="21"/>
    <s v="Cricket Bat"/>
    <s v="Sports"/>
    <n v="2640"/>
    <n v="1640"/>
    <n v="10560"/>
    <n v="6560"/>
    <n v="4000"/>
    <s v="Arif Rahman"/>
    <x v="21"/>
    <x v="0"/>
    <x v="0"/>
  </r>
  <r>
    <s v="ORD-00253"/>
    <x v="143"/>
    <s v="CUS-DHA-017"/>
    <s v="R01"/>
    <s v="ST-DHA-01"/>
    <x v="6"/>
    <s v="P012"/>
    <n v="5"/>
    <n v="0.05"/>
    <n v="9646"/>
    <n v="1"/>
    <x v="7"/>
    <s v="Formal Shirt"/>
    <s v="Fashion"/>
    <n v="1820"/>
    <n v="1000"/>
    <n v="9100"/>
    <n v="5000"/>
    <n v="4100"/>
    <s v="Shakib Khan"/>
    <x v="6"/>
    <x v="4"/>
    <x v="29"/>
  </r>
  <r>
    <s v="ORD-00254"/>
    <x v="24"/>
    <s v="CUS-DHA-018"/>
    <s v="R01"/>
    <s v="ST-DHA-04"/>
    <x v="9"/>
    <s v="P034"/>
    <n v="1"/>
    <n v="0.1"/>
    <n v="2894"/>
    <n v="2"/>
    <x v="24"/>
    <s v="Yoga Mat"/>
    <s v="Sports"/>
    <n v="2730"/>
    <n v="1690"/>
    <n v="2730"/>
    <n v="1690"/>
    <n v="1040"/>
    <s v="Rafi Khan"/>
    <x v="9"/>
    <x v="4"/>
    <x v="35"/>
  </r>
  <r>
    <s v="ORD-00255"/>
    <x v="138"/>
    <s v="CUS-RAN-010"/>
    <s v="R07"/>
    <s v="ST-RAN-03"/>
    <x v="4"/>
    <s v="P003"/>
    <n v="3"/>
    <n v="0.08"/>
    <n v="9798"/>
    <n v="5"/>
    <x v="29"/>
    <s v="Power Bank"/>
    <s v="Electronics"/>
    <n v="2840"/>
    <n v="1930"/>
    <n v="8520"/>
    <n v="5790"/>
    <n v="2730"/>
    <s v="Farhana Hossain"/>
    <x v="4"/>
    <x v="0"/>
    <x v="26"/>
  </r>
  <r>
    <s v="ORD-00256"/>
    <x v="205"/>
    <s v="CUS-MYM-021"/>
    <s v="R08"/>
    <s v="ST-MYM-04"/>
    <x v="17"/>
    <s v="P031"/>
    <n v="3"/>
    <n v="0.12"/>
    <n v="8554"/>
    <n v="1"/>
    <x v="1"/>
    <s v="Cricket Bat"/>
    <s v="Sports"/>
    <n v="2640"/>
    <n v="1640"/>
    <n v="7920"/>
    <n v="4920"/>
    <n v="3000"/>
    <s v="Tania Islam"/>
    <x v="17"/>
    <x v="2"/>
    <x v="34"/>
  </r>
  <r>
    <s v="ORD-00257"/>
    <x v="206"/>
    <s v="CUS-SYL-013"/>
    <s v="R03"/>
    <s v="ST-SYL-04"/>
    <x v="38"/>
    <s v="P012"/>
    <n v="2"/>
    <n v="0.05"/>
    <n v="3895"/>
    <n v="4"/>
    <x v="20"/>
    <s v="Formal Shirt"/>
    <s v="Fashion"/>
    <n v="1820"/>
    <n v="1000"/>
    <n v="3640"/>
    <n v="2000"/>
    <n v="1640"/>
    <s v="Rasel Islam"/>
    <x v="38"/>
    <x v="3"/>
    <x v="21"/>
  </r>
  <r>
    <s v="ORD-00258"/>
    <x v="171"/>
    <s v="CUS-BAR-023"/>
    <s v="R06"/>
    <s v="ST-BAR-02"/>
    <x v="10"/>
    <s v="P031"/>
    <n v="2"/>
    <n v="7.0000000000000007E-2"/>
    <n v="5914"/>
    <n v="4"/>
    <x v="20"/>
    <s v="Cricket Bat"/>
    <s v="Sports"/>
    <n v="2640"/>
    <n v="1640"/>
    <n v="5280"/>
    <n v="3280"/>
    <n v="2000"/>
    <s v="Rasel Sultana"/>
    <x v="10"/>
    <x v="5"/>
    <x v="11"/>
  </r>
  <r>
    <s v="ORD-00259"/>
    <x v="181"/>
    <s v="CUS-CTG-017"/>
    <s v="R02"/>
    <s v="ST-CTG-04"/>
    <x v="37"/>
    <s v="P035"/>
    <n v="3"/>
    <n v="0.05"/>
    <n v="3796"/>
    <n v="4"/>
    <x v="20"/>
    <s v="Dumbbell Set"/>
    <s v="Sports"/>
    <n v="1110"/>
    <n v="690"/>
    <n v="3330"/>
    <n v="2070"/>
    <n v="1260"/>
    <s v="Jannat Islam"/>
    <x v="37"/>
    <x v="7"/>
    <x v="33"/>
  </r>
  <r>
    <s v="ORD-00260"/>
    <x v="207"/>
    <s v="CUS-SYL-011"/>
    <s v="R03"/>
    <s v="ST-SYL-05"/>
    <x v="25"/>
    <s v="P041"/>
    <n v="5"/>
    <n v="0.05"/>
    <n v="4494"/>
    <n v="4"/>
    <x v="20"/>
    <s v="Building Blocks"/>
    <s v="Kids &amp; Toys"/>
    <n v="840"/>
    <n v="460"/>
    <n v="4200"/>
    <n v="2300"/>
    <n v="1900"/>
    <s v="Shamim Akter"/>
    <x v="25"/>
    <x v="3"/>
    <x v="4"/>
  </r>
  <r>
    <s v="ORD-00261"/>
    <x v="208"/>
    <s v="CUS-DHA-014"/>
    <s v="R01"/>
    <s v="ST-DHA-03"/>
    <x v="14"/>
    <s v="P031"/>
    <n v="2"/>
    <n v="0.03"/>
    <n v="5597"/>
    <n v="6"/>
    <x v="4"/>
    <s v="Cricket Bat"/>
    <s v="Sports"/>
    <n v="2640"/>
    <n v="1640"/>
    <n v="5280"/>
    <n v="3280"/>
    <n v="2000"/>
    <s v="Shaila Ahmed"/>
    <x v="14"/>
    <x v="4"/>
    <x v="5"/>
  </r>
  <r>
    <s v="ORD-00262"/>
    <x v="209"/>
    <s v="CUS-DHA-020"/>
    <s v="R01"/>
    <s v="ST-DHA-03"/>
    <x v="44"/>
    <s v="P012"/>
    <n v="3"/>
    <n v="0.03"/>
    <n v="5788"/>
    <n v="1"/>
    <x v="7"/>
    <s v="Formal Shirt"/>
    <s v="Fashion"/>
    <n v="1820"/>
    <n v="1000"/>
    <n v="5460"/>
    <n v="3000"/>
    <n v="2460"/>
    <s v="Tanjim Ahmed"/>
    <x v="44"/>
    <x v="4"/>
    <x v="5"/>
  </r>
  <r>
    <s v="ORD-00263"/>
    <x v="210"/>
    <s v="CUS-MYM-008"/>
    <s v="R08"/>
    <s v="ST-MYM-02"/>
    <x v="31"/>
    <s v="P026"/>
    <n v="2"/>
    <n v="0.12"/>
    <n v="7582"/>
    <n v="3"/>
    <x v="21"/>
    <s v="Running Shoe"/>
    <s v="Footwear"/>
    <n v="3510"/>
    <n v="2110"/>
    <n v="7020"/>
    <n v="4220"/>
    <n v="2800"/>
    <s v="Mahmud Mia"/>
    <x v="31"/>
    <x v="2"/>
    <x v="20"/>
  </r>
  <r>
    <s v="ORD-00264"/>
    <x v="186"/>
    <s v="CUS-KHL-020"/>
    <s v="R05"/>
    <s v="ST-KHL-05"/>
    <x v="36"/>
    <s v="P001"/>
    <n v="1"/>
    <n v="0.12"/>
    <n v="3532"/>
    <n v="2"/>
    <x v="24"/>
    <s v="Bluetooth Speaker"/>
    <s v="Electronics"/>
    <n v="3240"/>
    <n v="2200"/>
    <n v="3240"/>
    <n v="2200"/>
    <n v="1040"/>
    <s v="Mim Chowdhury"/>
    <x v="36"/>
    <x v="6"/>
    <x v="30"/>
  </r>
  <r>
    <s v="ORD-00265"/>
    <x v="47"/>
    <s v="CUS-DHA-005"/>
    <s v="R01"/>
    <s v="ST-DHA-01"/>
    <x v="35"/>
    <s v="P020"/>
    <n v="2"/>
    <n v="0"/>
    <n v="4537"/>
    <n v="4"/>
    <x v="17"/>
    <s v="Tea Pack 500g"/>
    <s v="Grocery"/>
    <n v="2140"/>
    <n v="1670"/>
    <n v="4280"/>
    <n v="3340"/>
    <n v="940"/>
    <s v="Imran Uddin"/>
    <x v="35"/>
    <x v="4"/>
    <x v="29"/>
  </r>
  <r>
    <s v="ORD-00266"/>
    <x v="13"/>
    <s v="CUS-SYL-006"/>
    <s v="R03"/>
    <s v="ST-SYL-03"/>
    <x v="5"/>
    <s v="P026"/>
    <n v="8"/>
    <n v="0.12"/>
    <n v="30046"/>
    <n v="4"/>
    <x v="6"/>
    <s v="Running Shoe"/>
    <s v="Footwear"/>
    <n v="3510"/>
    <n v="2110"/>
    <n v="28080"/>
    <n v="16880"/>
    <n v="11200"/>
    <s v="Shamim Akter"/>
    <x v="5"/>
    <x v="3"/>
    <x v="23"/>
  </r>
  <r>
    <s v="ORD-00267"/>
    <x v="211"/>
    <s v="CUS-BAR-002"/>
    <s v="R06"/>
    <s v="ST-BAR-01"/>
    <x v="33"/>
    <s v="P007"/>
    <n v="5"/>
    <n v="0.15"/>
    <n v="41608"/>
    <n v="7"/>
    <x v="23"/>
    <s v="Rice Cooker"/>
    <s v="Home Appliance"/>
    <n v="7430"/>
    <n v="5200"/>
    <n v="37150"/>
    <n v="26000"/>
    <n v="11150"/>
    <s v="Nabila Khan"/>
    <x v="33"/>
    <x v="5"/>
    <x v="9"/>
  </r>
  <r>
    <s v="ORD-00268"/>
    <x v="212"/>
    <s v="CUS-MYM-005"/>
    <s v="R08"/>
    <s v="ST-MYM-01"/>
    <x v="43"/>
    <s v="P040"/>
    <n v="5"/>
    <n v="0.02"/>
    <n v="4104"/>
    <n v="3"/>
    <x v="10"/>
    <s v="Sticky Notes"/>
    <s v="Stationery"/>
    <n v="760"/>
    <n v="380"/>
    <n v="3800"/>
    <n v="1900"/>
    <n v="1900"/>
    <s v="Shamim Hossain"/>
    <x v="43"/>
    <x v="2"/>
    <x v="3"/>
  </r>
  <r>
    <s v="ORD-00269"/>
    <x v="25"/>
    <s v="CUS-RAJ-020"/>
    <s v="R04"/>
    <s v="ST-RAJ-01"/>
    <x v="1"/>
    <s v="P020"/>
    <n v="4"/>
    <n v="0.03"/>
    <n v="9245"/>
    <n v="1"/>
    <x v="7"/>
    <s v="Tea Pack 500g"/>
    <s v="Grocery"/>
    <n v="2140"/>
    <n v="1670"/>
    <n v="8560"/>
    <n v="6680"/>
    <n v="1880"/>
    <s v="Shakib Uddin"/>
    <x v="1"/>
    <x v="1"/>
    <x v="36"/>
  </r>
  <r>
    <s v="ORD-00270"/>
    <x v="213"/>
    <s v="CUS-KHL-017"/>
    <s v="R05"/>
    <s v="ST-KHL-05"/>
    <x v="29"/>
    <s v="P008"/>
    <n v="3"/>
    <n v="0.15"/>
    <n v="7946"/>
    <n v="7"/>
    <x v="23"/>
    <s v="Blender Machine"/>
    <s v="Home Appliance"/>
    <n v="2430"/>
    <n v="1700"/>
    <n v="7290"/>
    <n v="5100"/>
    <n v="2190"/>
    <s v="Sajib Rahman"/>
    <x v="29"/>
    <x v="6"/>
    <x v="30"/>
  </r>
  <r>
    <s v="ORD-00271"/>
    <x v="111"/>
    <s v="CUS-MYM-016"/>
    <s v="R08"/>
    <s v="ST-MYM-02"/>
    <x v="31"/>
    <s v="P005"/>
    <n v="8"/>
    <n v="0.08"/>
    <n v="42250"/>
    <n v="5"/>
    <x v="29"/>
    <s v="USB-C Hub"/>
    <s v="Electronics"/>
    <n v="4890"/>
    <n v="3330"/>
    <n v="39120"/>
    <n v="26640"/>
    <n v="12480"/>
    <s v="Rasel Uddin"/>
    <x v="31"/>
    <x v="2"/>
    <x v="20"/>
  </r>
  <r>
    <s v="ORD-00272"/>
    <x v="189"/>
    <s v="CUS-CTG-024"/>
    <s v="R02"/>
    <s v="ST-CTG-02"/>
    <x v="18"/>
    <s v="P050"/>
    <n v="1"/>
    <n v="7.0000000000000007E-2"/>
    <n v="6692"/>
    <n v="8"/>
    <x v="30"/>
    <s v="Bedside Table"/>
    <s v="Furniture"/>
    <n v="5870"/>
    <n v="4230"/>
    <n v="5870"/>
    <n v="4230"/>
    <n v="1640"/>
    <s v="Hasan Akter"/>
    <x v="18"/>
    <x v="7"/>
    <x v="22"/>
  </r>
  <r>
    <s v="ORD-00273"/>
    <x v="19"/>
    <s v="CUS-RAJ-001"/>
    <s v="R04"/>
    <s v="ST-RAJ-02"/>
    <x v="30"/>
    <s v="P006"/>
    <n v="4"/>
    <n v="0.18"/>
    <n v="31104"/>
    <n v="6"/>
    <x v="11"/>
    <s v="Electric Kettle"/>
    <s v="Home Appliance"/>
    <n v="7200"/>
    <n v="5040"/>
    <n v="28800"/>
    <n v="20160"/>
    <n v="8640"/>
    <s v="Mehedi Mia"/>
    <x v="30"/>
    <x v="1"/>
    <x v="2"/>
  </r>
  <r>
    <s v="ORD-00274"/>
    <x v="71"/>
    <s v="CUS-BAR-011"/>
    <s v="R06"/>
    <s v="ST-BAR-04"/>
    <x v="10"/>
    <s v="P019"/>
    <n v="5"/>
    <n v="0.02"/>
    <n v="2464"/>
    <n v="5"/>
    <x v="3"/>
    <s v="Flour 2kg"/>
    <s v="Grocery"/>
    <n v="440"/>
    <n v="340"/>
    <n v="2200"/>
    <n v="1700"/>
    <n v="500"/>
    <s v="Ayesha Islam"/>
    <x v="10"/>
    <x v="5"/>
    <x v="12"/>
  </r>
  <r>
    <s v="ORD-00275"/>
    <x v="160"/>
    <s v="CUS-BAR-011"/>
    <s v="R06"/>
    <s v="ST-BAR-04"/>
    <x v="22"/>
    <s v="P036"/>
    <n v="2"/>
    <n v="0.05"/>
    <n v="896"/>
    <n v="7"/>
    <x v="11"/>
    <s v="Notebook Pack"/>
    <s v="Stationery"/>
    <n v="400"/>
    <n v="200"/>
    <n v="800"/>
    <n v="400"/>
    <n v="400"/>
    <s v="Ayesha Islam"/>
    <x v="22"/>
    <x v="5"/>
    <x v="12"/>
  </r>
  <r>
    <s v="ORD-00276"/>
    <x v="214"/>
    <s v="CUS-BAR-015"/>
    <s v="R06"/>
    <s v="ST-BAR-04"/>
    <x v="10"/>
    <s v="P002"/>
    <n v="3"/>
    <n v="0.12"/>
    <n v="11222"/>
    <n v="4"/>
    <x v="6"/>
    <s v="Wireless Mouse"/>
    <s v="Electronics"/>
    <n v="3340"/>
    <n v="2270"/>
    <n v="10020"/>
    <n v="6810"/>
    <n v="3210"/>
    <s v="Ayesha Ahmed"/>
    <x v="10"/>
    <x v="5"/>
    <x v="12"/>
  </r>
  <r>
    <s v="ORD-00277"/>
    <x v="215"/>
    <s v="CUS-DHA-007"/>
    <s v="R01"/>
    <s v="ST-DHA-05"/>
    <x v="35"/>
    <s v="P007"/>
    <n v="1"/>
    <n v="0.12"/>
    <n v="7876"/>
    <n v="5"/>
    <x v="5"/>
    <s v="Rice Cooker"/>
    <s v="Home Appliance"/>
    <n v="7430"/>
    <n v="5200"/>
    <n v="7430"/>
    <n v="5200"/>
    <n v="2230"/>
    <s v="Shamim Hossain"/>
    <x v="35"/>
    <x v="4"/>
    <x v="15"/>
  </r>
  <r>
    <s v="ORD-00278"/>
    <x v="216"/>
    <s v="CUS-RAN-021"/>
    <s v="R07"/>
    <s v="ST-RAN-05"/>
    <x v="27"/>
    <s v="P020"/>
    <n v="1"/>
    <n v="0"/>
    <n v="2461"/>
    <n v="5"/>
    <x v="3"/>
    <s v="Tea Pack 500g"/>
    <s v="Grocery"/>
    <n v="2140"/>
    <n v="1670"/>
    <n v="2140"/>
    <n v="1670"/>
    <n v="470"/>
    <s v="Mim Sultana"/>
    <x v="27"/>
    <x v="0"/>
    <x v="39"/>
  </r>
  <r>
    <s v="ORD-00279"/>
    <x v="189"/>
    <s v="CUS-KHL-023"/>
    <s v="R05"/>
    <s v="ST-KHL-03"/>
    <x v="13"/>
    <s v="P001"/>
    <n v="1"/>
    <n v="0.1"/>
    <n v="3532"/>
    <n v="1"/>
    <x v="13"/>
    <s v="Bluetooth Speaker"/>
    <s v="Electronics"/>
    <n v="3240"/>
    <n v="2200"/>
    <n v="3240"/>
    <n v="2200"/>
    <n v="1040"/>
    <s v="Ayesha Ahmed"/>
    <x v="13"/>
    <x v="6"/>
    <x v="17"/>
  </r>
  <r>
    <s v="ORD-00280"/>
    <x v="217"/>
    <s v="CUS-KHL-007"/>
    <s v="R05"/>
    <s v="ST-KHL-05"/>
    <x v="16"/>
    <s v="P004"/>
    <n v="4"/>
    <n v="0.1"/>
    <n v="16873"/>
    <n v="5"/>
    <x v="29"/>
    <s v="Smart Watch"/>
    <s v="Electronics"/>
    <n v="3870"/>
    <n v="2630"/>
    <n v="15480"/>
    <n v="10520"/>
    <n v="4960"/>
    <s v="Mahmud Chowdhury"/>
    <x v="16"/>
    <x v="6"/>
    <x v="30"/>
  </r>
  <r>
    <s v="ORD-00281"/>
    <x v="218"/>
    <s v="CUS-CTG-015"/>
    <s v="R02"/>
    <s v="ST-CTG-05"/>
    <x v="41"/>
    <s v="P036"/>
    <n v="1"/>
    <n v="0.03"/>
    <n v="456"/>
    <n v="8"/>
    <x v="23"/>
    <s v="Notebook Pack"/>
    <s v="Stationery"/>
    <n v="400"/>
    <n v="200"/>
    <n v="400"/>
    <n v="200"/>
    <n v="200"/>
    <s v="Sajib Sultana"/>
    <x v="41"/>
    <x v="7"/>
    <x v="31"/>
  </r>
  <r>
    <s v="ORD-00282"/>
    <x v="126"/>
    <s v="CUS-KHL-025"/>
    <s v="R05"/>
    <s v="ST-KHL-03"/>
    <x v="36"/>
    <s v="P034"/>
    <n v="7"/>
    <n v="0.05"/>
    <n v="20830"/>
    <n v="2"/>
    <x v="15"/>
    <s v="Yoga Mat"/>
    <s v="Sports"/>
    <n v="2730"/>
    <n v="1690"/>
    <n v="19110"/>
    <n v="11830"/>
    <n v="7280"/>
    <s v="Tanjim Khan"/>
    <x v="36"/>
    <x v="6"/>
    <x v="17"/>
  </r>
  <r>
    <s v="ORD-00283"/>
    <x v="26"/>
    <s v="CUS-RAJ-024"/>
    <s v="R04"/>
    <s v="ST-RAJ-01"/>
    <x v="2"/>
    <s v="P009"/>
    <n v="1"/>
    <n v="0.18"/>
    <n v="4925"/>
    <n v="7"/>
    <x v="23"/>
    <s v="Steam Iron"/>
    <s v="Home Appliance"/>
    <n v="4560"/>
    <n v="3190"/>
    <n v="4560"/>
    <n v="3190"/>
    <n v="1370"/>
    <s v="Mahmud Uddin"/>
    <x v="2"/>
    <x v="1"/>
    <x v="36"/>
  </r>
  <r>
    <s v="ORD-00284"/>
    <x v="219"/>
    <s v="CUS-DHA-004"/>
    <s v="R01"/>
    <s v="ST-DHA-05"/>
    <x v="35"/>
    <s v="P032"/>
    <n v="3"/>
    <n v="7.0000000000000007E-2"/>
    <n v="11830"/>
    <n v="1"/>
    <x v="13"/>
    <s v="Football"/>
    <s v="Sports"/>
    <n v="3720"/>
    <n v="2310"/>
    <n v="11160"/>
    <n v="6930"/>
    <n v="4230"/>
    <s v="Mahmud Ahmed"/>
    <x v="35"/>
    <x v="4"/>
    <x v="15"/>
  </r>
  <r>
    <s v="ORD-00285"/>
    <x v="199"/>
    <s v="CUS-RAJ-011"/>
    <s v="R04"/>
    <s v="ST-RAJ-02"/>
    <x v="46"/>
    <s v="P006"/>
    <n v="4"/>
    <n v="0.08"/>
    <n v="31104"/>
    <n v="6"/>
    <x v="16"/>
    <s v="Electric Kettle"/>
    <s v="Home Appliance"/>
    <n v="7200"/>
    <n v="5040"/>
    <n v="28800"/>
    <n v="20160"/>
    <n v="8640"/>
    <s v="Imran Uddin"/>
    <x v="46"/>
    <x v="1"/>
    <x v="2"/>
  </r>
  <r>
    <s v="ORD-00286"/>
    <x v="220"/>
    <s v="CUS-CTG-001"/>
    <s v="R02"/>
    <s v="ST-CTG-05"/>
    <x v="18"/>
    <s v="P016"/>
    <n v="3"/>
    <n v="0.03"/>
    <n v="3796"/>
    <n v="6"/>
    <x v="4"/>
    <s v="Premium Rice 5kg"/>
    <s v="Grocery"/>
    <n v="1110"/>
    <n v="870"/>
    <n v="3330"/>
    <n v="2610"/>
    <n v="720"/>
    <s v="Shaila Sultana"/>
    <x v="18"/>
    <x v="7"/>
    <x v="31"/>
  </r>
  <r>
    <s v="ORD-00287"/>
    <x v="221"/>
    <s v="CUS-KHL-005"/>
    <s v="R05"/>
    <s v="ST-KHL-03"/>
    <x v="29"/>
    <s v="P005"/>
    <n v="3"/>
    <n v="0.18"/>
    <n v="15990"/>
    <n v="2"/>
    <x v="10"/>
    <s v="USB-C Hub"/>
    <s v="Electronics"/>
    <n v="4890"/>
    <n v="3330"/>
    <n v="14670"/>
    <n v="9990"/>
    <n v="4680"/>
    <s v="Sajib Hossain"/>
    <x v="29"/>
    <x v="6"/>
    <x v="17"/>
  </r>
  <r>
    <s v="ORD-00288"/>
    <x v="222"/>
    <s v="CUS-MYM-022"/>
    <s v="R08"/>
    <s v="ST-MYM-01"/>
    <x v="17"/>
    <s v="P009"/>
    <n v="2"/>
    <n v="0.18"/>
    <n v="9850"/>
    <n v="6"/>
    <x v="11"/>
    <s v="Steam Iron"/>
    <s v="Home Appliance"/>
    <n v="4560"/>
    <n v="3190"/>
    <n v="9120"/>
    <n v="6380"/>
    <n v="2740"/>
    <s v="Shamim Rahman"/>
    <x v="17"/>
    <x v="2"/>
    <x v="3"/>
  </r>
  <r>
    <s v="ORD-00289"/>
    <x v="223"/>
    <s v="CUS-MYM-020"/>
    <s v="R08"/>
    <s v="ST-MYM-03"/>
    <x v="3"/>
    <s v="P007"/>
    <n v="4"/>
    <n v="0.18"/>
    <n v="32098"/>
    <n v="10"/>
    <x v="31"/>
    <s v="Rice Cooker"/>
    <s v="Home Appliance"/>
    <n v="7430"/>
    <n v="5200"/>
    <n v="29720"/>
    <n v="20800"/>
    <n v="8920"/>
    <s v="Tamanna Hossain"/>
    <x v="3"/>
    <x v="2"/>
    <x v="10"/>
  </r>
  <r>
    <s v="ORD-00290"/>
    <x v="224"/>
    <s v="CUS-MYM-019"/>
    <s v="R08"/>
    <s v="ST-MYM-02"/>
    <x v="17"/>
    <s v="P037"/>
    <n v="2"/>
    <n v="0.05"/>
    <n v="734"/>
    <n v="6"/>
    <x v="4"/>
    <s v="Ball Pen Box"/>
    <s v="Stationery"/>
    <n v="340"/>
    <n v="170"/>
    <n v="680"/>
    <n v="340"/>
    <n v="340"/>
    <s v="Hasan Sultana"/>
    <x v="17"/>
    <x v="2"/>
    <x v="20"/>
  </r>
  <r>
    <s v="ORD-00291"/>
    <x v="51"/>
    <s v="CUS-MYM-008"/>
    <s v="R08"/>
    <s v="ST-MYM-02"/>
    <x v="11"/>
    <s v="P040"/>
    <n v="6"/>
    <n v="0.05"/>
    <n v="4925"/>
    <n v="6"/>
    <x v="4"/>
    <s v="Sticky Notes"/>
    <s v="Stationery"/>
    <n v="760"/>
    <n v="380"/>
    <n v="4560"/>
    <n v="2280"/>
    <n v="2280"/>
    <s v="Mahmud Mia"/>
    <x v="11"/>
    <x v="2"/>
    <x v="20"/>
  </r>
  <r>
    <s v="ORD-00292"/>
    <x v="97"/>
    <s v="CUS-BAR-011"/>
    <s v="R06"/>
    <s v="ST-BAR-04"/>
    <x v="22"/>
    <s v="P001"/>
    <n v="1"/>
    <n v="0.15"/>
    <n v="3629"/>
    <n v="9"/>
    <x v="0"/>
    <s v="Bluetooth Speaker"/>
    <s v="Electronics"/>
    <n v="3240"/>
    <n v="2200"/>
    <n v="3240"/>
    <n v="2200"/>
    <n v="1040"/>
    <s v="Ayesha Islam"/>
    <x v="22"/>
    <x v="5"/>
    <x v="12"/>
  </r>
  <r>
    <s v="ORD-00293"/>
    <x v="225"/>
    <s v="CUS-MYM-006"/>
    <s v="R08"/>
    <s v="ST-MYM-03"/>
    <x v="3"/>
    <s v="P022"/>
    <n v="3"/>
    <n v="0.1"/>
    <n v="5378"/>
    <n v="5"/>
    <x v="29"/>
    <s v="Shampoo 375ml"/>
    <s v="Beauty &amp; Personal Care"/>
    <n v="1660"/>
    <n v="960"/>
    <n v="4980"/>
    <n v="2880"/>
    <n v="2100"/>
    <s v="Mim Ahmed"/>
    <x v="3"/>
    <x v="2"/>
    <x v="10"/>
  </r>
  <r>
    <s v="ORD-00294"/>
    <x v="133"/>
    <s v="CUS-BAR-018"/>
    <s v="R06"/>
    <s v="ST-BAR-01"/>
    <x v="33"/>
    <s v="P017"/>
    <n v="3"/>
    <n v="0.02"/>
    <n v="1243"/>
    <n v="2"/>
    <x v="15"/>
    <s v="Soybean Oil 5L"/>
    <s v="Grocery"/>
    <n v="370"/>
    <n v="290"/>
    <n v="1110"/>
    <n v="870"/>
    <n v="240"/>
    <s v="Samiha Ahmed"/>
    <x v="33"/>
    <x v="5"/>
    <x v="9"/>
  </r>
  <r>
    <s v="ORD-00295"/>
    <x v="226"/>
    <s v="CUS-RAJ-018"/>
    <s v="R04"/>
    <s v="ST-RAJ-02"/>
    <x v="2"/>
    <s v="P009"/>
    <n v="3"/>
    <n v="0.18"/>
    <n v="14774"/>
    <n v="1"/>
    <x v="15"/>
    <s v="Steam Iron"/>
    <s v="Home Appliance"/>
    <n v="4560"/>
    <n v="3190"/>
    <n v="13680"/>
    <n v="9570"/>
    <n v="4110"/>
    <s v="Samiha Mia"/>
    <x v="2"/>
    <x v="1"/>
    <x v="2"/>
  </r>
  <r>
    <s v="ORD-00296"/>
    <x v="182"/>
    <s v="CUS-BAR-018"/>
    <s v="R06"/>
    <s v="ST-BAR-02"/>
    <x v="8"/>
    <s v="P026"/>
    <n v="6"/>
    <n v="0.12"/>
    <n v="23587"/>
    <n v="7"/>
    <x v="12"/>
    <s v="Running Shoe"/>
    <s v="Footwear"/>
    <n v="3510"/>
    <n v="2110"/>
    <n v="21060"/>
    <n v="12660"/>
    <n v="8400"/>
    <s v="Samiha Ahmed"/>
    <x v="8"/>
    <x v="5"/>
    <x v="11"/>
  </r>
  <r>
    <s v="ORD-00297"/>
    <x v="227"/>
    <s v="CUS-MYM-004"/>
    <s v="R08"/>
    <s v="ST-MYM-05"/>
    <x v="31"/>
    <s v="P012"/>
    <n v="5"/>
    <n v="7.0000000000000007E-2"/>
    <n v="9828"/>
    <n v="5"/>
    <x v="29"/>
    <s v="Formal Shirt"/>
    <s v="Fashion"/>
    <n v="1820"/>
    <n v="1000"/>
    <n v="9100"/>
    <n v="5000"/>
    <n v="4100"/>
    <s v="Morshed Sultana"/>
    <x v="31"/>
    <x v="2"/>
    <x v="28"/>
  </r>
  <r>
    <s v="ORD-00298"/>
    <x v="228"/>
    <s v="CUS-CTG-022"/>
    <s v="R02"/>
    <s v="ST-CTG-05"/>
    <x v="39"/>
    <s v="P007"/>
    <n v="1"/>
    <n v="0.18"/>
    <n v="8470"/>
    <n v="7"/>
    <x v="23"/>
    <s v="Rice Cooker"/>
    <s v="Home Appliance"/>
    <n v="7430"/>
    <n v="5200"/>
    <n v="7430"/>
    <n v="5200"/>
    <n v="2230"/>
    <s v="Sadia Sultana"/>
    <x v="39"/>
    <x v="7"/>
    <x v="31"/>
  </r>
  <r>
    <s v="ORD-00299"/>
    <x v="80"/>
    <s v="CUS-DHA-025"/>
    <s v="R01"/>
    <s v="ST-DHA-02"/>
    <x v="35"/>
    <s v="P003"/>
    <n v="2"/>
    <n v="0.18"/>
    <n v="6021"/>
    <n v="1"/>
    <x v="15"/>
    <s v="Power Bank"/>
    <s v="Electronics"/>
    <n v="2840"/>
    <n v="1930"/>
    <n v="5680"/>
    <n v="3860"/>
    <n v="1820"/>
    <s v="Nabila Sultana"/>
    <x v="35"/>
    <x v="4"/>
    <x v="8"/>
  </r>
  <r>
    <s v="ORD-00300"/>
    <x v="102"/>
    <s v="CUS-BAR-010"/>
    <s v="R06"/>
    <s v="ST-BAR-05"/>
    <x v="10"/>
    <s v="P006"/>
    <n v="5"/>
    <n v="0.08"/>
    <n v="40320"/>
    <n v="7"/>
    <x v="2"/>
    <s v="Electric Kettle"/>
    <s v="Home Appliance"/>
    <n v="7200"/>
    <n v="5040"/>
    <n v="36000"/>
    <n v="25200"/>
    <n v="10800"/>
    <s v="Nabila Khan"/>
    <x v="10"/>
    <x v="5"/>
    <x v="7"/>
  </r>
  <r>
    <s v="ORD-00301"/>
    <x v="138"/>
    <s v="CUS-DHA-020"/>
    <s v="R01"/>
    <s v="ST-DHA-05"/>
    <x v="6"/>
    <s v="P040"/>
    <n v="1"/>
    <n v="0"/>
    <n v="806"/>
    <n v="4"/>
    <x v="17"/>
    <s v="Sticky Notes"/>
    <s v="Stationery"/>
    <n v="760"/>
    <n v="380"/>
    <n v="760"/>
    <n v="380"/>
    <n v="380"/>
    <s v="Tanjim Ahmed"/>
    <x v="6"/>
    <x v="4"/>
    <x v="15"/>
  </r>
  <r>
    <s v="ORD-00302"/>
    <x v="229"/>
    <s v="CUS-BAR-004"/>
    <s v="R06"/>
    <s v="ST-BAR-03"/>
    <x v="47"/>
    <s v="P005"/>
    <n v="3"/>
    <n v="0.15"/>
    <n v="16430"/>
    <n v="5"/>
    <x v="5"/>
    <s v="USB-C Hub"/>
    <s v="Electronics"/>
    <n v="4890"/>
    <n v="3330"/>
    <n v="14670"/>
    <n v="9990"/>
    <n v="4680"/>
    <s v="Rasel Uddin"/>
    <x v="47"/>
    <x v="5"/>
    <x v="27"/>
  </r>
  <r>
    <s v="ORD-00303"/>
    <x v="230"/>
    <s v="CUS-RAN-013"/>
    <s v="R07"/>
    <s v="ST-RAN-04"/>
    <x v="21"/>
    <s v="P004"/>
    <n v="2"/>
    <n v="0.1"/>
    <n v="8901"/>
    <n v="3"/>
    <x v="21"/>
    <s v="Smart Watch"/>
    <s v="Electronics"/>
    <n v="3870"/>
    <n v="2630"/>
    <n v="7740"/>
    <n v="5260"/>
    <n v="2480"/>
    <s v="Arif Rahman"/>
    <x v="21"/>
    <x v="0"/>
    <x v="13"/>
  </r>
  <r>
    <s v="ORD-00304"/>
    <x v="231"/>
    <s v="CUS-BAR-014"/>
    <s v="R06"/>
    <s v="ST-BAR-02"/>
    <x v="33"/>
    <s v="P050"/>
    <n v="1"/>
    <n v="0.03"/>
    <n v="6574"/>
    <n v="6"/>
    <x v="4"/>
    <s v="Bedside Table"/>
    <s v="Furniture"/>
    <n v="5870"/>
    <n v="4230"/>
    <n v="5870"/>
    <n v="4230"/>
    <n v="1640"/>
    <s v="Rasel Ahmed"/>
    <x v="33"/>
    <x v="5"/>
    <x v="11"/>
  </r>
  <r>
    <s v="ORD-00305"/>
    <x v="160"/>
    <s v="CUS-DHA-005"/>
    <s v="R01"/>
    <s v="ST-DHA-04"/>
    <x v="35"/>
    <s v="P011"/>
    <n v="1"/>
    <n v="0.1"/>
    <n v="1982"/>
    <n v="4"/>
    <x v="6"/>
    <s v="Cotton T-Shirt"/>
    <s v="Fashion"/>
    <n v="1870"/>
    <n v="1030"/>
    <n v="1870"/>
    <n v="1030"/>
    <n v="840"/>
    <s v="Imran Uddin"/>
    <x v="35"/>
    <x v="4"/>
    <x v="35"/>
  </r>
  <r>
    <s v="ORD-00306"/>
    <x v="232"/>
    <s v="CUS-RAN-020"/>
    <s v="R07"/>
    <s v="ST-RAN-02"/>
    <x v="4"/>
    <s v="P015"/>
    <n v="2"/>
    <n v="0.05"/>
    <n v="6026"/>
    <n v="3"/>
    <x v="25"/>
    <s v="Leather Belt"/>
    <s v="Fashion"/>
    <n v="2620"/>
    <n v="1440"/>
    <n v="5240"/>
    <n v="2880"/>
    <n v="2360"/>
    <s v="Shuvo Uddin"/>
    <x v="4"/>
    <x v="0"/>
    <x v="6"/>
  </r>
  <r>
    <s v="ORD-00307"/>
    <x v="233"/>
    <s v="CUS-RAN-020"/>
    <s v="R07"/>
    <s v="ST-RAN-01"/>
    <x v="21"/>
    <s v="P014"/>
    <n v="4"/>
    <n v="7.0000000000000007E-2"/>
    <n v="4048"/>
    <n v="4"/>
    <x v="20"/>
    <s v="Denim Jeans"/>
    <s v="Fashion"/>
    <n v="880"/>
    <n v="480"/>
    <n v="3520"/>
    <n v="1920"/>
    <n v="1600"/>
    <s v="Shuvo Uddin"/>
    <x v="21"/>
    <x v="0"/>
    <x v="0"/>
  </r>
  <r>
    <s v="ORD-00308"/>
    <x v="234"/>
    <s v="CUS-BAR-002"/>
    <s v="R06"/>
    <s v="ST-BAR-01"/>
    <x v="12"/>
    <s v="P013"/>
    <n v="1"/>
    <n v="0.1"/>
    <n v="2229"/>
    <n v="6"/>
    <x v="16"/>
    <s v="Women Kurti"/>
    <s v="Fashion"/>
    <n v="1990"/>
    <n v="1090"/>
    <n v="1990"/>
    <n v="1090"/>
    <n v="900"/>
    <s v="Nabila Khan"/>
    <x v="12"/>
    <x v="5"/>
    <x v="9"/>
  </r>
  <r>
    <s v="ORD-00309"/>
    <x v="76"/>
    <s v="CUS-CTG-005"/>
    <s v="R02"/>
    <s v="ST-CTG-05"/>
    <x v="15"/>
    <s v="P012"/>
    <n v="5"/>
    <n v="0.03"/>
    <n v="10374"/>
    <n v="5"/>
    <x v="19"/>
    <s v="Formal Shirt"/>
    <s v="Fashion"/>
    <n v="1820"/>
    <n v="1000"/>
    <n v="9100"/>
    <n v="5000"/>
    <n v="4100"/>
    <s v="Shakib Mia"/>
    <x v="15"/>
    <x v="7"/>
    <x v="31"/>
  </r>
  <r>
    <s v="ORD-00310"/>
    <x v="89"/>
    <s v="CUS-CTG-022"/>
    <s v="R02"/>
    <s v="ST-CTG-05"/>
    <x v="18"/>
    <s v="P007"/>
    <n v="6"/>
    <n v="0.18"/>
    <n v="50821"/>
    <n v="10"/>
    <x v="31"/>
    <s v="Rice Cooker"/>
    <s v="Home Appliance"/>
    <n v="7430"/>
    <n v="5200"/>
    <n v="44580"/>
    <n v="31200"/>
    <n v="13380"/>
    <s v="Sadia Sultana"/>
    <x v="18"/>
    <x v="7"/>
    <x v="31"/>
  </r>
  <r>
    <s v="ORD-00311"/>
    <x v="235"/>
    <s v="CUS-DHA-016"/>
    <s v="R01"/>
    <s v="ST-DHA-04"/>
    <x v="9"/>
    <s v="P044"/>
    <n v="3"/>
    <n v="7.0000000000000007E-2"/>
    <n v="7155"/>
    <n v="3"/>
    <x v="25"/>
    <s v="Color Pencil Set"/>
    <s v="Kids &amp; Toys"/>
    <n v="2250"/>
    <n v="1240"/>
    <n v="6750"/>
    <n v="3720"/>
    <n v="3030"/>
    <s v="Rafi Hossain"/>
    <x v="9"/>
    <x v="4"/>
    <x v="35"/>
  </r>
  <r>
    <s v="ORD-00312"/>
    <x v="79"/>
    <s v="CUS-KHL-024"/>
    <s v="R05"/>
    <s v="ST-KHL-05"/>
    <x v="16"/>
    <s v="P002"/>
    <n v="5"/>
    <n v="0.08"/>
    <n v="18203"/>
    <n v="5"/>
    <x v="29"/>
    <s v="Wireless Mouse"/>
    <s v="Electronics"/>
    <n v="3340"/>
    <n v="2270"/>
    <n v="16700"/>
    <n v="11350"/>
    <n v="5350"/>
    <s v="Ayesha Islam"/>
    <x v="16"/>
    <x v="6"/>
    <x v="30"/>
  </r>
  <r>
    <s v="ORD-00313"/>
    <x v="236"/>
    <s v="CUS-KHL-024"/>
    <s v="R05"/>
    <s v="ST-KHL-05"/>
    <x v="45"/>
    <s v="P006"/>
    <n v="1"/>
    <n v="0.12"/>
    <n v="7848"/>
    <n v="5"/>
    <x v="5"/>
    <s v="Electric Kettle"/>
    <s v="Home Appliance"/>
    <n v="7200"/>
    <n v="5040"/>
    <n v="7200"/>
    <n v="5040"/>
    <n v="2160"/>
    <s v="Ayesha Islam"/>
    <x v="45"/>
    <x v="6"/>
    <x v="30"/>
  </r>
  <r>
    <s v="ORD-00314"/>
    <x v="0"/>
    <s v="CUS-KHL-009"/>
    <s v="R05"/>
    <s v="ST-KHL-01"/>
    <x v="13"/>
    <s v="P003"/>
    <n v="6"/>
    <n v="0.1"/>
    <n v="18574"/>
    <n v="5"/>
    <x v="29"/>
    <s v="Power Bank"/>
    <s v="Electronics"/>
    <n v="2840"/>
    <n v="1930"/>
    <n v="17040"/>
    <n v="11580"/>
    <n v="5460"/>
    <s v="Arif Akter"/>
    <x v="13"/>
    <x v="6"/>
    <x v="24"/>
  </r>
  <r>
    <s v="ORD-00315"/>
    <x v="195"/>
    <s v="CUS-MYM-012"/>
    <s v="R08"/>
    <s v="ST-MYM-02"/>
    <x v="3"/>
    <s v="P035"/>
    <n v="2"/>
    <n v="0.12"/>
    <n v="2398"/>
    <n v="5"/>
    <x v="5"/>
    <s v="Dumbbell Set"/>
    <s v="Sports"/>
    <n v="1110"/>
    <n v="690"/>
    <n v="2220"/>
    <n v="1380"/>
    <n v="840"/>
    <s v="Nabila Khan"/>
    <x v="3"/>
    <x v="2"/>
    <x v="20"/>
  </r>
  <r>
    <s v="ORD-00316"/>
    <x v="237"/>
    <s v="CUS-CTG-005"/>
    <s v="R02"/>
    <s v="ST-CTG-05"/>
    <x v="23"/>
    <s v="P039"/>
    <n v="4"/>
    <n v="0.02"/>
    <n v="4742"/>
    <n v="4"/>
    <x v="17"/>
    <s v="Marker Set"/>
    <s v="Stationery"/>
    <n v="1040"/>
    <n v="520"/>
    <n v="4160"/>
    <n v="2080"/>
    <n v="2080"/>
    <s v="Shakib Mia"/>
    <x v="23"/>
    <x v="7"/>
    <x v="31"/>
  </r>
  <r>
    <s v="ORD-00317"/>
    <x v="238"/>
    <s v="CUS-MYM-024"/>
    <s v="R08"/>
    <s v="ST-MYM-02"/>
    <x v="11"/>
    <s v="P020"/>
    <n v="2"/>
    <n v="0"/>
    <n v="4622"/>
    <n v="6"/>
    <x v="5"/>
    <s v="Tea Pack 500g"/>
    <s v="Grocery"/>
    <n v="2140"/>
    <n v="1670"/>
    <n v="4280"/>
    <n v="3340"/>
    <n v="940"/>
    <s v="Farhana Islam"/>
    <x v="11"/>
    <x v="2"/>
    <x v="20"/>
  </r>
  <r>
    <s v="ORD-00318"/>
    <x v="239"/>
    <s v="CUS-MYM-010"/>
    <s v="R08"/>
    <s v="ST-MYM-04"/>
    <x v="43"/>
    <s v="P047"/>
    <n v="2"/>
    <n v="0.1"/>
    <n v="25229"/>
    <n v="7"/>
    <x v="12"/>
    <s v="Study Table"/>
    <s v="Furniture"/>
    <n v="11680"/>
    <n v="8410"/>
    <n v="23360"/>
    <n v="16820"/>
    <n v="6540"/>
    <s v="Jannat Sultana"/>
    <x v="43"/>
    <x v="2"/>
    <x v="34"/>
  </r>
  <r>
    <s v="ORD-00319"/>
    <x v="33"/>
    <s v="CUS-MYM-009"/>
    <s v="R08"/>
    <s v="ST-MYM-02"/>
    <x v="31"/>
    <s v="P041"/>
    <n v="2"/>
    <n v="0.1"/>
    <n v="1814"/>
    <n v="3"/>
    <x v="21"/>
    <s v="Building Blocks"/>
    <s v="Kids &amp; Toys"/>
    <n v="840"/>
    <n v="460"/>
    <n v="1680"/>
    <n v="920"/>
    <n v="760"/>
    <s v="Rasel Hossain"/>
    <x v="31"/>
    <x v="2"/>
    <x v="20"/>
  </r>
  <r>
    <s v="ORD-00320"/>
    <x v="240"/>
    <s v="CUS-DHA-004"/>
    <s v="R01"/>
    <s v="ST-DHA-05"/>
    <x v="35"/>
    <s v="P008"/>
    <n v="5"/>
    <n v="0.12"/>
    <n v="12879"/>
    <n v="5"/>
    <x v="5"/>
    <s v="Blender Machine"/>
    <s v="Home Appliance"/>
    <n v="2430"/>
    <n v="1700"/>
    <n v="12150"/>
    <n v="8500"/>
    <n v="3650"/>
    <s v="Mahmud Ahmed"/>
    <x v="35"/>
    <x v="4"/>
    <x v="15"/>
  </r>
  <r>
    <s v="ORD-00321"/>
    <x v="16"/>
    <s v="CUS-BAR-009"/>
    <s v="R06"/>
    <s v="ST-BAR-03"/>
    <x v="47"/>
    <s v="P005"/>
    <n v="2"/>
    <n v="0.1"/>
    <n v="10954"/>
    <n v="5"/>
    <x v="29"/>
    <s v="USB-C Hub"/>
    <s v="Electronics"/>
    <n v="4890"/>
    <n v="3330"/>
    <n v="9780"/>
    <n v="6660"/>
    <n v="3120"/>
    <s v="Tanvir Akter"/>
    <x v="47"/>
    <x v="5"/>
    <x v="27"/>
  </r>
  <r>
    <s v="ORD-00322"/>
    <x v="241"/>
    <s v="CUS-RAJ-017"/>
    <s v="R04"/>
    <s v="ST-RAJ-03"/>
    <x v="30"/>
    <s v="P028"/>
    <n v="2"/>
    <n v="0.03"/>
    <n v="6955"/>
    <n v="2"/>
    <x v="15"/>
    <s v="Ladies Sandal"/>
    <s v="Footwear"/>
    <n v="3220"/>
    <n v="1930"/>
    <n v="6440"/>
    <n v="3860"/>
    <n v="2580"/>
    <s v="Mim Chowdhury"/>
    <x v="30"/>
    <x v="1"/>
    <x v="18"/>
  </r>
  <r>
    <s v="ORD-00323"/>
    <x v="242"/>
    <s v="CUS-DHA-003"/>
    <s v="R01"/>
    <s v="ST-DHA-01"/>
    <x v="6"/>
    <s v="P002"/>
    <n v="5"/>
    <n v="0.1"/>
    <n v="17702"/>
    <n v="2"/>
    <x v="24"/>
    <s v="Wireless Mouse"/>
    <s v="Electronics"/>
    <n v="3340"/>
    <n v="2270"/>
    <n v="16700"/>
    <n v="11350"/>
    <n v="5350"/>
    <s v="Tania Chowdhury"/>
    <x v="6"/>
    <x v="4"/>
    <x v="29"/>
  </r>
  <r>
    <s v="ORD-00324"/>
    <x v="86"/>
    <s v="CUS-DHA-001"/>
    <s v="R01"/>
    <s v="ST-DHA-05"/>
    <x v="44"/>
    <s v="P002"/>
    <n v="8"/>
    <n v="0.08"/>
    <n v="28323"/>
    <n v="1"/>
    <x v="13"/>
    <s v="Wireless Mouse"/>
    <s v="Electronics"/>
    <n v="3340"/>
    <n v="2270"/>
    <n v="26720"/>
    <n v="18160"/>
    <n v="8560"/>
    <s v="Rumana Sultana"/>
    <x v="44"/>
    <x v="4"/>
    <x v="15"/>
  </r>
  <r>
    <s v="ORD-00325"/>
    <x v="243"/>
    <s v="CUS-CTG-003"/>
    <s v="R02"/>
    <s v="ST-CTG-05"/>
    <x v="23"/>
    <s v="P009"/>
    <n v="6"/>
    <n v="0.1"/>
    <n v="31190"/>
    <n v="7"/>
    <x v="12"/>
    <s v="Steam Iron"/>
    <s v="Home Appliance"/>
    <n v="4560"/>
    <n v="3190"/>
    <n v="27360"/>
    <n v="19140"/>
    <n v="8220"/>
    <s v="Shuvo Mia"/>
    <x v="23"/>
    <x v="7"/>
    <x v="31"/>
  </r>
  <r>
    <s v="ORD-00326"/>
    <x v="174"/>
    <s v="CUS-CTG-021"/>
    <s v="R02"/>
    <s v="ST-CTG-04"/>
    <x v="15"/>
    <s v="P034"/>
    <n v="2"/>
    <n v="0.03"/>
    <n v="6224"/>
    <n v="7"/>
    <x v="11"/>
    <s v="Yoga Mat"/>
    <s v="Sports"/>
    <n v="2730"/>
    <n v="1690"/>
    <n v="5460"/>
    <n v="3380"/>
    <n v="2080"/>
    <s v="Mahmud Islam"/>
    <x v="15"/>
    <x v="7"/>
    <x v="33"/>
  </r>
  <r>
    <s v="ORD-00327"/>
    <x v="244"/>
    <s v="CUS-KHL-025"/>
    <s v="R05"/>
    <s v="ST-KHL-01"/>
    <x v="24"/>
    <s v="P009"/>
    <n v="3"/>
    <n v="0.1"/>
    <n v="14911"/>
    <n v="3"/>
    <x v="21"/>
    <s v="Steam Iron"/>
    <s v="Home Appliance"/>
    <n v="4560"/>
    <n v="3190"/>
    <n v="13680"/>
    <n v="9570"/>
    <n v="4110"/>
    <s v="Tanjim Khan"/>
    <x v="24"/>
    <x v="6"/>
    <x v="24"/>
  </r>
  <r>
    <s v="ORD-00328"/>
    <x v="245"/>
    <s v="CUS-RAJ-020"/>
    <s v="R04"/>
    <s v="ST-RAJ-04"/>
    <x v="46"/>
    <s v="P025"/>
    <n v="2"/>
    <n v="0.05"/>
    <n v="2722"/>
    <n v="5"/>
    <x v="19"/>
    <s v="Perfume Spray"/>
    <s v="Beauty &amp; Personal Care"/>
    <n v="1260"/>
    <n v="730"/>
    <n v="2520"/>
    <n v="1460"/>
    <n v="1060"/>
    <s v="Shakib Uddin"/>
    <x v="46"/>
    <x v="1"/>
    <x v="1"/>
  </r>
  <r>
    <s v="ORD-00329"/>
    <x v="221"/>
    <s v="CUS-CTG-015"/>
    <s v="R02"/>
    <s v="ST-CTG-03"/>
    <x v="41"/>
    <s v="P001"/>
    <n v="4"/>
    <n v="0.15"/>
    <n v="14774"/>
    <n v="7"/>
    <x v="23"/>
    <s v="Bluetooth Speaker"/>
    <s v="Electronics"/>
    <n v="3240"/>
    <n v="2200"/>
    <n v="12960"/>
    <n v="8800"/>
    <n v="4160"/>
    <s v="Sajib Sultana"/>
    <x v="41"/>
    <x v="7"/>
    <x v="16"/>
  </r>
  <r>
    <s v="ORD-00330"/>
    <x v="212"/>
    <s v="CUS-DHA-002"/>
    <s v="R01"/>
    <s v="ST-DHA-04"/>
    <x v="14"/>
    <s v="P003"/>
    <n v="8"/>
    <n v="0.08"/>
    <n v="24083"/>
    <n v="2"/>
    <x v="18"/>
    <s v="Power Bank"/>
    <s v="Electronics"/>
    <n v="2840"/>
    <n v="1930"/>
    <n v="22720"/>
    <n v="15440"/>
    <n v="7280"/>
    <s v="Tamanna Hossain"/>
    <x v="14"/>
    <x v="4"/>
    <x v="35"/>
  </r>
  <r>
    <s v="ORD-00331"/>
    <x v="106"/>
    <s v="CUS-MYM-016"/>
    <s v="R08"/>
    <s v="ST-MYM-04"/>
    <x v="19"/>
    <s v="P039"/>
    <n v="3"/>
    <n v="0.05"/>
    <n v="3370"/>
    <n v="7"/>
    <x v="11"/>
    <s v="Marker Set"/>
    <s v="Stationery"/>
    <n v="1040"/>
    <n v="520"/>
    <n v="3120"/>
    <n v="1560"/>
    <n v="1560"/>
    <s v="Rasel Uddin"/>
    <x v="19"/>
    <x v="2"/>
    <x v="34"/>
  </r>
  <r>
    <s v="ORD-00332"/>
    <x v="246"/>
    <s v="CUS-MYM-004"/>
    <s v="R08"/>
    <s v="ST-MYM-05"/>
    <x v="31"/>
    <s v="P046"/>
    <n v="2"/>
    <n v="7.0000000000000007E-2"/>
    <n v="9461"/>
    <n v="5"/>
    <x v="29"/>
    <s v="Office Chair"/>
    <s v="Furniture"/>
    <n v="4380"/>
    <n v="3150"/>
    <n v="8760"/>
    <n v="6300"/>
    <n v="2460"/>
    <s v="Morshed Sultana"/>
    <x v="31"/>
    <x v="2"/>
    <x v="28"/>
  </r>
  <r>
    <s v="ORD-00333"/>
    <x v="226"/>
    <s v="CUS-RAN-002"/>
    <s v="R07"/>
    <s v="ST-RAN-01"/>
    <x v="42"/>
    <s v="P017"/>
    <n v="2"/>
    <n v="0.03"/>
    <n v="851"/>
    <n v="5"/>
    <x v="19"/>
    <s v="Soybean Oil 5L"/>
    <s v="Grocery"/>
    <n v="370"/>
    <n v="290"/>
    <n v="740"/>
    <n v="580"/>
    <n v="160"/>
    <s v="Rumana Akter"/>
    <x v="42"/>
    <x v="0"/>
    <x v="0"/>
  </r>
  <r>
    <s v="ORD-00334"/>
    <x v="247"/>
    <s v="CUS-DHA-013"/>
    <s v="R01"/>
    <s v="ST-DHA-02"/>
    <x v="14"/>
    <s v="P029"/>
    <n v="4"/>
    <n v="0.1"/>
    <n v="11363"/>
    <n v="1"/>
    <x v="13"/>
    <s v="Kids Sneaker"/>
    <s v="Footwear"/>
    <n v="2680"/>
    <n v="1610"/>
    <n v="10720"/>
    <n v="6440"/>
    <n v="4280"/>
    <s v="Arif Hossain"/>
    <x v="14"/>
    <x v="4"/>
    <x v="8"/>
  </r>
  <r>
    <s v="ORD-00335"/>
    <x v="248"/>
    <s v="CUS-CTG-021"/>
    <s v="R02"/>
    <s v="ST-CTG-04"/>
    <x v="37"/>
    <s v="P004"/>
    <n v="1"/>
    <n v="0.18"/>
    <n v="4412"/>
    <n v="5"/>
    <x v="4"/>
    <s v="Smart Watch"/>
    <s v="Electronics"/>
    <n v="3870"/>
    <n v="2630"/>
    <n v="3870"/>
    <n v="2630"/>
    <n v="1240"/>
    <s v="Mahmud Islam"/>
    <x v="37"/>
    <x v="7"/>
    <x v="33"/>
  </r>
  <r>
    <s v="ORD-00336"/>
    <x v="249"/>
    <s v="CUS-KHL-016"/>
    <s v="R05"/>
    <s v="ST-KHL-05"/>
    <x v="24"/>
    <s v="P048"/>
    <n v="1"/>
    <n v="0.03"/>
    <n v="5799"/>
    <n v="7"/>
    <x v="11"/>
    <s v="Shoe Rack"/>
    <s v="Furniture"/>
    <n v="5320"/>
    <n v="3830"/>
    <n v="5320"/>
    <n v="3830"/>
    <n v="1490"/>
    <s v="Ayesha Akter"/>
    <x v="24"/>
    <x v="6"/>
    <x v="30"/>
  </r>
  <r>
    <s v="ORD-00337"/>
    <x v="250"/>
    <s v="CUS-BAR-024"/>
    <s v="R06"/>
    <s v="ST-BAR-01"/>
    <x v="22"/>
    <s v="P003"/>
    <n v="10"/>
    <n v="0.1"/>
    <n v="31808"/>
    <n v="5"/>
    <x v="29"/>
    <s v="Power Bank"/>
    <s v="Electronics"/>
    <n v="2840"/>
    <n v="1930"/>
    <n v="28400"/>
    <n v="19300"/>
    <n v="9100"/>
    <s v="Rumana Chowdhury"/>
    <x v="22"/>
    <x v="5"/>
    <x v="9"/>
  </r>
  <r>
    <s v="ORD-00338"/>
    <x v="121"/>
    <s v="CUS-CTG-002"/>
    <s v="R02"/>
    <s v="ST-CTG-02"/>
    <x v="39"/>
    <s v="P026"/>
    <n v="8"/>
    <n v="0.03"/>
    <n v="32011"/>
    <n v="4"/>
    <x v="17"/>
    <s v="Running Shoe"/>
    <s v="Footwear"/>
    <n v="3510"/>
    <n v="2110"/>
    <n v="28080"/>
    <n v="16880"/>
    <n v="11200"/>
    <s v="Arif Khan"/>
    <x v="39"/>
    <x v="7"/>
    <x v="22"/>
  </r>
  <r>
    <s v="ORD-00339"/>
    <x v="185"/>
    <s v="CUS-RAJ-023"/>
    <s v="R04"/>
    <s v="ST-RAJ-02"/>
    <x v="1"/>
    <s v="P004"/>
    <n v="6"/>
    <n v="0.08"/>
    <n v="25078"/>
    <n v="3"/>
    <x v="25"/>
    <s v="Smart Watch"/>
    <s v="Electronics"/>
    <n v="3870"/>
    <n v="2630"/>
    <n v="23220"/>
    <n v="15780"/>
    <n v="7440"/>
    <s v="Hasan Ahmed"/>
    <x v="1"/>
    <x v="1"/>
    <x v="2"/>
  </r>
  <r>
    <s v="ORD-00340"/>
    <x v="251"/>
    <s v="CUS-CTG-004"/>
    <s v="R02"/>
    <s v="ST-CTG-01"/>
    <x v="39"/>
    <s v="P021"/>
    <n v="1"/>
    <n v="0.05"/>
    <n v="1459"/>
    <n v="5"/>
    <x v="19"/>
    <s v="Face Wash"/>
    <s v="Beauty &amp; Personal Care"/>
    <n v="1280"/>
    <n v="740"/>
    <n v="1280"/>
    <n v="740"/>
    <n v="540"/>
    <s v="Shaila Mia"/>
    <x v="39"/>
    <x v="7"/>
    <x v="37"/>
  </r>
  <r>
    <s v="ORD-00341"/>
    <x v="252"/>
    <s v="CUS-RAN-011"/>
    <s v="R07"/>
    <s v="ST-RAN-04"/>
    <x v="42"/>
    <s v="P003"/>
    <n v="2"/>
    <n v="0.1"/>
    <n v="6532"/>
    <n v="6"/>
    <x v="16"/>
    <s v="Power Bank"/>
    <s v="Electronics"/>
    <n v="2840"/>
    <n v="1930"/>
    <n v="5680"/>
    <n v="3860"/>
    <n v="1820"/>
    <s v="Arif Akter"/>
    <x v="42"/>
    <x v="0"/>
    <x v="13"/>
  </r>
  <r>
    <s v="ORD-00342"/>
    <x v="253"/>
    <s v="CUS-BAR-003"/>
    <s v="R06"/>
    <s v="ST-BAR-01"/>
    <x v="33"/>
    <s v="P003"/>
    <n v="2"/>
    <n v="0.18"/>
    <n v="6362"/>
    <n v="3"/>
    <x v="20"/>
    <s v="Power Bank"/>
    <s v="Electronics"/>
    <n v="2840"/>
    <n v="1930"/>
    <n v="5680"/>
    <n v="3860"/>
    <n v="1820"/>
    <s v="Arif Ahmed"/>
    <x v="33"/>
    <x v="5"/>
    <x v="9"/>
  </r>
  <r>
    <s v="ORD-00343"/>
    <x v="9"/>
    <s v="CUS-SYL-015"/>
    <s v="R03"/>
    <s v="ST-SYL-02"/>
    <x v="5"/>
    <s v="P001"/>
    <n v="6"/>
    <n v="0.18"/>
    <n v="20801"/>
    <n v="2"/>
    <x v="10"/>
    <s v="Bluetooth Speaker"/>
    <s v="Electronics"/>
    <n v="3240"/>
    <n v="2200"/>
    <n v="19440"/>
    <n v="13200"/>
    <n v="6240"/>
    <s v="Sadia Sultana"/>
    <x v="5"/>
    <x v="3"/>
    <x v="32"/>
  </r>
  <r>
    <s v="ORD-00344"/>
    <x v="159"/>
    <s v="CUS-MYM-003"/>
    <s v="R08"/>
    <s v="ST-MYM-01"/>
    <x v="17"/>
    <s v="P004"/>
    <n v="6"/>
    <n v="0.12"/>
    <n v="25078"/>
    <n v="5"/>
    <x v="5"/>
    <s v="Smart Watch"/>
    <s v="Electronics"/>
    <n v="3870"/>
    <n v="2630"/>
    <n v="23220"/>
    <n v="15780"/>
    <n v="7440"/>
    <s v="Rahim Khan"/>
    <x v="17"/>
    <x v="2"/>
    <x v="3"/>
  </r>
  <r>
    <s v="ORD-00345"/>
    <x v="254"/>
    <s v="CUS-RAN-023"/>
    <s v="R07"/>
    <s v="ST-RAN-04"/>
    <x v="0"/>
    <s v="P003"/>
    <n v="3"/>
    <n v="0.18"/>
    <n v="9798"/>
    <n v="5"/>
    <x v="4"/>
    <s v="Power Bank"/>
    <s v="Electronics"/>
    <n v="2840"/>
    <n v="1930"/>
    <n v="8520"/>
    <n v="5790"/>
    <n v="2730"/>
    <s v="Farhana Ahmed"/>
    <x v="0"/>
    <x v="0"/>
    <x v="13"/>
  </r>
  <r>
    <s v="ORD-00346"/>
    <x v="255"/>
    <s v="CUS-SYL-020"/>
    <s v="R03"/>
    <s v="ST-SYL-01"/>
    <x v="5"/>
    <s v="P004"/>
    <n v="3"/>
    <n v="0.08"/>
    <n v="12423"/>
    <n v="3"/>
    <x v="25"/>
    <s v="Smart Watch"/>
    <s v="Electronics"/>
    <n v="3870"/>
    <n v="2630"/>
    <n v="11610"/>
    <n v="7890"/>
    <n v="3720"/>
    <s v="Shaila Uddin"/>
    <x v="5"/>
    <x v="3"/>
    <x v="25"/>
  </r>
  <r>
    <s v="ORD-00347"/>
    <x v="177"/>
    <s v="CUS-KHL-012"/>
    <s v="R05"/>
    <s v="ST-KHL-04"/>
    <x v="45"/>
    <s v="P019"/>
    <n v="1"/>
    <n v="0"/>
    <n v="480"/>
    <n v="1"/>
    <x v="33"/>
    <s v="Flour 2kg"/>
    <s v="Grocery"/>
    <n v="440"/>
    <n v="340"/>
    <n v="440"/>
    <n v="340"/>
    <n v="100"/>
    <s v="Nayeem Chowdhury"/>
    <x v="45"/>
    <x v="6"/>
    <x v="19"/>
  </r>
  <r>
    <s v="ORD-00348"/>
    <x v="205"/>
    <s v="CUS-RAJ-015"/>
    <s v="R04"/>
    <s v="ST-RAJ-02"/>
    <x v="26"/>
    <s v="P001"/>
    <n v="6"/>
    <n v="0.15"/>
    <n v="20995"/>
    <n v="2"/>
    <x v="10"/>
    <s v="Bluetooth Speaker"/>
    <s v="Electronics"/>
    <n v="3240"/>
    <n v="2200"/>
    <n v="19440"/>
    <n v="13200"/>
    <n v="6240"/>
    <s v="Tania Mia"/>
    <x v="26"/>
    <x v="1"/>
    <x v="2"/>
  </r>
  <r>
    <s v="ORD-00349"/>
    <x v="74"/>
    <s v="CUS-MYM-006"/>
    <s v="R08"/>
    <s v="ST-MYM-02"/>
    <x v="43"/>
    <s v="P045"/>
    <n v="3"/>
    <n v="7.0000000000000007E-2"/>
    <n v="2722"/>
    <n v="4"/>
    <x v="20"/>
    <s v="Kids Story Book"/>
    <s v="Kids &amp; Toys"/>
    <n v="840"/>
    <n v="460"/>
    <n v="2520"/>
    <n v="1380"/>
    <n v="1140"/>
    <s v="Mim Ahmed"/>
    <x v="43"/>
    <x v="2"/>
    <x v="20"/>
  </r>
  <r>
    <s v="ORD-00350"/>
    <x v="256"/>
    <s v="CUS-MYM-002"/>
    <s v="R08"/>
    <s v="ST-MYM-01"/>
    <x v="43"/>
    <s v="P001"/>
    <n v="1"/>
    <n v="0.08"/>
    <n v="3499"/>
    <n v="5"/>
    <x v="29"/>
    <s v="Bluetooth Speaker"/>
    <s v="Electronics"/>
    <n v="3240"/>
    <n v="2200"/>
    <n v="3240"/>
    <n v="2200"/>
    <n v="1040"/>
    <s v="Karim Chowdhury"/>
    <x v="43"/>
    <x v="2"/>
    <x v="3"/>
  </r>
  <r>
    <s v="ORD-00351"/>
    <x v="257"/>
    <s v="CUS-MYM-017"/>
    <s v="R08"/>
    <s v="ST-MYM-01"/>
    <x v="17"/>
    <s v="P043"/>
    <n v="4"/>
    <n v="0.1"/>
    <n v="9504"/>
    <n v="5"/>
    <x v="29"/>
    <s v="Puzzle Board"/>
    <s v="Kids &amp; Toys"/>
    <n v="2200"/>
    <n v="1210"/>
    <n v="8800"/>
    <n v="4840"/>
    <n v="3960"/>
    <s v="Rafi Akter"/>
    <x v="17"/>
    <x v="2"/>
    <x v="3"/>
  </r>
  <r>
    <s v="ORD-00352"/>
    <x v="233"/>
    <s v="CUS-BAR-008"/>
    <s v="R06"/>
    <s v="ST-BAR-01"/>
    <x v="33"/>
    <s v="P005"/>
    <n v="4"/>
    <n v="0.1"/>
    <n v="21907"/>
    <n v="8"/>
    <x v="27"/>
    <s v="USB-C Hub"/>
    <s v="Electronics"/>
    <n v="4890"/>
    <n v="3330"/>
    <n v="19560"/>
    <n v="13320"/>
    <n v="6240"/>
    <s v="Rasel Chowdhury"/>
    <x v="33"/>
    <x v="5"/>
    <x v="9"/>
  </r>
  <r>
    <s v="ORD-00353"/>
    <x v="74"/>
    <s v="CUS-RAN-008"/>
    <s v="R07"/>
    <s v="ST-RAN-01"/>
    <x v="4"/>
    <s v="P021"/>
    <n v="6"/>
    <n v="0.05"/>
    <n v="8832"/>
    <n v="7"/>
    <x v="11"/>
    <s v="Face Wash"/>
    <s v="Beauty &amp; Personal Care"/>
    <n v="1280"/>
    <n v="740"/>
    <n v="7680"/>
    <n v="4440"/>
    <n v="3240"/>
    <s v="Imran Mia"/>
    <x v="4"/>
    <x v="0"/>
    <x v="0"/>
  </r>
  <r>
    <s v="ORD-00354"/>
    <x v="258"/>
    <s v="CUS-SYL-013"/>
    <s v="R03"/>
    <s v="ST-SYL-03"/>
    <x v="20"/>
    <s v="P012"/>
    <n v="3"/>
    <n v="7.0000000000000007E-2"/>
    <n v="5842"/>
    <n v="5"/>
    <x v="29"/>
    <s v="Formal Shirt"/>
    <s v="Fashion"/>
    <n v="1820"/>
    <n v="1000"/>
    <n v="5460"/>
    <n v="3000"/>
    <n v="2460"/>
    <s v="Rasel Islam"/>
    <x v="20"/>
    <x v="3"/>
    <x v="23"/>
  </r>
  <r>
    <s v="ORD-00355"/>
    <x v="244"/>
    <s v="CUS-RAJ-011"/>
    <s v="R04"/>
    <s v="ST-RAJ-02"/>
    <x v="1"/>
    <s v="P028"/>
    <n v="2"/>
    <n v="0.1"/>
    <n v="6955"/>
    <n v="3"/>
    <x v="21"/>
    <s v="Ladies Sandal"/>
    <s v="Footwear"/>
    <n v="3220"/>
    <n v="1930"/>
    <n v="6440"/>
    <n v="3860"/>
    <n v="2580"/>
    <s v="Imran Uddin"/>
    <x v="1"/>
    <x v="1"/>
    <x v="2"/>
  </r>
  <r>
    <s v="ORD-00356"/>
    <x v="50"/>
    <s v="CUS-BAR-008"/>
    <s v="R06"/>
    <s v="ST-BAR-03"/>
    <x v="12"/>
    <s v="P003"/>
    <n v="3"/>
    <n v="0.18"/>
    <n v="9542"/>
    <n v="5"/>
    <x v="4"/>
    <s v="Power Bank"/>
    <s v="Electronics"/>
    <n v="2840"/>
    <n v="1930"/>
    <n v="8520"/>
    <n v="5790"/>
    <n v="2730"/>
    <s v="Rasel Chowdhury"/>
    <x v="12"/>
    <x v="5"/>
    <x v="27"/>
  </r>
  <r>
    <s v="ORD-00357"/>
    <x v="259"/>
    <s v="CUS-RAJ-003"/>
    <s v="R04"/>
    <s v="ST-RAJ-04"/>
    <x v="40"/>
    <s v="P014"/>
    <n v="3"/>
    <n v="0.1"/>
    <n v="2851"/>
    <n v="3"/>
    <x v="21"/>
    <s v="Denim Jeans"/>
    <s v="Fashion"/>
    <n v="880"/>
    <n v="480"/>
    <n v="2640"/>
    <n v="1440"/>
    <n v="1200"/>
    <s v="Morshed Rahman"/>
    <x v="40"/>
    <x v="1"/>
    <x v="1"/>
  </r>
  <r>
    <s v="ORD-00358"/>
    <x v="260"/>
    <s v="CUS-RAJ-008"/>
    <s v="R04"/>
    <s v="ST-RAJ-03"/>
    <x v="2"/>
    <s v="P020"/>
    <n v="6"/>
    <n v="0"/>
    <n v="13867"/>
    <n v="7"/>
    <x v="28"/>
    <s v="Tea Pack 500g"/>
    <s v="Grocery"/>
    <n v="2140"/>
    <n v="1670"/>
    <n v="12840"/>
    <n v="10020"/>
    <n v="2820"/>
    <s v="Farhana Mia"/>
    <x v="2"/>
    <x v="1"/>
    <x v="18"/>
  </r>
  <r>
    <s v="ORD-00359"/>
    <x v="82"/>
    <s v="CUS-RAN-002"/>
    <s v="R07"/>
    <s v="ST-RAN-01"/>
    <x v="4"/>
    <s v="P031"/>
    <n v="1"/>
    <n v="0.12"/>
    <n v="3036"/>
    <n v="3"/>
    <x v="21"/>
    <s v="Cricket Bat"/>
    <s v="Sports"/>
    <n v="2640"/>
    <n v="1640"/>
    <n v="2640"/>
    <n v="1640"/>
    <n v="1000"/>
    <s v="Rumana Akter"/>
    <x v="4"/>
    <x v="0"/>
    <x v="0"/>
  </r>
  <r>
    <s v="ORD-00360"/>
    <x v="33"/>
    <s v="CUS-CTG-015"/>
    <s v="R02"/>
    <s v="ST-CTG-04"/>
    <x v="23"/>
    <s v="P002"/>
    <n v="4"/>
    <n v="0.15"/>
    <n v="15230"/>
    <n v="7"/>
    <x v="23"/>
    <s v="Wireless Mouse"/>
    <s v="Electronics"/>
    <n v="3340"/>
    <n v="2270"/>
    <n v="13360"/>
    <n v="9080"/>
    <n v="4280"/>
    <s v="Sajib Sultana"/>
    <x v="23"/>
    <x v="7"/>
    <x v="33"/>
  </r>
  <r>
    <s v="ORD-00361"/>
    <x v="12"/>
    <s v="CUS-RAJ-005"/>
    <s v="R04"/>
    <s v="ST-RAJ-03"/>
    <x v="26"/>
    <s v="P005"/>
    <n v="3"/>
    <n v="0.12"/>
    <n v="15844"/>
    <n v="5"/>
    <x v="5"/>
    <s v="USB-C Hub"/>
    <s v="Electronics"/>
    <n v="4890"/>
    <n v="3330"/>
    <n v="14670"/>
    <n v="9990"/>
    <n v="4680"/>
    <s v="Tanjim Akter"/>
    <x v="26"/>
    <x v="1"/>
    <x v="18"/>
  </r>
  <r>
    <s v="ORD-00362"/>
    <x v="261"/>
    <s v="CUS-DHA-015"/>
    <s v="R01"/>
    <s v="ST-DHA-04"/>
    <x v="28"/>
    <s v="P041"/>
    <n v="1"/>
    <n v="7.0000000000000007E-2"/>
    <n v="890"/>
    <n v="4"/>
    <x v="20"/>
    <s v="Building Blocks"/>
    <s v="Kids &amp; Toys"/>
    <n v="840"/>
    <n v="460"/>
    <n v="840"/>
    <n v="460"/>
    <n v="380"/>
    <s v="Hasan Islam"/>
    <x v="28"/>
    <x v="4"/>
    <x v="35"/>
  </r>
  <r>
    <s v="ORD-00363"/>
    <x v="262"/>
    <s v="CUS-MYM-023"/>
    <s v="R08"/>
    <s v="ST-MYM-01"/>
    <x v="43"/>
    <s v="P002"/>
    <n v="4"/>
    <n v="0.15"/>
    <n v="14429"/>
    <n v="4"/>
    <x v="3"/>
    <s v="Wireless Mouse"/>
    <s v="Electronics"/>
    <n v="3340"/>
    <n v="2270"/>
    <n v="13360"/>
    <n v="9080"/>
    <n v="4280"/>
    <s v="Ayesha Uddin"/>
    <x v="43"/>
    <x v="2"/>
    <x v="3"/>
  </r>
  <r>
    <s v="ORD-00364"/>
    <x v="263"/>
    <s v="CUS-RAJ-022"/>
    <s v="R04"/>
    <s v="ST-RAJ-01"/>
    <x v="40"/>
    <s v="P042"/>
    <n v="3"/>
    <n v="7.0000000000000007E-2"/>
    <n v="5897"/>
    <n v="1"/>
    <x v="13"/>
    <s v="Toy Car Set"/>
    <s v="Kids &amp; Toys"/>
    <n v="1820"/>
    <n v="1000"/>
    <n v="5460"/>
    <n v="3000"/>
    <n v="2460"/>
    <s v="Mehedi Khan"/>
    <x v="40"/>
    <x v="1"/>
    <x v="36"/>
  </r>
  <r>
    <s v="ORD-00365"/>
    <x v="178"/>
    <s v="CUS-DHA-004"/>
    <s v="R01"/>
    <s v="ST-DHA-04"/>
    <x v="14"/>
    <s v="P012"/>
    <n v="2"/>
    <n v="0.05"/>
    <n v="3858"/>
    <n v="1"/>
    <x v="7"/>
    <s v="Formal Shirt"/>
    <s v="Fashion"/>
    <n v="1820"/>
    <n v="1000"/>
    <n v="3640"/>
    <n v="2000"/>
    <n v="1640"/>
    <s v="Mahmud Ahmed"/>
    <x v="14"/>
    <x v="4"/>
    <x v="35"/>
  </r>
  <r>
    <s v="ORD-00366"/>
    <x v="264"/>
    <s v="CUS-RAJ-005"/>
    <s v="R04"/>
    <s v="ST-RAJ-03"/>
    <x v="46"/>
    <s v="P017"/>
    <n v="4"/>
    <n v="0.02"/>
    <n v="1598"/>
    <n v="2"/>
    <x v="15"/>
    <s v="Soybean Oil 5L"/>
    <s v="Grocery"/>
    <n v="370"/>
    <n v="290"/>
    <n v="1480"/>
    <n v="1160"/>
    <n v="320"/>
    <s v="Tanjim Akter"/>
    <x v="46"/>
    <x v="1"/>
    <x v="18"/>
  </r>
  <r>
    <s v="ORD-00367"/>
    <x v="129"/>
    <s v="CUS-RAJ-011"/>
    <s v="R04"/>
    <s v="ST-RAJ-03"/>
    <x v="26"/>
    <s v="P015"/>
    <n v="2"/>
    <n v="7.0000000000000007E-2"/>
    <n v="5659"/>
    <n v="3"/>
    <x v="25"/>
    <s v="Leather Belt"/>
    <s v="Fashion"/>
    <n v="2620"/>
    <n v="1440"/>
    <n v="5240"/>
    <n v="2880"/>
    <n v="2360"/>
    <s v="Imran Uddin"/>
    <x v="26"/>
    <x v="1"/>
    <x v="18"/>
  </r>
  <r>
    <s v="ORD-00368"/>
    <x v="265"/>
    <s v="CUS-CTG-016"/>
    <s v="R02"/>
    <s v="ST-CTG-05"/>
    <x v="37"/>
    <s v="P038"/>
    <n v="2"/>
    <n v="0.03"/>
    <n v="775"/>
    <n v="7"/>
    <x v="11"/>
    <s v="Office File Set"/>
    <s v="Stationery"/>
    <n v="340"/>
    <n v="170"/>
    <n v="680"/>
    <n v="340"/>
    <n v="340"/>
    <s v="Arif Ahmed"/>
    <x v="37"/>
    <x v="7"/>
    <x v="31"/>
  </r>
  <r>
    <s v="ORD-00369"/>
    <x v="206"/>
    <s v="CUS-CTG-007"/>
    <s v="R02"/>
    <s v="ST-CTG-04"/>
    <x v="41"/>
    <s v="P002"/>
    <n v="2"/>
    <n v="0.08"/>
    <n v="7615"/>
    <n v="6"/>
    <x v="16"/>
    <s v="Wireless Mouse"/>
    <s v="Electronics"/>
    <n v="3340"/>
    <n v="2270"/>
    <n v="6680"/>
    <n v="4540"/>
    <n v="2140"/>
    <s v="Mehedi Khan"/>
    <x v="41"/>
    <x v="7"/>
    <x v="33"/>
  </r>
  <r>
    <s v="ORD-00370"/>
    <x v="219"/>
    <s v="CUS-SYL-016"/>
    <s v="R03"/>
    <s v="ST-SYL-02"/>
    <x v="20"/>
    <s v="P016"/>
    <n v="2"/>
    <n v="0.02"/>
    <n v="2375"/>
    <n v="4"/>
    <x v="17"/>
    <s v="Premium Rice 5kg"/>
    <s v="Grocery"/>
    <n v="1110"/>
    <n v="870"/>
    <n v="2220"/>
    <n v="1740"/>
    <n v="480"/>
    <s v="Hasan Akter"/>
    <x v="20"/>
    <x v="3"/>
    <x v="32"/>
  </r>
  <r>
    <s v="ORD-00371"/>
    <x v="266"/>
    <s v="CUS-MYM-012"/>
    <s v="R08"/>
    <s v="ST-MYM-04"/>
    <x v="19"/>
    <s v="P032"/>
    <n v="2"/>
    <n v="0.03"/>
    <n v="8035"/>
    <n v="7"/>
    <x v="11"/>
    <s v="Football"/>
    <s v="Sports"/>
    <n v="3720"/>
    <n v="2310"/>
    <n v="7440"/>
    <n v="4620"/>
    <n v="2820"/>
    <s v="Nabila Khan"/>
    <x v="19"/>
    <x v="2"/>
    <x v="34"/>
  </r>
  <r>
    <s v="ORD-00372"/>
    <x v="267"/>
    <s v="CUS-BAR-014"/>
    <s v="R06"/>
    <s v="ST-BAR-05"/>
    <x v="33"/>
    <s v="P026"/>
    <n v="4"/>
    <n v="0.12"/>
    <n v="15725"/>
    <n v="5"/>
    <x v="5"/>
    <s v="Running Shoe"/>
    <s v="Footwear"/>
    <n v="3510"/>
    <n v="2110"/>
    <n v="14040"/>
    <n v="8440"/>
    <n v="5600"/>
    <s v="Rasel Ahmed"/>
    <x v="33"/>
    <x v="5"/>
    <x v="7"/>
  </r>
  <r>
    <s v="ORD-00373"/>
    <x v="268"/>
    <s v="CUS-MYM-015"/>
    <s v="R08"/>
    <s v="ST-MYM-03"/>
    <x v="31"/>
    <s v="P003"/>
    <n v="1"/>
    <n v="0.12"/>
    <n v="3067"/>
    <n v="4"/>
    <x v="6"/>
    <s v="Power Bank"/>
    <s v="Electronics"/>
    <n v="2840"/>
    <n v="1930"/>
    <n v="2840"/>
    <n v="1930"/>
    <n v="910"/>
    <s v="Shaila Hossain"/>
    <x v="31"/>
    <x v="2"/>
    <x v="10"/>
  </r>
  <r>
    <s v="ORD-00374"/>
    <x v="269"/>
    <s v="CUS-KHL-025"/>
    <s v="R05"/>
    <s v="ST-KHL-01"/>
    <x v="36"/>
    <s v="P008"/>
    <n v="10"/>
    <n v="0.1"/>
    <n v="26487"/>
    <n v="7"/>
    <x v="12"/>
    <s v="Blender Machine"/>
    <s v="Home Appliance"/>
    <n v="2430"/>
    <n v="1700"/>
    <n v="24300"/>
    <n v="17000"/>
    <n v="7300"/>
    <s v="Tanjim Khan"/>
    <x v="36"/>
    <x v="6"/>
    <x v="24"/>
  </r>
  <r>
    <s v="ORD-00375"/>
    <x v="270"/>
    <s v="CUS-KHL-006"/>
    <s v="R05"/>
    <s v="ST-KHL-02"/>
    <x v="13"/>
    <s v="P028"/>
    <n v="1"/>
    <n v="0.03"/>
    <n v="3510"/>
    <n v="5"/>
    <x v="19"/>
    <s v="Ladies Sandal"/>
    <s v="Footwear"/>
    <n v="3220"/>
    <n v="1930"/>
    <n v="3220"/>
    <n v="1930"/>
    <n v="1290"/>
    <s v="Sadia Ahmed"/>
    <x v="13"/>
    <x v="6"/>
    <x v="14"/>
  </r>
  <r>
    <s v="ORD-00376"/>
    <x v="271"/>
    <s v="CUS-SYL-015"/>
    <s v="R03"/>
    <s v="ST-SYL-03"/>
    <x v="38"/>
    <s v="P004"/>
    <n v="3"/>
    <n v="0.12"/>
    <n v="12423"/>
    <n v="3"/>
    <x v="21"/>
    <s v="Smart Watch"/>
    <s v="Electronics"/>
    <n v="3870"/>
    <n v="2630"/>
    <n v="11610"/>
    <n v="7890"/>
    <n v="3720"/>
    <s v="Sadia Sultana"/>
    <x v="38"/>
    <x v="3"/>
    <x v="23"/>
  </r>
  <r>
    <s v="ORD-00377"/>
    <x v="272"/>
    <s v="CUS-SYL-012"/>
    <s v="R03"/>
    <s v="ST-SYL-04"/>
    <x v="5"/>
    <s v="P049"/>
    <n v="1"/>
    <n v="0.03"/>
    <n v="4526"/>
    <n v="3"/>
    <x v="10"/>
    <s v="Bookshelf"/>
    <s v="Furniture"/>
    <n v="4230"/>
    <n v="3050"/>
    <n v="4230"/>
    <n v="3050"/>
    <n v="1180"/>
    <s v="Tamanna Rahman"/>
    <x v="5"/>
    <x v="3"/>
    <x v="21"/>
  </r>
  <r>
    <s v="ORD-00378"/>
    <x v="273"/>
    <s v="CUS-SYL-015"/>
    <s v="R03"/>
    <s v="ST-SYL-03"/>
    <x v="20"/>
    <s v="P001"/>
    <n v="2"/>
    <n v="0.12"/>
    <n v="6934"/>
    <n v="4"/>
    <x v="6"/>
    <s v="Bluetooth Speaker"/>
    <s v="Electronics"/>
    <n v="3240"/>
    <n v="2200"/>
    <n v="6480"/>
    <n v="4400"/>
    <n v="2080"/>
    <s v="Sadia Sultana"/>
    <x v="20"/>
    <x v="3"/>
    <x v="23"/>
  </r>
  <r>
    <s v="ORD-00379"/>
    <x v="190"/>
    <s v="CUS-MYM-010"/>
    <s v="R08"/>
    <s v="ST-MYM-05"/>
    <x v="43"/>
    <s v="P003"/>
    <n v="2"/>
    <n v="0.15"/>
    <n v="6134"/>
    <n v="5"/>
    <x v="5"/>
    <s v="Power Bank"/>
    <s v="Electronics"/>
    <n v="2840"/>
    <n v="1930"/>
    <n v="5680"/>
    <n v="3860"/>
    <n v="1820"/>
    <s v="Jannat Sultana"/>
    <x v="43"/>
    <x v="2"/>
    <x v="28"/>
  </r>
  <r>
    <s v="ORD-00380"/>
    <x v="251"/>
    <s v="CUS-CTG-010"/>
    <s v="R02"/>
    <s v="ST-CTG-01"/>
    <x v="39"/>
    <s v="P023"/>
    <n v="2"/>
    <n v="0.03"/>
    <n v="2645"/>
    <n v="4"/>
    <x v="17"/>
    <s v="Body Lotion"/>
    <s v="Beauty &amp; Personal Care"/>
    <n v="1160"/>
    <n v="670"/>
    <n v="2320"/>
    <n v="1340"/>
    <n v="980"/>
    <s v="Jannat Ahmed"/>
    <x v="39"/>
    <x v="7"/>
    <x v="37"/>
  </r>
  <r>
    <s v="ORD-00381"/>
    <x v="144"/>
    <s v="CUS-BAR-002"/>
    <s v="R06"/>
    <s v="ST-BAR-05"/>
    <x v="10"/>
    <s v="P004"/>
    <n v="4"/>
    <n v="0.12"/>
    <n v="17338"/>
    <n v="5"/>
    <x v="5"/>
    <s v="Smart Watch"/>
    <s v="Electronics"/>
    <n v="3870"/>
    <n v="2630"/>
    <n v="15480"/>
    <n v="10520"/>
    <n v="4960"/>
    <s v="Nabila Khan"/>
    <x v="10"/>
    <x v="5"/>
    <x v="7"/>
  </r>
  <r>
    <s v="ORD-00382"/>
    <x v="274"/>
    <s v="CUS-MYM-022"/>
    <s v="R08"/>
    <s v="ST-MYM-01"/>
    <x v="31"/>
    <s v="P010"/>
    <n v="2"/>
    <n v="0.18"/>
    <n v="6718"/>
    <n v="7"/>
    <x v="23"/>
    <s v="Table Fan"/>
    <s v="Home Appliance"/>
    <n v="3110"/>
    <n v="2180"/>
    <n v="6220"/>
    <n v="4360"/>
    <n v="1860"/>
    <s v="Shamim Rahman"/>
    <x v="31"/>
    <x v="2"/>
    <x v="3"/>
  </r>
  <r>
    <s v="ORD-00383"/>
    <x v="275"/>
    <s v="CUS-DHA-022"/>
    <s v="R01"/>
    <s v="ST-DHA-03"/>
    <x v="6"/>
    <s v="P003"/>
    <n v="3"/>
    <n v="0.08"/>
    <n v="9031"/>
    <n v="2"/>
    <x v="18"/>
    <s v="Power Bank"/>
    <s v="Electronics"/>
    <n v="2840"/>
    <n v="1930"/>
    <n v="8520"/>
    <n v="5790"/>
    <n v="2730"/>
    <s v="Arif Rahman"/>
    <x v="6"/>
    <x v="4"/>
    <x v="5"/>
  </r>
  <r>
    <s v="ORD-00384"/>
    <x v="276"/>
    <s v="CUS-MYM-018"/>
    <s v="R08"/>
    <s v="ST-MYM-01"/>
    <x v="11"/>
    <s v="P031"/>
    <n v="5"/>
    <n v="0.1"/>
    <n v="14256"/>
    <n v="6"/>
    <x v="16"/>
    <s v="Cricket Bat"/>
    <s v="Sports"/>
    <n v="2640"/>
    <n v="1640"/>
    <n v="13200"/>
    <n v="8200"/>
    <n v="5000"/>
    <s v="Nusrat Akter"/>
    <x v="11"/>
    <x v="2"/>
    <x v="3"/>
  </r>
  <r>
    <s v="ORD-00385"/>
    <x v="116"/>
    <s v="CUS-KHL-006"/>
    <s v="R05"/>
    <s v="ST-KHL-04"/>
    <x v="13"/>
    <s v="P043"/>
    <n v="5"/>
    <n v="0.12"/>
    <n v="11990"/>
    <n v="4"/>
    <x v="6"/>
    <s v="Puzzle Board"/>
    <s v="Kids &amp; Toys"/>
    <n v="2200"/>
    <n v="1210"/>
    <n v="11000"/>
    <n v="6050"/>
    <n v="4950"/>
    <s v="Sadia Ahmed"/>
    <x v="13"/>
    <x v="6"/>
    <x v="19"/>
  </r>
  <r>
    <s v="ORD-00386"/>
    <x v="277"/>
    <s v="CUS-MYM-017"/>
    <s v="R08"/>
    <s v="ST-MYM-03"/>
    <x v="17"/>
    <s v="P046"/>
    <n v="1"/>
    <n v="0.1"/>
    <n v="4730"/>
    <n v="7"/>
    <x v="12"/>
    <s v="Office Chair"/>
    <s v="Furniture"/>
    <n v="4380"/>
    <n v="3150"/>
    <n v="4380"/>
    <n v="3150"/>
    <n v="1230"/>
    <s v="Rafi Akter"/>
    <x v="17"/>
    <x v="2"/>
    <x v="10"/>
  </r>
  <r>
    <s v="ORD-00387"/>
    <x v="252"/>
    <s v="CUS-KHL-014"/>
    <s v="R05"/>
    <s v="ST-KHL-02"/>
    <x v="29"/>
    <s v="P012"/>
    <n v="1"/>
    <n v="0.1"/>
    <n v="1984"/>
    <n v="2"/>
    <x v="24"/>
    <s v="Formal Shirt"/>
    <s v="Fashion"/>
    <n v="1820"/>
    <n v="1000"/>
    <n v="1820"/>
    <n v="1000"/>
    <n v="820"/>
    <s v="Imran Uddin"/>
    <x v="29"/>
    <x v="6"/>
    <x v="14"/>
  </r>
  <r>
    <s v="ORD-00388"/>
    <x v="278"/>
    <s v="CUS-KHL-019"/>
    <s v="R05"/>
    <s v="ST-KHL-03"/>
    <x v="24"/>
    <s v="P019"/>
    <n v="1"/>
    <n v="0.02"/>
    <n v="480"/>
    <n v="5"/>
    <x v="3"/>
    <s v="Flour 2kg"/>
    <s v="Grocery"/>
    <n v="440"/>
    <n v="340"/>
    <n v="440"/>
    <n v="340"/>
    <n v="100"/>
    <s v="Ayesha Uddin"/>
    <x v="24"/>
    <x v="6"/>
    <x v="17"/>
  </r>
  <r>
    <s v="ORD-00389"/>
    <x v="279"/>
    <s v="CUS-KHL-010"/>
    <s v="R05"/>
    <s v="ST-KHL-04"/>
    <x v="45"/>
    <s v="P026"/>
    <n v="2"/>
    <n v="0.1"/>
    <n v="7652"/>
    <n v="5"/>
    <x v="29"/>
    <s v="Running Shoe"/>
    <s v="Footwear"/>
    <n v="3510"/>
    <n v="2110"/>
    <n v="7020"/>
    <n v="4220"/>
    <n v="2800"/>
    <s v="Nabila Islam"/>
    <x v="45"/>
    <x v="6"/>
    <x v="19"/>
  </r>
  <r>
    <s v="ORD-00390"/>
    <x v="32"/>
    <s v="CUS-DHA-004"/>
    <s v="R01"/>
    <s v="ST-DHA-03"/>
    <x v="6"/>
    <s v="P050"/>
    <n v="4"/>
    <n v="0.12"/>
    <n v="24889"/>
    <n v="3"/>
    <x v="21"/>
    <s v="Bedside Table"/>
    <s v="Furniture"/>
    <n v="5870"/>
    <n v="4230"/>
    <n v="23480"/>
    <n v="16920"/>
    <n v="6560"/>
    <s v="Mahmud Ahmed"/>
    <x v="6"/>
    <x v="4"/>
    <x v="5"/>
  </r>
  <r>
    <s v="ORD-00391"/>
    <x v="280"/>
    <s v="CUS-MYM-019"/>
    <s v="R08"/>
    <s v="ST-MYM-04"/>
    <x v="3"/>
    <s v="P024"/>
    <n v="8"/>
    <n v="0.03"/>
    <n v="12182"/>
    <n v="2"/>
    <x v="15"/>
    <s v="Toothpaste Twin Pack"/>
    <s v="Beauty &amp; Personal Care"/>
    <n v="1410"/>
    <n v="820"/>
    <n v="11280"/>
    <n v="6560"/>
    <n v="4720"/>
    <s v="Hasan Sultana"/>
    <x v="3"/>
    <x v="2"/>
    <x v="34"/>
  </r>
  <r>
    <s v="ORD-00392"/>
    <x v="281"/>
    <s v="CUS-DHA-009"/>
    <s v="R01"/>
    <s v="ST-DHA-02"/>
    <x v="9"/>
    <s v="P002"/>
    <n v="2"/>
    <n v="0.1"/>
    <n v="7081"/>
    <n v="4"/>
    <x v="6"/>
    <s v="Wireless Mouse"/>
    <s v="Electronics"/>
    <n v="3340"/>
    <n v="2270"/>
    <n v="6680"/>
    <n v="4540"/>
    <n v="2140"/>
    <s v="Rumana Ahmed"/>
    <x v="9"/>
    <x v="4"/>
    <x v="8"/>
  </r>
  <r>
    <s v="ORD-00393"/>
    <x v="142"/>
    <s v="CUS-BAR-006"/>
    <s v="R06"/>
    <s v="ST-BAR-01"/>
    <x v="33"/>
    <s v="P009"/>
    <n v="2"/>
    <n v="0.18"/>
    <n v="10214"/>
    <n v="7"/>
    <x v="23"/>
    <s v="Steam Iron"/>
    <s v="Home Appliance"/>
    <n v="4560"/>
    <n v="3190"/>
    <n v="9120"/>
    <n v="6380"/>
    <n v="2740"/>
    <s v="Shamim Ahmed"/>
    <x v="33"/>
    <x v="5"/>
    <x v="9"/>
  </r>
  <r>
    <s v="ORD-00394"/>
    <x v="31"/>
    <s v="CUS-RAJ-025"/>
    <s v="R04"/>
    <s v="ST-RAJ-02"/>
    <x v="1"/>
    <s v="P022"/>
    <n v="3"/>
    <n v="7.0000000000000007E-2"/>
    <n v="5378"/>
    <n v="3"/>
    <x v="25"/>
    <s v="Shampoo 375ml"/>
    <s v="Beauty &amp; Personal Care"/>
    <n v="1660"/>
    <n v="960"/>
    <n v="4980"/>
    <n v="2880"/>
    <n v="2100"/>
    <s v="Mehedi Khan"/>
    <x v="1"/>
    <x v="1"/>
    <x v="2"/>
  </r>
  <r>
    <s v="ORD-00395"/>
    <x v="282"/>
    <s v="CUS-KHL-009"/>
    <s v="R05"/>
    <s v="ST-KHL-03"/>
    <x v="45"/>
    <s v="P017"/>
    <n v="5"/>
    <n v="0.02"/>
    <n v="2017"/>
    <n v="1"/>
    <x v="7"/>
    <s v="Soybean Oil 5L"/>
    <s v="Grocery"/>
    <n v="370"/>
    <n v="290"/>
    <n v="1850"/>
    <n v="1450"/>
    <n v="400"/>
    <s v="Arif Akter"/>
    <x v="45"/>
    <x v="6"/>
    <x v="17"/>
  </r>
  <r>
    <s v="ORD-00396"/>
    <x v="283"/>
    <s v="CUS-MYM-014"/>
    <s v="R08"/>
    <s v="ST-MYM-03"/>
    <x v="11"/>
    <s v="P002"/>
    <n v="3"/>
    <n v="0.1"/>
    <n v="10822"/>
    <n v="4"/>
    <x v="6"/>
    <s v="Wireless Mouse"/>
    <s v="Electronics"/>
    <n v="3340"/>
    <n v="2270"/>
    <n v="10020"/>
    <n v="6810"/>
    <n v="3210"/>
    <s v="Tamanna Islam"/>
    <x v="11"/>
    <x v="2"/>
    <x v="10"/>
  </r>
  <r>
    <s v="ORD-00397"/>
    <x v="284"/>
    <s v="CUS-CTG-014"/>
    <s v="R02"/>
    <s v="ST-CTG-04"/>
    <x v="41"/>
    <s v="P003"/>
    <n v="6"/>
    <n v="0.15"/>
    <n v="19426"/>
    <n v="3"/>
    <x v="17"/>
    <s v="Power Bank"/>
    <s v="Electronics"/>
    <n v="2840"/>
    <n v="1930"/>
    <n v="17040"/>
    <n v="11580"/>
    <n v="5460"/>
    <s v="Ayesha Sultana"/>
    <x v="41"/>
    <x v="7"/>
    <x v="33"/>
  </r>
  <r>
    <s v="ORD-00398"/>
    <x v="141"/>
    <s v="CUS-SYL-015"/>
    <s v="R03"/>
    <s v="ST-SYL-05"/>
    <x v="5"/>
    <s v="P033"/>
    <n v="2"/>
    <n v="0.03"/>
    <n v="6634"/>
    <n v="5"/>
    <x v="19"/>
    <s v="Badminton Racket"/>
    <s v="Sports"/>
    <n v="3100"/>
    <n v="1920"/>
    <n v="6200"/>
    <n v="3840"/>
    <n v="2360"/>
    <s v="Sadia Sultana"/>
    <x v="5"/>
    <x v="3"/>
    <x v="4"/>
  </r>
  <r>
    <s v="ORD-00399"/>
    <x v="29"/>
    <s v="CUS-CTG-008"/>
    <s v="R02"/>
    <s v="ST-CTG-02"/>
    <x v="37"/>
    <s v="P003"/>
    <n v="2"/>
    <n v="0.1"/>
    <n v="6475"/>
    <n v="5"/>
    <x v="29"/>
    <s v="Power Bank"/>
    <s v="Electronics"/>
    <n v="2840"/>
    <n v="1930"/>
    <n v="5680"/>
    <n v="3860"/>
    <n v="1820"/>
    <s v="Mim Akter"/>
    <x v="37"/>
    <x v="7"/>
    <x v="22"/>
  </r>
  <r>
    <s v="ORD-00400"/>
    <x v="143"/>
    <s v="CUS-CTG-003"/>
    <s v="R02"/>
    <s v="ST-CTG-01"/>
    <x v="39"/>
    <s v="P033"/>
    <n v="1"/>
    <n v="0.03"/>
    <n v="3534"/>
    <n v="6"/>
    <x v="4"/>
    <s v="Badminton Racket"/>
    <s v="Sports"/>
    <n v="3100"/>
    <n v="1920"/>
    <n v="3100"/>
    <n v="1920"/>
    <n v="1180"/>
    <s v="Shuvo Mia"/>
    <x v="39"/>
    <x v="7"/>
    <x v="37"/>
  </r>
  <r>
    <s v="ORD-00401"/>
    <x v="272"/>
    <s v="CUS-DHA-016"/>
    <s v="R01"/>
    <s v="ST-DHA-01"/>
    <x v="14"/>
    <s v="P001"/>
    <n v="3"/>
    <n v="0.08"/>
    <n v="10303"/>
    <n v="3"/>
    <x v="25"/>
    <s v="Bluetooth Speaker"/>
    <s v="Electronics"/>
    <n v="3240"/>
    <n v="2200"/>
    <n v="9720"/>
    <n v="6600"/>
    <n v="3120"/>
    <s v="Rafi Hossain"/>
    <x v="14"/>
    <x v="4"/>
    <x v="29"/>
  </r>
  <r>
    <s v="ORD-00402"/>
    <x v="71"/>
    <s v="CUS-RAJ-019"/>
    <s v="R04"/>
    <s v="ST-RAJ-02"/>
    <x v="46"/>
    <s v="P027"/>
    <n v="1"/>
    <n v="7.0000000000000007E-2"/>
    <n v="1307"/>
    <n v="1"/>
    <x v="13"/>
    <s v="Formal Shoe"/>
    <s v="Footwear"/>
    <n v="1210"/>
    <n v="730"/>
    <n v="1210"/>
    <n v="730"/>
    <n v="480"/>
    <s v="Shuvo Khan"/>
    <x v="46"/>
    <x v="1"/>
    <x v="2"/>
  </r>
  <r>
    <s v="ORD-00403"/>
    <x v="285"/>
    <s v="CUS-BAR-012"/>
    <s v="R06"/>
    <s v="ST-BAR-02"/>
    <x v="12"/>
    <s v="P035"/>
    <n v="3"/>
    <n v="0.03"/>
    <n v="3730"/>
    <n v="7"/>
    <x v="11"/>
    <s v="Dumbbell Set"/>
    <s v="Sports"/>
    <n v="1110"/>
    <n v="690"/>
    <n v="3330"/>
    <n v="2070"/>
    <n v="1260"/>
    <s v="Hasan Uddin"/>
    <x v="12"/>
    <x v="5"/>
    <x v="11"/>
  </r>
  <r>
    <s v="ORD-00404"/>
    <x v="286"/>
    <s v="CUS-DHA-017"/>
    <s v="R01"/>
    <s v="ST-DHA-02"/>
    <x v="35"/>
    <s v="P004"/>
    <n v="1"/>
    <n v="0.18"/>
    <n v="4102"/>
    <n v="3"/>
    <x v="20"/>
    <s v="Smart Watch"/>
    <s v="Electronics"/>
    <n v="3870"/>
    <n v="2630"/>
    <n v="3870"/>
    <n v="2630"/>
    <n v="1240"/>
    <s v="Shakib Khan"/>
    <x v="35"/>
    <x v="4"/>
    <x v="8"/>
  </r>
  <r>
    <s v="ORD-00405"/>
    <x v="97"/>
    <s v="CUS-DHA-024"/>
    <s v="R01"/>
    <s v="ST-DHA-01"/>
    <x v="28"/>
    <s v="P045"/>
    <n v="2"/>
    <n v="0.12"/>
    <n v="1781"/>
    <n v="3"/>
    <x v="21"/>
    <s v="Kids Story Book"/>
    <s v="Kids &amp; Toys"/>
    <n v="840"/>
    <n v="460"/>
    <n v="1680"/>
    <n v="920"/>
    <n v="760"/>
    <s v="Hasan Akter"/>
    <x v="28"/>
    <x v="4"/>
    <x v="29"/>
  </r>
  <r>
    <s v="ORD-00406"/>
    <x v="100"/>
    <s v="CUS-CTG-006"/>
    <s v="R02"/>
    <s v="ST-CTG-03"/>
    <x v="39"/>
    <s v="P011"/>
    <n v="1"/>
    <n v="0.03"/>
    <n v="2132"/>
    <n v="7"/>
    <x v="11"/>
    <s v="Cotton T-Shirt"/>
    <s v="Fashion"/>
    <n v="1870"/>
    <n v="1030"/>
    <n v="1870"/>
    <n v="1030"/>
    <n v="840"/>
    <s v="Karim Rahman"/>
    <x v="39"/>
    <x v="7"/>
    <x v="16"/>
  </r>
  <r>
    <s v="ORD-00407"/>
    <x v="287"/>
    <s v="CUS-BAR-004"/>
    <s v="R06"/>
    <s v="ST-BAR-04"/>
    <x v="47"/>
    <s v="P016"/>
    <n v="4"/>
    <n v="0.03"/>
    <n v="4973"/>
    <n v="5"/>
    <x v="19"/>
    <s v="Premium Rice 5kg"/>
    <s v="Grocery"/>
    <n v="1110"/>
    <n v="870"/>
    <n v="4440"/>
    <n v="3480"/>
    <n v="960"/>
    <s v="Rasel Uddin"/>
    <x v="47"/>
    <x v="5"/>
    <x v="12"/>
  </r>
  <r>
    <s v="ORD-00408"/>
    <x v="288"/>
    <s v="CUS-BAR-016"/>
    <s v="R06"/>
    <s v="ST-BAR-01"/>
    <x v="22"/>
    <s v="P006"/>
    <n v="4"/>
    <n v="0.15"/>
    <n v="32256"/>
    <n v="7"/>
    <x v="23"/>
    <s v="Electric Kettle"/>
    <s v="Home Appliance"/>
    <n v="7200"/>
    <n v="5040"/>
    <n v="28800"/>
    <n v="20160"/>
    <n v="8640"/>
    <s v="Sajib Islam"/>
    <x v="22"/>
    <x v="5"/>
    <x v="9"/>
  </r>
  <r>
    <s v="ORD-00409"/>
    <x v="289"/>
    <s v="CUS-RAJ-018"/>
    <s v="R04"/>
    <s v="ST-RAJ-04"/>
    <x v="26"/>
    <s v="P049"/>
    <n v="1"/>
    <n v="0.1"/>
    <n v="4568"/>
    <n v="8"/>
    <x v="27"/>
    <s v="Bookshelf"/>
    <s v="Furniture"/>
    <n v="4230"/>
    <n v="3050"/>
    <n v="4230"/>
    <n v="3050"/>
    <n v="1180"/>
    <s v="Samiha Mia"/>
    <x v="26"/>
    <x v="1"/>
    <x v="1"/>
  </r>
  <r>
    <s v="ORD-00410"/>
    <x v="68"/>
    <s v="CUS-DHA-022"/>
    <s v="R01"/>
    <s v="ST-DHA-04"/>
    <x v="35"/>
    <s v="P002"/>
    <n v="5"/>
    <n v="0.08"/>
    <n v="17702"/>
    <n v="1"/>
    <x v="13"/>
    <s v="Wireless Mouse"/>
    <s v="Electronics"/>
    <n v="3340"/>
    <n v="2270"/>
    <n v="16700"/>
    <n v="11350"/>
    <n v="5350"/>
    <s v="Arif Rahman"/>
    <x v="35"/>
    <x v="4"/>
    <x v="35"/>
  </r>
  <r>
    <s v="ORD-00411"/>
    <x v="290"/>
    <s v="CUS-CTG-005"/>
    <s v="R02"/>
    <s v="ST-CTG-04"/>
    <x v="39"/>
    <s v="P029"/>
    <n v="4"/>
    <n v="0.03"/>
    <n v="12221"/>
    <n v="4"/>
    <x v="17"/>
    <s v="Kids Sneaker"/>
    <s v="Footwear"/>
    <n v="2680"/>
    <n v="1610"/>
    <n v="10720"/>
    <n v="6440"/>
    <n v="4280"/>
    <s v="Shakib Mia"/>
    <x v="39"/>
    <x v="7"/>
    <x v="33"/>
  </r>
  <r>
    <s v="ORD-00412"/>
    <x v="291"/>
    <s v="CUS-RAJ-020"/>
    <s v="R04"/>
    <s v="ST-RAJ-04"/>
    <x v="1"/>
    <s v="P005"/>
    <n v="5"/>
    <n v="0.18"/>
    <n v="26406"/>
    <n v="5"/>
    <x v="4"/>
    <s v="USB-C Hub"/>
    <s v="Electronics"/>
    <n v="4890"/>
    <n v="3330"/>
    <n v="24450"/>
    <n v="16650"/>
    <n v="7800"/>
    <s v="Shakib Uddin"/>
    <x v="1"/>
    <x v="1"/>
    <x v="1"/>
  </r>
  <r>
    <s v="ORD-00413"/>
    <x v="103"/>
    <s v="CUS-KHL-025"/>
    <s v="R05"/>
    <s v="ST-KHL-04"/>
    <x v="16"/>
    <s v="P013"/>
    <n v="10"/>
    <n v="0.12"/>
    <n v="21691"/>
    <n v="2"/>
    <x v="24"/>
    <s v="Women Kurti"/>
    <s v="Fashion"/>
    <n v="1990"/>
    <n v="1090"/>
    <n v="19900"/>
    <n v="10900"/>
    <n v="9000"/>
    <s v="Tanjim Khan"/>
    <x v="16"/>
    <x v="6"/>
    <x v="19"/>
  </r>
  <r>
    <s v="ORD-00414"/>
    <x v="119"/>
    <s v="CUS-CTG-004"/>
    <s v="R02"/>
    <s v="ST-CTG-03"/>
    <x v="39"/>
    <s v="P014"/>
    <n v="1"/>
    <n v="0.03"/>
    <n v="1003"/>
    <n v="8"/>
    <x v="23"/>
    <s v="Denim Jeans"/>
    <s v="Fashion"/>
    <n v="880"/>
    <n v="480"/>
    <n v="880"/>
    <n v="480"/>
    <n v="400"/>
    <s v="Shaila Mia"/>
    <x v="39"/>
    <x v="7"/>
    <x v="16"/>
  </r>
  <r>
    <s v="ORD-00415"/>
    <x v="267"/>
    <s v="CUS-CTG-016"/>
    <s v="R02"/>
    <s v="ST-CTG-01"/>
    <x v="23"/>
    <s v="P009"/>
    <n v="3"/>
    <n v="0.18"/>
    <n v="15595"/>
    <n v="8"/>
    <x v="9"/>
    <s v="Steam Iron"/>
    <s v="Home Appliance"/>
    <n v="4560"/>
    <n v="3190"/>
    <n v="13680"/>
    <n v="9570"/>
    <n v="4110"/>
    <s v="Arif Ahmed"/>
    <x v="23"/>
    <x v="7"/>
    <x v="37"/>
  </r>
  <r>
    <s v="ORD-00416"/>
    <x v="274"/>
    <s v="CUS-MYM-015"/>
    <s v="R08"/>
    <s v="ST-MYM-02"/>
    <x v="3"/>
    <s v="P026"/>
    <n v="3"/>
    <n v="0.12"/>
    <n v="11372"/>
    <n v="4"/>
    <x v="6"/>
    <s v="Running Shoe"/>
    <s v="Footwear"/>
    <n v="3510"/>
    <n v="2110"/>
    <n v="10530"/>
    <n v="6330"/>
    <n v="4200"/>
    <s v="Shaila Hossain"/>
    <x v="3"/>
    <x v="2"/>
    <x v="20"/>
  </r>
  <r>
    <s v="ORD-00417"/>
    <x v="166"/>
    <s v="CUS-BAR-018"/>
    <s v="R06"/>
    <s v="ST-BAR-05"/>
    <x v="47"/>
    <s v="P047"/>
    <n v="10"/>
    <n v="0.03"/>
    <n v="130816"/>
    <n v="6"/>
    <x v="4"/>
    <s v="Study Table"/>
    <s v="Furniture"/>
    <n v="11680"/>
    <n v="8410"/>
    <n v="116800"/>
    <n v="84100"/>
    <n v="32700"/>
    <s v="Samiha Ahmed"/>
    <x v="47"/>
    <x v="5"/>
    <x v="7"/>
  </r>
  <r>
    <s v="ORD-00418"/>
    <x v="292"/>
    <s v="CUS-RAN-015"/>
    <s v="R07"/>
    <s v="ST-RAN-04"/>
    <x v="7"/>
    <s v="P001"/>
    <n v="6"/>
    <n v="0.1"/>
    <n v="22356"/>
    <n v="7"/>
    <x v="12"/>
    <s v="Bluetooth Speaker"/>
    <s v="Electronics"/>
    <n v="3240"/>
    <n v="2200"/>
    <n v="19440"/>
    <n v="13200"/>
    <n v="6240"/>
    <s v="Shamim Uddin"/>
    <x v="7"/>
    <x v="0"/>
    <x v="13"/>
  </r>
  <r>
    <s v="ORD-00419"/>
    <x v="293"/>
    <s v="CUS-MYM-014"/>
    <s v="R08"/>
    <s v="ST-MYM-02"/>
    <x v="3"/>
    <s v="P030"/>
    <n v="4"/>
    <n v="0.12"/>
    <n v="8078"/>
    <n v="3"/>
    <x v="21"/>
    <s v="Casual Loafer"/>
    <s v="Footwear"/>
    <n v="1870"/>
    <n v="1120"/>
    <n v="7480"/>
    <n v="4480"/>
    <n v="3000"/>
    <s v="Tamanna Islam"/>
    <x v="3"/>
    <x v="2"/>
    <x v="20"/>
  </r>
  <r>
    <s v="ORD-00420"/>
    <x v="16"/>
    <s v="CUS-MYM-016"/>
    <s v="R08"/>
    <s v="ST-MYM-05"/>
    <x v="11"/>
    <s v="P015"/>
    <n v="2"/>
    <n v="0.12"/>
    <n v="5659"/>
    <n v="2"/>
    <x v="24"/>
    <s v="Leather Belt"/>
    <s v="Fashion"/>
    <n v="2620"/>
    <n v="1440"/>
    <n v="5240"/>
    <n v="2880"/>
    <n v="2360"/>
    <s v="Rasel Uddin"/>
    <x v="11"/>
    <x v="2"/>
    <x v="28"/>
  </r>
  <r>
    <s v="ORD-00421"/>
    <x v="294"/>
    <s v="CUS-RAN-020"/>
    <s v="R07"/>
    <s v="ST-RAN-03"/>
    <x v="42"/>
    <s v="P007"/>
    <n v="3"/>
    <n v="0.1"/>
    <n v="25633"/>
    <n v="9"/>
    <x v="32"/>
    <s v="Rice Cooker"/>
    <s v="Home Appliance"/>
    <n v="7430"/>
    <n v="5200"/>
    <n v="22290"/>
    <n v="15600"/>
    <n v="6690"/>
    <s v="Shuvo Uddin"/>
    <x v="42"/>
    <x v="0"/>
    <x v="26"/>
  </r>
  <r>
    <s v="ORD-00422"/>
    <x v="238"/>
    <s v="CUS-DHA-025"/>
    <s v="R01"/>
    <s v="ST-DHA-03"/>
    <x v="6"/>
    <s v="P002"/>
    <n v="11"/>
    <n v="0.12"/>
    <n v="38944"/>
    <n v="1"/>
    <x v="1"/>
    <s v="Wireless Mouse"/>
    <s v="Electronics"/>
    <n v="3340"/>
    <n v="2270"/>
    <n v="36740"/>
    <n v="24970"/>
    <n v="11770"/>
    <s v="Nabila Sultana"/>
    <x v="6"/>
    <x v="4"/>
    <x v="5"/>
  </r>
  <r>
    <s v="ORD-00423"/>
    <x v="288"/>
    <s v="CUS-DHA-022"/>
    <s v="R01"/>
    <s v="ST-DHA-02"/>
    <x v="28"/>
    <s v="P005"/>
    <n v="3"/>
    <n v="0.08"/>
    <n v="15550"/>
    <n v="3"/>
    <x v="25"/>
    <s v="USB-C Hub"/>
    <s v="Electronics"/>
    <n v="4890"/>
    <n v="3330"/>
    <n v="14670"/>
    <n v="9990"/>
    <n v="4680"/>
    <s v="Arif Rahman"/>
    <x v="28"/>
    <x v="4"/>
    <x v="8"/>
  </r>
  <r>
    <s v="ORD-00424"/>
    <x v="295"/>
    <s v="CUS-SYL-001"/>
    <s v="R03"/>
    <s v="ST-SYL-05"/>
    <x v="38"/>
    <s v="P001"/>
    <n v="4"/>
    <n v="0.12"/>
    <n v="13867"/>
    <n v="2"/>
    <x v="24"/>
    <s v="Bluetooth Speaker"/>
    <s v="Electronics"/>
    <n v="3240"/>
    <n v="2200"/>
    <n v="12960"/>
    <n v="8800"/>
    <n v="4160"/>
    <s v="Karim Khan"/>
    <x v="38"/>
    <x v="3"/>
    <x v="4"/>
  </r>
  <r>
    <s v="ORD-00425"/>
    <x v="296"/>
    <s v="CUS-DHA-023"/>
    <s v="R01"/>
    <s v="ST-DHA-04"/>
    <x v="9"/>
    <s v="P001"/>
    <n v="2"/>
    <n v="0.15"/>
    <n v="6869"/>
    <n v="2"/>
    <x v="10"/>
    <s v="Bluetooth Speaker"/>
    <s v="Electronics"/>
    <n v="3240"/>
    <n v="2200"/>
    <n v="6480"/>
    <n v="4400"/>
    <n v="2080"/>
    <s v="Nayeem Uddin"/>
    <x v="9"/>
    <x v="4"/>
    <x v="35"/>
  </r>
  <r>
    <s v="ORD-00426"/>
    <x v="297"/>
    <s v="CUS-MYM-004"/>
    <s v="R08"/>
    <s v="ST-MYM-02"/>
    <x v="3"/>
    <s v="P014"/>
    <n v="2"/>
    <n v="7.0000000000000007E-2"/>
    <n v="1901"/>
    <n v="5"/>
    <x v="29"/>
    <s v="Denim Jeans"/>
    <s v="Fashion"/>
    <n v="880"/>
    <n v="480"/>
    <n v="1760"/>
    <n v="960"/>
    <n v="800"/>
    <s v="Morshed Sultana"/>
    <x v="3"/>
    <x v="2"/>
    <x v="20"/>
  </r>
  <r>
    <s v="ORD-00427"/>
    <x v="298"/>
    <s v="CUS-RAN-007"/>
    <s v="R07"/>
    <s v="ST-RAN-04"/>
    <x v="0"/>
    <s v="P040"/>
    <n v="7"/>
    <n v="0.02"/>
    <n v="6118"/>
    <n v="6"/>
    <x v="4"/>
    <s v="Sticky Notes"/>
    <s v="Stationery"/>
    <n v="760"/>
    <n v="380"/>
    <n v="5320"/>
    <n v="2660"/>
    <n v="2660"/>
    <s v="Hasan Rahman"/>
    <x v="0"/>
    <x v="0"/>
    <x v="13"/>
  </r>
  <r>
    <s v="ORD-00428"/>
    <x v="73"/>
    <s v="CUS-RAN-008"/>
    <s v="R07"/>
    <s v="ST-RAN-05"/>
    <x v="0"/>
    <s v="P047"/>
    <n v="4"/>
    <n v="0.03"/>
    <n v="53728"/>
    <n v="9"/>
    <x v="22"/>
    <s v="Study Table"/>
    <s v="Furniture"/>
    <n v="11680"/>
    <n v="8410"/>
    <n v="46720"/>
    <n v="33640"/>
    <n v="13080"/>
    <s v="Imran Mia"/>
    <x v="0"/>
    <x v="0"/>
    <x v="39"/>
  </r>
  <r>
    <s v="ORD-00429"/>
    <x v="14"/>
    <s v="CUS-MYM-014"/>
    <s v="R08"/>
    <s v="ST-MYM-02"/>
    <x v="3"/>
    <s v="P036"/>
    <n v="3"/>
    <n v="0.03"/>
    <n v="1296"/>
    <n v="2"/>
    <x v="15"/>
    <s v="Notebook Pack"/>
    <s v="Stationery"/>
    <n v="400"/>
    <n v="200"/>
    <n v="1200"/>
    <n v="600"/>
    <n v="600"/>
    <s v="Tamanna Islam"/>
    <x v="3"/>
    <x v="2"/>
    <x v="20"/>
  </r>
  <r>
    <s v="ORD-00430"/>
    <x v="210"/>
    <s v="CUS-RAJ-014"/>
    <s v="R04"/>
    <s v="ST-RAJ-04"/>
    <x v="26"/>
    <s v="P023"/>
    <n v="5"/>
    <n v="0.05"/>
    <n v="6264"/>
    <n v="5"/>
    <x v="19"/>
    <s v="Body Lotion"/>
    <s v="Beauty &amp; Personal Care"/>
    <n v="1160"/>
    <n v="670"/>
    <n v="5800"/>
    <n v="3350"/>
    <n v="2450"/>
    <s v="Shuvo Sultana"/>
    <x v="26"/>
    <x v="1"/>
    <x v="1"/>
  </r>
  <r>
    <s v="ORD-00431"/>
    <x v="299"/>
    <s v="CUS-DHA-021"/>
    <s v="R01"/>
    <s v="ST-DHA-05"/>
    <x v="28"/>
    <s v="P020"/>
    <n v="3"/>
    <n v="0.05"/>
    <n v="6805"/>
    <n v="2"/>
    <x v="15"/>
    <s v="Tea Pack 500g"/>
    <s v="Grocery"/>
    <n v="2140"/>
    <n v="1670"/>
    <n v="6420"/>
    <n v="5010"/>
    <n v="1410"/>
    <s v="Tanjim Chowdhury"/>
    <x v="28"/>
    <x v="4"/>
    <x v="15"/>
  </r>
  <r>
    <s v="ORD-00432"/>
    <x v="300"/>
    <s v="CUS-RAN-019"/>
    <s v="R07"/>
    <s v="ST-RAN-01"/>
    <x v="21"/>
    <s v="P004"/>
    <n v="1"/>
    <n v="0.12"/>
    <n v="4450"/>
    <n v="9"/>
    <x v="32"/>
    <s v="Smart Watch"/>
    <s v="Electronics"/>
    <n v="3870"/>
    <n v="2630"/>
    <n v="3870"/>
    <n v="2630"/>
    <n v="1240"/>
    <s v="Tania Mia"/>
    <x v="21"/>
    <x v="0"/>
    <x v="0"/>
  </r>
  <r>
    <s v="ORD-00433"/>
    <x v="237"/>
    <s v="CUS-RAN-014"/>
    <s v="R07"/>
    <s v="ST-RAN-03"/>
    <x v="7"/>
    <s v="P024"/>
    <n v="2"/>
    <n v="7.0000000000000007E-2"/>
    <n v="3243"/>
    <n v="5"/>
    <x v="29"/>
    <s v="Toothpaste Twin Pack"/>
    <s v="Beauty &amp; Personal Care"/>
    <n v="1410"/>
    <n v="820"/>
    <n v="2820"/>
    <n v="1640"/>
    <n v="1180"/>
    <s v="Samiha Uddin"/>
    <x v="7"/>
    <x v="0"/>
    <x v="26"/>
  </r>
  <r>
    <s v="ORD-00434"/>
    <x v="294"/>
    <s v="CUS-RAJ-013"/>
    <s v="R04"/>
    <s v="ST-RAJ-02"/>
    <x v="1"/>
    <s v="P003"/>
    <n v="1"/>
    <n v="0.12"/>
    <n v="3067"/>
    <n v="3"/>
    <x v="21"/>
    <s v="Power Bank"/>
    <s v="Electronics"/>
    <n v="2840"/>
    <n v="1930"/>
    <n v="2840"/>
    <n v="1930"/>
    <n v="910"/>
    <s v="Imran Khan"/>
    <x v="1"/>
    <x v="1"/>
    <x v="2"/>
  </r>
  <r>
    <s v="ORD-00435"/>
    <x v="301"/>
    <s v="CUS-MYM-016"/>
    <s v="R08"/>
    <s v="ST-MYM-05"/>
    <x v="19"/>
    <s v="P011"/>
    <n v="1"/>
    <n v="7.0000000000000007E-2"/>
    <n v="2020"/>
    <n v="5"/>
    <x v="29"/>
    <s v="Cotton T-Shirt"/>
    <s v="Fashion"/>
    <n v="1870"/>
    <n v="1030"/>
    <n v="1870"/>
    <n v="1030"/>
    <n v="840"/>
    <s v="Rasel Uddin"/>
    <x v="19"/>
    <x v="2"/>
    <x v="28"/>
  </r>
  <r>
    <s v="ORD-00436"/>
    <x v="143"/>
    <s v="CUS-KHL-022"/>
    <s v="R05"/>
    <s v="ST-KHL-05"/>
    <x v="36"/>
    <s v="P025"/>
    <n v="8"/>
    <n v="0.1"/>
    <n v="10987"/>
    <n v="4"/>
    <x v="6"/>
    <s v="Perfume Spray"/>
    <s v="Beauty &amp; Personal Care"/>
    <n v="1260"/>
    <n v="730"/>
    <n v="10080"/>
    <n v="5840"/>
    <n v="4240"/>
    <s v="Samiha Sultana"/>
    <x v="36"/>
    <x v="6"/>
    <x v="30"/>
  </r>
  <r>
    <s v="ORD-00437"/>
    <x v="302"/>
    <s v="CUS-DHA-002"/>
    <s v="R01"/>
    <s v="ST-DHA-01"/>
    <x v="14"/>
    <s v="P022"/>
    <n v="7"/>
    <n v="7.0000000000000007E-2"/>
    <n v="12317"/>
    <n v="1"/>
    <x v="13"/>
    <s v="Shampoo 375ml"/>
    <s v="Beauty &amp; Personal Care"/>
    <n v="1660"/>
    <n v="960"/>
    <n v="11620"/>
    <n v="6720"/>
    <n v="4900"/>
    <s v="Tamanna Hossain"/>
    <x v="14"/>
    <x v="4"/>
    <x v="29"/>
  </r>
  <r>
    <s v="ORD-00438"/>
    <x v="218"/>
    <s v="CUS-RAN-024"/>
    <s v="R07"/>
    <s v="ST-RAN-02"/>
    <x v="27"/>
    <s v="P003"/>
    <n v="6"/>
    <n v="0.18"/>
    <n v="19596"/>
    <n v="3"/>
    <x v="20"/>
    <s v="Power Bank"/>
    <s v="Electronics"/>
    <n v="2840"/>
    <n v="1930"/>
    <n v="17040"/>
    <n v="11580"/>
    <n v="5460"/>
    <s v="Shuvo Hossain"/>
    <x v="27"/>
    <x v="0"/>
    <x v="6"/>
  </r>
  <r>
    <s v="ORD-00439"/>
    <x v="91"/>
    <s v="CUS-KHL-016"/>
    <s v="R05"/>
    <s v="ST-KHL-01"/>
    <x v="36"/>
    <s v="P022"/>
    <n v="2"/>
    <n v="0.12"/>
    <n v="3619"/>
    <n v="3"/>
    <x v="21"/>
    <s v="Shampoo 375ml"/>
    <s v="Beauty &amp; Personal Care"/>
    <n v="1660"/>
    <n v="960"/>
    <n v="3320"/>
    <n v="1920"/>
    <n v="1400"/>
    <s v="Ayesha Akter"/>
    <x v="36"/>
    <x v="6"/>
    <x v="24"/>
  </r>
  <r>
    <s v="ORD-00440"/>
    <x v="303"/>
    <s v="CUS-RAJ-014"/>
    <s v="R04"/>
    <s v="ST-RAJ-02"/>
    <x v="46"/>
    <s v="P002"/>
    <n v="8"/>
    <n v="0.15"/>
    <n v="28858"/>
    <n v="1"/>
    <x v="1"/>
    <s v="Wireless Mouse"/>
    <s v="Electronics"/>
    <n v="3340"/>
    <n v="2270"/>
    <n v="26720"/>
    <n v="18160"/>
    <n v="8560"/>
    <s v="Shuvo Sultana"/>
    <x v="46"/>
    <x v="1"/>
    <x v="2"/>
  </r>
  <r>
    <s v="ORD-00441"/>
    <x v="217"/>
    <s v="CUS-RAN-009"/>
    <s v="R07"/>
    <s v="ST-RAN-05"/>
    <x v="7"/>
    <s v="P014"/>
    <n v="4"/>
    <n v="0.03"/>
    <n v="4048"/>
    <n v="5"/>
    <x v="19"/>
    <s v="Denim Jeans"/>
    <s v="Fashion"/>
    <n v="880"/>
    <n v="480"/>
    <n v="3520"/>
    <n v="1920"/>
    <n v="1600"/>
    <s v="Samiha Uddin"/>
    <x v="7"/>
    <x v="0"/>
    <x v="39"/>
  </r>
  <r>
    <s v="ORD-00442"/>
    <x v="304"/>
    <s v="CUS-RAJ-009"/>
    <s v="R04"/>
    <s v="ST-RAJ-02"/>
    <x v="26"/>
    <s v="P013"/>
    <n v="5"/>
    <n v="0.03"/>
    <n v="10746"/>
    <n v="6"/>
    <x v="4"/>
    <s v="Women Kurti"/>
    <s v="Fashion"/>
    <n v="1990"/>
    <n v="1090"/>
    <n v="9950"/>
    <n v="5450"/>
    <n v="4500"/>
    <s v="Nayeem Hossain"/>
    <x v="26"/>
    <x v="1"/>
    <x v="2"/>
  </r>
  <r>
    <s v="ORD-00443"/>
    <x v="305"/>
    <s v="CUS-DHA-024"/>
    <s v="R01"/>
    <s v="ST-DHA-01"/>
    <x v="35"/>
    <s v="P045"/>
    <n v="2"/>
    <n v="0.1"/>
    <n v="1781"/>
    <n v="1"/>
    <x v="13"/>
    <s v="Kids Story Book"/>
    <s v="Kids &amp; Toys"/>
    <n v="840"/>
    <n v="460"/>
    <n v="1680"/>
    <n v="920"/>
    <n v="760"/>
    <s v="Hasan Akter"/>
    <x v="35"/>
    <x v="4"/>
    <x v="29"/>
  </r>
  <r>
    <s v="ORD-00444"/>
    <x v="37"/>
    <s v="CUS-BAR-022"/>
    <s v="R06"/>
    <s v="ST-BAR-01"/>
    <x v="12"/>
    <s v="P041"/>
    <n v="3"/>
    <n v="7.0000000000000007E-2"/>
    <n v="2822"/>
    <n v="9"/>
    <x v="9"/>
    <s v="Building Blocks"/>
    <s v="Kids &amp; Toys"/>
    <n v="840"/>
    <n v="460"/>
    <n v="2520"/>
    <n v="1380"/>
    <n v="1140"/>
    <s v="Jannat Hossain"/>
    <x v="12"/>
    <x v="5"/>
    <x v="9"/>
  </r>
  <r>
    <s v="ORD-00445"/>
    <x v="306"/>
    <s v="CUS-KHL-003"/>
    <s v="R05"/>
    <s v="ST-KHL-02"/>
    <x v="16"/>
    <s v="P004"/>
    <n v="6"/>
    <n v="0.12"/>
    <n v="25310"/>
    <n v="5"/>
    <x v="5"/>
    <s v="Smart Watch"/>
    <s v="Electronics"/>
    <n v="3870"/>
    <n v="2630"/>
    <n v="23220"/>
    <n v="15780"/>
    <n v="7440"/>
    <s v="Arif Sultana"/>
    <x v="16"/>
    <x v="6"/>
    <x v="14"/>
  </r>
  <r>
    <s v="ORD-00446"/>
    <x v="307"/>
    <s v="CUS-RAN-002"/>
    <s v="R07"/>
    <s v="ST-RAN-03"/>
    <x v="7"/>
    <s v="P038"/>
    <n v="2"/>
    <n v="0.05"/>
    <n v="782"/>
    <n v="4"/>
    <x v="20"/>
    <s v="Office File Set"/>
    <s v="Stationery"/>
    <n v="340"/>
    <n v="170"/>
    <n v="680"/>
    <n v="340"/>
    <n v="340"/>
    <s v="Rumana Akter"/>
    <x v="7"/>
    <x v="0"/>
    <x v="26"/>
  </r>
  <r>
    <s v="ORD-00447"/>
    <x v="308"/>
    <s v="CUS-BAR-023"/>
    <s v="R06"/>
    <s v="ST-BAR-04"/>
    <x v="47"/>
    <s v="P038"/>
    <n v="3"/>
    <n v="0.03"/>
    <n v="1142"/>
    <n v="2"/>
    <x v="15"/>
    <s v="Office File Set"/>
    <s v="Stationery"/>
    <n v="340"/>
    <n v="170"/>
    <n v="1020"/>
    <n v="510"/>
    <n v="510"/>
    <s v="Rasel Sultana"/>
    <x v="47"/>
    <x v="5"/>
    <x v="12"/>
  </r>
  <r>
    <s v="ORD-00448"/>
    <x v="309"/>
    <s v="CUS-BAR-015"/>
    <s v="R06"/>
    <s v="ST-BAR-01"/>
    <x v="47"/>
    <s v="P025"/>
    <n v="3"/>
    <n v="0.05"/>
    <n v="4234"/>
    <n v="6"/>
    <x v="4"/>
    <s v="Perfume Spray"/>
    <s v="Beauty &amp; Personal Care"/>
    <n v="1260"/>
    <n v="730"/>
    <n v="3780"/>
    <n v="2190"/>
    <n v="1590"/>
    <s v="Ayesha Ahmed"/>
    <x v="47"/>
    <x v="5"/>
    <x v="9"/>
  </r>
  <r>
    <s v="ORD-00449"/>
    <x v="236"/>
    <s v="CUS-DHA-013"/>
    <s v="R01"/>
    <s v="ST-DHA-02"/>
    <x v="35"/>
    <s v="P006"/>
    <n v="1"/>
    <n v="0.18"/>
    <n v="7632"/>
    <n v="3"/>
    <x v="20"/>
    <s v="Electric Kettle"/>
    <s v="Home Appliance"/>
    <n v="7200"/>
    <n v="5040"/>
    <n v="7200"/>
    <n v="5040"/>
    <n v="2160"/>
    <s v="Arif Hossain"/>
    <x v="35"/>
    <x v="4"/>
    <x v="8"/>
  </r>
  <r>
    <s v="ORD-00450"/>
    <x v="310"/>
    <s v="CUS-SYL-020"/>
    <s v="R03"/>
    <s v="ST-SYL-04"/>
    <x v="38"/>
    <s v="P012"/>
    <n v="2"/>
    <n v="0.12"/>
    <n v="3895"/>
    <n v="1"/>
    <x v="1"/>
    <s v="Formal Shirt"/>
    <s v="Fashion"/>
    <n v="1820"/>
    <n v="1000"/>
    <n v="3640"/>
    <n v="2000"/>
    <n v="1640"/>
    <s v="Shaila Uddin"/>
    <x v="38"/>
    <x v="3"/>
    <x v="21"/>
  </r>
  <r>
    <s v="ORD-00451"/>
    <x v="122"/>
    <s v="CUS-BAR-010"/>
    <s v="R06"/>
    <s v="ST-BAR-02"/>
    <x v="47"/>
    <s v="P010"/>
    <n v="2"/>
    <n v="0.15"/>
    <n v="6966"/>
    <n v="11"/>
    <x v="34"/>
    <s v="Table Fan"/>
    <s v="Home Appliance"/>
    <n v="3110"/>
    <n v="2180"/>
    <n v="6220"/>
    <n v="4360"/>
    <n v="1860"/>
    <s v="Nabila Khan"/>
    <x v="47"/>
    <x v="5"/>
    <x v="11"/>
  </r>
  <r>
    <s v="ORD-00452"/>
    <x v="148"/>
    <s v="CUS-RAJ-001"/>
    <s v="R04"/>
    <s v="ST-RAJ-01"/>
    <x v="40"/>
    <s v="P025"/>
    <n v="6"/>
    <n v="0.1"/>
    <n v="8165"/>
    <n v="3"/>
    <x v="21"/>
    <s v="Perfume Spray"/>
    <s v="Beauty &amp; Personal Care"/>
    <n v="1260"/>
    <n v="730"/>
    <n v="7560"/>
    <n v="4380"/>
    <n v="3180"/>
    <s v="Mehedi Mia"/>
    <x v="40"/>
    <x v="1"/>
    <x v="36"/>
  </r>
  <r>
    <s v="ORD-00453"/>
    <x v="57"/>
    <s v="CUS-RAJ-009"/>
    <s v="R04"/>
    <s v="ST-RAJ-02"/>
    <x v="1"/>
    <s v="P010"/>
    <n v="3"/>
    <n v="0.08"/>
    <n v="10076"/>
    <n v="7"/>
    <x v="2"/>
    <s v="Table Fan"/>
    <s v="Home Appliance"/>
    <n v="3110"/>
    <n v="2180"/>
    <n v="9330"/>
    <n v="6540"/>
    <n v="2790"/>
    <s v="Nayeem Hossain"/>
    <x v="1"/>
    <x v="1"/>
    <x v="2"/>
  </r>
  <r>
    <s v="ORD-00454"/>
    <x v="210"/>
    <s v="CUS-CTG-001"/>
    <s v="R02"/>
    <s v="ST-CTG-05"/>
    <x v="39"/>
    <s v="P034"/>
    <n v="6"/>
    <n v="0.03"/>
    <n v="18673"/>
    <n v="5"/>
    <x v="19"/>
    <s v="Yoga Mat"/>
    <s v="Sports"/>
    <n v="2730"/>
    <n v="1690"/>
    <n v="16380"/>
    <n v="10140"/>
    <n v="6240"/>
    <s v="Shaila Sultana"/>
    <x v="39"/>
    <x v="7"/>
    <x v="31"/>
  </r>
  <r>
    <s v="ORD-00455"/>
    <x v="311"/>
    <s v="CUS-RAJ-023"/>
    <s v="R04"/>
    <s v="ST-RAJ-02"/>
    <x v="46"/>
    <s v="P047"/>
    <n v="2"/>
    <n v="0.1"/>
    <n v="25229"/>
    <n v="5"/>
    <x v="29"/>
    <s v="Study Table"/>
    <s v="Furniture"/>
    <n v="11680"/>
    <n v="8410"/>
    <n v="23360"/>
    <n v="16820"/>
    <n v="6540"/>
    <s v="Hasan Ahmed"/>
    <x v="46"/>
    <x v="1"/>
    <x v="2"/>
  </r>
  <r>
    <s v="ORD-00456"/>
    <x v="312"/>
    <s v="CUS-RAJ-020"/>
    <s v="R04"/>
    <s v="ST-RAJ-02"/>
    <x v="26"/>
    <s v="P031"/>
    <n v="2"/>
    <n v="0.1"/>
    <n v="5702"/>
    <n v="5"/>
    <x v="29"/>
    <s v="Cricket Bat"/>
    <s v="Sports"/>
    <n v="2640"/>
    <n v="1640"/>
    <n v="5280"/>
    <n v="3280"/>
    <n v="2000"/>
    <s v="Shakib Uddin"/>
    <x v="26"/>
    <x v="1"/>
    <x v="2"/>
  </r>
  <r>
    <s v="ORD-00457"/>
    <x v="153"/>
    <s v="CUS-SYL-001"/>
    <s v="R03"/>
    <s v="ST-SYL-03"/>
    <x v="38"/>
    <s v="P005"/>
    <n v="7"/>
    <n v="0.18"/>
    <n v="36626"/>
    <n v="2"/>
    <x v="10"/>
    <s v="USB-C Hub"/>
    <s v="Electronics"/>
    <n v="4890"/>
    <n v="3330"/>
    <n v="34230"/>
    <n v="23310"/>
    <n v="10920"/>
    <s v="Karim Khan"/>
    <x v="38"/>
    <x v="3"/>
    <x v="23"/>
  </r>
  <r>
    <s v="ORD-00458"/>
    <x v="131"/>
    <s v="CUS-DHA-016"/>
    <s v="R01"/>
    <s v="ST-DHA-02"/>
    <x v="14"/>
    <s v="P049"/>
    <n v="4"/>
    <n v="0.1"/>
    <n v="17935"/>
    <n v="2"/>
    <x v="24"/>
    <s v="Bookshelf"/>
    <s v="Furniture"/>
    <n v="4230"/>
    <n v="3050"/>
    <n v="16920"/>
    <n v="12200"/>
    <n v="4720"/>
    <s v="Rafi Hossain"/>
    <x v="14"/>
    <x v="4"/>
    <x v="8"/>
  </r>
  <r>
    <s v="ORD-00459"/>
    <x v="70"/>
    <s v="CUS-RAN-024"/>
    <s v="R07"/>
    <s v="ST-RAN-05"/>
    <x v="42"/>
    <s v="P002"/>
    <n v="1"/>
    <n v="0.15"/>
    <n v="3841"/>
    <n v="11"/>
    <x v="34"/>
    <s v="Wireless Mouse"/>
    <s v="Electronics"/>
    <n v="3340"/>
    <n v="2270"/>
    <n v="3340"/>
    <n v="2270"/>
    <n v="1070"/>
    <s v="Shuvo Hossain"/>
    <x v="42"/>
    <x v="0"/>
    <x v="39"/>
  </r>
  <r>
    <s v="ORD-00460"/>
    <x v="14"/>
    <s v="CUS-DHA-001"/>
    <s v="R01"/>
    <s v="ST-DHA-03"/>
    <x v="9"/>
    <s v="P023"/>
    <n v="8"/>
    <n v="7.0000000000000007E-2"/>
    <n v="9837"/>
    <n v="1"/>
    <x v="13"/>
    <s v="Body Lotion"/>
    <s v="Beauty &amp; Personal Care"/>
    <n v="1160"/>
    <n v="670"/>
    <n v="9280"/>
    <n v="5360"/>
    <n v="3920"/>
    <s v="Rumana Sultana"/>
    <x v="9"/>
    <x v="4"/>
    <x v="5"/>
  </r>
  <r>
    <s v="ORD-00461"/>
    <x v="313"/>
    <s v="CUS-SYL-018"/>
    <s v="R03"/>
    <s v="ST-SYL-01"/>
    <x v="5"/>
    <s v="P004"/>
    <n v="3"/>
    <n v="0.12"/>
    <n v="12423"/>
    <n v="4"/>
    <x v="6"/>
    <s v="Smart Watch"/>
    <s v="Electronics"/>
    <n v="3870"/>
    <n v="2630"/>
    <n v="11610"/>
    <n v="7890"/>
    <n v="3720"/>
    <s v="Rafi Chowdhury"/>
    <x v="5"/>
    <x v="3"/>
    <x v="25"/>
  </r>
  <r>
    <s v="ORD-00462"/>
    <x v="314"/>
    <s v="CUS-BAR-023"/>
    <s v="R06"/>
    <s v="ST-BAR-05"/>
    <x v="22"/>
    <s v="P003"/>
    <n v="2"/>
    <n v="0.15"/>
    <n v="6362"/>
    <n v="4"/>
    <x v="3"/>
    <s v="Power Bank"/>
    <s v="Electronics"/>
    <n v="2840"/>
    <n v="1930"/>
    <n v="5680"/>
    <n v="3860"/>
    <n v="1820"/>
    <s v="Rasel Sultana"/>
    <x v="22"/>
    <x v="5"/>
    <x v="7"/>
  </r>
  <r>
    <s v="ORD-00463"/>
    <x v="114"/>
    <s v="CUS-KHL-024"/>
    <s v="R05"/>
    <s v="ST-KHL-03"/>
    <x v="24"/>
    <s v="P006"/>
    <n v="3"/>
    <n v="0.12"/>
    <n v="23544"/>
    <n v="3"/>
    <x v="21"/>
    <s v="Electric Kettle"/>
    <s v="Home Appliance"/>
    <n v="7200"/>
    <n v="5040"/>
    <n v="21600"/>
    <n v="15120"/>
    <n v="6480"/>
    <s v="Ayesha Islam"/>
    <x v="24"/>
    <x v="6"/>
    <x v="17"/>
  </r>
  <r>
    <s v="ORD-00464"/>
    <x v="315"/>
    <s v="CUS-SYL-011"/>
    <s v="R03"/>
    <s v="ST-SYL-04"/>
    <x v="20"/>
    <s v="P019"/>
    <n v="1"/>
    <n v="0"/>
    <n v="471"/>
    <n v="3"/>
    <x v="10"/>
    <s v="Flour 2kg"/>
    <s v="Grocery"/>
    <n v="440"/>
    <n v="340"/>
    <n v="440"/>
    <n v="340"/>
    <n v="100"/>
    <s v="Shamim Akter"/>
    <x v="20"/>
    <x v="3"/>
    <x v="21"/>
  </r>
  <r>
    <s v="ORD-00465"/>
    <x v="157"/>
    <s v="CUS-RAJ-006"/>
    <s v="R04"/>
    <s v="ST-RAJ-01"/>
    <x v="2"/>
    <s v="P005"/>
    <n v="3"/>
    <n v="0.08"/>
    <n v="15844"/>
    <n v="1"/>
    <x v="13"/>
    <s v="USB-C Hub"/>
    <s v="Electronics"/>
    <n v="4890"/>
    <n v="3330"/>
    <n v="14670"/>
    <n v="9990"/>
    <n v="4680"/>
    <s v="Samiha Ahmed"/>
    <x v="2"/>
    <x v="1"/>
    <x v="36"/>
  </r>
  <r>
    <s v="ORD-00466"/>
    <x v="186"/>
    <s v="CUS-MYM-015"/>
    <s v="R08"/>
    <s v="ST-MYM-04"/>
    <x v="17"/>
    <s v="P039"/>
    <n v="1"/>
    <n v="0"/>
    <n v="1123"/>
    <n v="6"/>
    <x v="5"/>
    <s v="Marker Set"/>
    <s v="Stationery"/>
    <n v="1040"/>
    <n v="520"/>
    <n v="1040"/>
    <n v="520"/>
    <n v="520"/>
    <s v="Shaila Hossain"/>
    <x v="17"/>
    <x v="2"/>
    <x v="34"/>
  </r>
  <r>
    <s v="ORD-00467"/>
    <x v="316"/>
    <s v="CUS-RAJ-010"/>
    <s v="R04"/>
    <s v="ST-RAJ-02"/>
    <x v="46"/>
    <s v="P032"/>
    <n v="3"/>
    <n v="0.12"/>
    <n v="12053"/>
    <n v="5"/>
    <x v="5"/>
    <s v="Football"/>
    <s v="Sports"/>
    <n v="3720"/>
    <n v="2310"/>
    <n v="11160"/>
    <n v="6930"/>
    <n v="4230"/>
    <s v="Rasel Islam"/>
    <x v="46"/>
    <x v="1"/>
    <x v="2"/>
  </r>
  <r>
    <s v="ORD-00468"/>
    <x v="109"/>
    <s v="CUS-DHA-017"/>
    <s v="R01"/>
    <s v="ST-DHA-05"/>
    <x v="28"/>
    <s v="P010"/>
    <n v="2"/>
    <n v="0.08"/>
    <n v="6593"/>
    <n v="10"/>
    <x v="26"/>
    <s v="Table Fan"/>
    <s v="Home Appliance"/>
    <n v="3110"/>
    <n v="2180"/>
    <n v="6220"/>
    <n v="4360"/>
    <n v="1860"/>
    <s v="Shakib Khan"/>
    <x v="28"/>
    <x v="4"/>
    <x v="15"/>
  </r>
  <r>
    <s v="ORD-00469"/>
    <x v="317"/>
    <s v="CUS-BAR-001"/>
    <s v="R06"/>
    <s v="ST-BAR-03"/>
    <x v="10"/>
    <s v="P049"/>
    <n v="2"/>
    <n v="0.12"/>
    <n v="9475"/>
    <n v="8"/>
    <x v="27"/>
    <s v="Bookshelf"/>
    <s v="Furniture"/>
    <n v="4230"/>
    <n v="3050"/>
    <n v="8460"/>
    <n v="6100"/>
    <n v="2360"/>
    <s v="Shuvo Sultana"/>
    <x v="10"/>
    <x v="5"/>
    <x v="27"/>
  </r>
  <r>
    <s v="ORD-00470"/>
    <x v="318"/>
    <s v="CUS-BAR-005"/>
    <s v="R06"/>
    <s v="ST-BAR-01"/>
    <x v="47"/>
    <s v="P012"/>
    <n v="2"/>
    <n v="7.0000000000000007E-2"/>
    <n v="4077"/>
    <n v="5"/>
    <x v="29"/>
    <s v="Formal Shirt"/>
    <s v="Fashion"/>
    <n v="1820"/>
    <n v="1000"/>
    <n v="3640"/>
    <n v="2000"/>
    <n v="1640"/>
    <s v="Rahim Sultana"/>
    <x v="47"/>
    <x v="5"/>
    <x v="9"/>
  </r>
  <r>
    <s v="ORD-00471"/>
    <x v="319"/>
    <s v="CUS-DHA-011"/>
    <s v="R01"/>
    <s v="ST-DHA-01"/>
    <x v="35"/>
    <s v="P023"/>
    <n v="4"/>
    <n v="0.12"/>
    <n v="4918"/>
    <n v="4"/>
    <x v="6"/>
    <s v="Body Lotion"/>
    <s v="Beauty &amp; Personal Care"/>
    <n v="1160"/>
    <n v="670"/>
    <n v="4640"/>
    <n v="2680"/>
    <n v="1960"/>
    <s v="Nabila Chowdhury"/>
    <x v="35"/>
    <x v="4"/>
    <x v="29"/>
  </r>
  <r>
    <s v="ORD-00472"/>
    <x v="54"/>
    <s v="CUS-KHL-011"/>
    <s v="R05"/>
    <s v="ST-KHL-01"/>
    <x v="13"/>
    <s v="P002"/>
    <n v="1"/>
    <n v="0.12"/>
    <n v="3641"/>
    <n v="6"/>
    <x v="28"/>
    <s v="Wireless Mouse"/>
    <s v="Electronics"/>
    <n v="3340"/>
    <n v="2270"/>
    <n v="3340"/>
    <n v="2270"/>
    <n v="1070"/>
    <s v="Rumana Islam"/>
    <x v="13"/>
    <x v="6"/>
    <x v="24"/>
  </r>
  <r>
    <s v="ORD-00473"/>
    <x v="168"/>
    <s v="CUS-SYL-008"/>
    <s v="R03"/>
    <s v="ST-SYL-04"/>
    <x v="34"/>
    <s v="P001"/>
    <n v="1"/>
    <n v="0.15"/>
    <n v="3467"/>
    <n v="2"/>
    <x v="10"/>
    <s v="Bluetooth Speaker"/>
    <s v="Electronics"/>
    <n v="3240"/>
    <n v="2200"/>
    <n v="3240"/>
    <n v="2200"/>
    <n v="1040"/>
    <s v="Morshed Hossain"/>
    <x v="34"/>
    <x v="3"/>
    <x v="21"/>
  </r>
  <r>
    <s v="ORD-00474"/>
    <x v="320"/>
    <s v="CUS-SYL-004"/>
    <s v="R03"/>
    <s v="ST-SYL-03"/>
    <x v="32"/>
    <s v="P036"/>
    <n v="6"/>
    <n v="0.02"/>
    <n v="2568"/>
    <n v="6"/>
    <x v="4"/>
    <s v="Notebook Pack"/>
    <s v="Stationery"/>
    <n v="400"/>
    <n v="200"/>
    <n v="2400"/>
    <n v="1200"/>
    <n v="1200"/>
    <s v="Tania Akter"/>
    <x v="32"/>
    <x v="3"/>
    <x v="23"/>
  </r>
  <r>
    <s v="ORD-00475"/>
    <x v="321"/>
    <s v="CUS-BAR-022"/>
    <s v="R06"/>
    <s v="ST-BAR-01"/>
    <x v="33"/>
    <s v="P015"/>
    <n v="2"/>
    <n v="0.1"/>
    <n v="5869"/>
    <n v="3"/>
    <x v="21"/>
    <s v="Leather Belt"/>
    <s v="Fashion"/>
    <n v="2620"/>
    <n v="1440"/>
    <n v="5240"/>
    <n v="2880"/>
    <n v="2360"/>
    <s v="Jannat Hossain"/>
    <x v="33"/>
    <x v="5"/>
    <x v="9"/>
  </r>
  <r>
    <s v="ORD-00476"/>
    <x v="170"/>
    <s v="CUS-RAN-003"/>
    <s v="R07"/>
    <s v="ST-RAN-04"/>
    <x v="42"/>
    <s v="P023"/>
    <n v="3"/>
    <n v="0.03"/>
    <n v="4002"/>
    <n v="6"/>
    <x v="4"/>
    <s v="Body Lotion"/>
    <s v="Beauty &amp; Personal Care"/>
    <n v="1160"/>
    <n v="670"/>
    <n v="3480"/>
    <n v="2010"/>
    <n v="1470"/>
    <s v="Mim Sultana"/>
    <x v="42"/>
    <x v="0"/>
    <x v="13"/>
  </r>
  <r>
    <s v="ORD-00477"/>
    <x v="283"/>
    <s v="CUS-BAR-015"/>
    <s v="R06"/>
    <s v="ST-BAR-02"/>
    <x v="10"/>
    <s v="P028"/>
    <n v="6"/>
    <n v="0.12"/>
    <n v="21638"/>
    <n v="3"/>
    <x v="21"/>
    <s v="Ladies Sandal"/>
    <s v="Footwear"/>
    <n v="3220"/>
    <n v="1930"/>
    <n v="19320"/>
    <n v="11580"/>
    <n v="7740"/>
    <s v="Ayesha Ahmed"/>
    <x v="10"/>
    <x v="5"/>
    <x v="11"/>
  </r>
  <r>
    <s v="ORD-00478"/>
    <x v="264"/>
    <s v="CUS-KHL-015"/>
    <s v="R05"/>
    <s v="ST-KHL-04"/>
    <x v="45"/>
    <s v="P044"/>
    <n v="2"/>
    <n v="0.05"/>
    <n v="4905"/>
    <n v="1"/>
    <x v="7"/>
    <s v="Color Pencil Set"/>
    <s v="Kids &amp; Toys"/>
    <n v="2250"/>
    <n v="1240"/>
    <n v="4500"/>
    <n v="2480"/>
    <n v="2020"/>
    <s v="Imran Mia"/>
    <x v="45"/>
    <x v="6"/>
    <x v="19"/>
  </r>
  <r>
    <s v="ORD-00479"/>
    <x v="322"/>
    <s v="CUS-KHL-008"/>
    <s v="R05"/>
    <s v="ST-KHL-05"/>
    <x v="24"/>
    <s v="P006"/>
    <n v="3"/>
    <n v="0.08"/>
    <n v="23544"/>
    <n v="3"/>
    <x v="25"/>
    <s v="Electric Kettle"/>
    <s v="Home Appliance"/>
    <n v="7200"/>
    <n v="5040"/>
    <n v="21600"/>
    <n v="15120"/>
    <n v="6480"/>
    <s v="Jannat Rahman"/>
    <x v="24"/>
    <x v="6"/>
    <x v="30"/>
  </r>
  <r>
    <s v="ORD-00480"/>
    <x v="323"/>
    <s v="CUS-RAN-004"/>
    <s v="R07"/>
    <s v="ST-RAN-04"/>
    <x v="0"/>
    <s v="P030"/>
    <n v="2"/>
    <n v="0.12"/>
    <n v="4301"/>
    <n v="6"/>
    <x v="28"/>
    <s v="Casual Loafer"/>
    <s v="Footwear"/>
    <n v="1870"/>
    <n v="1120"/>
    <n v="3740"/>
    <n v="2240"/>
    <n v="1500"/>
    <s v="Sadia Sultana"/>
    <x v="0"/>
    <x v="0"/>
    <x v="13"/>
  </r>
  <r>
    <s v="ORD-00481"/>
    <x v="300"/>
    <s v="CUS-CTG-025"/>
    <s v="R02"/>
    <s v="ST-CTG-05"/>
    <x v="41"/>
    <s v="P003"/>
    <n v="1"/>
    <n v="0.15"/>
    <n v="3238"/>
    <n v="7"/>
    <x v="23"/>
    <s v="Power Bank"/>
    <s v="Electronics"/>
    <n v="2840"/>
    <n v="1930"/>
    <n v="2840"/>
    <n v="1930"/>
    <n v="910"/>
    <s v="Sadia Chowdhury"/>
    <x v="41"/>
    <x v="7"/>
    <x v="31"/>
  </r>
  <r>
    <s v="ORD-00482"/>
    <x v="232"/>
    <s v="CUS-KHL-011"/>
    <s v="R05"/>
    <s v="ST-KHL-05"/>
    <x v="13"/>
    <s v="P012"/>
    <n v="4"/>
    <n v="7.0000000000000007E-2"/>
    <n v="7935"/>
    <n v="4"/>
    <x v="20"/>
    <s v="Formal Shirt"/>
    <s v="Fashion"/>
    <n v="1820"/>
    <n v="1000"/>
    <n v="7280"/>
    <n v="4000"/>
    <n v="3280"/>
    <s v="Rumana Islam"/>
    <x v="13"/>
    <x v="6"/>
    <x v="30"/>
  </r>
  <r>
    <s v="ORD-00483"/>
    <x v="147"/>
    <s v="CUS-SYL-007"/>
    <s v="R03"/>
    <s v="ST-SYL-02"/>
    <x v="34"/>
    <s v="P032"/>
    <n v="5"/>
    <n v="0.03"/>
    <n v="19902"/>
    <n v="3"/>
    <x v="10"/>
    <s v="Football"/>
    <s v="Sports"/>
    <n v="3720"/>
    <n v="2310"/>
    <n v="18600"/>
    <n v="11550"/>
    <n v="7050"/>
    <s v="Jannat Sultana"/>
    <x v="34"/>
    <x v="3"/>
    <x v="32"/>
  </r>
  <r>
    <s v="ORD-00484"/>
    <x v="324"/>
    <s v="CUS-RAN-004"/>
    <s v="R07"/>
    <s v="ST-RAN-01"/>
    <x v="27"/>
    <s v="P026"/>
    <n v="6"/>
    <n v="0.12"/>
    <n v="24219"/>
    <n v="6"/>
    <x v="28"/>
    <s v="Running Shoe"/>
    <s v="Footwear"/>
    <n v="3510"/>
    <n v="2110"/>
    <n v="21060"/>
    <n v="12660"/>
    <n v="8400"/>
    <s v="Sadia Sultana"/>
    <x v="27"/>
    <x v="0"/>
    <x v="0"/>
  </r>
  <r>
    <s v="ORD-00485"/>
    <x v="30"/>
    <s v="CUS-MYM-010"/>
    <s v="R08"/>
    <s v="ST-MYM-05"/>
    <x v="31"/>
    <s v="P008"/>
    <n v="5"/>
    <n v="0.08"/>
    <n v="13122"/>
    <n v="6"/>
    <x v="16"/>
    <s v="Blender Machine"/>
    <s v="Home Appliance"/>
    <n v="2430"/>
    <n v="1700"/>
    <n v="12150"/>
    <n v="8500"/>
    <n v="3650"/>
    <s v="Jannat Sultana"/>
    <x v="31"/>
    <x v="2"/>
    <x v="28"/>
  </r>
  <r>
    <s v="ORD-00486"/>
    <x v="198"/>
    <s v="CUS-CTG-001"/>
    <s v="R02"/>
    <s v="ST-CTG-02"/>
    <x v="41"/>
    <s v="P004"/>
    <n v="3"/>
    <n v="0.15"/>
    <n v="13235"/>
    <n v="5"/>
    <x v="5"/>
    <s v="Smart Watch"/>
    <s v="Electronics"/>
    <n v="3870"/>
    <n v="2630"/>
    <n v="11610"/>
    <n v="7890"/>
    <n v="3720"/>
    <s v="Shaila Sultana"/>
    <x v="41"/>
    <x v="7"/>
    <x v="22"/>
  </r>
  <r>
    <s v="ORD-00487"/>
    <x v="295"/>
    <s v="CUS-RAJ-003"/>
    <s v="R04"/>
    <s v="ST-RAJ-03"/>
    <x v="2"/>
    <s v="P003"/>
    <n v="1"/>
    <n v="0.1"/>
    <n v="3067"/>
    <n v="4"/>
    <x v="6"/>
    <s v="Power Bank"/>
    <s v="Electronics"/>
    <n v="2840"/>
    <n v="1930"/>
    <n v="2840"/>
    <n v="1930"/>
    <n v="910"/>
    <s v="Morshed Rahman"/>
    <x v="2"/>
    <x v="1"/>
    <x v="18"/>
  </r>
  <r>
    <s v="ORD-00488"/>
    <x v="65"/>
    <s v="CUS-MYM-016"/>
    <s v="R08"/>
    <s v="ST-MYM-01"/>
    <x v="19"/>
    <s v="P021"/>
    <n v="2"/>
    <n v="0.1"/>
    <n v="2765"/>
    <n v="2"/>
    <x v="24"/>
    <s v="Face Wash"/>
    <s v="Beauty &amp; Personal Care"/>
    <n v="1280"/>
    <n v="740"/>
    <n v="2560"/>
    <n v="1480"/>
    <n v="1080"/>
    <s v="Rasel Uddin"/>
    <x v="19"/>
    <x v="2"/>
    <x v="3"/>
  </r>
  <r>
    <s v="ORD-00489"/>
    <x v="240"/>
    <s v="CUS-DHA-011"/>
    <s v="R01"/>
    <s v="ST-DHA-01"/>
    <x v="44"/>
    <s v="P024"/>
    <n v="9"/>
    <n v="0.12"/>
    <n v="13451"/>
    <n v="1"/>
    <x v="1"/>
    <s v="Toothpaste Twin Pack"/>
    <s v="Beauty &amp; Personal Care"/>
    <n v="1410"/>
    <n v="820"/>
    <n v="12690"/>
    <n v="7380"/>
    <n v="5310"/>
    <s v="Nabila Chowdhury"/>
    <x v="44"/>
    <x v="4"/>
    <x v="29"/>
  </r>
  <r>
    <s v="ORD-00490"/>
    <x v="293"/>
    <s v="CUS-KHL-002"/>
    <s v="R05"/>
    <s v="ST-KHL-04"/>
    <x v="24"/>
    <s v="P013"/>
    <n v="1"/>
    <n v="0.03"/>
    <n v="2169"/>
    <n v="2"/>
    <x v="15"/>
    <s v="Women Kurti"/>
    <s v="Fashion"/>
    <n v="1990"/>
    <n v="1090"/>
    <n v="1990"/>
    <n v="1090"/>
    <n v="900"/>
    <s v="Tamanna Islam"/>
    <x v="24"/>
    <x v="6"/>
    <x v="19"/>
  </r>
  <r>
    <s v="ORD-00491"/>
    <x v="325"/>
    <s v="CUS-DHA-014"/>
    <s v="R01"/>
    <s v="ST-DHA-05"/>
    <x v="14"/>
    <s v="P018"/>
    <n v="6"/>
    <n v="0.05"/>
    <n v="10876"/>
    <n v="3"/>
    <x v="25"/>
    <s v="Lentil 1kg"/>
    <s v="Grocery"/>
    <n v="1710"/>
    <n v="1330"/>
    <n v="10260"/>
    <n v="7980"/>
    <n v="2280"/>
    <s v="Shaila Ahmed"/>
    <x v="14"/>
    <x v="4"/>
    <x v="15"/>
  </r>
  <r>
    <s v="ORD-00492"/>
    <x v="177"/>
    <s v="CUS-BAR-015"/>
    <s v="R06"/>
    <s v="ST-BAR-04"/>
    <x v="47"/>
    <s v="P003"/>
    <n v="2"/>
    <n v="0.15"/>
    <n v="6362"/>
    <n v="4"/>
    <x v="3"/>
    <s v="Power Bank"/>
    <s v="Electronics"/>
    <n v="2840"/>
    <n v="1930"/>
    <n v="5680"/>
    <n v="3860"/>
    <n v="1820"/>
    <s v="Ayesha Ahmed"/>
    <x v="47"/>
    <x v="5"/>
    <x v="12"/>
  </r>
  <r>
    <s v="ORD-00493"/>
    <x v="297"/>
    <s v="CUS-RAJ-017"/>
    <s v="R04"/>
    <s v="ST-RAJ-02"/>
    <x v="40"/>
    <s v="P044"/>
    <n v="8"/>
    <n v="0.1"/>
    <n v="19440"/>
    <n v="5"/>
    <x v="29"/>
    <s v="Color Pencil Set"/>
    <s v="Kids &amp; Toys"/>
    <n v="2250"/>
    <n v="1240"/>
    <n v="18000"/>
    <n v="9920"/>
    <n v="8080"/>
    <s v="Mim Chowdhury"/>
    <x v="40"/>
    <x v="1"/>
    <x v="2"/>
  </r>
  <r>
    <s v="ORD-00494"/>
    <x v="326"/>
    <s v="CUS-RAN-014"/>
    <s v="R07"/>
    <s v="ST-RAN-03"/>
    <x v="4"/>
    <s v="P036"/>
    <n v="3"/>
    <n v="0.03"/>
    <n v="1380"/>
    <n v="7"/>
    <x v="11"/>
    <s v="Notebook Pack"/>
    <s v="Stationery"/>
    <n v="400"/>
    <n v="200"/>
    <n v="1200"/>
    <n v="600"/>
    <n v="600"/>
    <s v="Samiha Uddin"/>
    <x v="4"/>
    <x v="0"/>
    <x v="26"/>
  </r>
  <r>
    <s v="ORD-00495"/>
    <x v="23"/>
    <s v="CUS-CTG-022"/>
    <s v="R02"/>
    <s v="ST-CTG-04"/>
    <x v="23"/>
    <s v="P004"/>
    <n v="3"/>
    <n v="0.08"/>
    <n v="13235"/>
    <n v="6"/>
    <x v="16"/>
    <s v="Smart Watch"/>
    <s v="Electronics"/>
    <n v="3870"/>
    <n v="2630"/>
    <n v="11610"/>
    <n v="7890"/>
    <n v="3720"/>
    <s v="Sadia Sultana"/>
    <x v="23"/>
    <x v="7"/>
    <x v="33"/>
  </r>
  <r>
    <s v="ORD-00496"/>
    <x v="327"/>
    <s v="CUS-MYM-010"/>
    <s v="R08"/>
    <s v="ST-MYM-02"/>
    <x v="11"/>
    <s v="P019"/>
    <n v="2"/>
    <n v="0.03"/>
    <n v="950"/>
    <n v="1"/>
    <x v="7"/>
    <s v="Flour 2kg"/>
    <s v="Grocery"/>
    <n v="440"/>
    <n v="340"/>
    <n v="880"/>
    <n v="680"/>
    <n v="200"/>
    <s v="Jannat Sultana"/>
    <x v="11"/>
    <x v="2"/>
    <x v="20"/>
  </r>
  <r>
    <s v="ORD-00497"/>
    <x v="328"/>
    <s v="CUS-BAR-022"/>
    <s v="R06"/>
    <s v="ST-BAR-02"/>
    <x v="8"/>
    <s v="P038"/>
    <n v="1"/>
    <n v="0"/>
    <n v="381"/>
    <n v="5"/>
    <x v="3"/>
    <s v="Office File Set"/>
    <s v="Stationery"/>
    <n v="340"/>
    <n v="170"/>
    <n v="340"/>
    <n v="170"/>
    <n v="170"/>
    <s v="Jannat Hossain"/>
    <x v="8"/>
    <x v="5"/>
    <x v="11"/>
  </r>
  <r>
    <s v="ORD-00498"/>
    <x v="226"/>
    <s v="CUS-RAJ-004"/>
    <s v="R04"/>
    <s v="ST-RAJ-05"/>
    <x v="46"/>
    <s v="P014"/>
    <n v="4"/>
    <n v="0.12"/>
    <n v="3802"/>
    <n v="5"/>
    <x v="5"/>
    <s v="Denim Jeans"/>
    <s v="Fashion"/>
    <n v="880"/>
    <n v="480"/>
    <n v="3520"/>
    <n v="1920"/>
    <n v="1600"/>
    <s v="Jannat Islam"/>
    <x v="46"/>
    <x v="1"/>
    <x v="38"/>
  </r>
  <r>
    <s v="ORD-00499"/>
    <x v="185"/>
    <s v="CUS-KHL-005"/>
    <s v="R05"/>
    <s v="ST-KHL-05"/>
    <x v="29"/>
    <s v="P027"/>
    <n v="6"/>
    <n v="0.1"/>
    <n v="7913"/>
    <n v="4"/>
    <x v="6"/>
    <s v="Formal Shoe"/>
    <s v="Footwear"/>
    <n v="1210"/>
    <n v="730"/>
    <n v="7260"/>
    <n v="4380"/>
    <n v="2880"/>
    <s v="Sajib Hossain"/>
    <x v="29"/>
    <x v="6"/>
    <x v="30"/>
  </r>
  <r>
    <s v="ORD-00500"/>
    <x v="290"/>
    <s v="CUS-CTG-004"/>
    <s v="R02"/>
    <s v="ST-CTG-05"/>
    <x v="18"/>
    <s v="P035"/>
    <n v="5"/>
    <n v="0.12"/>
    <n v="6327"/>
    <n v="1"/>
    <x v="1"/>
    <s v="Dumbbell Set"/>
    <s v="Sports"/>
    <n v="1110"/>
    <n v="690"/>
    <n v="5550"/>
    <n v="3450"/>
    <n v="2100"/>
    <s v="Shaila Mia"/>
    <x v="18"/>
    <x v="7"/>
    <x v="31"/>
  </r>
  <r>
    <s v="ORD-00501"/>
    <x v="23"/>
    <s v="CUS-CTG-006"/>
    <s v="R02"/>
    <s v="ST-CTG-01"/>
    <x v="23"/>
    <s v="P044"/>
    <n v="4"/>
    <n v="0.1"/>
    <n v="10260"/>
    <n v="5"/>
    <x v="29"/>
    <s v="Color Pencil Set"/>
    <s v="Kids &amp; Toys"/>
    <n v="2250"/>
    <n v="1240"/>
    <n v="9000"/>
    <n v="4960"/>
    <n v="4040"/>
    <s v="Karim Rahman"/>
    <x v="23"/>
    <x v="7"/>
    <x v="37"/>
  </r>
  <r>
    <s v="ORD-00502"/>
    <x v="329"/>
    <s v="CUS-CTG-005"/>
    <s v="R02"/>
    <s v="ST-CTG-03"/>
    <x v="15"/>
    <s v="P037"/>
    <n v="5"/>
    <n v="0.05"/>
    <n v="1938"/>
    <n v="3"/>
    <x v="25"/>
    <s v="Ball Pen Box"/>
    <s v="Stationery"/>
    <n v="340"/>
    <n v="170"/>
    <n v="1700"/>
    <n v="850"/>
    <n v="850"/>
    <s v="Shakib Mia"/>
    <x v="15"/>
    <x v="7"/>
    <x v="16"/>
  </r>
  <r>
    <s v="ORD-00503"/>
    <x v="42"/>
    <s v="CUS-RAN-025"/>
    <s v="R07"/>
    <s v="ST-RAN-01"/>
    <x v="27"/>
    <s v="P039"/>
    <n v="2"/>
    <n v="0.02"/>
    <n v="2392"/>
    <n v="7"/>
    <x v="11"/>
    <s v="Marker Set"/>
    <s v="Stationery"/>
    <n v="1040"/>
    <n v="520"/>
    <n v="2080"/>
    <n v="1040"/>
    <n v="1040"/>
    <s v="Samiha Islam"/>
    <x v="27"/>
    <x v="0"/>
    <x v="0"/>
  </r>
  <r>
    <s v="ORD-00504"/>
    <x v="330"/>
    <s v="CUS-RAN-012"/>
    <s v="R07"/>
    <s v="ST-RAN-02"/>
    <x v="27"/>
    <s v="P033"/>
    <n v="4"/>
    <n v="0.1"/>
    <n v="14260"/>
    <n v="7"/>
    <x v="12"/>
    <s v="Badminton Racket"/>
    <s v="Sports"/>
    <n v="3100"/>
    <n v="1920"/>
    <n v="12400"/>
    <n v="7680"/>
    <n v="4720"/>
    <s v="Rumana Hossain"/>
    <x v="27"/>
    <x v="0"/>
    <x v="6"/>
  </r>
  <r>
    <s v="ORD-00505"/>
    <x v="331"/>
    <s v="CUS-RAN-014"/>
    <s v="R07"/>
    <s v="ST-RAN-04"/>
    <x v="21"/>
    <s v="P036"/>
    <n v="8"/>
    <n v="0.05"/>
    <n v="3680"/>
    <n v="6"/>
    <x v="4"/>
    <s v="Notebook Pack"/>
    <s v="Stationery"/>
    <n v="400"/>
    <n v="200"/>
    <n v="3200"/>
    <n v="1600"/>
    <n v="1600"/>
    <s v="Samiha Uddin"/>
    <x v="21"/>
    <x v="0"/>
    <x v="13"/>
  </r>
  <r>
    <s v="ORD-00506"/>
    <x v="332"/>
    <s v="CUS-CTG-003"/>
    <s v="R02"/>
    <s v="ST-CTG-03"/>
    <x v="15"/>
    <s v="P010"/>
    <n v="2"/>
    <n v="0.15"/>
    <n v="7091"/>
    <n v="7"/>
    <x v="23"/>
    <s v="Table Fan"/>
    <s v="Home Appliance"/>
    <n v="3110"/>
    <n v="2180"/>
    <n v="6220"/>
    <n v="4360"/>
    <n v="1860"/>
    <s v="Shuvo Mia"/>
    <x v="15"/>
    <x v="7"/>
    <x v="16"/>
  </r>
  <r>
    <s v="ORD-00507"/>
    <x v="5"/>
    <s v="CUS-DHA-022"/>
    <s v="R01"/>
    <s v="ST-DHA-02"/>
    <x v="9"/>
    <s v="P002"/>
    <n v="2"/>
    <n v="0.18"/>
    <n v="7081"/>
    <n v="4"/>
    <x v="19"/>
    <s v="Wireless Mouse"/>
    <s v="Electronics"/>
    <n v="3340"/>
    <n v="2270"/>
    <n v="6680"/>
    <n v="4540"/>
    <n v="2140"/>
    <s v="Arif Rahman"/>
    <x v="9"/>
    <x v="4"/>
    <x v="8"/>
  </r>
  <r>
    <s v="ORD-00508"/>
    <x v="333"/>
    <s v="CUS-BAR-012"/>
    <s v="R06"/>
    <s v="ST-BAR-01"/>
    <x v="33"/>
    <s v="P043"/>
    <n v="4"/>
    <n v="0.1"/>
    <n v="9856"/>
    <n v="3"/>
    <x v="21"/>
    <s v="Puzzle Board"/>
    <s v="Kids &amp; Toys"/>
    <n v="2200"/>
    <n v="1210"/>
    <n v="8800"/>
    <n v="4840"/>
    <n v="3960"/>
    <s v="Hasan Uddin"/>
    <x v="33"/>
    <x v="5"/>
    <x v="9"/>
  </r>
  <r>
    <s v="ORD-00509"/>
    <x v="238"/>
    <s v="CUS-RAJ-018"/>
    <s v="R04"/>
    <s v="ST-RAJ-05"/>
    <x v="40"/>
    <s v="P025"/>
    <n v="8"/>
    <n v="0.1"/>
    <n v="10886"/>
    <n v="5"/>
    <x v="29"/>
    <s v="Perfume Spray"/>
    <s v="Beauty &amp; Personal Care"/>
    <n v="1260"/>
    <n v="730"/>
    <n v="10080"/>
    <n v="5840"/>
    <n v="4240"/>
    <s v="Samiha Mia"/>
    <x v="40"/>
    <x v="1"/>
    <x v="38"/>
  </r>
  <r>
    <s v="ORD-00510"/>
    <x v="334"/>
    <s v="CUS-CTG-002"/>
    <s v="R02"/>
    <s v="ST-CTG-05"/>
    <x v="15"/>
    <s v="P010"/>
    <n v="3"/>
    <n v="0.18"/>
    <n v="10636"/>
    <n v="3"/>
    <x v="20"/>
    <s v="Table Fan"/>
    <s v="Home Appliance"/>
    <n v="3110"/>
    <n v="2180"/>
    <n v="9330"/>
    <n v="6540"/>
    <n v="2790"/>
    <s v="Arif Khan"/>
    <x v="15"/>
    <x v="7"/>
    <x v="31"/>
  </r>
  <r>
    <s v="ORD-00511"/>
    <x v="226"/>
    <s v="CUS-KHL-007"/>
    <s v="R05"/>
    <s v="ST-KHL-01"/>
    <x v="29"/>
    <s v="P018"/>
    <n v="4"/>
    <n v="0"/>
    <n v="7456"/>
    <n v="6"/>
    <x v="5"/>
    <s v="Lentil 1kg"/>
    <s v="Grocery"/>
    <n v="1710"/>
    <n v="1330"/>
    <n v="6840"/>
    <n v="5320"/>
    <n v="1520"/>
    <s v="Mahmud Chowdhury"/>
    <x v="29"/>
    <x v="6"/>
    <x v="24"/>
  </r>
  <r>
    <s v="ORD-00512"/>
    <x v="335"/>
    <s v="CUS-KHL-008"/>
    <s v="R05"/>
    <s v="ST-KHL-03"/>
    <x v="13"/>
    <s v="P011"/>
    <n v="1"/>
    <n v="0.03"/>
    <n v="2038"/>
    <n v="4"/>
    <x v="17"/>
    <s v="Cotton T-Shirt"/>
    <s v="Fashion"/>
    <n v="1870"/>
    <n v="1030"/>
    <n v="1870"/>
    <n v="1030"/>
    <n v="840"/>
    <s v="Jannat Rahman"/>
    <x v="13"/>
    <x v="6"/>
    <x v="17"/>
  </r>
  <r>
    <s v="ORD-00513"/>
    <x v="336"/>
    <s v="CUS-BAR-009"/>
    <s v="R06"/>
    <s v="ST-BAR-05"/>
    <x v="33"/>
    <s v="P003"/>
    <n v="2"/>
    <n v="0.18"/>
    <n v="6362"/>
    <n v="5"/>
    <x v="4"/>
    <s v="Power Bank"/>
    <s v="Electronics"/>
    <n v="2840"/>
    <n v="1930"/>
    <n v="5680"/>
    <n v="3860"/>
    <n v="1820"/>
    <s v="Tanvir Akter"/>
    <x v="33"/>
    <x v="5"/>
    <x v="7"/>
  </r>
  <r>
    <s v="ORD-00514"/>
    <x v="239"/>
    <s v="CUS-RAJ-024"/>
    <s v="R04"/>
    <s v="ST-RAJ-05"/>
    <x v="40"/>
    <s v="P030"/>
    <n v="2"/>
    <n v="7.0000000000000007E-2"/>
    <n v="4039"/>
    <n v="2"/>
    <x v="18"/>
    <s v="Casual Loafer"/>
    <s v="Footwear"/>
    <n v="1870"/>
    <n v="1120"/>
    <n v="3740"/>
    <n v="2240"/>
    <n v="1500"/>
    <s v="Mahmud Uddin"/>
    <x v="40"/>
    <x v="1"/>
    <x v="38"/>
  </r>
  <r>
    <s v="ORD-00515"/>
    <x v="64"/>
    <s v="CUS-SYL-023"/>
    <s v="R03"/>
    <s v="ST-SYL-04"/>
    <x v="5"/>
    <s v="P032"/>
    <n v="4"/>
    <n v="0.05"/>
    <n v="15922"/>
    <n v="4"/>
    <x v="20"/>
    <s v="Football"/>
    <s v="Sports"/>
    <n v="3720"/>
    <n v="2310"/>
    <n v="14880"/>
    <n v="9240"/>
    <n v="5640"/>
    <s v="Tanvir Hossain"/>
    <x v="5"/>
    <x v="3"/>
    <x v="21"/>
  </r>
  <r>
    <s v="ORD-00516"/>
    <x v="337"/>
    <s v="CUS-CTG-005"/>
    <s v="R02"/>
    <s v="ST-CTG-04"/>
    <x v="39"/>
    <s v="P002"/>
    <n v="2"/>
    <n v="0.15"/>
    <n v="7615"/>
    <n v="3"/>
    <x v="17"/>
    <s v="Wireless Mouse"/>
    <s v="Electronics"/>
    <n v="3340"/>
    <n v="2270"/>
    <n v="6680"/>
    <n v="4540"/>
    <n v="2140"/>
    <s v="Shakib Mia"/>
    <x v="39"/>
    <x v="7"/>
    <x v="33"/>
  </r>
  <r>
    <s v="ORD-00517"/>
    <x v="338"/>
    <s v="CUS-RAJ-015"/>
    <s v="R04"/>
    <s v="ST-RAJ-01"/>
    <x v="26"/>
    <s v="P027"/>
    <n v="3"/>
    <n v="0.12"/>
    <n v="3920"/>
    <n v="5"/>
    <x v="5"/>
    <s v="Formal Shoe"/>
    <s v="Footwear"/>
    <n v="1210"/>
    <n v="730"/>
    <n v="3630"/>
    <n v="2190"/>
    <n v="1440"/>
    <s v="Tania Mia"/>
    <x v="26"/>
    <x v="1"/>
    <x v="36"/>
  </r>
  <r>
    <s v="ORD-00518"/>
    <x v="321"/>
    <s v="CUS-MYM-021"/>
    <s v="R08"/>
    <s v="ST-MYM-04"/>
    <x v="19"/>
    <s v="P028"/>
    <n v="4"/>
    <n v="0.1"/>
    <n v="13910"/>
    <n v="1"/>
    <x v="13"/>
    <s v="Ladies Sandal"/>
    <s v="Footwear"/>
    <n v="3220"/>
    <n v="1930"/>
    <n v="12880"/>
    <n v="7720"/>
    <n v="5160"/>
    <s v="Tania Islam"/>
    <x v="19"/>
    <x v="2"/>
    <x v="34"/>
  </r>
  <r>
    <s v="ORD-00519"/>
    <x v="55"/>
    <s v="CUS-SYL-005"/>
    <s v="R03"/>
    <s v="ST-SYL-05"/>
    <x v="20"/>
    <s v="P013"/>
    <n v="3"/>
    <n v="0.12"/>
    <n v="6388"/>
    <n v="4"/>
    <x v="6"/>
    <s v="Women Kurti"/>
    <s v="Fashion"/>
    <n v="1990"/>
    <n v="1090"/>
    <n v="5970"/>
    <n v="3270"/>
    <n v="2700"/>
    <s v="Shamim Mia"/>
    <x v="20"/>
    <x v="3"/>
    <x v="4"/>
  </r>
  <r>
    <s v="ORD-00520"/>
    <x v="339"/>
    <s v="CUS-RAJ-015"/>
    <s v="R04"/>
    <s v="ST-RAJ-04"/>
    <x v="1"/>
    <s v="P032"/>
    <n v="6"/>
    <n v="0.03"/>
    <n v="24106"/>
    <n v="3"/>
    <x v="10"/>
    <s v="Football"/>
    <s v="Sports"/>
    <n v="3720"/>
    <n v="2310"/>
    <n v="22320"/>
    <n v="13860"/>
    <n v="8460"/>
    <s v="Tania Mia"/>
    <x v="1"/>
    <x v="1"/>
    <x v="1"/>
  </r>
  <r>
    <s v="ORD-00521"/>
    <x v="178"/>
    <s v="CUS-RAN-004"/>
    <s v="R07"/>
    <s v="ST-RAN-01"/>
    <x v="42"/>
    <s v="P020"/>
    <n v="3"/>
    <n v="0"/>
    <n v="7383"/>
    <n v="2"/>
    <x v="1"/>
    <s v="Tea Pack 500g"/>
    <s v="Grocery"/>
    <n v="2140"/>
    <n v="1670"/>
    <n v="6420"/>
    <n v="5010"/>
    <n v="1410"/>
    <s v="Sadia Sultana"/>
    <x v="42"/>
    <x v="0"/>
    <x v="0"/>
  </r>
  <r>
    <s v="ORD-00522"/>
    <x v="11"/>
    <s v="CUS-KHL-010"/>
    <s v="R05"/>
    <s v="ST-KHL-04"/>
    <x v="45"/>
    <s v="P035"/>
    <n v="4"/>
    <n v="0.1"/>
    <n v="4840"/>
    <n v="7"/>
    <x v="12"/>
    <s v="Dumbbell Set"/>
    <s v="Sports"/>
    <n v="1110"/>
    <n v="690"/>
    <n v="4440"/>
    <n v="2760"/>
    <n v="1680"/>
    <s v="Nabila Islam"/>
    <x v="45"/>
    <x v="6"/>
    <x v="19"/>
  </r>
  <r>
    <s v="ORD-00523"/>
    <x v="340"/>
    <s v="CUS-DHA-010"/>
    <s v="R01"/>
    <s v="ST-DHA-03"/>
    <x v="28"/>
    <s v="P004"/>
    <n v="1"/>
    <n v="0.18"/>
    <n v="4102"/>
    <n v="1"/>
    <x v="15"/>
    <s v="Smart Watch"/>
    <s v="Electronics"/>
    <n v="3870"/>
    <n v="2630"/>
    <n v="3870"/>
    <n v="2630"/>
    <n v="1240"/>
    <s v="Shamim Khan"/>
    <x v="28"/>
    <x v="4"/>
    <x v="5"/>
  </r>
  <r>
    <s v="ORD-00524"/>
    <x v="60"/>
    <s v="CUS-RAN-016"/>
    <s v="R07"/>
    <s v="ST-RAN-05"/>
    <x v="42"/>
    <s v="P019"/>
    <n v="5"/>
    <n v="0.02"/>
    <n v="2530"/>
    <n v="9"/>
    <x v="22"/>
    <s v="Flour 2kg"/>
    <s v="Grocery"/>
    <n v="440"/>
    <n v="340"/>
    <n v="2200"/>
    <n v="1700"/>
    <n v="500"/>
    <s v="Tamanna Mia"/>
    <x v="42"/>
    <x v="0"/>
    <x v="39"/>
  </r>
  <r>
    <s v="ORD-00525"/>
    <x v="260"/>
    <s v="CUS-SYL-017"/>
    <s v="R03"/>
    <s v="ST-SYL-04"/>
    <x v="32"/>
    <s v="P027"/>
    <n v="5"/>
    <n v="7.0000000000000007E-2"/>
    <n v="6474"/>
    <n v="5"/>
    <x v="29"/>
    <s v="Formal Shoe"/>
    <s v="Footwear"/>
    <n v="1210"/>
    <n v="730"/>
    <n v="6050"/>
    <n v="3650"/>
    <n v="2400"/>
    <s v="Tania Sultana"/>
    <x v="32"/>
    <x v="3"/>
    <x v="21"/>
  </r>
  <r>
    <s v="ORD-00526"/>
    <x v="341"/>
    <s v="CUS-RAN-013"/>
    <s v="R07"/>
    <s v="ST-RAN-02"/>
    <x v="4"/>
    <s v="P008"/>
    <n v="8"/>
    <n v="0.15"/>
    <n v="22356"/>
    <n v="9"/>
    <x v="0"/>
    <s v="Blender Machine"/>
    <s v="Home Appliance"/>
    <n v="2430"/>
    <n v="1700"/>
    <n v="19440"/>
    <n v="13600"/>
    <n v="5840"/>
    <s v="Arif Rahman"/>
    <x v="4"/>
    <x v="0"/>
    <x v="6"/>
  </r>
  <r>
    <s v="ORD-00527"/>
    <x v="342"/>
    <s v="CUS-KHL-021"/>
    <s v="R05"/>
    <s v="ST-KHL-01"/>
    <x v="36"/>
    <s v="P029"/>
    <n v="3"/>
    <n v="0.03"/>
    <n v="8764"/>
    <n v="3"/>
    <x v="10"/>
    <s v="Kids Sneaker"/>
    <s v="Footwear"/>
    <n v="2680"/>
    <n v="1610"/>
    <n v="8040"/>
    <n v="4830"/>
    <n v="3210"/>
    <s v="Jannat Sultana"/>
    <x v="36"/>
    <x v="6"/>
    <x v="24"/>
  </r>
  <r>
    <s v="ORD-00528"/>
    <x v="343"/>
    <s v="CUS-DHA-019"/>
    <s v="R01"/>
    <s v="ST-DHA-05"/>
    <x v="28"/>
    <s v="P033"/>
    <n v="6"/>
    <n v="0.03"/>
    <n v="19716"/>
    <n v="1"/>
    <x v="7"/>
    <s v="Badminton Racket"/>
    <s v="Sports"/>
    <n v="3100"/>
    <n v="1920"/>
    <n v="18600"/>
    <n v="11520"/>
    <n v="7080"/>
    <s v="Sadia Islam"/>
    <x v="28"/>
    <x v="4"/>
    <x v="15"/>
  </r>
  <r>
    <s v="ORD-00529"/>
    <x v="276"/>
    <s v="CUS-SYL-001"/>
    <s v="R03"/>
    <s v="ST-SYL-03"/>
    <x v="20"/>
    <s v="P005"/>
    <n v="3"/>
    <n v="0.18"/>
    <n v="15697"/>
    <n v="2"/>
    <x v="10"/>
    <s v="USB-C Hub"/>
    <s v="Electronics"/>
    <n v="4890"/>
    <n v="3330"/>
    <n v="14670"/>
    <n v="9990"/>
    <n v="4680"/>
    <s v="Karim Khan"/>
    <x v="20"/>
    <x v="3"/>
    <x v="23"/>
  </r>
  <r>
    <s v="ORD-00530"/>
    <x v="344"/>
    <s v="CUS-MYM-001"/>
    <s v="R08"/>
    <s v="ST-MYM-03"/>
    <x v="19"/>
    <s v="P004"/>
    <n v="5"/>
    <n v="0.12"/>
    <n v="20898"/>
    <n v="6"/>
    <x v="28"/>
    <s v="Smart Watch"/>
    <s v="Electronics"/>
    <n v="3870"/>
    <n v="2630"/>
    <n v="19350"/>
    <n v="13150"/>
    <n v="6200"/>
    <s v="Samiha Islam"/>
    <x v="19"/>
    <x v="2"/>
    <x v="10"/>
  </r>
  <r>
    <s v="ORD-00531"/>
    <x v="345"/>
    <s v="CUS-RAN-009"/>
    <s v="R07"/>
    <s v="ST-RAN-01"/>
    <x v="7"/>
    <s v="P049"/>
    <n v="2"/>
    <n v="0.05"/>
    <n v="9729"/>
    <n v="8"/>
    <x v="30"/>
    <s v="Bookshelf"/>
    <s v="Furniture"/>
    <n v="4230"/>
    <n v="3050"/>
    <n v="8460"/>
    <n v="6100"/>
    <n v="2360"/>
    <s v="Samiha Uddin"/>
    <x v="7"/>
    <x v="0"/>
    <x v="0"/>
  </r>
  <r>
    <s v="ORD-00532"/>
    <x v="346"/>
    <s v="CUS-KHL-014"/>
    <s v="R05"/>
    <s v="ST-KHL-02"/>
    <x v="45"/>
    <s v="P023"/>
    <n v="1"/>
    <n v="0.03"/>
    <n v="1264"/>
    <n v="4"/>
    <x v="17"/>
    <s v="Body Lotion"/>
    <s v="Beauty &amp; Personal Care"/>
    <n v="1160"/>
    <n v="670"/>
    <n v="1160"/>
    <n v="670"/>
    <n v="490"/>
    <s v="Imran Uddin"/>
    <x v="45"/>
    <x v="6"/>
    <x v="14"/>
  </r>
  <r>
    <s v="ORD-00533"/>
    <x v="174"/>
    <s v="CUS-KHL-013"/>
    <s v="R05"/>
    <s v="ST-KHL-01"/>
    <x v="16"/>
    <s v="P003"/>
    <n v="2"/>
    <n v="0.08"/>
    <n v="6191"/>
    <n v="4"/>
    <x v="6"/>
    <s v="Power Bank"/>
    <s v="Electronics"/>
    <n v="2840"/>
    <n v="1930"/>
    <n v="5680"/>
    <n v="3860"/>
    <n v="1820"/>
    <s v="Fahim Khan"/>
    <x v="16"/>
    <x v="6"/>
    <x v="24"/>
  </r>
  <r>
    <s v="ORD-00534"/>
    <x v="347"/>
    <s v="CUS-RAJ-016"/>
    <s v="R04"/>
    <s v="ST-RAJ-05"/>
    <x v="40"/>
    <s v="P009"/>
    <n v="3"/>
    <n v="0.15"/>
    <n v="14774"/>
    <n v="6"/>
    <x v="28"/>
    <s v="Steam Iron"/>
    <s v="Home Appliance"/>
    <n v="4560"/>
    <n v="3190"/>
    <n v="13680"/>
    <n v="9570"/>
    <n v="4110"/>
    <s v="Hasan Rahman"/>
    <x v="40"/>
    <x v="1"/>
    <x v="38"/>
  </r>
  <r>
    <s v="ORD-00535"/>
    <x v="239"/>
    <s v="CUS-RAN-003"/>
    <s v="R07"/>
    <s v="ST-RAN-04"/>
    <x v="7"/>
    <s v="P010"/>
    <n v="6"/>
    <n v="0.08"/>
    <n v="21459"/>
    <n v="7"/>
    <x v="2"/>
    <s v="Table Fan"/>
    <s v="Home Appliance"/>
    <n v="3110"/>
    <n v="2180"/>
    <n v="18660"/>
    <n v="13080"/>
    <n v="5580"/>
    <s v="Mim Sultana"/>
    <x v="7"/>
    <x v="0"/>
    <x v="13"/>
  </r>
  <r>
    <s v="ORD-00536"/>
    <x v="348"/>
    <s v="CUS-CTG-008"/>
    <s v="R02"/>
    <s v="ST-CTG-05"/>
    <x v="37"/>
    <s v="P035"/>
    <n v="3"/>
    <n v="0.1"/>
    <n v="3796"/>
    <n v="10"/>
    <x v="26"/>
    <s v="Dumbbell Set"/>
    <s v="Sports"/>
    <n v="1110"/>
    <n v="690"/>
    <n v="3330"/>
    <n v="2070"/>
    <n v="1260"/>
    <s v="Mim Akter"/>
    <x v="37"/>
    <x v="7"/>
    <x v="31"/>
  </r>
  <r>
    <s v="ORD-00537"/>
    <x v="11"/>
    <s v="CUS-CTG-021"/>
    <s v="R02"/>
    <s v="ST-CTG-05"/>
    <x v="23"/>
    <s v="P035"/>
    <n v="2"/>
    <n v="0.05"/>
    <n v="2531"/>
    <n v="5"/>
    <x v="19"/>
    <s v="Dumbbell Set"/>
    <s v="Sports"/>
    <n v="1110"/>
    <n v="690"/>
    <n v="2220"/>
    <n v="1380"/>
    <n v="840"/>
    <s v="Mahmud Islam"/>
    <x v="23"/>
    <x v="7"/>
    <x v="31"/>
  </r>
  <r>
    <s v="ORD-00538"/>
    <x v="349"/>
    <s v="CUS-RAN-018"/>
    <s v="R07"/>
    <s v="ST-RAN-04"/>
    <x v="7"/>
    <s v="P001"/>
    <n v="10"/>
    <n v="0.12"/>
    <n v="37260"/>
    <n v="4"/>
    <x v="6"/>
    <s v="Bluetooth Speaker"/>
    <s v="Electronics"/>
    <n v="3240"/>
    <n v="2200"/>
    <n v="32400"/>
    <n v="22000"/>
    <n v="10400"/>
    <s v="Nayeem Mia"/>
    <x v="7"/>
    <x v="0"/>
    <x v="13"/>
  </r>
  <r>
    <s v="ORD-00539"/>
    <x v="173"/>
    <s v="CUS-SYL-001"/>
    <s v="R03"/>
    <s v="ST-SYL-01"/>
    <x v="32"/>
    <s v="P005"/>
    <n v="5"/>
    <n v="0.15"/>
    <n v="26162"/>
    <n v="6"/>
    <x v="28"/>
    <s v="USB-C Hub"/>
    <s v="Electronics"/>
    <n v="4890"/>
    <n v="3330"/>
    <n v="24450"/>
    <n v="16650"/>
    <n v="7800"/>
    <s v="Karim Khan"/>
    <x v="32"/>
    <x v="3"/>
    <x v="25"/>
  </r>
  <r>
    <s v="ORD-00540"/>
    <x v="106"/>
    <s v="CUS-RAJ-019"/>
    <s v="R04"/>
    <s v="ST-RAJ-05"/>
    <x v="26"/>
    <s v="P001"/>
    <n v="3"/>
    <n v="0.08"/>
    <n v="10498"/>
    <n v="4"/>
    <x v="6"/>
    <s v="Bluetooth Speaker"/>
    <s v="Electronics"/>
    <n v="3240"/>
    <n v="2200"/>
    <n v="9720"/>
    <n v="6600"/>
    <n v="3120"/>
    <s v="Shuvo Khan"/>
    <x v="26"/>
    <x v="1"/>
    <x v="38"/>
  </r>
  <r>
    <s v="ORD-00541"/>
    <x v="350"/>
    <s v="CUS-SYL-024"/>
    <s v="R03"/>
    <s v="ST-SYL-05"/>
    <x v="38"/>
    <s v="P042"/>
    <n v="3"/>
    <n v="7.0000000000000007E-2"/>
    <n v="5842"/>
    <n v="6"/>
    <x v="16"/>
    <s v="Toy Car Set"/>
    <s v="Kids &amp; Toys"/>
    <n v="1820"/>
    <n v="1000"/>
    <n v="5460"/>
    <n v="3000"/>
    <n v="2460"/>
    <s v="Sajib Sultana"/>
    <x v="38"/>
    <x v="3"/>
    <x v="4"/>
  </r>
  <r>
    <s v="ORD-00542"/>
    <x v="84"/>
    <s v="CUS-KHL-025"/>
    <s v="R05"/>
    <s v="ST-KHL-04"/>
    <x v="16"/>
    <s v="P005"/>
    <n v="2"/>
    <n v="0.15"/>
    <n v="10660"/>
    <n v="1"/>
    <x v="1"/>
    <s v="USB-C Hub"/>
    <s v="Electronics"/>
    <n v="4890"/>
    <n v="3330"/>
    <n v="9780"/>
    <n v="6660"/>
    <n v="3120"/>
    <s v="Tanjim Khan"/>
    <x v="16"/>
    <x v="6"/>
    <x v="19"/>
  </r>
  <r>
    <s v="ORD-00543"/>
    <x v="280"/>
    <s v="CUS-BAR-001"/>
    <s v="R06"/>
    <s v="ST-BAR-02"/>
    <x v="10"/>
    <s v="P045"/>
    <n v="1"/>
    <n v="0.03"/>
    <n v="941"/>
    <n v="4"/>
    <x v="17"/>
    <s v="Kids Story Book"/>
    <s v="Kids &amp; Toys"/>
    <n v="840"/>
    <n v="460"/>
    <n v="840"/>
    <n v="460"/>
    <n v="380"/>
    <s v="Shuvo Sultana"/>
    <x v="10"/>
    <x v="5"/>
    <x v="11"/>
  </r>
  <r>
    <s v="ORD-00544"/>
    <x v="182"/>
    <s v="CUS-MYM-025"/>
    <s v="R08"/>
    <s v="ST-MYM-04"/>
    <x v="31"/>
    <s v="P002"/>
    <n v="5"/>
    <n v="0.15"/>
    <n v="18036"/>
    <n v="2"/>
    <x v="10"/>
    <s v="Wireless Mouse"/>
    <s v="Electronics"/>
    <n v="3340"/>
    <n v="2270"/>
    <n v="16700"/>
    <n v="11350"/>
    <n v="5350"/>
    <s v="Shaila Ahmed"/>
    <x v="31"/>
    <x v="2"/>
    <x v="34"/>
  </r>
  <r>
    <s v="ORD-00545"/>
    <x v="13"/>
    <s v="CUS-CTG-012"/>
    <s v="R02"/>
    <s v="ST-CTG-04"/>
    <x v="18"/>
    <s v="P008"/>
    <n v="5"/>
    <n v="0.08"/>
    <n v="13851"/>
    <n v="8"/>
    <x v="30"/>
    <s v="Blender Machine"/>
    <s v="Home Appliance"/>
    <n v="2430"/>
    <n v="1700"/>
    <n v="12150"/>
    <n v="8500"/>
    <n v="3650"/>
    <s v="Jannat Islam"/>
    <x v="18"/>
    <x v="7"/>
    <x v="33"/>
  </r>
  <r>
    <s v="ORD-00546"/>
    <x v="351"/>
    <s v="CUS-RAJ-015"/>
    <s v="R04"/>
    <s v="ST-RAJ-01"/>
    <x v="46"/>
    <s v="P032"/>
    <n v="4"/>
    <n v="7.0000000000000007E-2"/>
    <n v="16070"/>
    <n v="5"/>
    <x v="29"/>
    <s v="Football"/>
    <s v="Sports"/>
    <n v="3720"/>
    <n v="2310"/>
    <n v="14880"/>
    <n v="9240"/>
    <n v="5640"/>
    <s v="Tania Mia"/>
    <x v="46"/>
    <x v="1"/>
    <x v="36"/>
  </r>
  <r>
    <s v="ORD-00547"/>
    <x v="17"/>
    <s v="CUS-RAJ-003"/>
    <s v="R04"/>
    <s v="ST-RAJ-05"/>
    <x v="30"/>
    <s v="P006"/>
    <n v="1"/>
    <n v="0.15"/>
    <n v="7776"/>
    <n v="6"/>
    <x v="28"/>
    <s v="Electric Kettle"/>
    <s v="Home Appliance"/>
    <n v="7200"/>
    <n v="5040"/>
    <n v="7200"/>
    <n v="5040"/>
    <n v="2160"/>
    <s v="Morshed Rahman"/>
    <x v="30"/>
    <x v="1"/>
    <x v="38"/>
  </r>
  <r>
    <s v="ORD-00548"/>
    <x v="352"/>
    <s v="CUS-MYM-023"/>
    <s v="R08"/>
    <s v="ST-MYM-05"/>
    <x v="11"/>
    <s v="P001"/>
    <n v="1"/>
    <n v="0.12"/>
    <n v="3499"/>
    <n v="4"/>
    <x v="6"/>
    <s v="Bluetooth Speaker"/>
    <s v="Electronics"/>
    <n v="3240"/>
    <n v="2200"/>
    <n v="3240"/>
    <n v="2200"/>
    <n v="1040"/>
    <s v="Ayesha Uddin"/>
    <x v="11"/>
    <x v="2"/>
    <x v="28"/>
  </r>
  <r>
    <s v="ORD-00549"/>
    <x v="134"/>
    <s v="CUS-MYM-006"/>
    <s v="R08"/>
    <s v="ST-MYM-05"/>
    <x v="11"/>
    <s v="P026"/>
    <n v="1"/>
    <n v="0.05"/>
    <n v="3791"/>
    <n v="4"/>
    <x v="20"/>
    <s v="Running Shoe"/>
    <s v="Footwear"/>
    <n v="3510"/>
    <n v="2110"/>
    <n v="3510"/>
    <n v="2110"/>
    <n v="1400"/>
    <s v="Mim Ahmed"/>
    <x v="11"/>
    <x v="2"/>
    <x v="28"/>
  </r>
  <r>
    <s v="ORD-00550"/>
    <x v="219"/>
    <s v="CUS-RAJ-017"/>
    <s v="R04"/>
    <s v="ST-RAJ-03"/>
    <x v="46"/>
    <s v="P040"/>
    <n v="10"/>
    <n v="0.03"/>
    <n v="8208"/>
    <n v="3"/>
    <x v="10"/>
    <s v="Sticky Notes"/>
    <s v="Stationery"/>
    <n v="760"/>
    <n v="380"/>
    <n v="7600"/>
    <n v="3800"/>
    <n v="3800"/>
    <s v="Mim Chowdhury"/>
    <x v="46"/>
    <x v="1"/>
    <x v="18"/>
  </r>
  <r>
    <s v="ORD-00551"/>
    <x v="353"/>
    <s v="CUS-MYM-001"/>
    <s v="R08"/>
    <s v="ST-MYM-04"/>
    <x v="43"/>
    <s v="P027"/>
    <n v="5"/>
    <n v="7.0000000000000007E-2"/>
    <n v="6534"/>
    <n v="1"/>
    <x v="13"/>
    <s v="Formal Shoe"/>
    <s v="Footwear"/>
    <n v="1210"/>
    <n v="730"/>
    <n v="6050"/>
    <n v="3650"/>
    <n v="2400"/>
    <s v="Samiha Islam"/>
    <x v="43"/>
    <x v="2"/>
    <x v="34"/>
  </r>
  <r>
    <s v="ORD-00552"/>
    <x v="120"/>
    <s v="CUS-KHL-004"/>
    <s v="R05"/>
    <s v="ST-KHL-05"/>
    <x v="24"/>
    <s v="P014"/>
    <n v="4"/>
    <n v="0.05"/>
    <n v="3837"/>
    <n v="5"/>
    <x v="19"/>
    <s v="Denim Jeans"/>
    <s v="Fashion"/>
    <n v="880"/>
    <n v="480"/>
    <n v="3520"/>
    <n v="1920"/>
    <n v="1600"/>
    <s v="Rasel Akter"/>
    <x v="24"/>
    <x v="6"/>
    <x v="30"/>
  </r>
  <r>
    <s v="ORD-00553"/>
    <x v="354"/>
    <s v="CUS-DHA-009"/>
    <s v="R01"/>
    <s v="ST-DHA-04"/>
    <x v="9"/>
    <s v="P012"/>
    <n v="2"/>
    <n v="7.0000000000000007E-2"/>
    <n v="3858"/>
    <n v="4"/>
    <x v="20"/>
    <s v="Formal Shirt"/>
    <s v="Fashion"/>
    <n v="1820"/>
    <n v="1000"/>
    <n v="3640"/>
    <n v="2000"/>
    <n v="1640"/>
    <s v="Rumana Ahmed"/>
    <x v="9"/>
    <x v="4"/>
    <x v="35"/>
  </r>
  <r>
    <s v="ORD-00554"/>
    <x v="92"/>
    <s v="CUS-DHA-024"/>
    <s v="R01"/>
    <s v="ST-DHA-02"/>
    <x v="35"/>
    <s v="P011"/>
    <n v="6"/>
    <n v="0.05"/>
    <n v="11893"/>
    <n v="3"/>
    <x v="25"/>
    <s v="Cotton T-Shirt"/>
    <s v="Fashion"/>
    <n v="1870"/>
    <n v="1030"/>
    <n v="11220"/>
    <n v="6180"/>
    <n v="5040"/>
    <s v="Hasan Akter"/>
    <x v="35"/>
    <x v="4"/>
    <x v="8"/>
  </r>
  <r>
    <s v="ORD-00555"/>
    <x v="294"/>
    <s v="CUS-BAR-010"/>
    <s v="R06"/>
    <s v="ST-BAR-01"/>
    <x v="10"/>
    <s v="P024"/>
    <n v="2"/>
    <n v="0.03"/>
    <n v="3158"/>
    <n v="3"/>
    <x v="10"/>
    <s v="Toothpaste Twin Pack"/>
    <s v="Beauty &amp; Personal Care"/>
    <n v="1410"/>
    <n v="820"/>
    <n v="2820"/>
    <n v="1640"/>
    <n v="1180"/>
    <s v="Nabila Khan"/>
    <x v="10"/>
    <x v="5"/>
    <x v="9"/>
  </r>
  <r>
    <s v="ORD-00556"/>
    <x v="226"/>
    <s v="CUS-BAR-009"/>
    <s v="R06"/>
    <s v="ST-BAR-02"/>
    <x v="47"/>
    <s v="P013"/>
    <n v="6"/>
    <n v="0.12"/>
    <n v="13373"/>
    <n v="4"/>
    <x v="6"/>
    <s v="Women Kurti"/>
    <s v="Fashion"/>
    <n v="1990"/>
    <n v="1090"/>
    <n v="11940"/>
    <n v="6540"/>
    <n v="5400"/>
    <s v="Tanvir Akter"/>
    <x v="47"/>
    <x v="5"/>
    <x v="11"/>
  </r>
  <r>
    <s v="ORD-00557"/>
    <x v="73"/>
    <s v="CUS-RAJ-003"/>
    <s v="R04"/>
    <s v="ST-RAJ-05"/>
    <x v="40"/>
    <s v="P011"/>
    <n v="5"/>
    <n v="0.03"/>
    <n v="10098"/>
    <n v="5"/>
    <x v="19"/>
    <s v="Cotton T-Shirt"/>
    <s v="Fashion"/>
    <n v="1870"/>
    <n v="1030"/>
    <n v="9350"/>
    <n v="5150"/>
    <n v="4200"/>
    <s v="Morshed Rahman"/>
    <x v="40"/>
    <x v="1"/>
    <x v="38"/>
  </r>
  <r>
    <s v="ORD-00558"/>
    <x v="225"/>
    <s v="CUS-DHA-013"/>
    <s v="R01"/>
    <s v="ST-DHA-03"/>
    <x v="35"/>
    <s v="P002"/>
    <n v="1"/>
    <n v="0.15"/>
    <n v="3540"/>
    <n v="2"/>
    <x v="10"/>
    <s v="Wireless Mouse"/>
    <s v="Electronics"/>
    <n v="3340"/>
    <n v="2270"/>
    <n v="3340"/>
    <n v="2270"/>
    <n v="1070"/>
    <s v="Arif Hossain"/>
    <x v="35"/>
    <x v="4"/>
    <x v="5"/>
  </r>
  <r>
    <s v="ORD-00559"/>
    <x v="290"/>
    <s v="CUS-DHA-010"/>
    <s v="R01"/>
    <s v="ST-DHA-05"/>
    <x v="35"/>
    <s v="P011"/>
    <n v="5"/>
    <n v="0.03"/>
    <n v="9911"/>
    <n v="2"/>
    <x v="15"/>
    <s v="Cotton T-Shirt"/>
    <s v="Fashion"/>
    <n v="1870"/>
    <n v="1030"/>
    <n v="9350"/>
    <n v="5150"/>
    <n v="4200"/>
    <s v="Shamim Khan"/>
    <x v="35"/>
    <x v="4"/>
    <x v="15"/>
  </r>
  <r>
    <s v="ORD-00560"/>
    <x v="355"/>
    <s v="CUS-CTG-020"/>
    <s v="R02"/>
    <s v="ST-CTG-04"/>
    <x v="23"/>
    <s v="P041"/>
    <n v="2"/>
    <n v="0.1"/>
    <n v="1915"/>
    <n v="7"/>
    <x v="12"/>
    <s v="Building Blocks"/>
    <s v="Kids &amp; Toys"/>
    <n v="840"/>
    <n v="460"/>
    <n v="1680"/>
    <n v="920"/>
    <n v="760"/>
    <s v="Shuvo Uddin"/>
    <x v="23"/>
    <x v="7"/>
    <x v="33"/>
  </r>
  <r>
    <s v="ORD-00561"/>
    <x v="48"/>
    <s v="CUS-RAN-020"/>
    <s v="R07"/>
    <s v="ST-RAN-05"/>
    <x v="7"/>
    <s v="P008"/>
    <n v="2"/>
    <n v="0.12"/>
    <n v="5589"/>
    <n v="7"/>
    <x v="12"/>
    <s v="Blender Machine"/>
    <s v="Home Appliance"/>
    <n v="2430"/>
    <n v="1700"/>
    <n v="4860"/>
    <n v="3400"/>
    <n v="1460"/>
    <s v="Shuvo Uddin"/>
    <x v="7"/>
    <x v="0"/>
    <x v="39"/>
  </r>
  <r>
    <s v="ORD-00562"/>
    <x v="258"/>
    <s v="CUS-DHA-020"/>
    <s v="R01"/>
    <s v="ST-DHA-01"/>
    <x v="9"/>
    <s v="P035"/>
    <n v="6"/>
    <n v="0.05"/>
    <n v="7060"/>
    <n v="2"/>
    <x v="15"/>
    <s v="Dumbbell Set"/>
    <s v="Sports"/>
    <n v="1110"/>
    <n v="690"/>
    <n v="6660"/>
    <n v="4140"/>
    <n v="2520"/>
    <s v="Tanjim Ahmed"/>
    <x v="9"/>
    <x v="4"/>
    <x v="29"/>
  </r>
  <r>
    <s v="ORD-00563"/>
    <x v="257"/>
    <s v="CUS-KHL-012"/>
    <s v="R05"/>
    <s v="ST-KHL-04"/>
    <x v="24"/>
    <s v="P031"/>
    <n v="1"/>
    <n v="0.03"/>
    <n v="2878"/>
    <n v="4"/>
    <x v="17"/>
    <s v="Cricket Bat"/>
    <s v="Sports"/>
    <n v="2640"/>
    <n v="1640"/>
    <n v="2640"/>
    <n v="1640"/>
    <n v="1000"/>
    <s v="Nayeem Chowdhury"/>
    <x v="24"/>
    <x v="6"/>
    <x v="19"/>
  </r>
  <r>
    <s v="ORD-00564"/>
    <x v="113"/>
    <s v="CUS-RAN-017"/>
    <s v="R07"/>
    <s v="ST-RAN-03"/>
    <x v="42"/>
    <s v="P021"/>
    <n v="1"/>
    <n v="7.0000000000000007E-2"/>
    <n v="1472"/>
    <n v="7"/>
    <x v="2"/>
    <s v="Face Wash"/>
    <s v="Beauty &amp; Personal Care"/>
    <n v="1280"/>
    <n v="740"/>
    <n v="1280"/>
    <n v="740"/>
    <n v="540"/>
    <s v="Tamanna Mia"/>
    <x v="42"/>
    <x v="0"/>
    <x v="26"/>
  </r>
  <r>
    <s v="ORD-00565"/>
    <x v="198"/>
    <s v="CUS-BAR-010"/>
    <s v="R06"/>
    <s v="ST-BAR-03"/>
    <x v="47"/>
    <s v="P016"/>
    <n v="1"/>
    <n v="0"/>
    <n v="1243"/>
    <n v="4"/>
    <x v="17"/>
    <s v="Premium Rice 5kg"/>
    <s v="Grocery"/>
    <n v="1110"/>
    <n v="870"/>
    <n v="1110"/>
    <n v="870"/>
    <n v="240"/>
    <s v="Nabila Khan"/>
    <x v="47"/>
    <x v="5"/>
    <x v="27"/>
  </r>
  <r>
    <s v="ORD-00566"/>
    <x v="280"/>
    <s v="CUS-RAJ-021"/>
    <s v="R04"/>
    <s v="ST-RAJ-02"/>
    <x v="1"/>
    <s v="P008"/>
    <n v="4"/>
    <n v="0.15"/>
    <n v="10498"/>
    <n v="7"/>
    <x v="23"/>
    <s v="Blender Machine"/>
    <s v="Home Appliance"/>
    <n v="2430"/>
    <n v="1700"/>
    <n v="9720"/>
    <n v="6800"/>
    <n v="2920"/>
    <s v="Nayeem Islam"/>
    <x v="1"/>
    <x v="1"/>
    <x v="2"/>
  </r>
  <r>
    <s v="ORD-00567"/>
    <x v="356"/>
    <s v="CUS-BAR-019"/>
    <s v="R06"/>
    <s v="ST-BAR-05"/>
    <x v="33"/>
    <s v="P023"/>
    <n v="2"/>
    <n v="0.1"/>
    <n v="2598"/>
    <n v="8"/>
    <x v="27"/>
    <s v="Body Lotion"/>
    <s v="Beauty &amp; Personal Care"/>
    <n v="1160"/>
    <n v="670"/>
    <n v="2320"/>
    <n v="1340"/>
    <n v="980"/>
    <s v="Imran Chowdhury"/>
    <x v="33"/>
    <x v="5"/>
    <x v="7"/>
  </r>
  <r>
    <s v="ORD-00568"/>
    <x v="357"/>
    <s v="CUS-MYM-008"/>
    <s v="R08"/>
    <s v="ST-MYM-01"/>
    <x v="43"/>
    <s v="P005"/>
    <n v="2"/>
    <n v="0.1"/>
    <n v="10562"/>
    <n v="1"/>
    <x v="13"/>
    <s v="USB-C Hub"/>
    <s v="Electronics"/>
    <n v="4890"/>
    <n v="3330"/>
    <n v="9780"/>
    <n v="6660"/>
    <n v="3120"/>
    <s v="Mahmud Mia"/>
    <x v="43"/>
    <x v="2"/>
    <x v="3"/>
  </r>
  <r>
    <s v="ORD-00569"/>
    <x v="358"/>
    <s v="CUS-RAJ-016"/>
    <s v="R04"/>
    <s v="ST-RAJ-03"/>
    <x v="30"/>
    <s v="P009"/>
    <n v="1"/>
    <n v="0.08"/>
    <n v="4925"/>
    <n v="6"/>
    <x v="16"/>
    <s v="Steam Iron"/>
    <s v="Home Appliance"/>
    <n v="4560"/>
    <n v="3190"/>
    <n v="4560"/>
    <n v="3190"/>
    <n v="1370"/>
    <s v="Hasan Rahman"/>
    <x v="30"/>
    <x v="1"/>
    <x v="18"/>
  </r>
  <r>
    <s v="ORD-00570"/>
    <x v="137"/>
    <s v="CUS-DHA-018"/>
    <s v="R01"/>
    <s v="ST-DHA-01"/>
    <x v="28"/>
    <s v="P006"/>
    <n v="3"/>
    <n v="0.12"/>
    <n v="22896"/>
    <n v="5"/>
    <x v="5"/>
    <s v="Electric Kettle"/>
    <s v="Home Appliance"/>
    <n v="7200"/>
    <n v="5040"/>
    <n v="21600"/>
    <n v="15120"/>
    <n v="6480"/>
    <s v="Rafi Khan"/>
    <x v="28"/>
    <x v="4"/>
    <x v="29"/>
  </r>
  <r>
    <s v="ORD-00571"/>
    <x v="8"/>
    <s v="CUS-DHA-001"/>
    <s v="R01"/>
    <s v="ST-DHA-02"/>
    <x v="28"/>
    <s v="P006"/>
    <n v="6"/>
    <n v="0.1"/>
    <n v="45792"/>
    <n v="3"/>
    <x v="21"/>
    <s v="Electric Kettle"/>
    <s v="Home Appliance"/>
    <n v="7200"/>
    <n v="5040"/>
    <n v="43200"/>
    <n v="30240"/>
    <n v="12960"/>
    <s v="Rumana Sultana"/>
    <x v="28"/>
    <x v="4"/>
    <x v="8"/>
  </r>
  <r>
    <s v="ORD-00572"/>
    <x v="359"/>
    <s v="CUS-SYL-007"/>
    <s v="R03"/>
    <s v="ST-SYL-01"/>
    <x v="20"/>
    <s v="P039"/>
    <n v="3"/>
    <n v="0.02"/>
    <n v="3338"/>
    <n v="5"/>
    <x v="3"/>
    <s v="Marker Set"/>
    <s v="Stationery"/>
    <n v="1040"/>
    <n v="520"/>
    <n v="3120"/>
    <n v="1560"/>
    <n v="1560"/>
    <s v="Jannat Sultana"/>
    <x v="20"/>
    <x v="3"/>
    <x v="25"/>
  </r>
  <r>
    <s v="ORD-00573"/>
    <x v="44"/>
    <s v="CUS-RAN-021"/>
    <s v="R07"/>
    <s v="ST-RAN-01"/>
    <x v="42"/>
    <s v="P046"/>
    <n v="2"/>
    <n v="7.0000000000000007E-2"/>
    <n v="10074"/>
    <n v="9"/>
    <x v="9"/>
    <s v="Office Chair"/>
    <s v="Furniture"/>
    <n v="4380"/>
    <n v="3150"/>
    <n v="8760"/>
    <n v="6300"/>
    <n v="2460"/>
    <s v="Mim Sultana"/>
    <x v="42"/>
    <x v="0"/>
    <x v="0"/>
  </r>
  <r>
    <s v="ORD-00574"/>
    <x v="124"/>
    <s v="CUS-RAN-023"/>
    <s v="R07"/>
    <s v="ST-RAN-01"/>
    <x v="7"/>
    <s v="P003"/>
    <n v="4"/>
    <n v="0.1"/>
    <n v="13064"/>
    <n v="4"/>
    <x v="6"/>
    <s v="Power Bank"/>
    <s v="Electronics"/>
    <n v="2840"/>
    <n v="1930"/>
    <n v="11360"/>
    <n v="7720"/>
    <n v="3640"/>
    <s v="Farhana Ahmed"/>
    <x v="7"/>
    <x v="0"/>
    <x v="0"/>
  </r>
  <r>
    <s v="ORD-00575"/>
    <x v="360"/>
    <s v="CUS-RAN-023"/>
    <s v="R07"/>
    <s v="ST-RAN-03"/>
    <x v="42"/>
    <s v="P022"/>
    <n v="6"/>
    <n v="0.12"/>
    <n v="11454"/>
    <n v="3"/>
    <x v="21"/>
    <s v="Shampoo 375ml"/>
    <s v="Beauty &amp; Personal Care"/>
    <n v="1660"/>
    <n v="960"/>
    <n v="9960"/>
    <n v="5760"/>
    <n v="4200"/>
    <s v="Farhana Ahmed"/>
    <x v="42"/>
    <x v="0"/>
    <x v="26"/>
  </r>
  <r>
    <s v="ORD-00576"/>
    <x v="361"/>
    <s v="CUS-KHL-005"/>
    <s v="R05"/>
    <s v="ST-KHL-03"/>
    <x v="36"/>
    <s v="P001"/>
    <n v="5"/>
    <n v="0.18"/>
    <n v="17658"/>
    <n v="1"/>
    <x v="15"/>
    <s v="Bluetooth Speaker"/>
    <s v="Electronics"/>
    <n v="3240"/>
    <n v="2200"/>
    <n v="16200"/>
    <n v="11000"/>
    <n v="5200"/>
    <s v="Sajib Hossain"/>
    <x v="36"/>
    <x v="6"/>
    <x v="17"/>
  </r>
  <r>
    <s v="ORD-00577"/>
    <x v="362"/>
    <s v="CUS-MYM-007"/>
    <s v="R08"/>
    <s v="ST-MYM-01"/>
    <x v="19"/>
    <s v="P035"/>
    <n v="2"/>
    <n v="0.12"/>
    <n v="2398"/>
    <n v="2"/>
    <x v="24"/>
    <s v="Dumbbell Set"/>
    <s v="Sports"/>
    <n v="1110"/>
    <n v="690"/>
    <n v="2220"/>
    <n v="1380"/>
    <n v="840"/>
    <s v="Shakib Mia"/>
    <x v="19"/>
    <x v="2"/>
    <x v="3"/>
  </r>
  <r>
    <s v="ORD-00578"/>
    <x v="363"/>
    <s v="CUS-SYL-011"/>
    <s v="R03"/>
    <s v="ST-SYL-03"/>
    <x v="5"/>
    <s v="P029"/>
    <n v="2"/>
    <n v="0.12"/>
    <n v="5735"/>
    <n v="5"/>
    <x v="5"/>
    <s v="Kids Sneaker"/>
    <s v="Footwear"/>
    <n v="2680"/>
    <n v="1610"/>
    <n v="5360"/>
    <n v="3220"/>
    <n v="2140"/>
    <s v="Shamim Akter"/>
    <x v="5"/>
    <x v="3"/>
    <x v="23"/>
  </r>
  <r>
    <s v="ORD-00579"/>
    <x v="8"/>
    <s v="CUS-RAN-021"/>
    <s v="R07"/>
    <s v="ST-RAN-05"/>
    <x v="0"/>
    <s v="P001"/>
    <n v="6"/>
    <n v="0.15"/>
    <n v="22356"/>
    <n v="7"/>
    <x v="23"/>
    <s v="Bluetooth Speaker"/>
    <s v="Electronics"/>
    <n v="3240"/>
    <n v="2200"/>
    <n v="19440"/>
    <n v="13200"/>
    <n v="6240"/>
    <s v="Mim Sultana"/>
    <x v="0"/>
    <x v="0"/>
    <x v="39"/>
  </r>
  <r>
    <s v="ORD-00580"/>
    <x v="217"/>
    <s v="CUS-KHL-014"/>
    <s v="R05"/>
    <s v="ST-KHL-04"/>
    <x v="29"/>
    <s v="P003"/>
    <n v="2"/>
    <n v="0.08"/>
    <n v="6191"/>
    <n v="2"/>
    <x v="18"/>
    <s v="Power Bank"/>
    <s v="Electronics"/>
    <n v="2840"/>
    <n v="1930"/>
    <n v="5680"/>
    <n v="3860"/>
    <n v="1820"/>
    <s v="Imran Uddin"/>
    <x v="29"/>
    <x v="6"/>
    <x v="19"/>
  </r>
  <r>
    <s v="ORD-00581"/>
    <x v="282"/>
    <s v="CUS-SYL-025"/>
    <s v="R03"/>
    <s v="ST-SYL-01"/>
    <x v="38"/>
    <s v="P012"/>
    <n v="1"/>
    <n v="0.1"/>
    <n v="1947"/>
    <n v="1"/>
    <x v="13"/>
    <s v="Formal Shirt"/>
    <s v="Fashion"/>
    <n v="1820"/>
    <n v="1000"/>
    <n v="1820"/>
    <n v="1000"/>
    <n v="820"/>
    <s v="Tanvir Akter"/>
    <x v="38"/>
    <x v="3"/>
    <x v="25"/>
  </r>
  <r>
    <s v="ORD-00582"/>
    <x v="364"/>
    <s v="CUS-MYM-015"/>
    <s v="R08"/>
    <s v="ST-MYM-04"/>
    <x v="19"/>
    <s v="P009"/>
    <n v="2"/>
    <n v="0.15"/>
    <n v="9850"/>
    <n v="6"/>
    <x v="28"/>
    <s v="Steam Iron"/>
    <s v="Home Appliance"/>
    <n v="4560"/>
    <n v="3190"/>
    <n v="9120"/>
    <n v="6380"/>
    <n v="2740"/>
    <s v="Shaila Hossain"/>
    <x v="19"/>
    <x v="2"/>
    <x v="34"/>
  </r>
  <r>
    <s v="ORD-00583"/>
    <x v="298"/>
    <s v="CUS-DHA-006"/>
    <s v="R01"/>
    <s v="ST-DHA-04"/>
    <x v="28"/>
    <s v="P005"/>
    <n v="2"/>
    <n v="0.12"/>
    <n v="10367"/>
    <n v="3"/>
    <x v="21"/>
    <s v="USB-C Hub"/>
    <s v="Electronics"/>
    <n v="4890"/>
    <n v="3330"/>
    <n v="9780"/>
    <n v="6660"/>
    <n v="3120"/>
    <s v="Tania Hossain"/>
    <x v="28"/>
    <x v="4"/>
    <x v="35"/>
  </r>
  <r>
    <s v="ORD-00584"/>
    <x v="365"/>
    <s v="CUS-CTG-009"/>
    <s v="R02"/>
    <s v="ST-CTG-02"/>
    <x v="41"/>
    <s v="P003"/>
    <n v="1"/>
    <n v="0.1"/>
    <n v="3238"/>
    <n v="3"/>
    <x v="21"/>
    <s v="Power Bank"/>
    <s v="Electronics"/>
    <n v="2840"/>
    <n v="1930"/>
    <n v="2840"/>
    <n v="1930"/>
    <n v="910"/>
    <s v="Mim Hossain"/>
    <x v="41"/>
    <x v="7"/>
    <x v="22"/>
  </r>
  <r>
    <s v="ORD-00585"/>
    <x v="366"/>
    <s v="CUS-BAR-007"/>
    <s v="R06"/>
    <s v="ST-BAR-03"/>
    <x v="33"/>
    <s v="P006"/>
    <n v="1"/>
    <n v="0.18"/>
    <n v="8064"/>
    <n v="13"/>
    <x v="8"/>
    <s v="Electric Kettle"/>
    <s v="Home Appliance"/>
    <n v="7200"/>
    <n v="5040"/>
    <n v="7200"/>
    <n v="5040"/>
    <n v="2160"/>
    <s v="Mahmud Sultana"/>
    <x v="33"/>
    <x v="5"/>
    <x v="27"/>
  </r>
  <r>
    <s v="ORD-00586"/>
    <x v="61"/>
    <s v="CUS-KHL-001"/>
    <s v="R05"/>
    <s v="ST-KHL-03"/>
    <x v="16"/>
    <s v="P038"/>
    <n v="8"/>
    <n v="0"/>
    <n v="2965"/>
    <n v="3"/>
    <x v="10"/>
    <s v="Office File Set"/>
    <s v="Stationery"/>
    <n v="340"/>
    <n v="170"/>
    <n v="2720"/>
    <n v="1360"/>
    <n v="1360"/>
    <s v="Karim Mia"/>
    <x v="16"/>
    <x v="6"/>
    <x v="17"/>
  </r>
  <r>
    <s v="ORD-00587"/>
    <x v="367"/>
    <s v="CUS-MYM-021"/>
    <s v="R08"/>
    <s v="ST-MYM-05"/>
    <x v="11"/>
    <s v="P041"/>
    <n v="1"/>
    <n v="0.05"/>
    <n v="907"/>
    <n v="2"/>
    <x v="15"/>
    <s v="Building Blocks"/>
    <s v="Kids &amp; Toys"/>
    <n v="840"/>
    <n v="460"/>
    <n v="840"/>
    <n v="460"/>
    <n v="380"/>
    <s v="Tania Islam"/>
    <x v="11"/>
    <x v="2"/>
    <x v="28"/>
  </r>
  <r>
    <s v="ORD-00588"/>
    <x v="91"/>
    <s v="CUS-MYM-024"/>
    <s v="R08"/>
    <s v="ST-MYM-04"/>
    <x v="3"/>
    <s v="P036"/>
    <n v="5"/>
    <n v="0.05"/>
    <n v="2160"/>
    <n v="4"/>
    <x v="20"/>
    <s v="Notebook Pack"/>
    <s v="Stationery"/>
    <n v="400"/>
    <n v="200"/>
    <n v="2000"/>
    <n v="1000"/>
    <n v="1000"/>
    <s v="Farhana Islam"/>
    <x v="3"/>
    <x v="2"/>
    <x v="34"/>
  </r>
  <r>
    <s v="ORD-00589"/>
    <x v="368"/>
    <s v="CUS-RAN-007"/>
    <s v="R07"/>
    <s v="ST-RAN-04"/>
    <x v="4"/>
    <s v="P040"/>
    <n v="2"/>
    <n v="0.02"/>
    <n v="1748"/>
    <n v="5"/>
    <x v="3"/>
    <s v="Sticky Notes"/>
    <s v="Stationery"/>
    <n v="760"/>
    <n v="380"/>
    <n v="1520"/>
    <n v="760"/>
    <n v="760"/>
    <s v="Hasan Rahman"/>
    <x v="4"/>
    <x v="0"/>
    <x v="13"/>
  </r>
  <r>
    <s v="ORD-00590"/>
    <x v="369"/>
    <s v="CUS-MYM-022"/>
    <s v="R08"/>
    <s v="ST-MYM-03"/>
    <x v="3"/>
    <s v="P005"/>
    <n v="5"/>
    <n v="0.18"/>
    <n v="26406"/>
    <n v="7"/>
    <x v="23"/>
    <s v="USB-C Hub"/>
    <s v="Electronics"/>
    <n v="4890"/>
    <n v="3330"/>
    <n v="24450"/>
    <n v="16650"/>
    <n v="7800"/>
    <s v="Shamim Rahman"/>
    <x v="3"/>
    <x v="2"/>
    <x v="10"/>
  </r>
  <r>
    <s v="ORD-00591"/>
    <x v="166"/>
    <s v="CUS-KHL-011"/>
    <s v="R05"/>
    <s v="ST-KHL-05"/>
    <x v="45"/>
    <s v="P019"/>
    <n v="6"/>
    <n v="0.02"/>
    <n v="2878"/>
    <n v="9"/>
    <x v="22"/>
    <s v="Flour 2kg"/>
    <s v="Grocery"/>
    <n v="440"/>
    <n v="340"/>
    <n v="2640"/>
    <n v="2040"/>
    <n v="600"/>
    <s v="Rumana Islam"/>
    <x v="45"/>
    <x v="6"/>
    <x v="30"/>
  </r>
  <r>
    <s v="ORD-00592"/>
    <x v="192"/>
    <s v="CUS-RAN-013"/>
    <s v="R07"/>
    <s v="ST-RAN-02"/>
    <x v="4"/>
    <s v="P002"/>
    <n v="1"/>
    <n v="0.08"/>
    <n v="3841"/>
    <n v="5"/>
    <x v="29"/>
    <s v="Wireless Mouse"/>
    <s v="Electronics"/>
    <n v="3340"/>
    <n v="2270"/>
    <n v="3340"/>
    <n v="2270"/>
    <n v="1070"/>
    <s v="Arif Rahman"/>
    <x v="4"/>
    <x v="0"/>
    <x v="6"/>
  </r>
  <r>
    <s v="ORD-00593"/>
    <x v="22"/>
    <s v="CUS-BAR-019"/>
    <s v="R06"/>
    <s v="ST-BAR-04"/>
    <x v="10"/>
    <s v="P043"/>
    <n v="3"/>
    <n v="0.12"/>
    <n v="7392"/>
    <n v="6"/>
    <x v="28"/>
    <s v="Puzzle Board"/>
    <s v="Kids &amp; Toys"/>
    <n v="2200"/>
    <n v="1210"/>
    <n v="6600"/>
    <n v="3630"/>
    <n v="2970"/>
    <s v="Imran Chowdhury"/>
    <x v="10"/>
    <x v="5"/>
    <x v="12"/>
  </r>
  <r>
    <s v="ORD-00594"/>
    <x v="192"/>
    <s v="CUS-MYM-001"/>
    <s v="R08"/>
    <s v="ST-MYM-02"/>
    <x v="11"/>
    <s v="P002"/>
    <n v="2"/>
    <n v="0.1"/>
    <n v="7214"/>
    <n v="7"/>
    <x v="12"/>
    <s v="Wireless Mouse"/>
    <s v="Electronics"/>
    <n v="3340"/>
    <n v="2270"/>
    <n v="6680"/>
    <n v="4540"/>
    <n v="2140"/>
    <s v="Samiha Islam"/>
    <x v="11"/>
    <x v="2"/>
    <x v="20"/>
  </r>
  <r>
    <s v="ORD-00595"/>
    <x v="234"/>
    <s v="CUS-KHL-022"/>
    <s v="R05"/>
    <s v="ST-KHL-05"/>
    <x v="45"/>
    <s v="P012"/>
    <n v="3"/>
    <n v="0.05"/>
    <n v="5951"/>
    <n v="1"/>
    <x v="7"/>
    <s v="Formal Shirt"/>
    <s v="Fashion"/>
    <n v="1820"/>
    <n v="1000"/>
    <n v="5460"/>
    <n v="3000"/>
    <n v="2460"/>
    <s v="Samiha Sultana"/>
    <x v="45"/>
    <x v="6"/>
    <x v="30"/>
  </r>
  <r>
    <s v="ORD-00596"/>
    <x v="264"/>
    <s v="CUS-RAN-006"/>
    <s v="R07"/>
    <s v="ST-RAN-01"/>
    <x v="27"/>
    <s v="P017"/>
    <n v="4"/>
    <n v="0.05"/>
    <n v="1702"/>
    <n v="9"/>
    <x v="9"/>
    <s v="Soybean Oil 5L"/>
    <s v="Grocery"/>
    <n v="370"/>
    <n v="290"/>
    <n v="1480"/>
    <n v="1160"/>
    <n v="320"/>
    <s v="Karim Ahmed"/>
    <x v="27"/>
    <x v="0"/>
    <x v="0"/>
  </r>
  <r>
    <s v="ORD-00597"/>
    <x v="97"/>
    <s v="CUS-RAJ-005"/>
    <s v="R04"/>
    <s v="ST-RAJ-02"/>
    <x v="26"/>
    <s v="P011"/>
    <n v="1"/>
    <n v="0.12"/>
    <n v="2020"/>
    <n v="6"/>
    <x v="28"/>
    <s v="Cotton T-Shirt"/>
    <s v="Fashion"/>
    <n v="1870"/>
    <n v="1030"/>
    <n v="1870"/>
    <n v="1030"/>
    <n v="840"/>
    <s v="Tanjim Akter"/>
    <x v="26"/>
    <x v="1"/>
    <x v="2"/>
  </r>
  <r>
    <s v="ORD-00598"/>
    <x v="208"/>
    <s v="CUS-MYM-009"/>
    <s v="R08"/>
    <s v="ST-MYM-02"/>
    <x v="17"/>
    <s v="P050"/>
    <n v="2"/>
    <n v="0.12"/>
    <n v="12679"/>
    <n v="5"/>
    <x v="5"/>
    <s v="Bedside Table"/>
    <s v="Furniture"/>
    <n v="5870"/>
    <n v="4230"/>
    <n v="11740"/>
    <n v="8460"/>
    <n v="3280"/>
    <s v="Rasel Hossain"/>
    <x v="17"/>
    <x v="2"/>
    <x v="20"/>
  </r>
  <r>
    <s v="ORD-00599"/>
    <x v="324"/>
    <s v="CUS-RAJ-017"/>
    <s v="R04"/>
    <s v="ST-RAJ-03"/>
    <x v="40"/>
    <s v="P042"/>
    <n v="2"/>
    <n v="0.03"/>
    <n v="3931"/>
    <n v="3"/>
    <x v="10"/>
    <s v="Toy Car Set"/>
    <s v="Kids &amp; Toys"/>
    <n v="1820"/>
    <n v="1000"/>
    <n v="3640"/>
    <n v="2000"/>
    <n v="1640"/>
    <s v="Mim Chowdhury"/>
    <x v="40"/>
    <x v="1"/>
    <x v="18"/>
  </r>
  <r>
    <s v="ORD-00600"/>
    <x v="134"/>
    <s v="CUS-MYM-012"/>
    <s v="R08"/>
    <s v="ST-MYM-03"/>
    <x v="19"/>
    <s v="P023"/>
    <n v="2"/>
    <n v="0.05"/>
    <n v="2506"/>
    <n v="8"/>
    <x v="30"/>
    <s v="Body Lotion"/>
    <s v="Beauty &amp; Personal Care"/>
    <n v="1160"/>
    <n v="670"/>
    <n v="2320"/>
    <n v="1340"/>
    <n v="980"/>
    <s v="Nabila Khan"/>
    <x v="19"/>
    <x v="2"/>
    <x v="10"/>
  </r>
  <r>
    <s v="ORD-00601"/>
    <x v="73"/>
    <s v="CUS-RAN-015"/>
    <s v="R07"/>
    <s v="ST-RAN-04"/>
    <x v="0"/>
    <s v="P004"/>
    <n v="2"/>
    <n v="0.1"/>
    <n v="8901"/>
    <n v="7"/>
    <x v="12"/>
    <s v="Smart Watch"/>
    <s v="Electronics"/>
    <n v="3870"/>
    <n v="2630"/>
    <n v="7740"/>
    <n v="5260"/>
    <n v="2480"/>
    <s v="Shamim Uddin"/>
    <x v="0"/>
    <x v="0"/>
    <x v="13"/>
  </r>
  <r>
    <s v="ORD-00602"/>
    <x v="86"/>
    <s v="CUS-KHL-022"/>
    <s v="R05"/>
    <s v="ST-KHL-01"/>
    <x v="13"/>
    <s v="P031"/>
    <n v="6"/>
    <n v="0.1"/>
    <n v="17266"/>
    <n v="2"/>
    <x v="24"/>
    <s v="Cricket Bat"/>
    <s v="Sports"/>
    <n v="2640"/>
    <n v="1640"/>
    <n v="15840"/>
    <n v="9840"/>
    <n v="6000"/>
    <s v="Samiha Sultana"/>
    <x v="13"/>
    <x v="6"/>
    <x v="24"/>
  </r>
  <r>
    <s v="ORD-00603"/>
    <x v="346"/>
    <s v="CUS-CTG-012"/>
    <s v="R02"/>
    <s v="ST-CTG-01"/>
    <x v="41"/>
    <s v="P015"/>
    <n v="2"/>
    <n v="0.05"/>
    <n v="5974"/>
    <n v="5"/>
    <x v="19"/>
    <s v="Leather Belt"/>
    <s v="Fashion"/>
    <n v="2620"/>
    <n v="1440"/>
    <n v="5240"/>
    <n v="2880"/>
    <n v="2360"/>
    <s v="Jannat Islam"/>
    <x v="41"/>
    <x v="7"/>
    <x v="37"/>
  </r>
  <r>
    <s v="ORD-00604"/>
    <x v="3"/>
    <s v="CUS-MYM-001"/>
    <s v="R08"/>
    <s v="ST-MYM-01"/>
    <x v="43"/>
    <s v="P029"/>
    <n v="4"/>
    <n v="0.1"/>
    <n v="11578"/>
    <n v="6"/>
    <x v="16"/>
    <s v="Kids Sneaker"/>
    <s v="Footwear"/>
    <n v="2680"/>
    <n v="1610"/>
    <n v="10720"/>
    <n v="6440"/>
    <n v="4280"/>
    <s v="Samiha Islam"/>
    <x v="43"/>
    <x v="2"/>
    <x v="3"/>
  </r>
  <r>
    <s v="ORD-00605"/>
    <x v="160"/>
    <s v="CUS-RAJ-013"/>
    <s v="R04"/>
    <s v="ST-RAJ-01"/>
    <x v="1"/>
    <s v="P005"/>
    <n v="2"/>
    <n v="0.15"/>
    <n v="10562"/>
    <n v="3"/>
    <x v="17"/>
    <s v="USB-C Hub"/>
    <s v="Electronics"/>
    <n v="4890"/>
    <n v="3330"/>
    <n v="9780"/>
    <n v="6660"/>
    <n v="3120"/>
    <s v="Imran Khan"/>
    <x v="1"/>
    <x v="1"/>
    <x v="36"/>
  </r>
  <r>
    <s v="ORD-00606"/>
    <x v="370"/>
    <s v="CUS-RAJ-023"/>
    <s v="R04"/>
    <s v="ST-RAJ-04"/>
    <x v="46"/>
    <s v="P012"/>
    <n v="5"/>
    <n v="0.05"/>
    <n v="9828"/>
    <n v="4"/>
    <x v="20"/>
    <s v="Formal Shirt"/>
    <s v="Fashion"/>
    <n v="1820"/>
    <n v="1000"/>
    <n v="9100"/>
    <n v="5000"/>
    <n v="4100"/>
    <s v="Hasan Ahmed"/>
    <x v="46"/>
    <x v="1"/>
    <x v="1"/>
  </r>
  <r>
    <s v="ORD-00607"/>
    <x v="16"/>
    <s v="CUS-DHA-020"/>
    <s v="R01"/>
    <s v="ST-DHA-01"/>
    <x v="28"/>
    <s v="P006"/>
    <n v="1"/>
    <n v="0.08"/>
    <n v="7632"/>
    <n v="4"/>
    <x v="6"/>
    <s v="Electric Kettle"/>
    <s v="Home Appliance"/>
    <n v="7200"/>
    <n v="5040"/>
    <n v="7200"/>
    <n v="5040"/>
    <n v="2160"/>
    <s v="Tanjim Ahmed"/>
    <x v="28"/>
    <x v="4"/>
    <x v="29"/>
  </r>
  <r>
    <s v="ORD-00608"/>
    <x v="259"/>
    <s v="CUS-BAR-006"/>
    <s v="R06"/>
    <s v="ST-BAR-02"/>
    <x v="10"/>
    <s v="P001"/>
    <n v="2"/>
    <n v="0.08"/>
    <n v="7258"/>
    <n v="4"/>
    <x v="6"/>
    <s v="Bluetooth Speaker"/>
    <s v="Electronics"/>
    <n v="3240"/>
    <n v="2200"/>
    <n v="6480"/>
    <n v="4400"/>
    <n v="2080"/>
    <s v="Shamim Ahmed"/>
    <x v="10"/>
    <x v="5"/>
    <x v="11"/>
  </r>
  <r>
    <s v="ORD-00609"/>
    <x v="58"/>
    <s v="CUS-CTG-013"/>
    <s v="R02"/>
    <s v="ST-CTG-03"/>
    <x v="39"/>
    <s v="P001"/>
    <n v="1"/>
    <n v="0.15"/>
    <n v="3694"/>
    <n v="5"/>
    <x v="5"/>
    <s v="Bluetooth Speaker"/>
    <s v="Electronics"/>
    <n v="3240"/>
    <n v="2200"/>
    <n v="3240"/>
    <n v="2200"/>
    <n v="1040"/>
    <s v="Tanjim Akter"/>
    <x v="39"/>
    <x v="7"/>
    <x v="16"/>
  </r>
  <r>
    <s v="ORD-00610"/>
    <x v="294"/>
    <s v="CUS-BAR-008"/>
    <s v="R06"/>
    <s v="ST-BAR-02"/>
    <x v="47"/>
    <s v="P001"/>
    <n v="10"/>
    <n v="0.12"/>
    <n v="36288"/>
    <n v="1"/>
    <x v="1"/>
    <s v="Bluetooth Speaker"/>
    <s v="Electronics"/>
    <n v="3240"/>
    <n v="2200"/>
    <n v="32400"/>
    <n v="22000"/>
    <n v="10400"/>
    <s v="Rasel Chowdhury"/>
    <x v="47"/>
    <x v="5"/>
    <x v="11"/>
  </r>
  <r>
    <s v="ORD-00611"/>
    <x v="176"/>
    <s v="CUS-RAJ-022"/>
    <s v="R04"/>
    <s v="ST-RAJ-01"/>
    <x v="46"/>
    <s v="P048"/>
    <n v="6"/>
    <n v="0.05"/>
    <n v="34474"/>
    <n v="6"/>
    <x v="4"/>
    <s v="Shoe Rack"/>
    <s v="Furniture"/>
    <n v="5320"/>
    <n v="3830"/>
    <n v="31920"/>
    <n v="22980"/>
    <n v="8940"/>
    <s v="Mehedi Khan"/>
    <x v="46"/>
    <x v="1"/>
    <x v="36"/>
  </r>
  <r>
    <s v="ORD-00612"/>
    <x v="66"/>
    <s v="CUS-CTG-011"/>
    <s v="R02"/>
    <s v="ST-CTG-03"/>
    <x v="18"/>
    <s v="P024"/>
    <n v="6"/>
    <n v="0.1"/>
    <n v="9644"/>
    <n v="4"/>
    <x v="6"/>
    <s v="Toothpaste Twin Pack"/>
    <s v="Beauty &amp; Personal Care"/>
    <n v="1410"/>
    <n v="820"/>
    <n v="8460"/>
    <n v="4920"/>
    <n v="3540"/>
    <s v="Rasel Uddin"/>
    <x v="18"/>
    <x v="7"/>
    <x v="16"/>
  </r>
  <r>
    <s v="ORD-00613"/>
    <x v="174"/>
    <s v="CUS-RAN-004"/>
    <s v="R07"/>
    <s v="ST-RAN-02"/>
    <x v="27"/>
    <s v="P002"/>
    <n v="1"/>
    <n v="0.15"/>
    <n v="3841"/>
    <n v="6"/>
    <x v="28"/>
    <s v="Wireless Mouse"/>
    <s v="Electronics"/>
    <n v="3340"/>
    <n v="2270"/>
    <n v="3340"/>
    <n v="2270"/>
    <n v="1070"/>
    <s v="Sadia Sultana"/>
    <x v="27"/>
    <x v="0"/>
    <x v="6"/>
  </r>
  <r>
    <s v="ORD-00614"/>
    <x v="370"/>
    <s v="CUS-RAJ-015"/>
    <s v="R04"/>
    <s v="ST-RAJ-02"/>
    <x v="1"/>
    <s v="P026"/>
    <n v="3"/>
    <n v="7.0000000000000007E-2"/>
    <n v="11372"/>
    <n v="4"/>
    <x v="20"/>
    <s v="Running Shoe"/>
    <s v="Footwear"/>
    <n v="3510"/>
    <n v="2110"/>
    <n v="10530"/>
    <n v="6330"/>
    <n v="4200"/>
    <s v="Tania Mia"/>
    <x v="1"/>
    <x v="1"/>
    <x v="2"/>
  </r>
  <r>
    <s v="ORD-00615"/>
    <x v="255"/>
    <s v="CUS-DHA-003"/>
    <s v="R01"/>
    <s v="ST-DHA-02"/>
    <x v="6"/>
    <s v="P006"/>
    <n v="10"/>
    <n v="0.08"/>
    <n v="76320"/>
    <n v="3"/>
    <x v="25"/>
    <s v="Electric Kettle"/>
    <s v="Home Appliance"/>
    <n v="7200"/>
    <n v="5040"/>
    <n v="72000"/>
    <n v="50400"/>
    <n v="21600"/>
    <s v="Tania Chowdhury"/>
    <x v="6"/>
    <x v="4"/>
    <x v="8"/>
  </r>
  <r>
    <s v="ORD-00616"/>
    <x v="10"/>
    <s v="CUS-SYL-009"/>
    <s v="R03"/>
    <s v="ST-SYL-01"/>
    <x v="5"/>
    <s v="P007"/>
    <n v="3"/>
    <n v="0.1"/>
    <n v="23850"/>
    <n v="2"/>
    <x v="24"/>
    <s v="Rice Cooker"/>
    <s v="Home Appliance"/>
    <n v="7430"/>
    <n v="5200"/>
    <n v="22290"/>
    <n v="15600"/>
    <n v="6690"/>
    <s v="Imran Islam"/>
    <x v="5"/>
    <x v="3"/>
    <x v="25"/>
  </r>
  <r>
    <s v="ORD-00617"/>
    <x v="371"/>
    <s v="CUS-BAR-006"/>
    <s v="R06"/>
    <s v="ST-BAR-03"/>
    <x v="10"/>
    <s v="P013"/>
    <n v="3"/>
    <n v="0.1"/>
    <n v="6686"/>
    <n v="3"/>
    <x v="21"/>
    <s v="Women Kurti"/>
    <s v="Fashion"/>
    <n v="1990"/>
    <n v="1090"/>
    <n v="5970"/>
    <n v="3270"/>
    <n v="2700"/>
    <s v="Shamim Ahmed"/>
    <x v="10"/>
    <x v="5"/>
    <x v="27"/>
  </r>
  <r>
    <s v="ORD-00618"/>
    <x v="372"/>
    <s v="CUS-RAJ-017"/>
    <s v="R04"/>
    <s v="ST-RAJ-05"/>
    <x v="30"/>
    <s v="P050"/>
    <n v="1"/>
    <n v="0.03"/>
    <n v="6340"/>
    <n v="8"/>
    <x v="23"/>
    <s v="Bedside Table"/>
    <s v="Furniture"/>
    <n v="5870"/>
    <n v="4230"/>
    <n v="5870"/>
    <n v="4230"/>
    <n v="1640"/>
    <s v="Mim Chowdhury"/>
    <x v="30"/>
    <x v="1"/>
    <x v="38"/>
  </r>
  <r>
    <s v="ORD-00619"/>
    <x v="244"/>
    <s v="CUS-KHL-008"/>
    <s v="R05"/>
    <s v="ST-KHL-04"/>
    <x v="36"/>
    <s v="P023"/>
    <n v="2"/>
    <n v="7.0000000000000007E-2"/>
    <n v="2529"/>
    <n v="4"/>
    <x v="20"/>
    <s v="Body Lotion"/>
    <s v="Beauty &amp; Personal Care"/>
    <n v="1160"/>
    <n v="670"/>
    <n v="2320"/>
    <n v="1340"/>
    <n v="980"/>
    <s v="Jannat Rahman"/>
    <x v="36"/>
    <x v="6"/>
    <x v="19"/>
  </r>
  <r>
    <s v="ORD-00620"/>
    <x v="373"/>
    <s v="CUS-DHA-008"/>
    <s v="R01"/>
    <s v="ST-DHA-05"/>
    <x v="6"/>
    <s v="P032"/>
    <n v="2"/>
    <n v="0.03"/>
    <n v="7886"/>
    <n v="4"/>
    <x v="17"/>
    <s v="Football"/>
    <s v="Sports"/>
    <n v="3720"/>
    <n v="2310"/>
    <n v="7440"/>
    <n v="4620"/>
    <n v="2820"/>
    <s v="Karim Islam"/>
    <x v="6"/>
    <x v="4"/>
    <x v="15"/>
  </r>
  <r>
    <s v="ORD-00621"/>
    <x v="235"/>
    <s v="CUS-RAN-021"/>
    <s v="R07"/>
    <s v="ST-RAN-03"/>
    <x v="7"/>
    <s v="P005"/>
    <n v="2"/>
    <n v="0.18"/>
    <n v="11247"/>
    <n v="10"/>
    <x v="31"/>
    <s v="USB-C Hub"/>
    <s v="Electronics"/>
    <n v="4890"/>
    <n v="3330"/>
    <n v="9780"/>
    <n v="6660"/>
    <n v="3120"/>
    <s v="Mim Sultana"/>
    <x v="7"/>
    <x v="0"/>
    <x v="26"/>
  </r>
  <r>
    <s v="ORD-00622"/>
    <x v="84"/>
    <s v="CUS-RAJ-022"/>
    <s v="R04"/>
    <s v="ST-RAJ-02"/>
    <x v="40"/>
    <s v="P041"/>
    <n v="1"/>
    <n v="0.03"/>
    <n v="907"/>
    <n v="5"/>
    <x v="19"/>
    <s v="Building Blocks"/>
    <s v="Kids &amp; Toys"/>
    <n v="840"/>
    <n v="460"/>
    <n v="840"/>
    <n v="460"/>
    <n v="380"/>
    <s v="Mehedi Khan"/>
    <x v="40"/>
    <x v="1"/>
    <x v="2"/>
  </r>
  <r>
    <s v="ORD-00623"/>
    <x v="104"/>
    <s v="CUS-CTG-016"/>
    <s v="R02"/>
    <s v="ST-CTG-01"/>
    <x v="23"/>
    <s v="P001"/>
    <n v="6"/>
    <n v="0.1"/>
    <n v="22162"/>
    <n v="7"/>
    <x v="12"/>
    <s v="Bluetooth Speaker"/>
    <s v="Electronics"/>
    <n v="3240"/>
    <n v="2200"/>
    <n v="19440"/>
    <n v="13200"/>
    <n v="6240"/>
    <s v="Arif Ahmed"/>
    <x v="23"/>
    <x v="7"/>
    <x v="37"/>
  </r>
  <r>
    <s v="ORD-00624"/>
    <x v="157"/>
    <s v="CUS-RAJ-008"/>
    <s v="R04"/>
    <s v="ST-RAJ-05"/>
    <x v="1"/>
    <s v="P011"/>
    <n v="4"/>
    <n v="0.05"/>
    <n v="8078"/>
    <n v="5"/>
    <x v="19"/>
    <s v="Cotton T-Shirt"/>
    <s v="Fashion"/>
    <n v="1870"/>
    <n v="1030"/>
    <n v="7480"/>
    <n v="4120"/>
    <n v="3360"/>
    <s v="Farhana Mia"/>
    <x v="1"/>
    <x v="1"/>
    <x v="38"/>
  </r>
  <r>
    <s v="ORD-00625"/>
    <x v="88"/>
    <s v="CUS-RAJ-014"/>
    <s v="R04"/>
    <s v="ST-RAJ-02"/>
    <x v="40"/>
    <s v="P005"/>
    <n v="3"/>
    <n v="0.1"/>
    <n v="15844"/>
    <n v="4"/>
    <x v="6"/>
    <s v="USB-C Hub"/>
    <s v="Electronics"/>
    <n v="4890"/>
    <n v="3330"/>
    <n v="14670"/>
    <n v="9990"/>
    <n v="4680"/>
    <s v="Shuvo Sultana"/>
    <x v="40"/>
    <x v="1"/>
    <x v="2"/>
  </r>
  <r>
    <s v="ORD-00626"/>
    <x v="374"/>
    <s v="CUS-CTG-012"/>
    <s v="R02"/>
    <s v="ST-CTG-04"/>
    <x v="39"/>
    <s v="P004"/>
    <n v="4"/>
    <n v="0.15"/>
    <n v="17647"/>
    <n v="8"/>
    <x v="22"/>
    <s v="Smart Watch"/>
    <s v="Electronics"/>
    <n v="3870"/>
    <n v="2630"/>
    <n v="15480"/>
    <n v="10520"/>
    <n v="4960"/>
    <s v="Jannat Islam"/>
    <x v="39"/>
    <x v="7"/>
    <x v="33"/>
  </r>
  <r>
    <s v="ORD-00627"/>
    <x v="155"/>
    <s v="CUS-SYL-016"/>
    <s v="R03"/>
    <s v="ST-SYL-01"/>
    <x v="32"/>
    <s v="P011"/>
    <n v="5"/>
    <n v="0.12"/>
    <n v="10004"/>
    <n v="1"/>
    <x v="1"/>
    <s v="Cotton T-Shirt"/>
    <s v="Fashion"/>
    <n v="1870"/>
    <n v="1030"/>
    <n v="9350"/>
    <n v="5150"/>
    <n v="4200"/>
    <s v="Hasan Akter"/>
    <x v="32"/>
    <x v="3"/>
    <x v="25"/>
  </r>
  <r>
    <s v="ORD-00628"/>
    <x v="156"/>
    <s v="CUS-SYL-009"/>
    <s v="R03"/>
    <s v="ST-SYL-04"/>
    <x v="32"/>
    <s v="P007"/>
    <n v="2"/>
    <n v="0.18"/>
    <n v="15900"/>
    <n v="4"/>
    <x v="19"/>
    <s v="Rice Cooker"/>
    <s v="Home Appliance"/>
    <n v="7430"/>
    <n v="5200"/>
    <n v="14860"/>
    <n v="10400"/>
    <n v="4460"/>
    <s v="Imran Islam"/>
    <x v="32"/>
    <x v="3"/>
    <x v="21"/>
  </r>
  <r>
    <s v="ORD-00629"/>
    <x v="375"/>
    <s v="CUS-MYM-003"/>
    <s v="R08"/>
    <s v="ST-MYM-03"/>
    <x v="11"/>
    <s v="P030"/>
    <n v="1"/>
    <n v="0.05"/>
    <n v="2020"/>
    <n v="8"/>
    <x v="30"/>
    <s v="Casual Loafer"/>
    <s v="Footwear"/>
    <n v="1870"/>
    <n v="1120"/>
    <n v="1870"/>
    <n v="1120"/>
    <n v="750"/>
    <s v="Rahim Khan"/>
    <x v="11"/>
    <x v="2"/>
    <x v="10"/>
  </r>
  <r>
    <s v="ORD-00630"/>
    <x v="376"/>
    <s v="CUS-BAR-016"/>
    <s v="R06"/>
    <s v="ST-BAR-04"/>
    <x v="22"/>
    <s v="P046"/>
    <n v="2"/>
    <n v="7.0000000000000007E-2"/>
    <n v="9811"/>
    <n v="7"/>
    <x v="2"/>
    <s v="Office Chair"/>
    <s v="Furniture"/>
    <n v="4380"/>
    <n v="3150"/>
    <n v="8760"/>
    <n v="6300"/>
    <n v="2460"/>
    <s v="Sajib Islam"/>
    <x v="22"/>
    <x v="5"/>
    <x v="12"/>
  </r>
  <r>
    <s v="ORD-00631"/>
    <x v="207"/>
    <s v="CUS-CTG-014"/>
    <s v="R02"/>
    <s v="ST-CTG-01"/>
    <x v="41"/>
    <s v="P009"/>
    <n v="1"/>
    <n v="0.15"/>
    <n v="5198"/>
    <n v="10"/>
    <x v="35"/>
    <s v="Steam Iron"/>
    <s v="Home Appliance"/>
    <n v="4560"/>
    <n v="3190"/>
    <n v="4560"/>
    <n v="3190"/>
    <n v="1370"/>
    <s v="Ayesha Sultana"/>
    <x v="41"/>
    <x v="7"/>
    <x v="37"/>
  </r>
  <r>
    <s v="ORD-00632"/>
    <x v="377"/>
    <s v="CUS-BAR-017"/>
    <s v="R06"/>
    <s v="ST-BAR-04"/>
    <x v="10"/>
    <s v="P028"/>
    <n v="4"/>
    <n v="0.05"/>
    <n v="14426"/>
    <n v="4"/>
    <x v="20"/>
    <s v="Ladies Sandal"/>
    <s v="Footwear"/>
    <n v="3220"/>
    <n v="1930"/>
    <n v="12880"/>
    <n v="7720"/>
    <n v="5160"/>
    <s v="Shuvo Chowdhury"/>
    <x v="10"/>
    <x v="5"/>
    <x v="12"/>
  </r>
  <r>
    <s v="ORD-00633"/>
    <x v="294"/>
    <s v="CUS-RAJ-016"/>
    <s v="R04"/>
    <s v="ST-RAJ-01"/>
    <x v="26"/>
    <s v="P024"/>
    <n v="4"/>
    <n v="0.05"/>
    <n v="6091"/>
    <n v="4"/>
    <x v="20"/>
    <s v="Toothpaste Twin Pack"/>
    <s v="Beauty &amp; Personal Care"/>
    <n v="1410"/>
    <n v="820"/>
    <n v="5640"/>
    <n v="3280"/>
    <n v="2360"/>
    <s v="Hasan Rahman"/>
    <x v="26"/>
    <x v="1"/>
    <x v="36"/>
  </r>
  <r>
    <s v="ORD-00634"/>
    <x v="326"/>
    <s v="CUS-SYL-009"/>
    <s v="R03"/>
    <s v="ST-SYL-02"/>
    <x v="5"/>
    <s v="P020"/>
    <n v="1"/>
    <n v="0"/>
    <n v="2290"/>
    <n v="5"/>
    <x v="3"/>
    <s v="Tea Pack 500g"/>
    <s v="Grocery"/>
    <n v="2140"/>
    <n v="1670"/>
    <n v="2140"/>
    <n v="1670"/>
    <n v="470"/>
    <s v="Imran Islam"/>
    <x v="5"/>
    <x v="3"/>
    <x v="32"/>
  </r>
  <r>
    <s v="ORD-00635"/>
    <x v="312"/>
    <s v="CUS-RAN-013"/>
    <s v="R07"/>
    <s v="ST-RAN-05"/>
    <x v="7"/>
    <s v="P016"/>
    <n v="5"/>
    <n v="0.02"/>
    <n v="6382"/>
    <n v="7"/>
    <x v="11"/>
    <s v="Premium Rice 5kg"/>
    <s v="Grocery"/>
    <n v="1110"/>
    <n v="870"/>
    <n v="5550"/>
    <n v="4350"/>
    <n v="1200"/>
    <s v="Arif Rahman"/>
    <x v="7"/>
    <x v="0"/>
    <x v="39"/>
  </r>
  <r>
    <s v="ORD-00636"/>
    <x v="378"/>
    <s v="CUS-KHL-017"/>
    <s v="R05"/>
    <s v="ST-KHL-05"/>
    <x v="13"/>
    <s v="P042"/>
    <n v="4"/>
    <n v="0.03"/>
    <n v="7935"/>
    <n v="2"/>
    <x v="15"/>
    <s v="Toy Car Set"/>
    <s v="Kids &amp; Toys"/>
    <n v="1820"/>
    <n v="1000"/>
    <n v="7280"/>
    <n v="4000"/>
    <n v="3280"/>
    <s v="Sajib Rahman"/>
    <x v="13"/>
    <x v="6"/>
    <x v="30"/>
  </r>
  <r>
    <s v="ORD-00637"/>
    <x v="28"/>
    <s v="CUS-CTG-021"/>
    <s v="R02"/>
    <s v="ST-CTG-05"/>
    <x v="15"/>
    <s v="P037"/>
    <n v="4"/>
    <n v="0.05"/>
    <n v="1550"/>
    <n v="5"/>
    <x v="19"/>
    <s v="Ball Pen Box"/>
    <s v="Stationery"/>
    <n v="340"/>
    <n v="170"/>
    <n v="1360"/>
    <n v="680"/>
    <n v="680"/>
    <s v="Mahmud Islam"/>
    <x v="15"/>
    <x v="7"/>
    <x v="31"/>
  </r>
  <r>
    <s v="ORD-00638"/>
    <x v="379"/>
    <s v="CUS-SYL-016"/>
    <s v="R03"/>
    <s v="ST-SYL-01"/>
    <x v="34"/>
    <s v="P002"/>
    <n v="5"/>
    <n v="0.12"/>
    <n v="17869"/>
    <n v="3"/>
    <x v="21"/>
    <s v="Wireless Mouse"/>
    <s v="Electronics"/>
    <n v="3340"/>
    <n v="2270"/>
    <n v="16700"/>
    <n v="11350"/>
    <n v="5350"/>
    <s v="Hasan Akter"/>
    <x v="34"/>
    <x v="3"/>
    <x v="25"/>
  </r>
  <r>
    <s v="ORD-00639"/>
    <x v="119"/>
    <s v="CUS-RAN-006"/>
    <s v="R07"/>
    <s v="ST-RAN-02"/>
    <x v="42"/>
    <s v="P004"/>
    <n v="1"/>
    <n v="0.1"/>
    <n v="4450"/>
    <n v="5"/>
    <x v="29"/>
    <s v="Smart Watch"/>
    <s v="Electronics"/>
    <n v="3870"/>
    <n v="2630"/>
    <n v="3870"/>
    <n v="2630"/>
    <n v="1240"/>
    <s v="Karim Ahmed"/>
    <x v="42"/>
    <x v="0"/>
    <x v="6"/>
  </r>
  <r>
    <s v="ORD-00640"/>
    <x v="177"/>
    <s v="CUS-RAJ-006"/>
    <s v="R04"/>
    <s v="ST-RAJ-02"/>
    <x v="1"/>
    <s v="P032"/>
    <n v="2"/>
    <n v="0.1"/>
    <n v="8035"/>
    <n v="4"/>
    <x v="6"/>
    <s v="Football"/>
    <s v="Sports"/>
    <n v="3720"/>
    <n v="2310"/>
    <n v="7440"/>
    <n v="4620"/>
    <n v="2820"/>
    <s v="Samiha Ahmed"/>
    <x v="1"/>
    <x v="1"/>
    <x v="2"/>
  </r>
  <r>
    <s v="ORD-00641"/>
    <x v="380"/>
    <s v="CUS-MYM-021"/>
    <s v="R08"/>
    <s v="ST-MYM-05"/>
    <x v="17"/>
    <s v="P041"/>
    <n v="1"/>
    <n v="0.03"/>
    <n v="907"/>
    <n v="3"/>
    <x v="10"/>
    <s v="Building Blocks"/>
    <s v="Kids &amp; Toys"/>
    <n v="840"/>
    <n v="460"/>
    <n v="840"/>
    <n v="460"/>
    <n v="380"/>
    <s v="Tania Islam"/>
    <x v="17"/>
    <x v="2"/>
    <x v="28"/>
  </r>
  <r>
    <s v="ORD-00642"/>
    <x v="359"/>
    <s v="CUS-BAR-001"/>
    <s v="R06"/>
    <s v="ST-BAR-05"/>
    <x v="8"/>
    <s v="P013"/>
    <n v="2"/>
    <n v="0.03"/>
    <n v="4458"/>
    <n v="6"/>
    <x v="4"/>
    <s v="Women Kurti"/>
    <s v="Fashion"/>
    <n v="1990"/>
    <n v="1090"/>
    <n v="3980"/>
    <n v="2180"/>
    <n v="1800"/>
    <s v="Shuvo Sultana"/>
    <x v="8"/>
    <x v="5"/>
    <x v="7"/>
  </r>
  <r>
    <s v="ORD-00643"/>
    <x v="277"/>
    <s v="CUS-DHA-004"/>
    <s v="R01"/>
    <s v="ST-DHA-02"/>
    <x v="9"/>
    <s v="P036"/>
    <n v="3"/>
    <n v="0.03"/>
    <n v="1272"/>
    <n v="4"/>
    <x v="17"/>
    <s v="Notebook Pack"/>
    <s v="Stationery"/>
    <n v="400"/>
    <n v="200"/>
    <n v="1200"/>
    <n v="600"/>
    <n v="600"/>
    <s v="Mahmud Ahmed"/>
    <x v="9"/>
    <x v="4"/>
    <x v="8"/>
  </r>
  <r>
    <s v="ORD-00644"/>
    <x v="85"/>
    <s v="CUS-BAR-020"/>
    <s v="R06"/>
    <s v="ST-BAR-04"/>
    <x v="33"/>
    <s v="P009"/>
    <n v="10"/>
    <n v="0.12"/>
    <n v="51072"/>
    <n v="6"/>
    <x v="28"/>
    <s v="Steam Iron"/>
    <s v="Home Appliance"/>
    <n v="4560"/>
    <n v="3190"/>
    <n v="45600"/>
    <n v="31900"/>
    <n v="13700"/>
    <s v="Rumana Akter"/>
    <x v="33"/>
    <x v="5"/>
    <x v="12"/>
  </r>
  <r>
    <s v="ORD-00645"/>
    <x v="75"/>
    <s v="CUS-RAN-013"/>
    <s v="R07"/>
    <s v="ST-RAN-05"/>
    <x v="7"/>
    <s v="P049"/>
    <n v="5"/>
    <n v="0.1"/>
    <n v="24322"/>
    <n v="9"/>
    <x v="32"/>
    <s v="Bookshelf"/>
    <s v="Furniture"/>
    <n v="4230"/>
    <n v="3050"/>
    <n v="21150"/>
    <n v="15250"/>
    <n v="5900"/>
    <s v="Arif Rahman"/>
    <x v="7"/>
    <x v="0"/>
    <x v="39"/>
  </r>
  <r>
    <s v="ORD-00646"/>
    <x v="361"/>
    <s v="CUS-SYL-001"/>
    <s v="R03"/>
    <s v="ST-SYL-05"/>
    <x v="34"/>
    <s v="P041"/>
    <n v="8"/>
    <n v="0.05"/>
    <n v="7190"/>
    <n v="2"/>
    <x v="15"/>
    <s v="Building Blocks"/>
    <s v="Kids &amp; Toys"/>
    <n v="840"/>
    <n v="460"/>
    <n v="6720"/>
    <n v="3680"/>
    <n v="3040"/>
    <s v="Karim Khan"/>
    <x v="34"/>
    <x v="3"/>
    <x v="4"/>
  </r>
  <r>
    <s v="ORD-00647"/>
    <x v="97"/>
    <s v="CUS-BAR-015"/>
    <s v="R06"/>
    <s v="ST-BAR-05"/>
    <x v="10"/>
    <s v="P026"/>
    <n v="3"/>
    <n v="0.05"/>
    <n v="11794"/>
    <n v="8"/>
    <x v="30"/>
    <s v="Running Shoe"/>
    <s v="Footwear"/>
    <n v="3510"/>
    <n v="2110"/>
    <n v="10530"/>
    <n v="6330"/>
    <n v="4200"/>
    <s v="Ayesha Ahmed"/>
    <x v="10"/>
    <x v="5"/>
    <x v="7"/>
  </r>
  <r>
    <s v="ORD-00648"/>
    <x v="346"/>
    <s v="CUS-BAR-001"/>
    <s v="R06"/>
    <s v="ST-BAR-03"/>
    <x v="47"/>
    <s v="P048"/>
    <n v="3"/>
    <n v="0.05"/>
    <n v="17875"/>
    <n v="7"/>
    <x v="11"/>
    <s v="Shoe Rack"/>
    <s v="Furniture"/>
    <n v="5320"/>
    <n v="3830"/>
    <n v="15960"/>
    <n v="11490"/>
    <n v="4470"/>
    <s v="Shuvo Sultana"/>
    <x v="47"/>
    <x v="5"/>
    <x v="27"/>
  </r>
  <r>
    <s v="ORD-00649"/>
    <x v="280"/>
    <s v="CUS-MYM-013"/>
    <s v="R08"/>
    <s v="ST-MYM-05"/>
    <x v="17"/>
    <s v="P008"/>
    <n v="10"/>
    <n v="0.08"/>
    <n v="26244"/>
    <n v="6"/>
    <x v="16"/>
    <s v="Blender Machine"/>
    <s v="Home Appliance"/>
    <n v="2430"/>
    <n v="1700"/>
    <n v="24300"/>
    <n v="17000"/>
    <n v="7300"/>
    <s v="Jannat Hossain"/>
    <x v="17"/>
    <x v="2"/>
    <x v="28"/>
  </r>
  <r>
    <s v="ORD-00650"/>
    <x v="82"/>
    <s v="CUS-RAJ-023"/>
    <s v="R04"/>
    <s v="ST-RAJ-02"/>
    <x v="40"/>
    <s v="P042"/>
    <n v="1"/>
    <n v="0.1"/>
    <n v="1966"/>
    <n v="3"/>
    <x v="21"/>
    <s v="Toy Car Set"/>
    <s v="Kids &amp; Toys"/>
    <n v="1820"/>
    <n v="1000"/>
    <n v="1820"/>
    <n v="1000"/>
    <n v="820"/>
    <s v="Hasan Ahmed"/>
    <x v="40"/>
    <x v="1"/>
    <x v="2"/>
  </r>
  <r>
    <s v="ORD-00651"/>
    <x v="208"/>
    <s v="CUS-CTG-010"/>
    <s v="R02"/>
    <s v="ST-CTG-05"/>
    <x v="39"/>
    <s v="P004"/>
    <n v="9"/>
    <n v="0.18"/>
    <n v="39706"/>
    <n v="5"/>
    <x v="4"/>
    <s v="Smart Watch"/>
    <s v="Electronics"/>
    <n v="3870"/>
    <n v="2630"/>
    <n v="34830"/>
    <n v="23670"/>
    <n v="11160"/>
    <s v="Jannat Ahmed"/>
    <x v="39"/>
    <x v="7"/>
    <x v="31"/>
  </r>
  <r>
    <s v="ORD-00652"/>
    <x v="267"/>
    <s v="CUS-CTG-004"/>
    <s v="R02"/>
    <s v="ST-CTG-04"/>
    <x v="37"/>
    <s v="P001"/>
    <n v="7"/>
    <n v="0.1"/>
    <n v="25855"/>
    <n v="6"/>
    <x v="16"/>
    <s v="Bluetooth Speaker"/>
    <s v="Electronics"/>
    <n v="3240"/>
    <n v="2200"/>
    <n v="22680"/>
    <n v="15400"/>
    <n v="7280"/>
    <s v="Shaila Mia"/>
    <x v="37"/>
    <x v="7"/>
    <x v="33"/>
  </r>
  <r>
    <s v="ORD-00653"/>
    <x v="160"/>
    <s v="CUS-KHL-022"/>
    <s v="R05"/>
    <s v="ST-KHL-04"/>
    <x v="13"/>
    <s v="P003"/>
    <n v="6"/>
    <n v="0.15"/>
    <n v="18574"/>
    <n v="5"/>
    <x v="5"/>
    <s v="Power Bank"/>
    <s v="Electronics"/>
    <n v="2840"/>
    <n v="1930"/>
    <n v="17040"/>
    <n v="11580"/>
    <n v="5460"/>
    <s v="Samiha Sultana"/>
    <x v="13"/>
    <x v="6"/>
    <x v="19"/>
  </r>
  <r>
    <s v="ORD-00654"/>
    <x v="139"/>
    <s v="CUS-RAJ-019"/>
    <s v="R04"/>
    <s v="ST-RAJ-05"/>
    <x v="1"/>
    <s v="P025"/>
    <n v="6"/>
    <n v="0.1"/>
    <n v="8165"/>
    <n v="5"/>
    <x v="29"/>
    <s v="Perfume Spray"/>
    <s v="Beauty &amp; Personal Care"/>
    <n v="1260"/>
    <n v="730"/>
    <n v="7560"/>
    <n v="4380"/>
    <n v="3180"/>
    <s v="Shuvo Khan"/>
    <x v="1"/>
    <x v="1"/>
    <x v="38"/>
  </r>
  <r>
    <s v="ORD-00655"/>
    <x v="25"/>
    <s v="CUS-RAN-008"/>
    <s v="R07"/>
    <s v="ST-RAN-02"/>
    <x v="42"/>
    <s v="P003"/>
    <n v="2"/>
    <n v="0.18"/>
    <n v="6532"/>
    <n v="9"/>
    <x v="14"/>
    <s v="Power Bank"/>
    <s v="Electronics"/>
    <n v="2840"/>
    <n v="1930"/>
    <n v="5680"/>
    <n v="3860"/>
    <n v="1820"/>
    <s v="Imran Mia"/>
    <x v="42"/>
    <x v="0"/>
    <x v="6"/>
  </r>
  <r>
    <s v="ORD-00656"/>
    <x v="204"/>
    <s v="CUS-CTG-019"/>
    <s v="R02"/>
    <s v="ST-CTG-03"/>
    <x v="23"/>
    <s v="P040"/>
    <n v="3"/>
    <n v="0"/>
    <n v="2599"/>
    <n v="4"/>
    <x v="17"/>
    <s v="Sticky Notes"/>
    <s v="Stationery"/>
    <n v="760"/>
    <n v="380"/>
    <n v="2280"/>
    <n v="1140"/>
    <n v="1140"/>
    <s v="Tanjim Rahman"/>
    <x v="23"/>
    <x v="7"/>
    <x v="16"/>
  </r>
  <r>
    <s v="ORD-00657"/>
    <x v="10"/>
    <s v="CUS-KHL-002"/>
    <s v="R05"/>
    <s v="ST-KHL-05"/>
    <x v="29"/>
    <s v="P004"/>
    <n v="8"/>
    <n v="0.12"/>
    <n v="33746"/>
    <n v="3"/>
    <x v="21"/>
    <s v="Smart Watch"/>
    <s v="Electronics"/>
    <n v="3870"/>
    <n v="2630"/>
    <n v="30960"/>
    <n v="21040"/>
    <n v="9920"/>
    <s v="Tamanna Islam"/>
    <x v="29"/>
    <x v="6"/>
    <x v="30"/>
  </r>
  <r>
    <s v="ORD-00658"/>
    <x v="30"/>
    <s v="CUS-SYL-017"/>
    <s v="R03"/>
    <s v="ST-SYL-05"/>
    <x v="5"/>
    <s v="P004"/>
    <n v="1"/>
    <n v="0.15"/>
    <n v="4141"/>
    <n v="1"/>
    <x v="1"/>
    <s v="Smart Watch"/>
    <s v="Electronics"/>
    <n v="3870"/>
    <n v="2630"/>
    <n v="3870"/>
    <n v="2630"/>
    <n v="1240"/>
    <s v="Tania Sultana"/>
    <x v="5"/>
    <x v="3"/>
    <x v="4"/>
  </r>
  <r>
    <s v="ORD-00659"/>
    <x v="269"/>
    <s v="CUS-BAR-005"/>
    <s v="R06"/>
    <s v="ST-BAR-03"/>
    <x v="8"/>
    <s v="P014"/>
    <n v="2"/>
    <n v="0.05"/>
    <n v="1971"/>
    <n v="5"/>
    <x v="19"/>
    <s v="Denim Jeans"/>
    <s v="Fashion"/>
    <n v="880"/>
    <n v="480"/>
    <n v="1760"/>
    <n v="960"/>
    <n v="800"/>
    <s v="Rahim Sultana"/>
    <x v="8"/>
    <x v="5"/>
    <x v="27"/>
  </r>
  <r>
    <s v="ORD-00660"/>
    <x v="41"/>
    <s v="CUS-DHA-020"/>
    <s v="R01"/>
    <s v="ST-DHA-03"/>
    <x v="14"/>
    <s v="P015"/>
    <n v="2"/>
    <n v="0.12"/>
    <n v="5554"/>
    <n v="1"/>
    <x v="1"/>
    <s v="Leather Belt"/>
    <s v="Fashion"/>
    <n v="2620"/>
    <n v="1440"/>
    <n v="5240"/>
    <n v="2880"/>
    <n v="2360"/>
    <s v="Tanjim Ahmed"/>
    <x v="14"/>
    <x v="4"/>
    <x v="5"/>
  </r>
  <r>
    <s v="ORD-00661"/>
    <x v="381"/>
    <s v="CUS-MYM-021"/>
    <s v="R08"/>
    <s v="ST-MYM-02"/>
    <x v="19"/>
    <s v="P006"/>
    <n v="1"/>
    <n v="0.12"/>
    <n v="7776"/>
    <n v="8"/>
    <x v="27"/>
    <s v="Electric Kettle"/>
    <s v="Home Appliance"/>
    <n v="7200"/>
    <n v="5040"/>
    <n v="7200"/>
    <n v="5040"/>
    <n v="2160"/>
    <s v="Tania Islam"/>
    <x v="19"/>
    <x v="2"/>
    <x v="20"/>
  </r>
  <r>
    <s v="ORD-00662"/>
    <x v="382"/>
    <s v="CUS-RAJ-023"/>
    <s v="R04"/>
    <s v="ST-RAJ-01"/>
    <x v="46"/>
    <s v="P040"/>
    <n v="2"/>
    <n v="0.02"/>
    <n v="1642"/>
    <n v="6"/>
    <x v="4"/>
    <s v="Sticky Notes"/>
    <s v="Stationery"/>
    <n v="760"/>
    <n v="380"/>
    <n v="1520"/>
    <n v="760"/>
    <n v="760"/>
    <s v="Hasan Ahmed"/>
    <x v="46"/>
    <x v="1"/>
    <x v="36"/>
  </r>
  <r>
    <s v="ORD-00663"/>
    <x v="79"/>
    <s v="CUS-DHA-018"/>
    <s v="R01"/>
    <s v="ST-DHA-04"/>
    <x v="14"/>
    <s v="P011"/>
    <n v="11"/>
    <n v="0.1"/>
    <n v="21804"/>
    <n v="5"/>
    <x v="29"/>
    <s v="Cotton T-Shirt"/>
    <s v="Fashion"/>
    <n v="1870"/>
    <n v="1030"/>
    <n v="20570"/>
    <n v="11330"/>
    <n v="9240"/>
    <s v="Rafi Khan"/>
    <x v="14"/>
    <x v="4"/>
    <x v="35"/>
  </r>
  <r>
    <s v="ORD-00664"/>
    <x v="229"/>
    <s v="CUS-KHL-023"/>
    <s v="R05"/>
    <s v="ST-KHL-02"/>
    <x v="13"/>
    <s v="P040"/>
    <n v="1"/>
    <n v="0.03"/>
    <n v="828"/>
    <n v="4"/>
    <x v="17"/>
    <s v="Sticky Notes"/>
    <s v="Stationery"/>
    <n v="760"/>
    <n v="380"/>
    <n v="760"/>
    <n v="380"/>
    <n v="380"/>
    <s v="Ayesha Ahmed"/>
    <x v="13"/>
    <x v="6"/>
    <x v="14"/>
  </r>
  <r>
    <s v="ORD-00665"/>
    <x v="252"/>
    <s v="CUS-DHA-023"/>
    <s v="R01"/>
    <s v="ST-DHA-03"/>
    <x v="6"/>
    <s v="P026"/>
    <n v="2"/>
    <n v="0.1"/>
    <n v="7441"/>
    <n v="2"/>
    <x v="24"/>
    <s v="Running Shoe"/>
    <s v="Footwear"/>
    <n v="3510"/>
    <n v="2110"/>
    <n v="7020"/>
    <n v="4220"/>
    <n v="2800"/>
    <s v="Nayeem Uddin"/>
    <x v="6"/>
    <x v="4"/>
    <x v="5"/>
  </r>
  <r>
    <s v="ORD-00666"/>
    <x v="331"/>
    <s v="CUS-RAJ-024"/>
    <s v="R04"/>
    <s v="ST-RAJ-02"/>
    <x v="30"/>
    <s v="P025"/>
    <n v="4"/>
    <n v="0.12"/>
    <n v="5443"/>
    <n v="5"/>
    <x v="5"/>
    <s v="Perfume Spray"/>
    <s v="Beauty &amp; Personal Care"/>
    <n v="1260"/>
    <n v="730"/>
    <n v="5040"/>
    <n v="2920"/>
    <n v="2120"/>
    <s v="Mahmud Uddin"/>
    <x v="30"/>
    <x v="1"/>
    <x v="2"/>
  </r>
  <r>
    <s v="ORD-00667"/>
    <x v="275"/>
    <s v="CUS-CTG-022"/>
    <s v="R02"/>
    <s v="ST-CTG-02"/>
    <x v="39"/>
    <s v="P047"/>
    <n v="3"/>
    <n v="0.03"/>
    <n v="39946"/>
    <n v="11"/>
    <x v="31"/>
    <s v="Study Table"/>
    <s v="Furniture"/>
    <n v="11680"/>
    <n v="8410"/>
    <n v="35040"/>
    <n v="25230"/>
    <n v="9810"/>
    <s v="Sadia Sultana"/>
    <x v="39"/>
    <x v="7"/>
    <x v="22"/>
  </r>
  <r>
    <s v="ORD-00668"/>
    <x v="170"/>
    <s v="CUS-SYL-002"/>
    <s v="R03"/>
    <s v="ST-SYL-01"/>
    <x v="5"/>
    <s v="P025"/>
    <n v="10"/>
    <n v="0.1"/>
    <n v="13482"/>
    <n v="6"/>
    <x v="16"/>
    <s v="Perfume Spray"/>
    <s v="Beauty &amp; Personal Care"/>
    <n v="1260"/>
    <n v="730"/>
    <n v="12600"/>
    <n v="7300"/>
    <n v="5300"/>
    <s v="Rafi Hossain"/>
    <x v="5"/>
    <x v="3"/>
    <x v="25"/>
  </r>
  <r>
    <s v="ORD-00669"/>
    <x v="14"/>
    <s v="CUS-RAJ-002"/>
    <s v="R04"/>
    <s v="ST-RAJ-01"/>
    <x v="46"/>
    <s v="P010"/>
    <n v="4"/>
    <n v="0.1"/>
    <n v="13435"/>
    <n v="5"/>
    <x v="29"/>
    <s v="Table Fan"/>
    <s v="Home Appliance"/>
    <n v="3110"/>
    <n v="2180"/>
    <n v="12440"/>
    <n v="8720"/>
    <n v="3720"/>
    <s v="Mehedi Hossain"/>
    <x v="46"/>
    <x v="1"/>
    <x v="36"/>
  </r>
  <r>
    <s v="ORD-00670"/>
    <x v="257"/>
    <s v="CUS-CTG-025"/>
    <s v="R02"/>
    <s v="ST-CTG-04"/>
    <x v="37"/>
    <s v="P009"/>
    <n v="2"/>
    <n v="0.08"/>
    <n v="10397"/>
    <n v="6"/>
    <x v="16"/>
    <s v="Steam Iron"/>
    <s v="Home Appliance"/>
    <n v="4560"/>
    <n v="3190"/>
    <n v="9120"/>
    <n v="6380"/>
    <n v="2740"/>
    <s v="Sadia Chowdhury"/>
    <x v="37"/>
    <x v="7"/>
    <x v="33"/>
  </r>
  <r>
    <s v="ORD-00671"/>
    <x v="383"/>
    <s v="CUS-CTG-004"/>
    <s v="R02"/>
    <s v="ST-CTG-04"/>
    <x v="37"/>
    <s v="P027"/>
    <n v="1"/>
    <n v="0.12"/>
    <n v="1379"/>
    <n v="3"/>
    <x v="21"/>
    <s v="Formal Shoe"/>
    <s v="Footwear"/>
    <n v="1210"/>
    <n v="730"/>
    <n v="1210"/>
    <n v="730"/>
    <n v="480"/>
    <s v="Shaila Mia"/>
    <x v="37"/>
    <x v="7"/>
    <x v="33"/>
  </r>
  <r>
    <s v="ORD-00672"/>
    <x v="384"/>
    <s v="CUS-KHL-023"/>
    <s v="R05"/>
    <s v="ST-KHL-01"/>
    <x v="29"/>
    <s v="P004"/>
    <n v="10"/>
    <n v="0.15"/>
    <n v="42183"/>
    <n v="2"/>
    <x v="10"/>
    <s v="Smart Watch"/>
    <s v="Electronics"/>
    <n v="3870"/>
    <n v="2630"/>
    <n v="38700"/>
    <n v="26300"/>
    <n v="12400"/>
    <s v="Ayesha Ahmed"/>
    <x v="29"/>
    <x v="6"/>
    <x v="24"/>
  </r>
  <r>
    <s v="ORD-00673"/>
    <x v="243"/>
    <s v="CUS-KHL-019"/>
    <s v="R05"/>
    <s v="ST-KHL-02"/>
    <x v="45"/>
    <s v="P007"/>
    <n v="2"/>
    <n v="0.08"/>
    <n v="16197"/>
    <n v="2"/>
    <x v="18"/>
    <s v="Rice Cooker"/>
    <s v="Home Appliance"/>
    <n v="7430"/>
    <n v="5200"/>
    <n v="14860"/>
    <n v="10400"/>
    <n v="4460"/>
    <s v="Ayesha Uddin"/>
    <x v="45"/>
    <x v="6"/>
    <x v="14"/>
  </r>
  <r>
    <s v="ORD-00674"/>
    <x v="336"/>
    <s v="CUS-MYM-003"/>
    <s v="R08"/>
    <s v="ST-MYM-05"/>
    <x v="31"/>
    <s v="P017"/>
    <n v="4"/>
    <n v="0.02"/>
    <n v="1598"/>
    <n v="6"/>
    <x v="4"/>
    <s v="Soybean Oil 5L"/>
    <s v="Grocery"/>
    <n v="370"/>
    <n v="290"/>
    <n v="1480"/>
    <n v="1160"/>
    <n v="320"/>
    <s v="Rahim Khan"/>
    <x v="31"/>
    <x v="2"/>
    <x v="28"/>
  </r>
  <r>
    <s v="ORD-00675"/>
    <x v="152"/>
    <s v="CUS-CTG-006"/>
    <s v="R02"/>
    <s v="ST-CTG-05"/>
    <x v="37"/>
    <s v="P004"/>
    <n v="5"/>
    <n v="0.08"/>
    <n v="22059"/>
    <n v="6"/>
    <x v="16"/>
    <s v="Smart Watch"/>
    <s v="Electronics"/>
    <n v="3870"/>
    <n v="2630"/>
    <n v="19350"/>
    <n v="13150"/>
    <n v="6200"/>
    <s v="Karim Rahman"/>
    <x v="37"/>
    <x v="7"/>
    <x v="31"/>
  </r>
  <r>
    <s v="ORD-00676"/>
    <x v="271"/>
    <s v="CUS-SYL-003"/>
    <s v="R03"/>
    <s v="ST-SYL-05"/>
    <x v="38"/>
    <s v="P040"/>
    <n v="1"/>
    <n v="0"/>
    <n v="813"/>
    <n v="4"/>
    <x v="17"/>
    <s v="Sticky Notes"/>
    <s v="Stationery"/>
    <n v="760"/>
    <n v="380"/>
    <n v="760"/>
    <n v="380"/>
    <n v="380"/>
    <s v="Farhana Khan"/>
    <x v="38"/>
    <x v="3"/>
    <x v="4"/>
  </r>
  <r>
    <s v="ORD-00677"/>
    <x v="385"/>
    <s v="CUS-KHL-012"/>
    <s v="R05"/>
    <s v="ST-KHL-05"/>
    <x v="36"/>
    <s v="P011"/>
    <n v="1"/>
    <n v="0.03"/>
    <n v="2038"/>
    <n v="5"/>
    <x v="19"/>
    <s v="Cotton T-Shirt"/>
    <s v="Fashion"/>
    <n v="1870"/>
    <n v="1030"/>
    <n v="1870"/>
    <n v="1030"/>
    <n v="840"/>
    <s v="Nayeem Chowdhury"/>
    <x v="36"/>
    <x v="6"/>
    <x v="30"/>
  </r>
  <r>
    <s v="ORD-00678"/>
    <x v="274"/>
    <s v="CUS-KHL-022"/>
    <s v="R05"/>
    <s v="ST-KHL-05"/>
    <x v="24"/>
    <s v="P003"/>
    <n v="4"/>
    <n v="0.18"/>
    <n v="12382"/>
    <n v="2"/>
    <x v="10"/>
    <s v="Power Bank"/>
    <s v="Electronics"/>
    <n v="2840"/>
    <n v="1930"/>
    <n v="11360"/>
    <n v="7720"/>
    <n v="3640"/>
    <s v="Samiha Sultana"/>
    <x v="24"/>
    <x v="6"/>
    <x v="30"/>
  </r>
  <r>
    <s v="ORD-00679"/>
    <x v="386"/>
    <s v="CUS-BAR-020"/>
    <s v="R06"/>
    <s v="ST-BAR-05"/>
    <x v="12"/>
    <s v="P004"/>
    <n v="3"/>
    <n v="0.1"/>
    <n v="13003"/>
    <n v="6"/>
    <x v="16"/>
    <s v="Smart Watch"/>
    <s v="Electronics"/>
    <n v="3870"/>
    <n v="2630"/>
    <n v="11610"/>
    <n v="7890"/>
    <n v="3720"/>
    <s v="Rumana Akter"/>
    <x v="12"/>
    <x v="5"/>
    <x v="7"/>
  </r>
  <r>
    <s v="ORD-00680"/>
    <x v="246"/>
    <s v="CUS-RAJ-005"/>
    <s v="R04"/>
    <s v="ST-RAJ-05"/>
    <x v="40"/>
    <s v="P004"/>
    <n v="2"/>
    <n v="0.18"/>
    <n v="8359"/>
    <n v="4"/>
    <x v="19"/>
    <s v="Smart Watch"/>
    <s v="Electronics"/>
    <n v="3870"/>
    <n v="2630"/>
    <n v="7740"/>
    <n v="5260"/>
    <n v="2480"/>
    <s v="Tanjim Akter"/>
    <x v="40"/>
    <x v="1"/>
    <x v="38"/>
  </r>
  <r>
    <s v="ORD-00681"/>
    <x v="387"/>
    <s v="CUS-RAN-003"/>
    <s v="R07"/>
    <s v="ST-RAN-05"/>
    <x v="42"/>
    <s v="P005"/>
    <n v="2"/>
    <n v="0.08"/>
    <n v="11247"/>
    <n v="9"/>
    <x v="32"/>
    <s v="USB-C Hub"/>
    <s v="Electronics"/>
    <n v="4890"/>
    <n v="3330"/>
    <n v="9780"/>
    <n v="6660"/>
    <n v="3120"/>
    <s v="Mim Sultana"/>
    <x v="42"/>
    <x v="0"/>
    <x v="39"/>
  </r>
  <r>
    <s v="ORD-00682"/>
    <x v="28"/>
    <s v="CUS-SYL-018"/>
    <s v="R03"/>
    <s v="ST-SYL-02"/>
    <x v="34"/>
    <s v="P024"/>
    <n v="10"/>
    <n v="0.05"/>
    <n v="15087"/>
    <n v="2"/>
    <x v="15"/>
    <s v="Toothpaste Twin Pack"/>
    <s v="Beauty &amp; Personal Care"/>
    <n v="1410"/>
    <n v="820"/>
    <n v="14100"/>
    <n v="8200"/>
    <n v="5900"/>
    <s v="Rafi Chowdhury"/>
    <x v="34"/>
    <x v="3"/>
    <x v="32"/>
  </r>
  <r>
    <s v="ORD-00683"/>
    <x v="270"/>
    <s v="CUS-BAR-019"/>
    <s v="R06"/>
    <s v="ST-BAR-05"/>
    <x v="12"/>
    <s v="P003"/>
    <n v="2"/>
    <n v="0.15"/>
    <n v="6362"/>
    <n v="2"/>
    <x v="10"/>
    <s v="Power Bank"/>
    <s v="Electronics"/>
    <n v="2840"/>
    <n v="1930"/>
    <n v="5680"/>
    <n v="3860"/>
    <n v="1820"/>
    <s v="Imran Chowdhury"/>
    <x v="12"/>
    <x v="5"/>
    <x v="7"/>
  </r>
  <r>
    <s v="ORD-00684"/>
    <x v="38"/>
    <s v="CUS-RAJ-003"/>
    <s v="R04"/>
    <s v="ST-RAJ-03"/>
    <x v="1"/>
    <s v="P017"/>
    <n v="1"/>
    <n v="0"/>
    <n v="400"/>
    <n v="7"/>
    <x v="28"/>
    <s v="Soybean Oil 5L"/>
    <s v="Grocery"/>
    <n v="370"/>
    <n v="290"/>
    <n v="370"/>
    <n v="290"/>
    <n v="80"/>
    <s v="Morshed Rahman"/>
    <x v="1"/>
    <x v="1"/>
    <x v="18"/>
  </r>
  <r>
    <s v="ORD-00685"/>
    <x v="388"/>
    <s v="CUS-BAR-011"/>
    <s v="R06"/>
    <s v="ST-BAR-03"/>
    <x v="8"/>
    <s v="P041"/>
    <n v="2"/>
    <n v="0.03"/>
    <n v="1882"/>
    <n v="2"/>
    <x v="15"/>
    <s v="Building Blocks"/>
    <s v="Kids &amp; Toys"/>
    <n v="840"/>
    <n v="460"/>
    <n v="1680"/>
    <n v="920"/>
    <n v="760"/>
    <s v="Ayesha Islam"/>
    <x v="8"/>
    <x v="5"/>
    <x v="27"/>
  </r>
  <r>
    <s v="ORD-00686"/>
    <x v="268"/>
    <s v="CUS-RAN-004"/>
    <s v="R07"/>
    <s v="ST-RAN-01"/>
    <x v="27"/>
    <s v="P016"/>
    <n v="3"/>
    <n v="0.05"/>
    <n v="3829"/>
    <n v="9"/>
    <x v="9"/>
    <s v="Premium Rice 5kg"/>
    <s v="Grocery"/>
    <n v="1110"/>
    <n v="870"/>
    <n v="3330"/>
    <n v="2610"/>
    <n v="720"/>
    <s v="Sadia Sultana"/>
    <x v="27"/>
    <x v="0"/>
    <x v="0"/>
  </r>
  <r>
    <s v="ORD-00687"/>
    <x v="286"/>
    <s v="CUS-CTG-017"/>
    <s v="R02"/>
    <s v="ST-CTG-03"/>
    <x v="37"/>
    <s v="P020"/>
    <n v="3"/>
    <n v="0"/>
    <n v="7319"/>
    <n v="6"/>
    <x v="5"/>
    <s v="Tea Pack 500g"/>
    <s v="Grocery"/>
    <n v="2140"/>
    <n v="1670"/>
    <n v="6420"/>
    <n v="5010"/>
    <n v="1410"/>
    <s v="Jannat Islam"/>
    <x v="37"/>
    <x v="7"/>
    <x v="16"/>
  </r>
  <r>
    <s v="ORD-00688"/>
    <x v="338"/>
    <s v="CUS-RAN-006"/>
    <s v="R07"/>
    <s v="ST-RAN-03"/>
    <x v="0"/>
    <s v="P027"/>
    <n v="2"/>
    <n v="0.05"/>
    <n v="2783"/>
    <n v="5"/>
    <x v="19"/>
    <s v="Formal Shoe"/>
    <s v="Footwear"/>
    <n v="1210"/>
    <n v="730"/>
    <n v="2420"/>
    <n v="1460"/>
    <n v="960"/>
    <s v="Karim Ahmed"/>
    <x v="0"/>
    <x v="0"/>
    <x v="26"/>
  </r>
  <r>
    <s v="ORD-00689"/>
    <x v="334"/>
    <s v="CUS-KHL-001"/>
    <s v="R05"/>
    <s v="ST-KHL-05"/>
    <x v="13"/>
    <s v="P003"/>
    <n v="1"/>
    <n v="0.18"/>
    <n v="3096"/>
    <n v="3"/>
    <x v="20"/>
    <s v="Power Bank"/>
    <s v="Electronics"/>
    <n v="2840"/>
    <n v="1930"/>
    <n v="2840"/>
    <n v="1930"/>
    <n v="910"/>
    <s v="Karim Mia"/>
    <x v="13"/>
    <x v="6"/>
    <x v="30"/>
  </r>
  <r>
    <s v="ORD-00690"/>
    <x v="55"/>
    <s v="CUS-BAR-023"/>
    <s v="R06"/>
    <s v="ST-BAR-02"/>
    <x v="10"/>
    <s v="P022"/>
    <n v="2"/>
    <n v="0.1"/>
    <n v="3718"/>
    <n v="4"/>
    <x v="6"/>
    <s v="Shampoo 375ml"/>
    <s v="Beauty &amp; Personal Care"/>
    <n v="1660"/>
    <n v="960"/>
    <n v="3320"/>
    <n v="1920"/>
    <n v="1400"/>
    <s v="Rasel Sultana"/>
    <x v="10"/>
    <x v="5"/>
    <x v="11"/>
  </r>
  <r>
    <s v="ORD-00691"/>
    <x v="148"/>
    <s v="CUS-KHL-009"/>
    <s v="R05"/>
    <s v="ST-KHL-04"/>
    <x v="29"/>
    <s v="P046"/>
    <n v="2"/>
    <n v="0.03"/>
    <n v="9548"/>
    <n v="7"/>
    <x v="11"/>
    <s v="Office Chair"/>
    <s v="Furniture"/>
    <n v="4380"/>
    <n v="3150"/>
    <n v="8760"/>
    <n v="6300"/>
    <n v="2460"/>
    <s v="Arif Akter"/>
    <x v="29"/>
    <x v="6"/>
    <x v="19"/>
  </r>
  <r>
    <s v="ORD-00692"/>
    <x v="22"/>
    <s v="CUS-BAR-003"/>
    <s v="R06"/>
    <s v="ST-BAR-01"/>
    <x v="47"/>
    <s v="P031"/>
    <n v="1"/>
    <n v="0.03"/>
    <n v="2957"/>
    <n v="4"/>
    <x v="17"/>
    <s v="Cricket Bat"/>
    <s v="Sports"/>
    <n v="2640"/>
    <n v="1640"/>
    <n v="2640"/>
    <n v="1640"/>
    <n v="1000"/>
    <s v="Arif Ahmed"/>
    <x v="47"/>
    <x v="5"/>
    <x v="9"/>
  </r>
  <r>
    <s v="ORD-00693"/>
    <x v="291"/>
    <s v="CUS-KHL-018"/>
    <s v="R05"/>
    <s v="ST-KHL-04"/>
    <x v="45"/>
    <s v="P048"/>
    <n v="5"/>
    <n v="0.05"/>
    <n v="28994"/>
    <n v="3"/>
    <x v="25"/>
    <s v="Shoe Rack"/>
    <s v="Furniture"/>
    <n v="5320"/>
    <n v="3830"/>
    <n v="26600"/>
    <n v="19150"/>
    <n v="7450"/>
    <s v="Ayesha Sultana"/>
    <x v="45"/>
    <x v="6"/>
    <x v="19"/>
  </r>
  <r>
    <s v="ORD-00694"/>
    <x v="389"/>
    <s v="CUS-CTG-013"/>
    <s v="R02"/>
    <s v="ST-CTG-01"/>
    <x v="18"/>
    <s v="P004"/>
    <n v="4"/>
    <n v="0.18"/>
    <n v="17647"/>
    <n v="5"/>
    <x v="4"/>
    <s v="Smart Watch"/>
    <s v="Electronics"/>
    <n v="3870"/>
    <n v="2630"/>
    <n v="15480"/>
    <n v="10520"/>
    <n v="4960"/>
    <s v="Tanjim Akter"/>
    <x v="18"/>
    <x v="7"/>
    <x v="37"/>
  </r>
  <r>
    <s v="ORD-00695"/>
    <x v="390"/>
    <s v="CUS-BAR-008"/>
    <s v="R06"/>
    <s v="ST-BAR-05"/>
    <x v="10"/>
    <s v="P022"/>
    <n v="10"/>
    <n v="0.12"/>
    <n v="18592"/>
    <n v="6"/>
    <x v="28"/>
    <s v="Shampoo 375ml"/>
    <s v="Beauty &amp; Personal Care"/>
    <n v="1660"/>
    <n v="960"/>
    <n v="16600"/>
    <n v="9600"/>
    <n v="7000"/>
    <s v="Rasel Chowdhury"/>
    <x v="10"/>
    <x v="5"/>
    <x v="7"/>
  </r>
  <r>
    <s v="ORD-00696"/>
    <x v="295"/>
    <s v="CUS-BAR-005"/>
    <s v="R06"/>
    <s v="ST-BAR-05"/>
    <x v="33"/>
    <s v="P047"/>
    <n v="2"/>
    <n v="7.0000000000000007E-2"/>
    <n v="26163"/>
    <n v="6"/>
    <x v="16"/>
    <s v="Study Table"/>
    <s v="Furniture"/>
    <n v="11680"/>
    <n v="8410"/>
    <n v="23360"/>
    <n v="16820"/>
    <n v="6540"/>
    <s v="Rahim Sultana"/>
    <x v="33"/>
    <x v="5"/>
    <x v="7"/>
  </r>
  <r>
    <s v="ORD-00697"/>
    <x v="53"/>
    <s v="CUS-CTG-011"/>
    <s v="R02"/>
    <s v="ST-CTG-02"/>
    <x v="18"/>
    <s v="P040"/>
    <n v="2"/>
    <n v="0.05"/>
    <n v="1733"/>
    <n v="5"/>
    <x v="19"/>
    <s v="Sticky Notes"/>
    <s v="Stationery"/>
    <n v="760"/>
    <n v="380"/>
    <n v="1520"/>
    <n v="760"/>
    <n v="760"/>
    <s v="Rasel Uddin"/>
    <x v="18"/>
    <x v="7"/>
    <x v="22"/>
  </r>
  <r>
    <s v="ORD-00698"/>
    <x v="248"/>
    <s v="CUS-RAN-007"/>
    <s v="R07"/>
    <s v="ST-RAN-03"/>
    <x v="0"/>
    <s v="P016"/>
    <n v="6"/>
    <n v="0.05"/>
    <n v="7659"/>
    <n v="7"/>
    <x v="11"/>
    <s v="Premium Rice 5kg"/>
    <s v="Grocery"/>
    <n v="1110"/>
    <n v="870"/>
    <n v="6660"/>
    <n v="5220"/>
    <n v="1440"/>
    <s v="Hasan Rahman"/>
    <x v="0"/>
    <x v="0"/>
    <x v="26"/>
  </r>
  <r>
    <s v="ORD-00699"/>
    <x v="47"/>
    <s v="CUS-DHA-012"/>
    <s v="R01"/>
    <s v="ST-DHA-01"/>
    <x v="9"/>
    <s v="P012"/>
    <n v="2"/>
    <n v="0.03"/>
    <n v="3858"/>
    <n v="1"/>
    <x v="7"/>
    <s v="Formal Shirt"/>
    <s v="Fashion"/>
    <n v="1820"/>
    <n v="1000"/>
    <n v="3640"/>
    <n v="2000"/>
    <n v="1640"/>
    <s v="Nayeem Rahman"/>
    <x v="9"/>
    <x v="4"/>
    <x v="29"/>
  </r>
  <r>
    <s v="ORD-00700"/>
    <x v="223"/>
    <s v="CUS-RAN-012"/>
    <s v="R07"/>
    <s v="ST-RAN-01"/>
    <x v="7"/>
    <s v="P011"/>
    <n v="1"/>
    <n v="0.12"/>
    <n v="2150"/>
    <n v="8"/>
    <x v="27"/>
    <s v="Cotton T-Shirt"/>
    <s v="Fashion"/>
    <n v="1870"/>
    <n v="1030"/>
    <n v="1870"/>
    <n v="1030"/>
    <n v="840"/>
    <s v="Rumana Hossain"/>
    <x v="7"/>
    <x v="0"/>
    <x v="0"/>
  </r>
  <r>
    <s v="ORD-00701"/>
    <x v="173"/>
    <s v="CUS-SYL-014"/>
    <s v="R03"/>
    <s v="ST-SYL-01"/>
    <x v="32"/>
    <s v="P001"/>
    <n v="1"/>
    <n v="0.15"/>
    <n v="3467"/>
    <n v="2"/>
    <x v="10"/>
    <s v="Bluetooth Speaker"/>
    <s v="Electronics"/>
    <n v="3240"/>
    <n v="2200"/>
    <n v="3240"/>
    <n v="2200"/>
    <n v="1040"/>
    <s v="Fahim Akter"/>
    <x v="32"/>
    <x v="3"/>
    <x v="25"/>
  </r>
  <r>
    <s v="ORD-00702"/>
    <x v="203"/>
    <s v="CUS-SYL-018"/>
    <s v="R03"/>
    <s v="ST-SYL-03"/>
    <x v="34"/>
    <s v="P050"/>
    <n v="2"/>
    <n v="0.1"/>
    <n v="12562"/>
    <n v="6"/>
    <x v="16"/>
    <s v="Bedside Table"/>
    <s v="Furniture"/>
    <n v="5870"/>
    <n v="4230"/>
    <n v="11740"/>
    <n v="8460"/>
    <n v="3280"/>
    <s v="Rafi Chowdhury"/>
    <x v="34"/>
    <x v="3"/>
    <x v="23"/>
  </r>
  <r>
    <s v="ORD-00703"/>
    <x v="178"/>
    <s v="CUS-DHA-012"/>
    <s v="R01"/>
    <s v="ST-DHA-02"/>
    <x v="44"/>
    <s v="P004"/>
    <n v="1"/>
    <n v="0.15"/>
    <n v="4102"/>
    <n v="2"/>
    <x v="10"/>
    <s v="Smart Watch"/>
    <s v="Electronics"/>
    <n v="3870"/>
    <n v="2630"/>
    <n v="3870"/>
    <n v="2630"/>
    <n v="1240"/>
    <s v="Nayeem Rahman"/>
    <x v="44"/>
    <x v="4"/>
    <x v="8"/>
  </r>
  <r>
    <s v="ORD-00704"/>
    <x v="311"/>
    <s v="CUS-SYL-022"/>
    <s v="R03"/>
    <s v="ST-SYL-02"/>
    <x v="32"/>
    <s v="P048"/>
    <n v="1"/>
    <n v="0.1"/>
    <n v="5692"/>
    <n v="1"/>
    <x v="13"/>
    <s v="Shoe Rack"/>
    <s v="Furniture"/>
    <n v="5320"/>
    <n v="3830"/>
    <n v="5320"/>
    <n v="3830"/>
    <n v="1490"/>
    <s v="Samiha Ahmed"/>
    <x v="32"/>
    <x v="3"/>
    <x v="32"/>
  </r>
  <r>
    <s v="ORD-00705"/>
    <x v="358"/>
    <s v="CUS-MYM-022"/>
    <s v="R08"/>
    <s v="ST-MYM-02"/>
    <x v="3"/>
    <s v="P033"/>
    <n v="3"/>
    <n v="0.1"/>
    <n v="10044"/>
    <n v="7"/>
    <x v="12"/>
    <s v="Badminton Racket"/>
    <s v="Sports"/>
    <n v="3100"/>
    <n v="1920"/>
    <n v="9300"/>
    <n v="5760"/>
    <n v="3540"/>
    <s v="Shamim Rahman"/>
    <x v="3"/>
    <x v="2"/>
    <x v="20"/>
  </r>
  <r>
    <s v="ORD-00706"/>
    <x v="233"/>
    <s v="CUS-DHA-005"/>
    <s v="R01"/>
    <s v="ST-DHA-02"/>
    <x v="14"/>
    <s v="P015"/>
    <n v="1"/>
    <n v="7.0000000000000007E-2"/>
    <n v="2777"/>
    <n v="5"/>
    <x v="29"/>
    <s v="Leather Belt"/>
    <s v="Fashion"/>
    <n v="2620"/>
    <n v="1440"/>
    <n v="2620"/>
    <n v="1440"/>
    <n v="1180"/>
    <s v="Imran Uddin"/>
    <x v="14"/>
    <x v="4"/>
    <x v="8"/>
  </r>
  <r>
    <s v="ORD-00707"/>
    <x v="286"/>
    <s v="CUS-RAN-020"/>
    <s v="R07"/>
    <s v="ST-RAN-01"/>
    <x v="4"/>
    <s v="P013"/>
    <n v="2"/>
    <n v="0.1"/>
    <n v="4577"/>
    <n v="6"/>
    <x v="16"/>
    <s v="Women Kurti"/>
    <s v="Fashion"/>
    <n v="1990"/>
    <n v="1090"/>
    <n v="3980"/>
    <n v="2180"/>
    <n v="1800"/>
    <s v="Shuvo Uddin"/>
    <x v="4"/>
    <x v="0"/>
    <x v="0"/>
  </r>
  <r>
    <s v="ORD-00708"/>
    <x v="391"/>
    <s v="CUS-SYL-008"/>
    <s v="R03"/>
    <s v="ST-SYL-03"/>
    <x v="34"/>
    <s v="P041"/>
    <n v="3"/>
    <n v="0.1"/>
    <n v="2696"/>
    <n v="4"/>
    <x v="6"/>
    <s v="Building Blocks"/>
    <s v="Kids &amp; Toys"/>
    <n v="840"/>
    <n v="460"/>
    <n v="2520"/>
    <n v="1380"/>
    <n v="1140"/>
    <s v="Morshed Hossain"/>
    <x v="34"/>
    <x v="3"/>
    <x v="23"/>
  </r>
  <r>
    <s v="ORD-00709"/>
    <x v="167"/>
    <s v="CUS-RAJ-016"/>
    <s v="R04"/>
    <s v="ST-RAJ-01"/>
    <x v="30"/>
    <s v="P031"/>
    <n v="1"/>
    <n v="0.12"/>
    <n v="2851"/>
    <n v="3"/>
    <x v="21"/>
    <s v="Cricket Bat"/>
    <s v="Sports"/>
    <n v="2640"/>
    <n v="1640"/>
    <n v="2640"/>
    <n v="1640"/>
    <n v="1000"/>
    <s v="Hasan Rahman"/>
    <x v="30"/>
    <x v="1"/>
    <x v="36"/>
  </r>
  <r>
    <s v="ORD-00710"/>
    <x v="177"/>
    <s v="CUS-CTG-005"/>
    <s v="R02"/>
    <s v="ST-CTG-04"/>
    <x v="41"/>
    <s v="P005"/>
    <n v="6"/>
    <n v="0.15"/>
    <n v="33448"/>
    <n v="4"/>
    <x v="3"/>
    <s v="USB-C Hub"/>
    <s v="Electronics"/>
    <n v="4890"/>
    <n v="3330"/>
    <n v="29340"/>
    <n v="19980"/>
    <n v="9360"/>
    <s v="Shakib Mia"/>
    <x v="41"/>
    <x v="7"/>
    <x v="33"/>
  </r>
  <r>
    <s v="ORD-00711"/>
    <x v="204"/>
    <s v="CUS-DHA-020"/>
    <s v="R01"/>
    <s v="ST-DHA-02"/>
    <x v="44"/>
    <s v="P041"/>
    <n v="2"/>
    <n v="7.0000000000000007E-2"/>
    <n v="1781"/>
    <n v="1"/>
    <x v="13"/>
    <s v="Building Blocks"/>
    <s v="Kids &amp; Toys"/>
    <n v="840"/>
    <n v="460"/>
    <n v="1680"/>
    <n v="920"/>
    <n v="760"/>
    <s v="Tanjim Ahmed"/>
    <x v="44"/>
    <x v="4"/>
    <x v="8"/>
  </r>
  <r>
    <s v="ORD-00712"/>
    <x v="275"/>
    <s v="CUS-RAJ-011"/>
    <s v="R04"/>
    <s v="ST-RAJ-04"/>
    <x v="2"/>
    <s v="P002"/>
    <n v="4"/>
    <n v="0.08"/>
    <n v="14429"/>
    <n v="1"/>
    <x v="13"/>
    <s v="Wireless Mouse"/>
    <s v="Electronics"/>
    <n v="3340"/>
    <n v="2270"/>
    <n v="13360"/>
    <n v="9080"/>
    <n v="4280"/>
    <s v="Imran Uddin"/>
    <x v="2"/>
    <x v="1"/>
    <x v="1"/>
  </r>
  <r>
    <s v="ORD-00713"/>
    <x v="188"/>
    <s v="CUS-KHL-012"/>
    <s v="R05"/>
    <s v="ST-KHL-03"/>
    <x v="16"/>
    <s v="P030"/>
    <n v="2"/>
    <n v="0.03"/>
    <n v="4077"/>
    <n v="3"/>
    <x v="10"/>
    <s v="Casual Loafer"/>
    <s v="Footwear"/>
    <n v="1870"/>
    <n v="1120"/>
    <n v="3740"/>
    <n v="2240"/>
    <n v="1500"/>
    <s v="Nayeem Chowdhury"/>
    <x v="16"/>
    <x v="6"/>
    <x v="17"/>
  </r>
  <r>
    <s v="ORD-00714"/>
    <x v="359"/>
    <s v="CUS-BAR-007"/>
    <s v="R06"/>
    <s v="ST-BAR-03"/>
    <x v="22"/>
    <s v="P006"/>
    <n v="3"/>
    <n v="0.15"/>
    <n v="24192"/>
    <n v="7"/>
    <x v="23"/>
    <s v="Electric Kettle"/>
    <s v="Home Appliance"/>
    <n v="7200"/>
    <n v="5040"/>
    <n v="21600"/>
    <n v="15120"/>
    <n v="6480"/>
    <s v="Mahmud Sultana"/>
    <x v="22"/>
    <x v="5"/>
    <x v="27"/>
  </r>
  <r>
    <s v="ORD-00715"/>
    <x v="392"/>
    <s v="CUS-BAR-011"/>
    <s v="R06"/>
    <s v="ST-BAR-03"/>
    <x v="47"/>
    <s v="P002"/>
    <n v="4"/>
    <n v="0.1"/>
    <n v="14963"/>
    <n v="4"/>
    <x v="6"/>
    <s v="Wireless Mouse"/>
    <s v="Electronics"/>
    <n v="3340"/>
    <n v="2270"/>
    <n v="13360"/>
    <n v="9080"/>
    <n v="4280"/>
    <s v="Ayesha Islam"/>
    <x v="47"/>
    <x v="5"/>
    <x v="27"/>
  </r>
  <r>
    <s v="ORD-00716"/>
    <x v="393"/>
    <s v="CUS-BAR-024"/>
    <s v="R06"/>
    <s v="ST-BAR-05"/>
    <x v="12"/>
    <s v="P022"/>
    <n v="3"/>
    <n v="0.05"/>
    <n v="5578"/>
    <n v="8"/>
    <x v="30"/>
    <s v="Shampoo 375ml"/>
    <s v="Beauty &amp; Personal Care"/>
    <n v="1660"/>
    <n v="960"/>
    <n v="4980"/>
    <n v="2880"/>
    <n v="2100"/>
    <s v="Rumana Chowdhury"/>
    <x v="12"/>
    <x v="5"/>
    <x v="7"/>
  </r>
  <r>
    <s v="ORD-00717"/>
    <x v="183"/>
    <s v="CUS-RAN-003"/>
    <s v="R07"/>
    <s v="ST-RAN-01"/>
    <x v="27"/>
    <s v="P024"/>
    <n v="1"/>
    <n v="0.05"/>
    <n v="1621"/>
    <n v="7"/>
    <x v="11"/>
    <s v="Toothpaste Twin Pack"/>
    <s v="Beauty &amp; Personal Care"/>
    <n v="1410"/>
    <n v="820"/>
    <n v="1410"/>
    <n v="820"/>
    <n v="590"/>
    <s v="Mim Sultana"/>
    <x v="27"/>
    <x v="0"/>
    <x v="0"/>
  </r>
  <r>
    <s v="ORD-00718"/>
    <x v="42"/>
    <s v="CUS-CTG-003"/>
    <s v="R02"/>
    <s v="ST-CTG-05"/>
    <x v="18"/>
    <s v="P008"/>
    <n v="10"/>
    <n v="0.1"/>
    <n v="27702"/>
    <n v="9"/>
    <x v="32"/>
    <s v="Blender Machine"/>
    <s v="Home Appliance"/>
    <n v="2430"/>
    <n v="1700"/>
    <n v="24300"/>
    <n v="17000"/>
    <n v="7300"/>
    <s v="Shuvo Mia"/>
    <x v="18"/>
    <x v="7"/>
    <x v="31"/>
  </r>
  <r>
    <s v="ORD-00719"/>
    <x v="394"/>
    <s v="CUS-SYL-002"/>
    <s v="R03"/>
    <s v="ST-SYL-02"/>
    <x v="20"/>
    <s v="P011"/>
    <n v="6"/>
    <n v="0.12"/>
    <n v="12005"/>
    <n v="7"/>
    <x v="12"/>
    <s v="Cotton T-Shirt"/>
    <s v="Fashion"/>
    <n v="1870"/>
    <n v="1030"/>
    <n v="11220"/>
    <n v="6180"/>
    <n v="5040"/>
    <s v="Rafi Hossain"/>
    <x v="20"/>
    <x v="3"/>
    <x v="32"/>
  </r>
  <r>
    <s v="ORD-00720"/>
    <x v="6"/>
    <s v="CUS-MYM-021"/>
    <s v="R08"/>
    <s v="ST-MYM-01"/>
    <x v="19"/>
    <s v="P002"/>
    <n v="5"/>
    <n v="0.08"/>
    <n v="18036"/>
    <n v="3"/>
    <x v="25"/>
    <s v="Wireless Mouse"/>
    <s v="Electronics"/>
    <n v="3340"/>
    <n v="2270"/>
    <n v="16700"/>
    <n v="11350"/>
    <n v="5350"/>
    <s v="Tania Islam"/>
    <x v="19"/>
    <x v="2"/>
    <x v="3"/>
  </r>
  <r>
    <s v="ORD-00721"/>
    <x v="164"/>
    <s v="CUS-SYL-020"/>
    <s v="R03"/>
    <s v="ST-SYL-03"/>
    <x v="25"/>
    <s v="P048"/>
    <n v="1"/>
    <n v="0.12"/>
    <n v="5692"/>
    <n v="9"/>
    <x v="32"/>
    <s v="Shoe Rack"/>
    <s v="Furniture"/>
    <n v="5320"/>
    <n v="3830"/>
    <n v="5320"/>
    <n v="3830"/>
    <n v="1490"/>
    <s v="Shaila Uddin"/>
    <x v="25"/>
    <x v="3"/>
    <x v="23"/>
  </r>
  <r>
    <s v="ORD-00722"/>
    <x v="395"/>
    <s v="CUS-RAJ-024"/>
    <s v="R04"/>
    <s v="ST-RAJ-04"/>
    <x v="2"/>
    <s v="P028"/>
    <n v="8"/>
    <n v="0.05"/>
    <n v="27821"/>
    <n v="6"/>
    <x v="4"/>
    <s v="Ladies Sandal"/>
    <s v="Footwear"/>
    <n v="3220"/>
    <n v="1930"/>
    <n v="25760"/>
    <n v="15440"/>
    <n v="10320"/>
    <s v="Mahmud Uddin"/>
    <x v="2"/>
    <x v="1"/>
    <x v="1"/>
  </r>
  <r>
    <s v="ORD-00723"/>
    <x v="396"/>
    <s v="CUS-MYM-025"/>
    <s v="R08"/>
    <s v="ST-MYM-05"/>
    <x v="19"/>
    <s v="P019"/>
    <n v="2"/>
    <n v="0.03"/>
    <n v="950"/>
    <n v="4"/>
    <x v="17"/>
    <s v="Flour 2kg"/>
    <s v="Grocery"/>
    <n v="440"/>
    <n v="340"/>
    <n v="880"/>
    <n v="680"/>
    <n v="200"/>
    <s v="Shaila Ahmed"/>
    <x v="19"/>
    <x v="2"/>
    <x v="28"/>
  </r>
  <r>
    <s v="ORD-00724"/>
    <x v="147"/>
    <s v="CUS-RAJ-019"/>
    <s v="R04"/>
    <s v="ST-RAJ-01"/>
    <x v="40"/>
    <s v="P012"/>
    <n v="2"/>
    <n v="0.05"/>
    <n v="3931"/>
    <n v="4"/>
    <x v="20"/>
    <s v="Formal Shirt"/>
    <s v="Fashion"/>
    <n v="1820"/>
    <n v="1000"/>
    <n v="3640"/>
    <n v="2000"/>
    <n v="1640"/>
    <s v="Shuvo Khan"/>
    <x v="40"/>
    <x v="1"/>
    <x v="36"/>
  </r>
  <r>
    <s v="ORD-00725"/>
    <x v="90"/>
    <s v="CUS-KHL-023"/>
    <s v="R05"/>
    <s v="ST-KHL-03"/>
    <x v="29"/>
    <s v="P003"/>
    <n v="1"/>
    <n v="0.1"/>
    <n v="3096"/>
    <n v="2"/>
    <x v="24"/>
    <s v="Power Bank"/>
    <s v="Electronics"/>
    <n v="2840"/>
    <n v="1930"/>
    <n v="2840"/>
    <n v="1930"/>
    <n v="910"/>
    <s v="Ayesha Ahmed"/>
    <x v="29"/>
    <x v="6"/>
    <x v="17"/>
  </r>
  <r>
    <s v="ORD-00726"/>
    <x v="397"/>
    <s v="CUS-KHL-005"/>
    <s v="R05"/>
    <s v="ST-KHL-03"/>
    <x v="45"/>
    <s v="P025"/>
    <n v="10"/>
    <n v="0.05"/>
    <n v="13734"/>
    <n v="5"/>
    <x v="19"/>
    <s v="Perfume Spray"/>
    <s v="Beauty &amp; Personal Care"/>
    <n v="1260"/>
    <n v="730"/>
    <n v="12600"/>
    <n v="7300"/>
    <n v="5300"/>
    <s v="Sajib Hossain"/>
    <x v="45"/>
    <x v="6"/>
    <x v="17"/>
  </r>
  <r>
    <s v="ORD-00727"/>
    <x v="234"/>
    <s v="CUS-CTG-001"/>
    <s v="R02"/>
    <s v="ST-CTG-03"/>
    <x v="37"/>
    <s v="P022"/>
    <n v="2"/>
    <n v="0.12"/>
    <n v="3785"/>
    <n v="5"/>
    <x v="5"/>
    <s v="Shampoo 375ml"/>
    <s v="Beauty &amp; Personal Care"/>
    <n v="1660"/>
    <n v="960"/>
    <n v="3320"/>
    <n v="1920"/>
    <n v="1400"/>
    <s v="Shaila Sultana"/>
    <x v="37"/>
    <x v="7"/>
    <x v="16"/>
  </r>
  <r>
    <s v="ORD-00728"/>
    <x v="142"/>
    <s v="CUS-KHL-011"/>
    <s v="R05"/>
    <s v="ST-KHL-01"/>
    <x v="13"/>
    <s v="P037"/>
    <n v="2"/>
    <n v="0.02"/>
    <n v="741"/>
    <n v="4"/>
    <x v="17"/>
    <s v="Ball Pen Box"/>
    <s v="Stationery"/>
    <n v="340"/>
    <n v="170"/>
    <n v="680"/>
    <n v="340"/>
    <n v="340"/>
    <s v="Rumana Islam"/>
    <x v="13"/>
    <x v="6"/>
    <x v="24"/>
  </r>
  <r>
    <s v="ORD-00729"/>
    <x v="398"/>
    <s v="CUS-KHL-001"/>
    <s v="R05"/>
    <s v="ST-KHL-05"/>
    <x v="13"/>
    <s v="P049"/>
    <n v="6"/>
    <n v="0.1"/>
    <n v="27664"/>
    <n v="6"/>
    <x v="16"/>
    <s v="Bookshelf"/>
    <s v="Furniture"/>
    <n v="4230"/>
    <n v="3050"/>
    <n v="25380"/>
    <n v="18300"/>
    <n v="7080"/>
    <s v="Karim Mia"/>
    <x v="13"/>
    <x v="6"/>
    <x v="30"/>
  </r>
  <r>
    <s v="ORD-00730"/>
    <x v="30"/>
    <s v="CUS-RAJ-015"/>
    <s v="R04"/>
    <s v="ST-RAJ-02"/>
    <x v="26"/>
    <s v="P005"/>
    <n v="1"/>
    <n v="0.1"/>
    <n v="5281"/>
    <n v="4"/>
    <x v="6"/>
    <s v="USB-C Hub"/>
    <s v="Electronics"/>
    <n v="4890"/>
    <n v="3330"/>
    <n v="4890"/>
    <n v="3330"/>
    <n v="1560"/>
    <s v="Tania Mia"/>
    <x v="26"/>
    <x v="1"/>
    <x v="2"/>
  </r>
  <r>
    <s v="ORD-00731"/>
    <x v="167"/>
    <s v="CUS-RAN-012"/>
    <s v="R07"/>
    <s v="ST-RAN-02"/>
    <x v="4"/>
    <s v="P002"/>
    <n v="2"/>
    <n v="0.1"/>
    <n v="7682"/>
    <n v="7"/>
    <x v="12"/>
    <s v="Wireless Mouse"/>
    <s v="Electronics"/>
    <n v="3340"/>
    <n v="2270"/>
    <n v="6680"/>
    <n v="4540"/>
    <n v="2140"/>
    <s v="Rumana Hossain"/>
    <x v="4"/>
    <x v="0"/>
    <x v="6"/>
  </r>
  <r>
    <s v="ORD-00732"/>
    <x v="13"/>
    <s v="CUS-SYL-021"/>
    <s v="R03"/>
    <s v="ST-SYL-03"/>
    <x v="34"/>
    <s v="P007"/>
    <n v="5"/>
    <n v="0.18"/>
    <n v="39750"/>
    <n v="7"/>
    <x v="23"/>
    <s v="Rice Cooker"/>
    <s v="Home Appliance"/>
    <n v="7430"/>
    <n v="5200"/>
    <n v="37150"/>
    <n v="26000"/>
    <n v="11150"/>
    <s v="Imran Chowdhury"/>
    <x v="34"/>
    <x v="3"/>
    <x v="23"/>
  </r>
  <r>
    <s v="ORD-00733"/>
    <x v="399"/>
    <s v="CUS-RAJ-003"/>
    <s v="R04"/>
    <s v="ST-RAJ-02"/>
    <x v="1"/>
    <s v="P011"/>
    <n v="7"/>
    <n v="0.03"/>
    <n v="14137"/>
    <n v="4"/>
    <x v="17"/>
    <s v="Cotton T-Shirt"/>
    <s v="Fashion"/>
    <n v="1870"/>
    <n v="1030"/>
    <n v="13090"/>
    <n v="7210"/>
    <n v="5880"/>
    <s v="Morshed Rahman"/>
    <x v="1"/>
    <x v="1"/>
    <x v="2"/>
  </r>
  <r>
    <s v="ORD-00734"/>
    <x v="400"/>
    <s v="CUS-DHA-020"/>
    <s v="R01"/>
    <s v="ST-DHA-01"/>
    <x v="6"/>
    <s v="P009"/>
    <n v="7"/>
    <n v="0.08"/>
    <n v="33835"/>
    <n v="3"/>
    <x v="25"/>
    <s v="Steam Iron"/>
    <s v="Home Appliance"/>
    <n v="4560"/>
    <n v="3190"/>
    <n v="31920"/>
    <n v="22330"/>
    <n v="9590"/>
    <s v="Tanjim Ahmed"/>
    <x v="6"/>
    <x v="4"/>
    <x v="29"/>
  </r>
  <r>
    <s v="ORD-00735"/>
    <x v="392"/>
    <s v="CUS-SYL-008"/>
    <s v="R03"/>
    <s v="ST-SYL-01"/>
    <x v="38"/>
    <s v="P003"/>
    <n v="4"/>
    <n v="0.08"/>
    <n v="12155"/>
    <n v="4"/>
    <x v="6"/>
    <s v="Power Bank"/>
    <s v="Electronics"/>
    <n v="2840"/>
    <n v="1930"/>
    <n v="11360"/>
    <n v="7720"/>
    <n v="3640"/>
    <s v="Morshed Hossain"/>
    <x v="38"/>
    <x v="3"/>
    <x v="25"/>
  </r>
  <r>
    <s v="ORD-00736"/>
    <x v="276"/>
    <s v="CUS-BAR-023"/>
    <s v="R06"/>
    <s v="ST-BAR-01"/>
    <x v="8"/>
    <s v="P003"/>
    <n v="6"/>
    <n v="0.12"/>
    <n v="19085"/>
    <n v="5"/>
    <x v="5"/>
    <s v="Power Bank"/>
    <s v="Electronics"/>
    <n v="2840"/>
    <n v="1930"/>
    <n v="17040"/>
    <n v="11580"/>
    <n v="5460"/>
    <s v="Rasel Sultana"/>
    <x v="8"/>
    <x v="5"/>
    <x v="9"/>
  </r>
  <r>
    <s v="ORD-00737"/>
    <x v="401"/>
    <s v="CUS-MYM-005"/>
    <s v="R08"/>
    <s v="ST-MYM-02"/>
    <x v="17"/>
    <s v="P018"/>
    <n v="3"/>
    <n v="0"/>
    <n v="5540"/>
    <n v="5"/>
    <x v="3"/>
    <s v="Lentil 1kg"/>
    <s v="Grocery"/>
    <n v="1710"/>
    <n v="1330"/>
    <n v="5130"/>
    <n v="3990"/>
    <n v="1140"/>
    <s v="Shamim Hossain"/>
    <x v="17"/>
    <x v="2"/>
    <x v="20"/>
  </r>
  <r>
    <s v="ORD-00738"/>
    <x v="90"/>
    <s v="CUS-KHL-004"/>
    <s v="R05"/>
    <s v="ST-KHL-05"/>
    <x v="24"/>
    <s v="P003"/>
    <n v="1"/>
    <n v="0.15"/>
    <n v="3096"/>
    <n v="3"/>
    <x v="17"/>
    <s v="Power Bank"/>
    <s v="Electronics"/>
    <n v="2840"/>
    <n v="1930"/>
    <n v="2840"/>
    <n v="1930"/>
    <n v="910"/>
    <s v="Rasel Akter"/>
    <x v="24"/>
    <x v="6"/>
    <x v="30"/>
  </r>
  <r>
    <s v="ORD-00739"/>
    <x v="402"/>
    <s v="CUS-RAN-005"/>
    <s v="R07"/>
    <s v="ST-RAN-03"/>
    <x v="0"/>
    <s v="P006"/>
    <n v="4"/>
    <n v="0.08"/>
    <n v="33120"/>
    <n v="2"/>
    <x v="18"/>
    <s v="Electric Kettle"/>
    <s v="Home Appliance"/>
    <n v="7200"/>
    <n v="5040"/>
    <n v="28800"/>
    <n v="20160"/>
    <n v="8640"/>
    <s v="Shakib Mia"/>
    <x v="0"/>
    <x v="0"/>
    <x v="26"/>
  </r>
  <r>
    <s v="ORD-00740"/>
    <x v="403"/>
    <s v="CUS-RAJ-004"/>
    <s v="R04"/>
    <s v="ST-RAJ-03"/>
    <x v="26"/>
    <s v="P002"/>
    <n v="1"/>
    <n v="0.08"/>
    <n v="3607"/>
    <n v="4"/>
    <x v="6"/>
    <s v="Wireless Mouse"/>
    <s v="Electronics"/>
    <n v="3340"/>
    <n v="2270"/>
    <n v="3340"/>
    <n v="2270"/>
    <n v="1070"/>
    <s v="Jannat Islam"/>
    <x v="26"/>
    <x v="1"/>
    <x v="18"/>
  </r>
  <r>
    <s v="ORD-00741"/>
    <x v="167"/>
    <s v="CUS-SYL-006"/>
    <s v="R03"/>
    <s v="ST-SYL-04"/>
    <x v="5"/>
    <s v="P008"/>
    <n v="3"/>
    <n v="0.1"/>
    <n v="7800"/>
    <n v="7"/>
    <x v="12"/>
    <s v="Blender Machine"/>
    <s v="Home Appliance"/>
    <n v="2430"/>
    <n v="1700"/>
    <n v="7290"/>
    <n v="5100"/>
    <n v="2190"/>
    <s v="Shamim Akter"/>
    <x v="5"/>
    <x v="3"/>
    <x v="21"/>
  </r>
  <r>
    <s v="ORD-00742"/>
    <x v="234"/>
    <s v="CUS-KHL-012"/>
    <s v="R05"/>
    <s v="ST-KHL-01"/>
    <x v="16"/>
    <s v="P044"/>
    <n v="6"/>
    <n v="0.03"/>
    <n v="14715"/>
    <n v="1"/>
    <x v="7"/>
    <s v="Color Pencil Set"/>
    <s v="Kids &amp; Toys"/>
    <n v="2250"/>
    <n v="1240"/>
    <n v="13500"/>
    <n v="7440"/>
    <n v="6060"/>
    <s v="Nayeem Chowdhury"/>
    <x v="16"/>
    <x v="6"/>
    <x v="24"/>
  </r>
  <r>
    <s v="ORD-00743"/>
    <x v="152"/>
    <s v="CUS-DHA-005"/>
    <s v="R01"/>
    <s v="ST-DHA-02"/>
    <x v="14"/>
    <s v="P003"/>
    <n v="5"/>
    <n v="0.08"/>
    <n v="15052"/>
    <n v="3"/>
    <x v="25"/>
    <s v="Power Bank"/>
    <s v="Electronics"/>
    <n v="2840"/>
    <n v="1930"/>
    <n v="14200"/>
    <n v="9650"/>
    <n v="4550"/>
    <s v="Imran Uddin"/>
    <x v="14"/>
    <x v="4"/>
    <x v="8"/>
  </r>
  <r>
    <s v="ORD-00744"/>
    <x v="122"/>
    <s v="CUS-KHL-005"/>
    <s v="R05"/>
    <s v="ST-KHL-01"/>
    <x v="16"/>
    <s v="P050"/>
    <n v="4"/>
    <n v="7.0000000000000007E-2"/>
    <n v="25593"/>
    <n v="6"/>
    <x v="16"/>
    <s v="Bedside Table"/>
    <s v="Furniture"/>
    <n v="5870"/>
    <n v="4230"/>
    <n v="23480"/>
    <n v="16920"/>
    <n v="6560"/>
    <s v="Sajib Hossain"/>
    <x v="16"/>
    <x v="6"/>
    <x v="24"/>
  </r>
  <r>
    <s v="ORD-00745"/>
    <x v="189"/>
    <s v="CUS-BAR-016"/>
    <s v="R06"/>
    <s v="ST-BAR-04"/>
    <x v="22"/>
    <s v="P028"/>
    <n v="3"/>
    <n v="7.0000000000000007E-2"/>
    <n v="10819"/>
    <n v="8"/>
    <x v="30"/>
    <s v="Ladies Sandal"/>
    <s v="Footwear"/>
    <n v="3220"/>
    <n v="1930"/>
    <n v="9660"/>
    <n v="5790"/>
    <n v="3870"/>
    <s v="Sajib Islam"/>
    <x v="22"/>
    <x v="5"/>
    <x v="12"/>
  </r>
  <r>
    <s v="ORD-00746"/>
    <x v="404"/>
    <s v="CUS-RAJ-013"/>
    <s v="R04"/>
    <s v="ST-RAJ-04"/>
    <x v="40"/>
    <s v="P014"/>
    <n v="3"/>
    <n v="0.05"/>
    <n v="2851"/>
    <n v="7"/>
    <x v="11"/>
    <s v="Denim Jeans"/>
    <s v="Fashion"/>
    <n v="880"/>
    <n v="480"/>
    <n v="2640"/>
    <n v="1440"/>
    <n v="1200"/>
    <s v="Imran Khan"/>
    <x v="40"/>
    <x v="1"/>
    <x v="1"/>
  </r>
  <r>
    <s v="ORD-00747"/>
    <x v="8"/>
    <s v="CUS-RAN-003"/>
    <s v="R07"/>
    <s v="ST-RAN-05"/>
    <x v="0"/>
    <s v="P011"/>
    <n v="4"/>
    <n v="0.05"/>
    <n v="8602"/>
    <n v="5"/>
    <x v="19"/>
    <s v="Cotton T-Shirt"/>
    <s v="Fashion"/>
    <n v="1870"/>
    <n v="1030"/>
    <n v="7480"/>
    <n v="4120"/>
    <n v="3360"/>
    <s v="Mim Sultana"/>
    <x v="0"/>
    <x v="0"/>
    <x v="39"/>
  </r>
  <r>
    <s v="ORD-00748"/>
    <x v="400"/>
    <s v="CUS-DHA-012"/>
    <s v="R01"/>
    <s v="ST-DHA-05"/>
    <x v="6"/>
    <s v="P047"/>
    <n v="2"/>
    <n v="7.0000000000000007E-2"/>
    <n v="24762"/>
    <n v="5"/>
    <x v="29"/>
    <s v="Study Table"/>
    <s v="Furniture"/>
    <n v="11680"/>
    <n v="8410"/>
    <n v="23360"/>
    <n v="16820"/>
    <n v="6540"/>
    <s v="Nayeem Rahman"/>
    <x v="6"/>
    <x v="4"/>
    <x v="15"/>
  </r>
  <r>
    <s v="ORD-00749"/>
    <x v="330"/>
    <s v="CUS-SYL-010"/>
    <s v="R03"/>
    <s v="ST-SYL-04"/>
    <x v="20"/>
    <s v="P039"/>
    <n v="1"/>
    <n v="0"/>
    <n v="1113"/>
    <n v="3"/>
    <x v="10"/>
    <s v="Marker Set"/>
    <s v="Stationery"/>
    <n v="1040"/>
    <n v="520"/>
    <n v="1040"/>
    <n v="520"/>
    <n v="520"/>
    <s v="Rahim Akter"/>
    <x v="20"/>
    <x v="3"/>
    <x v="21"/>
  </r>
  <r>
    <s v="ORD-00750"/>
    <x v="405"/>
    <s v="CUS-SYL-013"/>
    <s v="R03"/>
    <s v="ST-SYL-01"/>
    <x v="25"/>
    <s v="P048"/>
    <n v="1"/>
    <n v="0.03"/>
    <n v="5692"/>
    <n v="4"/>
    <x v="17"/>
    <s v="Shoe Rack"/>
    <s v="Furniture"/>
    <n v="5320"/>
    <n v="3830"/>
    <n v="5320"/>
    <n v="3830"/>
    <n v="1490"/>
    <s v="Rasel Islam"/>
    <x v="25"/>
    <x v="3"/>
    <x v="25"/>
  </r>
  <r>
    <s v="ORD-00751"/>
    <x v="406"/>
    <s v="CUS-CTG-016"/>
    <s v="R02"/>
    <s v="ST-CTG-05"/>
    <x v="23"/>
    <s v="P001"/>
    <n v="1"/>
    <n v="0.1"/>
    <n v="3694"/>
    <n v="7"/>
    <x v="12"/>
    <s v="Bluetooth Speaker"/>
    <s v="Electronics"/>
    <n v="3240"/>
    <n v="2200"/>
    <n v="3240"/>
    <n v="2200"/>
    <n v="1040"/>
    <s v="Arif Ahmed"/>
    <x v="23"/>
    <x v="7"/>
    <x v="31"/>
  </r>
  <r>
    <s v="ORD-00752"/>
    <x v="214"/>
    <s v="CUS-RAN-005"/>
    <s v="R07"/>
    <s v="ST-RAN-02"/>
    <x v="4"/>
    <s v="P032"/>
    <n v="2"/>
    <n v="7.0000000000000007E-2"/>
    <n v="8556"/>
    <n v="7"/>
    <x v="2"/>
    <s v="Football"/>
    <s v="Sports"/>
    <n v="3720"/>
    <n v="2310"/>
    <n v="7440"/>
    <n v="4620"/>
    <n v="2820"/>
    <s v="Shakib Mia"/>
    <x v="4"/>
    <x v="0"/>
    <x v="6"/>
  </r>
  <r>
    <s v="ORD-00753"/>
    <x v="244"/>
    <s v="CUS-MYM-021"/>
    <s v="R08"/>
    <s v="ST-MYM-01"/>
    <x v="3"/>
    <s v="P003"/>
    <n v="6"/>
    <n v="0.18"/>
    <n v="18403"/>
    <n v="4"/>
    <x v="19"/>
    <s v="Power Bank"/>
    <s v="Electronics"/>
    <n v="2840"/>
    <n v="1930"/>
    <n v="17040"/>
    <n v="11580"/>
    <n v="5460"/>
    <s v="Tania Islam"/>
    <x v="3"/>
    <x v="2"/>
    <x v="3"/>
  </r>
  <r>
    <s v="ORD-00754"/>
    <x v="399"/>
    <s v="CUS-DHA-013"/>
    <s v="R01"/>
    <s v="ST-DHA-04"/>
    <x v="35"/>
    <s v="P047"/>
    <n v="4"/>
    <n v="0.12"/>
    <n v="49523"/>
    <n v="2"/>
    <x v="24"/>
    <s v="Study Table"/>
    <s v="Furniture"/>
    <n v="11680"/>
    <n v="8410"/>
    <n v="46720"/>
    <n v="33640"/>
    <n v="13080"/>
    <s v="Arif Hossain"/>
    <x v="35"/>
    <x v="4"/>
    <x v="35"/>
  </r>
  <r>
    <s v="ORD-00755"/>
    <x v="163"/>
    <s v="CUS-KHL-023"/>
    <s v="R05"/>
    <s v="ST-KHL-02"/>
    <x v="24"/>
    <s v="P046"/>
    <n v="8"/>
    <n v="0.12"/>
    <n v="38194"/>
    <n v="2"/>
    <x v="24"/>
    <s v="Office Chair"/>
    <s v="Furniture"/>
    <n v="4380"/>
    <n v="3150"/>
    <n v="35040"/>
    <n v="25200"/>
    <n v="9840"/>
    <s v="Ayesha Ahmed"/>
    <x v="24"/>
    <x v="6"/>
    <x v="14"/>
  </r>
  <r>
    <s v="ORD-00756"/>
    <x v="309"/>
    <s v="CUS-RAJ-013"/>
    <s v="R04"/>
    <s v="ST-RAJ-05"/>
    <x v="1"/>
    <s v="P004"/>
    <n v="5"/>
    <n v="0.18"/>
    <n v="20898"/>
    <n v="7"/>
    <x v="23"/>
    <s v="Smart Watch"/>
    <s v="Electronics"/>
    <n v="3870"/>
    <n v="2630"/>
    <n v="19350"/>
    <n v="13150"/>
    <n v="6200"/>
    <s v="Imran Khan"/>
    <x v="1"/>
    <x v="1"/>
    <x v="38"/>
  </r>
  <r>
    <s v="ORD-00757"/>
    <x v="103"/>
    <s v="CUS-CTG-023"/>
    <s v="R02"/>
    <s v="ST-CTG-04"/>
    <x v="39"/>
    <s v="P007"/>
    <n v="5"/>
    <n v="0.1"/>
    <n v="42351"/>
    <n v="9"/>
    <x v="32"/>
    <s v="Rice Cooker"/>
    <s v="Home Appliance"/>
    <n v="7430"/>
    <n v="5200"/>
    <n v="37150"/>
    <n v="26000"/>
    <n v="11150"/>
    <s v="Imran Uddin"/>
    <x v="39"/>
    <x v="7"/>
    <x v="33"/>
  </r>
  <r>
    <s v="ORD-00758"/>
    <x v="407"/>
    <s v="CUS-RAN-007"/>
    <s v="R07"/>
    <s v="ST-RAN-03"/>
    <x v="7"/>
    <s v="P002"/>
    <n v="3"/>
    <n v="0.12"/>
    <n v="11523"/>
    <n v="7"/>
    <x v="12"/>
    <s v="Wireless Mouse"/>
    <s v="Electronics"/>
    <n v="3340"/>
    <n v="2270"/>
    <n v="10020"/>
    <n v="6810"/>
    <n v="3210"/>
    <s v="Hasan Rahman"/>
    <x v="7"/>
    <x v="0"/>
    <x v="26"/>
  </r>
  <r>
    <s v="ORD-00759"/>
    <x v="362"/>
    <s v="CUS-DHA-008"/>
    <s v="R01"/>
    <s v="ST-DHA-03"/>
    <x v="28"/>
    <s v="P017"/>
    <n v="1"/>
    <n v="0.03"/>
    <n v="392"/>
    <n v="2"/>
    <x v="15"/>
    <s v="Soybean Oil 5L"/>
    <s v="Grocery"/>
    <n v="370"/>
    <n v="290"/>
    <n v="370"/>
    <n v="290"/>
    <n v="80"/>
    <s v="Karim Islam"/>
    <x v="28"/>
    <x v="4"/>
    <x v="5"/>
  </r>
  <r>
    <s v="ORD-00760"/>
    <x v="408"/>
    <s v="CUS-DHA-008"/>
    <s v="R01"/>
    <s v="ST-DHA-03"/>
    <x v="44"/>
    <s v="P049"/>
    <n v="3"/>
    <n v="0.1"/>
    <n v="13451"/>
    <n v="5"/>
    <x v="29"/>
    <s v="Bookshelf"/>
    <s v="Furniture"/>
    <n v="4230"/>
    <n v="3050"/>
    <n v="12690"/>
    <n v="9150"/>
    <n v="3540"/>
    <s v="Karim Islam"/>
    <x v="44"/>
    <x v="4"/>
    <x v="5"/>
  </r>
  <r>
    <s v="ORD-00761"/>
    <x v="146"/>
    <s v="CUS-DHA-002"/>
    <s v="R01"/>
    <s v="ST-DHA-03"/>
    <x v="44"/>
    <s v="P046"/>
    <n v="10"/>
    <n v="7.0000000000000007E-2"/>
    <n v="46428"/>
    <n v="6"/>
    <x v="16"/>
    <s v="Office Chair"/>
    <s v="Furniture"/>
    <n v="4380"/>
    <n v="3150"/>
    <n v="43800"/>
    <n v="31500"/>
    <n v="12300"/>
    <s v="Tamanna Hossain"/>
    <x v="44"/>
    <x v="4"/>
    <x v="5"/>
  </r>
  <r>
    <s v="ORD-00762"/>
    <x v="213"/>
    <s v="CUS-BAR-025"/>
    <s v="R06"/>
    <s v="ST-BAR-04"/>
    <x v="10"/>
    <s v="P008"/>
    <n v="4"/>
    <n v="0.08"/>
    <n v="10886"/>
    <n v="6"/>
    <x v="16"/>
    <s v="Blender Machine"/>
    <s v="Home Appliance"/>
    <n v="2430"/>
    <n v="1700"/>
    <n v="9720"/>
    <n v="6800"/>
    <n v="2920"/>
    <s v="Fahim Khan"/>
    <x v="10"/>
    <x v="5"/>
    <x v="12"/>
  </r>
  <r>
    <s v="ORD-00763"/>
    <x v="123"/>
    <s v="CUS-BAR-014"/>
    <s v="R06"/>
    <s v="ST-BAR-05"/>
    <x v="47"/>
    <s v="P015"/>
    <n v="1"/>
    <n v="0.1"/>
    <n v="2934"/>
    <n v="1"/>
    <x v="13"/>
    <s v="Leather Belt"/>
    <s v="Fashion"/>
    <n v="2620"/>
    <n v="1440"/>
    <n v="2620"/>
    <n v="1440"/>
    <n v="1180"/>
    <s v="Rasel Ahmed"/>
    <x v="47"/>
    <x v="5"/>
    <x v="7"/>
  </r>
  <r>
    <s v="ORD-00764"/>
    <x v="76"/>
    <s v="CUS-DHA-010"/>
    <s v="R01"/>
    <s v="ST-DHA-02"/>
    <x v="28"/>
    <s v="P028"/>
    <n v="6"/>
    <n v="0.05"/>
    <n v="20479"/>
    <n v="3"/>
    <x v="25"/>
    <s v="Ladies Sandal"/>
    <s v="Footwear"/>
    <n v="3220"/>
    <n v="1930"/>
    <n v="19320"/>
    <n v="11580"/>
    <n v="7740"/>
    <s v="Shamim Khan"/>
    <x v="28"/>
    <x v="4"/>
    <x v="8"/>
  </r>
  <r>
    <s v="ORD-00765"/>
    <x v="409"/>
    <s v="CUS-RAJ-022"/>
    <s v="R04"/>
    <s v="ST-RAJ-02"/>
    <x v="30"/>
    <s v="P003"/>
    <n v="3"/>
    <n v="0.18"/>
    <n v="9202"/>
    <n v="2"/>
    <x v="10"/>
    <s v="Power Bank"/>
    <s v="Electronics"/>
    <n v="2840"/>
    <n v="1930"/>
    <n v="8520"/>
    <n v="5790"/>
    <n v="2730"/>
    <s v="Mehedi Khan"/>
    <x v="30"/>
    <x v="1"/>
    <x v="2"/>
  </r>
  <r>
    <s v="ORD-00766"/>
    <x v="410"/>
    <s v="CUS-BAR-015"/>
    <s v="R06"/>
    <s v="ST-BAR-02"/>
    <x v="33"/>
    <s v="P006"/>
    <n v="3"/>
    <n v="0.15"/>
    <n v="24192"/>
    <n v="4"/>
    <x v="3"/>
    <s v="Electric Kettle"/>
    <s v="Home Appliance"/>
    <n v="7200"/>
    <n v="5040"/>
    <n v="21600"/>
    <n v="15120"/>
    <n v="6480"/>
    <s v="Ayesha Ahmed"/>
    <x v="33"/>
    <x v="5"/>
    <x v="11"/>
  </r>
  <r>
    <s v="ORD-00767"/>
    <x v="107"/>
    <s v="CUS-RAJ-007"/>
    <s v="R04"/>
    <s v="ST-RAJ-05"/>
    <x v="40"/>
    <s v="P002"/>
    <n v="3"/>
    <n v="0.15"/>
    <n v="10822"/>
    <n v="4"/>
    <x v="3"/>
    <s v="Wireless Mouse"/>
    <s v="Electronics"/>
    <n v="3340"/>
    <n v="2270"/>
    <n v="10020"/>
    <n v="6810"/>
    <n v="3210"/>
    <s v="Nabila Khan"/>
    <x v="40"/>
    <x v="1"/>
    <x v="38"/>
  </r>
  <r>
    <s v="ORD-00768"/>
    <x v="411"/>
    <s v="CUS-KHL-018"/>
    <s v="R05"/>
    <s v="ST-KHL-01"/>
    <x v="24"/>
    <s v="P002"/>
    <n v="1"/>
    <n v="0.12"/>
    <n v="3641"/>
    <n v="3"/>
    <x v="21"/>
    <s v="Wireless Mouse"/>
    <s v="Electronics"/>
    <n v="3340"/>
    <n v="2270"/>
    <n v="3340"/>
    <n v="2270"/>
    <n v="1070"/>
    <s v="Ayesha Sultana"/>
    <x v="24"/>
    <x v="6"/>
    <x v="24"/>
  </r>
  <r>
    <s v="ORD-00769"/>
    <x v="159"/>
    <s v="CUS-SYL-003"/>
    <s v="R03"/>
    <s v="ST-SYL-03"/>
    <x v="5"/>
    <s v="P009"/>
    <n v="3"/>
    <n v="0.15"/>
    <n v="14638"/>
    <n v="5"/>
    <x v="5"/>
    <s v="Steam Iron"/>
    <s v="Home Appliance"/>
    <n v="4560"/>
    <n v="3190"/>
    <n v="13680"/>
    <n v="9570"/>
    <n v="4110"/>
    <s v="Farhana Khan"/>
    <x v="5"/>
    <x v="3"/>
    <x v="23"/>
  </r>
  <r>
    <s v="ORD-00770"/>
    <x v="41"/>
    <s v="CUS-KHL-025"/>
    <s v="R05"/>
    <s v="ST-KHL-04"/>
    <x v="13"/>
    <s v="P045"/>
    <n v="8"/>
    <n v="0.1"/>
    <n v="7325"/>
    <n v="5"/>
    <x v="29"/>
    <s v="Kids Story Book"/>
    <s v="Kids &amp; Toys"/>
    <n v="840"/>
    <n v="460"/>
    <n v="6720"/>
    <n v="3680"/>
    <n v="3040"/>
    <s v="Tanjim Khan"/>
    <x v="13"/>
    <x v="6"/>
    <x v="19"/>
  </r>
  <r>
    <s v="ORD-00771"/>
    <x v="213"/>
    <s v="CUS-DHA-012"/>
    <s v="R01"/>
    <s v="ST-DHA-03"/>
    <x v="6"/>
    <s v="P010"/>
    <n v="2"/>
    <n v="0.18"/>
    <n v="6593"/>
    <n v="6"/>
    <x v="11"/>
    <s v="Table Fan"/>
    <s v="Home Appliance"/>
    <n v="3110"/>
    <n v="2180"/>
    <n v="6220"/>
    <n v="4360"/>
    <n v="1860"/>
    <s v="Nayeem Rahman"/>
    <x v="6"/>
    <x v="4"/>
    <x v="5"/>
  </r>
  <r>
    <s v="ORD-00772"/>
    <x v="143"/>
    <s v="CUS-BAR-003"/>
    <s v="R06"/>
    <s v="ST-BAR-04"/>
    <x v="12"/>
    <s v="P012"/>
    <n v="3"/>
    <n v="0.03"/>
    <n v="6115"/>
    <n v="1"/>
    <x v="7"/>
    <s v="Formal Shirt"/>
    <s v="Fashion"/>
    <n v="1820"/>
    <n v="1000"/>
    <n v="5460"/>
    <n v="3000"/>
    <n v="2460"/>
    <s v="Arif Ahmed"/>
    <x v="12"/>
    <x v="5"/>
    <x v="12"/>
  </r>
  <r>
    <s v="ORD-00773"/>
    <x v="64"/>
    <s v="CUS-RAJ-023"/>
    <s v="R04"/>
    <s v="ST-RAJ-05"/>
    <x v="1"/>
    <s v="P003"/>
    <n v="2"/>
    <n v="0.18"/>
    <n v="6134"/>
    <n v="3"/>
    <x v="20"/>
    <s v="Power Bank"/>
    <s v="Electronics"/>
    <n v="2840"/>
    <n v="1930"/>
    <n v="5680"/>
    <n v="3860"/>
    <n v="1820"/>
    <s v="Hasan Ahmed"/>
    <x v="1"/>
    <x v="1"/>
    <x v="38"/>
  </r>
  <r>
    <s v="ORD-00774"/>
    <x v="412"/>
    <s v="CUS-RAN-015"/>
    <s v="R07"/>
    <s v="ST-RAN-01"/>
    <x v="42"/>
    <s v="P012"/>
    <n v="1"/>
    <n v="0.03"/>
    <n v="2093"/>
    <n v="6"/>
    <x v="4"/>
    <s v="Formal Shirt"/>
    <s v="Fashion"/>
    <n v="1820"/>
    <n v="1000"/>
    <n v="1820"/>
    <n v="1000"/>
    <n v="820"/>
    <s v="Shamim Uddin"/>
    <x v="42"/>
    <x v="0"/>
    <x v="0"/>
  </r>
  <r>
    <s v="ORD-00775"/>
    <x v="362"/>
    <s v="CUS-RAN-025"/>
    <s v="R07"/>
    <s v="ST-RAN-04"/>
    <x v="27"/>
    <s v="P010"/>
    <n v="4"/>
    <n v="0.15"/>
    <n v="14306"/>
    <n v="9"/>
    <x v="0"/>
    <s v="Table Fan"/>
    <s v="Home Appliance"/>
    <n v="3110"/>
    <n v="2180"/>
    <n v="12440"/>
    <n v="8720"/>
    <n v="3720"/>
    <s v="Samiha Islam"/>
    <x v="27"/>
    <x v="0"/>
    <x v="13"/>
  </r>
  <r>
    <s v="ORD-00776"/>
    <x v="413"/>
    <s v="CUS-CTG-009"/>
    <s v="R02"/>
    <s v="ST-CTG-04"/>
    <x v="41"/>
    <s v="P018"/>
    <n v="1"/>
    <n v="0.03"/>
    <n v="1949"/>
    <n v="8"/>
    <x v="23"/>
    <s v="Lentil 1kg"/>
    <s v="Grocery"/>
    <n v="1710"/>
    <n v="1330"/>
    <n v="1710"/>
    <n v="1330"/>
    <n v="380"/>
    <s v="Mim Hossain"/>
    <x v="41"/>
    <x v="7"/>
    <x v="33"/>
  </r>
  <r>
    <s v="ORD-00777"/>
    <x v="331"/>
    <s v="CUS-DHA-020"/>
    <s v="R01"/>
    <s v="ST-DHA-04"/>
    <x v="44"/>
    <s v="P046"/>
    <n v="4"/>
    <n v="0.1"/>
    <n v="18571"/>
    <n v="4"/>
    <x v="6"/>
    <s v="Office Chair"/>
    <s v="Furniture"/>
    <n v="4380"/>
    <n v="3150"/>
    <n v="17520"/>
    <n v="12600"/>
    <n v="4920"/>
    <s v="Tanjim Ahmed"/>
    <x v="44"/>
    <x v="4"/>
    <x v="35"/>
  </r>
  <r>
    <s v="ORD-00778"/>
    <x v="256"/>
    <s v="CUS-DHA-025"/>
    <s v="R01"/>
    <s v="ST-DHA-04"/>
    <x v="14"/>
    <s v="P005"/>
    <n v="1"/>
    <n v="0.08"/>
    <n v="5183"/>
    <n v="3"/>
    <x v="25"/>
    <s v="USB-C Hub"/>
    <s v="Electronics"/>
    <n v="4890"/>
    <n v="3330"/>
    <n v="4890"/>
    <n v="3330"/>
    <n v="1560"/>
    <s v="Nabila Sultana"/>
    <x v="14"/>
    <x v="4"/>
    <x v="35"/>
  </r>
  <r>
    <s v="ORD-00779"/>
    <x v="414"/>
    <s v="CUS-KHL-013"/>
    <s v="R05"/>
    <s v="ST-KHL-01"/>
    <x v="16"/>
    <s v="P041"/>
    <n v="7"/>
    <n v="0.05"/>
    <n v="6409"/>
    <n v="2"/>
    <x v="15"/>
    <s v="Building Blocks"/>
    <s v="Kids &amp; Toys"/>
    <n v="840"/>
    <n v="460"/>
    <n v="5880"/>
    <n v="3220"/>
    <n v="2660"/>
    <s v="Fahim Khan"/>
    <x v="16"/>
    <x v="6"/>
    <x v="24"/>
  </r>
  <r>
    <s v="ORD-00780"/>
    <x v="415"/>
    <s v="CUS-DHA-003"/>
    <s v="R01"/>
    <s v="ST-DHA-04"/>
    <x v="14"/>
    <s v="P048"/>
    <n v="1"/>
    <n v="7.0000000000000007E-2"/>
    <n v="5639"/>
    <n v="3"/>
    <x v="25"/>
    <s v="Shoe Rack"/>
    <s v="Furniture"/>
    <n v="5320"/>
    <n v="3830"/>
    <n v="5320"/>
    <n v="3830"/>
    <n v="1490"/>
    <s v="Tania Chowdhury"/>
    <x v="14"/>
    <x v="4"/>
    <x v="35"/>
  </r>
  <r>
    <s v="ORD-00781"/>
    <x v="306"/>
    <s v="CUS-RAN-016"/>
    <s v="R07"/>
    <s v="ST-RAN-04"/>
    <x v="21"/>
    <s v="P028"/>
    <n v="8"/>
    <n v="0.1"/>
    <n v="29624"/>
    <n v="4"/>
    <x v="6"/>
    <s v="Ladies Sandal"/>
    <s v="Footwear"/>
    <n v="3220"/>
    <n v="1930"/>
    <n v="25760"/>
    <n v="15440"/>
    <n v="10320"/>
    <s v="Tamanna Mia"/>
    <x v="21"/>
    <x v="0"/>
    <x v="13"/>
  </r>
  <r>
    <s v="ORD-00782"/>
    <x v="198"/>
    <s v="CUS-RAN-001"/>
    <s v="R07"/>
    <s v="ST-RAN-05"/>
    <x v="21"/>
    <s v="P004"/>
    <n v="2"/>
    <n v="0.12"/>
    <n v="8901"/>
    <n v="8"/>
    <x v="27"/>
    <s v="Smart Watch"/>
    <s v="Electronics"/>
    <n v="3870"/>
    <n v="2630"/>
    <n v="7740"/>
    <n v="5260"/>
    <n v="2480"/>
    <s v="Jannat Khan"/>
    <x v="21"/>
    <x v="0"/>
    <x v="39"/>
  </r>
  <r>
    <s v="ORD-00783"/>
    <x v="296"/>
    <s v="CUS-DHA-005"/>
    <s v="R01"/>
    <s v="ST-DHA-04"/>
    <x v="28"/>
    <s v="P014"/>
    <n v="1"/>
    <n v="0.1"/>
    <n v="933"/>
    <n v="2"/>
    <x v="24"/>
    <s v="Denim Jeans"/>
    <s v="Fashion"/>
    <n v="880"/>
    <n v="480"/>
    <n v="880"/>
    <n v="480"/>
    <n v="400"/>
    <s v="Imran Uddin"/>
    <x v="28"/>
    <x v="4"/>
    <x v="35"/>
  </r>
  <r>
    <s v="ORD-00784"/>
    <x v="227"/>
    <s v="CUS-MYM-005"/>
    <s v="R08"/>
    <s v="ST-MYM-04"/>
    <x v="43"/>
    <s v="P048"/>
    <n v="3"/>
    <n v="0.05"/>
    <n v="17237"/>
    <n v="9"/>
    <x v="9"/>
    <s v="Shoe Rack"/>
    <s v="Furniture"/>
    <n v="5320"/>
    <n v="3830"/>
    <n v="15960"/>
    <n v="11490"/>
    <n v="4470"/>
    <s v="Shamim Hossain"/>
    <x v="43"/>
    <x v="2"/>
    <x v="34"/>
  </r>
  <r>
    <s v="ORD-00785"/>
    <x v="259"/>
    <s v="CUS-RAN-023"/>
    <s v="R07"/>
    <s v="ST-RAN-05"/>
    <x v="27"/>
    <s v="P022"/>
    <n v="2"/>
    <n v="0.05"/>
    <n v="3818"/>
    <n v="8"/>
    <x v="30"/>
    <s v="Shampoo 375ml"/>
    <s v="Beauty &amp; Personal Care"/>
    <n v="1660"/>
    <n v="960"/>
    <n v="3320"/>
    <n v="1920"/>
    <n v="1400"/>
    <s v="Farhana Ahmed"/>
    <x v="27"/>
    <x v="0"/>
    <x v="39"/>
  </r>
  <r>
    <s v="ORD-00786"/>
    <x v="52"/>
    <s v="CUS-DHA-012"/>
    <s v="R01"/>
    <s v="ST-DHA-03"/>
    <x v="44"/>
    <s v="P006"/>
    <n v="3"/>
    <n v="0.08"/>
    <n v="22896"/>
    <n v="4"/>
    <x v="6"/>
    <s v="Electric Kettle"/>
    <s v="Home Appliance"/>
    <n v="7200"/>
    <n v="5040"/>
    <n v="21600"/>
    <n v="15120"/>
    <n v="6480"/>
    <s v="Nayeem Rahman"/>
    <x v="44"/>
    <x v="4"/>
    <x v="5"/>
  </r>
  <r>
    <s v="ORD-00787"/>
    <x v="282"/>
    <s v="CUS-MYM-021"/>
    <s v="R08"/>
    <s v="ST-MYM-04"/>
    <x v="19"/>
    <s v="P010"/>
    <n v="6"/>
    <n v="0.18"/>
    <n v="20153"/>
    <n v="8"/>
    <x v="9"/>
    <s v="Table Fan"/>
    <s v="Home Appliance"/>
    <n v="3110"/>
    <n v="2180"/>
    <n v="18660"/>
    <n v="13080"/>
    <n v="5580"/>
    <s v="Tania Islam"/>
    <x v="19"/>
    <x v="2"/>
    <x v="34"/>
  </r>
  <r>
    <s v="ORD-00788"/>
    <x v="207"/>
    <s v="CUS-SYL-015"/>
    <s v="R03"/>
    <s v="ST-SYL-04"/>
    <x v="38"/>
    <s v="P004"/>
    <n v="3"/>
    <n v="0.15"/>
    <n v="12423"/>
    <n v="3"/>
    <x v="17"/>
    <s v="Smart Watch"/>
    <s v="Electronics"/>
    <n v="3870"/>
    <n v="2630"/>
    <n v="11610"/>
    <n v="7890"/>
    <n v="3720"/>
    <s v="Sadia Sultana"/>
    <x v="38"/>
    <x v="3"/>
    <x v="21"/>
  </r>
  <r>
    <s v="ORD-00789"/>
    <x v="386"/>
    <s v="CUS-KHL-022"/>
    <s v="R05"/>
    <s v="ST-KHL-04"/>
    <x v="13"/>
    <s v="P006"/>
    <n v="10"/>
    <n v="0.08"/>
    <n v="78480"/>
    <n v="4"/>
    <x v="6"/>
    <s v="Electric Kettle"/>
    <s v="Home Appliance"/>
    <n v="7200"/>
    <n v="5040"/>
    <n v="72000"/>
    <n v="50400"/>
    <n v="21600"/>
    <s v="Samiha Sultana"/>
    <x v="13"/>
    <x v="6"/>
    <x v="19"/>
  </r>
  <r>
    <s v="ORD-00790"/>
    <x v="9"/>
    <s v="CUS-RAN-004"/>
    <s v="R07"/>
    <s v="ST-RAN-04"/>
    <x v="0"/>
    <s v="P033"/>
    <n v="5"/>
    <n v="0.12"/>
    <n v="17825"/>
    <n v="4"/>
    <x v="6"/>
    <s v="Badminton Racket"/>
    <s v="Sports"/>
    <n v="3100"/>
    <n v="1920"/>
    <n v="15500"/>
    <n v="9600"/>
    <n v="5900"/>
    <s v="Sadia Sultana"/>
    <x v="0"/>
    <x v="0"/>
    <x v="13"/>
  </r>
  <r>
    <s v="ORD-00791"/>
    <x v="399"/>
    <s v="CUS-DHA-022"/>
    <s v="R01"/>
    <s v="ST-DHA-03"/>
    <x v="6"/>
    <s v="P004"/>
    <n v="3"/>
    <n v="0.1"/>
    <n v="12307"/>
    <n v="5"/>
    <x v="29"/>
    <s v="Smart Watch"/>
    <s v="Electronics"/>
    <n v="3870"/>
    <n v="2630"/>
    <n v="11610"/>
    <n v="7890"/>
    <n v="3720"/>
    <s v="Arif Rahman"/>
    <x v="6"/>
    <x v="4"/>
    <x v="5"/>
  </r>
  <r>
    <s v="ORD-00792"/>
    <x v="352"/>
    <s v="CUS-BAR-015"/>
    <s v="R06"/>
    <s v="ST-BAR-04"/>
    <x v="10"/>
    <s v="P029"/>
    <n v="1"/>
    <n v="7.0000000000000007E-2"/>
    <n v="3002"/>
    <n v="2"/>
    <x v="18"/>
    <s v="Kids Sneaker"/>
    <s v="Footwear"/>
    <n v="2680"/>
    <n v="1610"/>
    <n v="2680"/>
    <n v="1610"/>
    <n v="1070"/>
    <s v="Ayesha Ahmed"/>
    <x v="10"/>
    <x v="5"/>
    <x v="12"/>
  </r>
  <r>
    <s v="ORD-00793"/>
    <x v="93"/>
    <s v="CUS-RAJ-017"/>
    <s v="R04"/>
    <s v="ST-RAJ-03"/>
    <x v="26"/>
    <s v="P042"/>
    <n v="2"/>
    <n v="0.1"/>
    <n v="3931"/>
    <n v="4"/>
    <x v="6"/>
    <s v="Toy Car Set"/>
    <s v="Kids &amp; Toys"/>
    <n v="1820"/>
    <n v="1000"/>
    <n v="3640"/>
    <n v="2000"/>
    <n v="1640"/>
    <s v="Mim Chowdhury"/>
    <x v="26"/>
    <x v="1"/>
    <x v="18"/>
  </r>
  <r>
    <s v="ORD-00794"/>
    <x v="217"/>
    <s v="CUS-RAN-002"/>
    <s v="R07"/>
    <s v="ST-RAN-01"/>
    <x v="7"/>
    <s v="P003"/>
    <n v="5"/>
    <n v="0.18"/>
    <n v="16330"/>
    <n v="6"/>
    <x v="11"/>
    <s v="Power Bank"/>
    <s v="Electronics"/>
    <n v="2840"/>
    <n v="1930"/>
    <n v="14200"/>
    <n v="9650"/>
    <n v="4550"/>
    <s v="Rumana Akter"/>
    <x v="7"/>
    <x v="0"/>
    <x v="0"/>
  </r>
  <r>
    <s v="ORD-00795"/>
    <x v="285"/>
    <s v="CUS-BAR-011"/>
    <s v="R06"/>
    <s v="ST-BAR-02"/>
    <x v="12"/>
    <s v="P050"/>
    <n v="3"/>
    <n v="0.1"/>
    <n v="19723"/>
    <n v="8"/>
    <x v="27"/>
    <s v="Bedside Table"/>
    <s v="Furniture"/>
    <n v="5870"/>
    <n v="4230"/>
    <n v="17610"/>
    <n v="12690"/>
    <n v="4920"/>
    <s v="Ayesha Islam"/>
    <x v="12"/>
    <x v="5"/>
    <x v="11"/>
  </r>
  <r>
    <s v="ORD-00796"/>
    <x v="396"/>
    <s v="CUS-DHA-019"/>
    <s v="R01"/>
    <s v="ST-DHA-04"/>
    <x v="28"/>
    <s v="P046"/>
    <n v="8"/>
    <n v="0.05"/>
    <n v="37142"/>
    <n v="6"/>
    <x v="4"/>
    <s v="Office Chair"/>
    <s v="Furniture"/>
    <n v="4380"/>
    <n v="3150"/>
    <n v="35040"/>
    <n v="25200"/>
    <n v="9840"/>
    <s v="Sadia Islam"/>
    <x v="28"/>
    <x v="4"/>
    <x v="35"/>
  </r>
  <r>
    <s v="ORD-00797"/>
    <x v="386"/>
    <s v="CUS-RAN-011"/>
    <s v="R07"/>
    <s v="ST-RAN-05"/>
    <x v="27"/>
    <s v="P011"/>
    <n v="4"/>
    <n v="0.12"/>
    <n v="8602"/>
    <n v="8"/>
    <x v="27"/>
    <s v="Cotton T-Shirt"/>
    <s v="Fashion"/>
    <n v="1870"/>
    <n v="1030"/>
    <n v="7480"/>
    <n v="4120"/>
    <n v="3360"/>
    <s v="Arif Akter"/>
    <x v="27"/>
    <x v="0"/>
    <x v="39"/>
  </r>
  <r>
    <s v="ORD-00798"/>
    <x v="94"/>
    <s v="CUS-RAN-025"/>
    <s v="R07"/>
    <s v="ST-RAN-03"/>
    <x v="21"/>
    <s v="P003"/>
    <n v="1"/>
    <n v="0.08"/>
    <n v="3266"/>
    <n v="8"/>
    <x v="30"/>
    <s v="Power Bank"/>
    <s v="Electronics"/>
    <n v="2840"/>
    <n v="1930"/>
    <n v="2840"/>
    <n v="1930"/>
    <n v="910"/>
    <s v="Samiha Islam"/>
    <x v="21"/>
    <x v="0"/>
    <x v="26"/>
  </r>
  <r>
    <s v="ORD-00799"/>
    <x v="107"/>
    <s v="CUS-DHA-014"/>
    <s v="R01"/>
    <s v="ST-DHA-01"/>
    <x v="35"/>
    <s v="P034"/>
    <n v="1"/>
    <n v="0.12"/>
    <n v="2894"/>
    <n v="3"/>
    <x v="21"/>
    <s v="Yoga Mat"/>
    <s v="Sports"/>
    <n v="2730"/>
    <n v="1690"/>
    <n v="2730"/>
    <n v="1690"/>
    <n v="1040"/>
    <s v="Shaila Ahmed"/>
    <x v="35"/>
    <x v="4"/>
    <x v="29"/>
  </r>
  <r>
    <s v="ORD-00800"/>
    <x v="180"/>
    <s v="CUS-RAN-001"/>
    <s v="R07"/>
    <s v="ST-RAN-02"/>
    <x v="4"/>
    <s v="P024"/>
    <n v="1"/>
    <n v="0.05"/>
    <n v="1621"/>
    <n v="6"/>
    <x v="4"/>
    <s v="Toothpaste Twin Pack"/>
    <s v="Beauty &amp; Personal Care"/>
    <n v="1410"/>
    <n v="820"/>
    <n v="1410"/>
    <n v="820"/>
    <n v="590"/>
    <s v="Jannat Khan"/>
    <x v="4"/>
    <x v="0"/>
    <x v="6"/>
  </r>
  <r>
    <s v="ORD-00801"/>
    <x v="416"/>
    <s v="CUS-KHL-007"/>
    <s v="R05"/>
    <s v="ST-KHL-05"/>
    <x v="36"/>
    <s v="P031"/>
    <n v="4"/>
    <n v="0.03"/>
    <n v="11510"/>
    <n v="2"/>
    <x v="15"/>
    <s v="Cricket Bat"/>
    <s v="Sports"/>
    <n v="2640"/>
    <n v="1640"/>
    <n v="10560"/>
    <n v="6560"/>
    <n v="4000"/>
    <s v="Mahmud Chowdhury"/>
    <x v="36"/>
    <x v="6"/>
    <x v="30"/>
  </r>
  <r>
    <s v="ORD-00802"/>
    <x v="329"/>
    <s v="CUS-DHA-021"/>
    <s v="R01"/>
    <s v="ST-DHA-05"/>
    <x v="44"/>
    <s v="P002"/>
    <n v="1"/>
    <n v="0.12"/>
    <n v="3540"/>
    <n v="6"/>
    <x v="28"/>
    <s v="Wireless Mouse"/>
    <s v="Electronics"/>
    <n v="3340"/>
    <n v="2270"/>
    <n v="3340"/>
    <n v="2270"/>
    <n v="1070"/>
    <s v="Tanjim Chowdhury"/>
    <x v="44"/>
    <x v="4"/>
    <x v="15"/>
  </r>
  <r>
    <s v="ORD-00803"/>
    <x v="331"/>
    <s v="CUS-KHL-006"/>
    <s v="R05"/>
    <s v="ST-KHL-01"/>
    <x v="45"/>
    <s v="P014"/>
    <n v="6"/>
    <n v="0.05"/>
    <n v="5755"/>
    <n v="1"/>
    <x v="7"/>
    <s v="Denim Jeans"/>
    <s v="Fashion"/>
    <n v="880"/>
    <n v="480"/>
    <n v="5280"/>
    <n v="2880"/>
    <n v="2400"/>
    <s v="Sadia Ahmed"/>
    <x v="45"/>
    <x v="6"/>
    <x v="24"/>
  </r>
  <r>
    <s v="ORD-00804"/>
    <x v="109"/>
    <s v="CUS-DHA-014"/>
    <s v="R01"/>
    <s v="ST-DHA-01"/>
    <x v="6"/>
    <s v="P048"/>
    <n v="2"/>
    <n v="0.1"/>
    <n v="11278"/>
    <n v="5"/>
    <x v="29"/>
    <s v="Shoe Rack"/>
    <s v="Furniture"/>
    <n v="5320"/>
    <n v="3830"/>
    <n v="10640"/>
    <n v="7660"/>
    <n v="2980"/>
    <s v="Shaila Ahmed"/>
    <x v="6"/>
    <x v="4"/>
    <x v="29"/>
  </r>
  <r>
    <s v="ORD-00805"/>
    <x v="355"/>
    <s v="CUS-BAR-021"/>
    <s v="R06"/>
    <s v="ST-BAR-04"/>
    <x v="8"/>
    <s v="P004"/>
    <n v="6"/>
    <n v="0.18"/>
    <n v="26006"/>
    <n v="3"/>
    <x v="20"/>
    <s v="Smart Watch"/>
    <s v="Electronics"/>
    <n v="3870"/>
    <n v="2630"/>
    <n v="23220"/>
    <n v="15780"/>
    <n v="7440"/>
    <s v="Rafi Khan"/>
    <x v="8"/>
    <x v="5"/>
    <x v="12"/>
  </r>
  <r>
    <s v="ORD-00806"/>
    <x v="354"/>
    <s v="CUS-CTG-011"/>
    <s v="R02"/>
    <s v="ST-CTG-03"/>
    <x v="39"/>
    <s v="P050"/>
    <n v="1"/>
    <n v="7.0000000000000007E-2"/>
    <n v="6692"/>
    <n v="4"/>
    <x v="20"/>
    <s v="Bedside Table"/>
    <s v="Furniture"/>
    <n v="5870"/>
    <n v="4230"/>
    <n v="5870"/>
    <n v="4230"/>
    <n v="1640"/>
    <s v="Rasel Uddin"/>
    <x v="39"/>
    <x v="7"/>
    <x v="16"/>
  </r>
  <r>
    <s v="ORD-00807"/>
    <x v="417"/>
    <s v="CUS-CTG-007"/>
    <s v="R02"/>
    <s v="ST-CTG-05"/>
    <x v="41"/>
    <s v="P017"/>
    <n v="3"/>
    <n v="0.02"/>
    <n v="1265"/>
    <n v="5"/>
    <x v="3"/>
    <s v="Soybean Oil 5L"/>
    <s v="Grocery"/>
    <n v="370"/>
    <n v="290"/>
    <n v="1110"/>
    <n v="870"/>
    <n v="240"/>
    <s v="Mehedi Khan"/>
    <x v="41"/>
    <x v="7"/>
    <x v="31"/>
  </r>
  <r>
    <s v="ORD-00808"/>
    <x v="334"/>
    <s v="CUS-RAJ-001"/>
    <s v="R04"/>
    <s v="ST-RAJ-03"/>
    <x v="46"/>
    <s v="P004"/>
    <n v="2"/>
    <n v="0.15"/>
    <n v="8359"/>
    <n v="6"/>
    <x v="28"/>
    <s v="Smart Watch"/>
    <s v="Electronics"/>
    <n v="3870"/>
    <n v="2630"/>
    <n v="7740"/>
    <n v="5260"/>
    <n v="2480"/>
    <s v="Mehedi Mia"/>
    <x v="46"/>
    <x v="1"/>
    <x v="18"/>
  </r>
  <r>
    <s v="ORD-00809"/>
    <x v="138"/>
    <s v="CUS-RAJ-003"/>
    <s v="R04"/>
    <s v="ST-RAJ-03"/>
    <x v="30"/>
    <s v="P018"/>
    <n v="2"/>
    <n v="0.05"/>
    <n v="3694"/>
    <n v="1"/>
    <x v="7"/>
    <s v="Lentil 1kg"/>
    <s v="Grocery"/>
    <n v="1710"/>
    <n v="1330"/>
    <n v="3420"/>
    <n v="2660"/>
    <n v="760"/>
    <s v="Morshed Rahman"/>
    <x v="30"/>
    <x v="1"/>
    <x v="18"/>
  </r>
  <r>
    <s v="ORD-00810"/>
    <x v="351"/>
    <s v="CUS-RAJ-009"/>
    <s v="R04"/>
    <s v="ST-RAJ-02"/>
    <x v="46"/>
    <s v="P028"/>
    <n v="8"/>
    <n v="0.03"/>
    <n v="27821"/>
    <n v="6"/>
    <x v="4"/>
    <s v="Ladies Sandal"/>
    <s v="Footwear"/>
    <n v="3220"/>
    <n v="1930"/>
    <n v="25760"/>
    <n v="15440"/>
    <n v="10320"/>
    <s v="Nayeem Hossain"/>
    <x v="46"/>
    <x v="1"/>
    <x v="2"/>
  </r>
  <r>
    <s v="ORD-00811"/>
    <x v="208"/>
    <s v="CUS-KHL-006"/>
    <s v="R05"/>
    <s v="ST-KHL-02"/>
    <x v="13"/>
    <s v="P014"/>
    <n v="4"/>
    <n v="7.0000000000000007E-2"/>
    <n v="3837"/>
    <n v="4"/>
    <x v="20"/>
    <s v="Denim Jeans"/>
    <s v="Fashion"/>
    <n v="880"/>
    <n v="480"/>
    <n v="3520"/>
    <n v="1920"/>
    <n v="1600"/>
    <s v="Sadia Ahmed"/>
    <x v="13"/>
    <x v="6"/>
    <x v="14"/>
  </r>
  <r>
    <s v="ORD-00812"/>
    <x v="302"/>
    <s v="CUS-RAN-014"/>
    <s v="R07"/>
    <s v="ST-RAN-02"/>
    <x v="21"/>
    <s v="P008"/>
    <n v="2"/>
    <n v="0.18"/>
    <n v="5589"/>
    <n v="6"/>
    <x v="11"/>
    <s v="Blender Machine"/>
    <s v="Home Appliance"/>
    <n v="2430"/>
    <n v="1700"/>
    <n v="4860"/>
    <n v="3400"/>
    <n v="1460"/>
    <s v="Samiha Uddin"/>
    <x v="21"/>
    <x v="0"/>
    <x v="6"/>
  </r>
  <r>
    <s v="ORD-00813"/>
    <x v="282"/>
    <s v="CUS-KHL-019"/>
    <s v="R05"/>
    <s v="ST-KHL-04"/>
    <x v="16"/>
    <s v="P022"/>
    <n v="2"/>
    <n v="0.05"/>
    <n v="3619"/>
    <n v="4"/>
    <x v="20"/>
    <s v="Shampoo 375ml"/>
    <s v="Beauty &amp; Personal Care"/>
    <n v="1660"/>
    <n v="960"/>
    <n v="3320"/>
    <n v="1920"/>
    <n v="1400"/>
    <s v="Ayesha Uddin"/>
    <x v="16"/>
    <x v="6"/>
    <x v="19"/>
  </r>
  <r>
    <s v="ORD-00814"/>
    <x v="405"/>
    <s v="CUS-SYL-012"/>
    <s v="R03"/>
    <s v="ST-SYL-02"/>
    <x v="34"/>
    <s v="P004"/>
    <n v="2"/>
    <n v="0.12"/>
    <n v="8282"/>
    <n v="1"/>
    <x v="1"/>
    <s v="Smart Watch"/>
    <s v="Electronics"/>
    <n v="3870"/>
    <n v="2630"/>
    <n v="7740"/>
    <n v="5260"/>
    <n v="2480"/>
    <s v="Tamanna Rahman"/>
    <x v="34"/>
    <x v="3"/>
    <x v="32"/>
  </r>
  <r>
    <s v="ORD-00815"/>
    <x v="373"/>
    <s v="CUS-CTG-001"/>
    <s v="R02"/>
    <s v="ST-CTG-03"/>
    <x v="37"/>
    <s v="P001"/>
    <n v="3"/>
    <n v="0.12"/>
    <n v="11081"/>
    <n v="7"/>
    <x v="12"/>
    <s v="Bluetooth Speaker"/>
    <s v="Electronics"/>
    <n v="3240"/>
    <n v="2200"/>
    <n v="9720"/>
    <n v="6600"/>
    <n v="3120"/>
    <s v="Shaila Sultana"/>
    <x v="37"/>
    <x v="7"/>
    <x v="16"/>
  </r>
  <r>
    <s v="ORD-00816"/>
    <x v="77"/>
    <s v="CUS-RAN-010"/>
    <s v="R07"/>
    <s v="ST-RAN-05"/>
    <x v="27"/>
    <s v="P016"/>
    <n v="5"/>
    <n v="0"/>
    <n v="6382"/>
    <n v="5"/>
    <x v="3"/>
    <s v="Premium Rice 5kg"/>
    <s v="Grocery"/>
    <n v="1110"/>
    <n v="870"/>
    <n v="5550"/>
    <n v="4350"/>
    <n v="1200"/>
    <s v="Farhana Hossain"/>
    <x v="27"/>
    <x v="0"/>
    <x v="39"/>
  </r>
  <r>
    <s v="ORD-00817"/>
    <x v="223"/>
    <s v="CUS-RAN-022"/>
    <s v="R07"/>
    <s v="ST-RAN-04"/>
    <x v="42"/>
    <s v="P037"/>
    <n v="1"/>
    <n v="0.05"/>
    <n v="391"/>
    <n v="1"/>
    <x v="7"/>
    <s v="Ball Pen Box"/>
    <s v="Stationery"/>
    <n v="340"/>
    <n v="170"/>
    <n v="340"/>
    <n v="170"/>
    <n v="170"/>
    <s v="Shakib Islam"/>
    <x v="42"/>
    <x v="0"/>
    <x v="13"/>
  </r>
  <r>
    <s v="ORD-00818"/>
    <x v="267"/>
    <s v="CUS-RAN-004"/>
    <s v="R07"/>
    <s v="ST-RAN-01"/>
    <x v="4"/>
    <s v="P004"/>
    <n v="3"/>
    <n v="0.18"/>
    <n v="13351"/>
    <n v="6"/>
    <x v="11"/>
    <s v="Smart Watch"/>
    <s v="Electronics"/>
    <n v="3870"/>
    <n v="2630"/>
    <n v="11610"/>
    <n v="7890"/>
    <n v="3720"/>
    <s v="Sadia Sultana"/>
    <x v="4"/>
    <x v="0"/>
    <x v="0"/>
  </r>
  <r>
    <s v="ORD-00819"/>
    <x v="58"/>
    <s v="CUS-DHA-010"/>
    <s v="R01"/>
    <s v="ST-DHA-01"/>
    <x v="35"/>
    <s v="P035"/>
    <n v="6"/>
    <n v="7.0000000000000007E-2"/>
    <n v="7060"/>
    <n v="5"/>
    <x v="29"/>
    <s v="Dumbbell Set"/>
    <s v="Sports"/>
    <n v="1110"/>
    <n v="690"/>
    <n v="6660"/>
    <n v="4140"/>
    <n v="2520"/>
    <s v="Shamim Khan"/>
    <x v="35"/>
    <x v="4"/>
    <x v="29"/>
  </r>
  <r>
    <s v="ORD-00820"/>
    <x v="249"/>
    <s v="CUS-DHA-018"/>
    <s v="R01"/>
    <s v="ST-DHA-05"/>
    <x v="44"/>
    <s v="P008"/>
    <n v="1"/>
    <n v="0.08"/>
    <n v="2576"/>
    <n v="7"/>
    <x v="2"/>
    <s v="Blender Machine"/>
    <s v="Home Appliance"/>
    <n v="2430"/>
    <n v="1700"/>
    <n v="2430"/>
    <n v="1700"/>
    <n v="730"/>
    <s v="Rafi Khan"/>
    <x v="44"/>
    <x v="4"/>
    <x v="15"/>
  </r>
  <r>
    <s v="ORD-00821"/>
    <x v="418"/>
    <s v="CUS-RAN-024"/>
    <s v="R07"/>
    <s v="ST-RAN-03"/>
    <x v="42"/>
    <s v="P007"/>
    <n v="4"/>
    <n v="0.12"/>
    <n v="34178"/>
    <n v="7"/>
    <x v="12"/>
    <s v="Rice Cooker"/>
    <s v="Home Appliance"/>
    <n v="7430"/>
    <n v="5200"/>
    <n v="29720"/>
    <n v="20800"/>
    <n v="8920"/>
    <s v="Shuvo Hossain"/>
    <x v="42"/>
    <x v="0"/>
    <x v="26"/>
  </r>
  <r>
    <s v="ORD-00822"/>
    <x v="317"/>
    <s v="CUS-KHL-023"/>
    <s v="R05"/>
    <s v="ST-KHL-04"/>
    <x v="24"/>
    <s v="P040"/>
    <n v="5"/>
    <n v="0"/>
    <n v="4142"/>
    <n v="3"/>
    <x v="10"/>
    <s v="Sticky Notes"/>
    <s v="Stationery"/>
    <n v="760"/>
    <n v="380"/>
    <n v="3800"/>
    <n v="1900"/>
    <n v="1900"/>
    <s v="Ayesha Ahmed"/>
    <x v="24"/>
    <x v="6"/>
    <x v="19"/>
  </r>
  <r>
    <s v="ORD-00823"/>
    <x v="94"/>
    <s v="CUS-DHA-008"/>
    <s v="R01"/>
    <s v="ST-DHA-01"/>
    <x v="44"/>
    <s v="P003"/>
    <n v="5"/>
    <n v="0.15"/>
    <n v="15052"/>
    <n v="2"/>
    <x v="10"/>
    <s v="Power Bank"/>
    <s v="Electronics"/>
    <n v="2840"/>
    <n v="1930"/>
    <n v="14200"/>
    <n v="9650"/>
    <n v="4550"/>
    <s v="Karim Islam"/>
    <x v="44"/>
    <x v="4"/>
    <x v="29"/>
  </r>
  <r>
    <s v="ORD-00824"/>
    <x v="147"/>
    <s v="CUS-BAR-018"/>
    <s v="R06"/>
    <s v="ST-BAR-01"/>
    <x v="10"/>
    <s v="P041"/>
    <n v="6"/>
    <n v="0.03"/>
    <n v="5645"/>
    <n v="6"/>
    <x v="4"/>
    <s v="Building Blocks"/>
    <s v="Kids &amp; Toys"/>
    <n v="840"/>
    <n v="460"/>
    <n v="5040"/>
    <n v="2760"/>
    <n v="2280"/>
    <s v="Samiha Ahmed"/>
    <x v="10"/>
    <x v="5"/>
    <x v="9"/>
  </r>
  <r>
    <s v="ORD-00825"/>
    <x v="211"/>
    <s v="CUS-CTG-002"/>
    <s v="R02"/>
    <s v="ST-CTG-03"/>
    <x v="41"/>
    <s v="P005"/>
    <n v="2"/>
    <n v="0.1"/>
    <n v="11149"/>
    <n v="7"/>
    <x v="12"/>
    <s v="USB-C Hub"/>
    <s v="Electronics"/>
    <n v="4890"/>
    <n v="3330"/>
    <n v="9780"/>
    <n v="6660"/>
    <n v="3120"/>
    <s v="Arif Khan"/>
    <x v="41"/>
    <x v="7"/>
    <x v="16"/>
  </r>
  <r>
    <s v="ORD-00826"/>
    <x v="189"/>
    <s v="CUS-CTG-005"/>
    <s v="R02"/>
    <s v="ST-CTG-03"/>
    <x v="23"/>
    <s v="P033"/>
    <n v="3"/>
    <n v="0.03"/>
    <n v="10602"/>
    <n v="4"/>
    <x v="17"/>
    <s v="Badminton Racket"/>
    <s v="Sports"/>
    <n v="3100"/>
    <n v="1920"/>
    <n v="9300"/>
    <n v="5760"/>
    <n v="3540"/>
    <s v="Shakib Mia"/>
    <x v="23"/>
    <x v="7"/>
    <x v="16"/>
  </r>
  <r>
    <s v="ORD-00827"/>
    <x v="351"/>
    <s v="CUS-RAJ-019"/>
    <s v="R04"/>
    <s v="ST-RAJ-04"/>
    <x v="30"/>
    <s v="P014"/>
    <n v="2"/>
    <n v="0.1"/>
    <n v="1901"/>
    <n v="4"/>
    <x v="6"/>
    <s v="Denim Jeans"/>
    <s v="Fashion"/>
    <n v="880"/>
    <n v="480"/>
    <n v="1760"/>
    <n v="960"/>
    <n v="800"/>
    <s v="Shuvo Khan"/>
    <x v="30"/>
    <x v="1"/>
    <x v="1"/>
  </r>
  <r>
    <s v="ORD-00828"/>
    <x v="419"/>
    <s v="CUS-KHL-023"/>
    <s v="R05"/>
    <s v="ST-KHL-01"/>
    <x v="16"/>
    <s v="P019"/>
    <n v="3"/>
    <n v="0.02"/>
    <n v="1439"/>
    <n v="4"/>
    <x v="17"/>
    <s v="Flour 2kg"/>
    <s v="Grocery"/>
    <n v="440"/>
    <n v="340"/>
    <n v="1320"/>
    <n v="1020"/>
    <n v="300"/>
    <s v="Ayesha Ahmed"/>
    <x v="16"/>
    <x v="6"/>
    <x v="24"/>
  </r>
  <r>
    <s v="ORD-00829"/>
    <x v="259"/>
    <s v="CUS-CTG-003"/>
    <s v="R02"/>
    <s v="ST-CTG-04"/>
    <x v="41"/>
    <s v="P004"/>
    <n v="2"/>
    <n v="0.15"/>
    <n v="8824"/>
    <n v="5"/>
    <x v="5"/>
    <s v="Smart Watch"/>
    <s v="Electronics"/>
    <n v="3870"/>
    <n v="2630"/>
    <n v="7740"/>
    <n v="5260"/>
    <n v="2480"/>
    <s v="Shuvo Mia"/>
    <x v="41"/>
    <x v="7"/>
    <x v="33"/>
  </r>
  <r>
    <s v="ORD-00830"/>
    <x v="288"/>
    <s v="CUS-RAJ-019"/>
    <s v="R04"/>
    <s v="ST-RAJ-05"/>
    <x v="40"/>
    <s v="P040"/>
    <n v="4"/>
    <n v="0.02"/>
    <n v="3283"/>
    <n v="5"/>
    <x v="3"/>
    <s v="Sticky Notes"/>
    <s v="Stationery"/>
    <n v="760"/>
    <n v="380"/>
    <n v="3040"/>
    <n v="1520"/>
    <n v="1520"/>
    <s v="Shuvo Khan"/>
    <x v="40"/>
    <x v="1"/>
    <x v="38"/>
  </r>
  <r>
    <s v="ORD-00831"/>
    <x v="319"/>
    <s v="CUS-CTG-005"/>
    <s v="R02"/>
    <s v="ST-CTG-02"/>
    <x v="15"/>
    <s v="P009"/>
    <n v="7"/>
    <n v="0.1"/>
    <n v="36389"/>
    <n v="7"/>
    <x v="12"/>
    <s v="Steam Iron"/>
    <s v="Home Appliance"/>
    <n v="4560"/>
    <n v="3190"/>
    <n v="31920"/>
    <n v="22330"/>
    <n v="9590"/>
    <s v="Shakib Mia"/>
    <x v="15"/>
    <x v="7"/>
    <x v="22"/>
  </r>
  <r>
    <s v="ORD-00832"/>
    <x v="290"/>
    <s v="CUS-KHL-014"/>
    <s v="R05"/>
    <s v="ST-KHL-02"/>
    <x v="13"/>
    <s v="P007"/>
    <n v="1"/>
    <n v="0.08"/>
    <n v="8099"/>
    <n v="4"/>
    <x v="6"/>
    <s v="Rice Cooker"/>
    <s v="Home Appliance"/>
    <n v="7430"/>
    <n v="5200"/>
    <n v="7430"/>
    <n v="5200"/>
    <n v="2230"/>
    <s v="Imran Uddin"/>
    <x v="13"/>
    <x v="6"/>
    <x v="14"/>
  </r>
  <r>
    <s v="ORD-00833"/>
    <x v="280"/>
    <s v="CUS-RAJ-001"/>
    <s v="R04"/>
    <s v="ST-RAJ-04"/>
    <x v="46"/>
    <s v="P005"/>
    <n v="3"/>
    <n v="0.15"/>
    <n v="15844"/>
    <n v="3"/>
    <x v="17"/>
    <s v="USB-C Hub"/>
    <s v="Electronics"/>
    <n v="4890"/>
    <n v="3330"/>
    <n v="14670"/>
    <n v="9990"/>
    <n v="4680"/>
    <s v="Mehedi Mia"/>
    <x v="46"/>
    <x v="1"/>
    <x v="1"/>
  </r>
  <r>
    <s v="ORD-00834"/>
    <x v="343"/>
    <s v="CUS-CTG-012"/>
    <s v="R02"/>
    <s v="ST-CTG-04"/>
    <x v="23"/>
    <s v="P003"/>
    <n v="2"/>
    <n v="0.12"/>
    <n v="6475"/>
    <n v="6"/>
    <x v="28"/>
    <s v="Power Bank"/>
    <s v="Electronics"/>
    <n v="2840"/>
    <n v="1930"/>
    <n v="5680"/>
    <n v="3860"/>
    <n v="1820"/>
    <s v="Jannat Islam"/>
    <x v="23"/>
    <x v="7"/>
    <x v="33"/>
  </r>
  <r>
    <s v="ORD-00835"/>
    <x v="420"/>
    <s v="CUS-DHA-015"/>
    <s v="R01"/>
    <s v="ST-DHA-03"/>
    <x v="14"/>
    <s v="P002"/>
    <n v="4"/>
    <n v="0.15"/>
    <n v="14162"/>
    <n v="2"/>
    <x v="10"/>
    <s v="Wireless Mouse"/>
    <s v="Electronics"/>
    <n v="3340"/>
    <n v="2270"/>
    <n v="13360"/>
    <n v="9080"/>
    <n v="4280"/>
    <s v="Hasan Islam"/>
    <x v="14"/>
    <x v="4"/>
    <x v="5"/>
  </r>
  <r>
    <s v="ORD-00836"/>
    <x v="421"/>
    <s v="CUS-SYL-020"/>
    <s v="R03"/>
    <s v="ST-SYL-03"/>
    <x v="5"/>
    <s v="P022"/>
    <n v="1"/>
    <n v="0.05"/>
    <n v="1776"/>
    <n v="4"/>
    <x v="20"/>
    <s v="Shampoo 375ml"/>
    <s v="Beauty &amp; Personal Care"/>
    <n v="1660"/>
    <n v="960"/>
    <n v="1660"/>
    <n v="960"/>
    <n v="700"/>
    <s v="Shaila Uddin"/>
    <x v="5"/>
    <x v="3"/>
    <x v="23"/>
  </r>
  <r>
    <s v="ORD-00837"/>
    <x v="311"/>
    <s v="CUS-CTG-008"/>
    <s v="R02"/>
    <s v="ST-CTG-01"/>
    <x v="41"/>
    <s v="P043"/>
    <n v="1"/>
    <n v="0.12"/>
    <n v="2508"/>
    <n v="6"/>
    <x v="28"/>
    <s v="Puzzle Board"/>
    <s v="Kids &amp; Toys"/>
    <n v="2200"/>
    <n v="1210"/>
    <n v="2200"/>
    <n v="1210"/>
    <n v="990"/>
    <s v="Mim Akter"/>
    <x v="41"/>
    <x v="7"/>
    <x v="37"/>
  </r>
  <r>
    <s v="ORD-00838"/>
    <x v="325"/>
    <s v="CUS-RAN-013"/>
    <s v="R07"/>
    <s v="ST-RAN-04"/>
    <x v="7"/>
    <s v="P004"/>
    <n v="2"/>
    <n v="0.1"/>
    <n v="8901"/>
    <n v="7"/>
    <x v="12"/>
    <s v="Smart Watch"/>
    <s v="Electronics"/>
    <n v="3870"/>
    <n v="2630"/>
    <n v="7740"/>
    <n v="5260"/>
    <n v="2480"/>
    <s v="Arif Rahman"/>
    <x v="7"/>
    <x v="0"/>
    <x v="13"/>
  </r>
  <r>
    <s v="ORD-00839"/>
    <x v="422"/>
    <s v="CUS-RAJ-012"/>
    <s v="R04"/>
    <s v="ST-RAJ-03"/>
    <x v="30"/>
    <s v="P021"/>
    <n v="1"/>
    <n v="0.12"/>
    <n v="1382"/>
    <n v="6"/>
    <x v="28"/>
    <s v="Face Wash"/>
    <s v="Beauty &amp; Personal Care"/>
    <n v="1280"/>
    <n v="740"/>
    <n v="1280"/>
    <n v="740"/>
    <n v="540"/>
    <s v="Shuvo Akter"/>
    <x v="30"/>
    <x v="1"/>
    <x v="18"/>
  </r>
  <r>
    <s v="ORD-00840"/>
    <x v="106"/>
    <s v="CUS-KHL-023"/>
    <s v="R05"/>
    <s v="ST-KHL-02"/>
    <x v="36"/>
    <s v="P007"/>
    <n v="2"/>
    <n v="0.15"/>
    <n v="16197"/>
    <n v="4"/>
    <x v="3"/>
    <s v="Rice Cooker"/>
    <s v="Home Appliance"/>
    <n v="7430"/>
    <n v="5200"/>
    <n v="14860"/>
    <n v="10400"/>
    <n v="4460"/>
    <s v="Ayesha Ahmed"/>
    <x v="36"/>
    <x v="6"/>
    <x v="14"/>
  </r>
  <r>
    <s v="ORD-00841"/>
    <x v="13"/>
    <s v="CUS-SYL-001"/>
    <s v="R03"/>
    <s v="ST-SYL-04"/>
    <x v="32"/>
    <s v="P008"/>
    <n v="8"/>
    <n v="0.08"/>
    <n v="20801"/>
    <n v="6"/>
    <x v="16"/>
    <s v="Blender Machine"/>
    <s v="Home Appliance"/>
    <n v="2430"/>
    <n v="1700"/>
    <n v="19440"/>
    <n v="13600"/>
    <n v="5840"/>
    <s v="Karim Khan"/>
    <x v="32"/>
    <x v="3"/>
    <x v="21"/>
  </r>
  <r>
    <s v="ORD-00842"/>
    <x v="340"/>
    <s v="CUS-DHA-020"/>
    <s v="R01"/>
    <s v="ST-DHA-03"/>
    <x v="6"/>
    <s v="P020"/>
    <n v="5"/>
    <n v="0.05"/>
    <n v="11342"/>
    <n v="5"/>
    <x v="19"/>
    <s v="Tea Pack 500g"/>
    <s v="Grocery"/>
    <n v="2140"/>
    <n v="1670"/>
    <n v="10700"/>
    <n v="8350"/>
    <n v="2350"/>
    <s v="Tanjim Ahmed"/>
    <x v="6"/>
    <x v="4"/>
    <x v="5"/>
  </r>
  <r>
    <s v="ORD-00843"/>
    <x v="111"/>
    <s v="CUS-CTG-002"/>
    <s v="R02"/>
    <s v="ST-CTG-01"/>
    <x v="18"/>
    <s v="P027"/>
    <n v="5"/>
    <n v="0.12"/>
    <n v="6897"/>
    <n v="2"/>
    <x v="24"/>
    <s v="Formal Shoe"/>
    <s v="Footwear"/>
    <n v="1210"/>
    <n v="730"/>
    <n v="6050"/>
    <n v="3650"/>
    <n v="2400"/>
    <s v="Arif Khan"/>
    <x v="18"/>
    <x v="7"/>
    <x v="37"/>
  </r>
  <r>
    <s v="ORD-00844"/>
    <x v="274"/>
    <s v="CUS-CTG-004"/>
    <s v="R02"/>
    <s v="ST-CTG-03"/>
    <x v="37"/>
    <s v="P008"/>
    <n v="4"/>
    <n v="0.18"/>
    <n v="11081"/>
    <n v="7"/>
    <x v="23"/>
    <s v="Blender Machine"/>
    <s v="Home Appliance"/>
    <n v="2430"/>
    <n v="1700"/>
    <n v="9720"/>
    <n v="6800"/>
    <n v="2920"/>
    <s v="Shaila Mia"/>
    <x v="37"/>
    <x v="7"/>
    <x v="16"/>
  </r>
  <r>
    <s v="ORD-00845"/>
    <x v="392"/>
    <s v="CUS-KHL-022"/>
    <s v="R05"/>
    <s v="ST-KHL-04"/>
    <x v="16"/>
    <s v="P009"/>
    <n v="5"/>
    <n v="0.12"/>
    <n v="24852"/>
    <n v="4"/>
    <x v="6"/>
    <s v="Steam Iron"/>
    <s v="Home Appliance"/>
    <n v="4560"/>
    <n v="3190"/>
    <n v="22800"/>
    <n v="15950"/>
    <n v="6850"/>
    <s v="Samiha Sultana"/>
    <x v="16"/>
    <x v="6"/>
    <x v="19"/>
  </r>
  <r>
    <s v="ORD-00846"/>
    <x v="266"/>
    <s v="CUS-MYM-004"/>
    <s v="R08"/>
    <s v="ST-MYM-03"/>
    <x v="43"/>
    <s v="P016"/>
    <n v="1"/>
    <n v="0.05"/>
    <n v="1199"/>
    <n v="1"/>
    <x v="7"/>
    <s v="Premium Rice 5kg"/>
    <s v="Grocery"/>
    <n v="1110"/>
    <n v="870"/>
    <n v="1110"/>
    <n v="870"/>
    <n v="240"/>
    <s v="Morshed Sultana"/>
    <x v="43"/>
    <x v="2"/>
    <x v="10"/>
  </r>
  <r>
    <s v="ORD-00847"/>
    <x v="360"/>
    <s v="CUS-RAJ-022"/>
    <s v="R04"/>
    <s v="ST-RAJ-02"/>
    <x v="26"/>
    <s v="P014"/>
    <n v="3"/>
    <n v="0.1"/>
    <n v="2851"/>
    <n v="2"/>
    <x v="24"/>
    <s v="Denim Jeans"/>
    <s v="Fashion"/>
    <n v="880"/>
    <n v="480"/>
    <n v="2640"/>
    <n v="1440"/>
    <n v="1200"/>
    <s v="Mehedi Khan"/>
    <x v="26"/>
    <x v="1"/>
    <x v="2"/>
  </r>
  <r>
    <s v="ORD-00848"/>
    <x v="232"/>
    <s v="CUS-RAJ-013"/>
    <s v="R04"/>
    <s v="ST-RAJ-01"/>
    <x v="26"/>
    <s v="P042"/>
    <n v="12"/>
    <n v="0.05"/>
    <n v="23587"/>
    <n v="6"/>
    <x v="4"/>
    <s v="Toy Car Set"/>
    <s v="Kids &amp; Toys"/>
    <n v="1820"/>
    <n v="1000"/>
    <n v="21840"/>
    <n v="12000"/>
    <n v="9840"/>
    <s v="Imran Khan"/>
    <x v="26"/>
    <x v="1"/>
    <x v="36"/>
  </r>
  <r>
    <s v="ORD-00849"/>
    <x v="379"/>
    <s v="CUS-KHL-022"/>
    <s v="R05"/>
    <s v="ST-KHL-03"/>
    <x v="16"/>
    <s v="P010"/>
    <n v="9"/>
    <n v="0.12"/>
    <n v="30509"/>
    <n v="6"/>
    <x v="28"/>
    <s v="Table Fan"/>
    <s v="Home Appliance"/>
    <n v="3110"/>
    <n v="2180"/>
    <n v="27990"/>
    <n v="19620"/>
    <n v="8370"/>
    <s v="Samiha Sultana"/>
    <x v="16"/>
    <x v="6"/>
    <x v="17"/>
  </r>
  <r>
    <s v="ORD-00850"/>
    <x v="172"/>
    <s v="CUS-BAR-020"/>
    <s v="R06"/>
    <s v="ST-BAR-01"/>
    <x v="22"/>
    <s v="P036"/>
    <n v="2"/>
    <n v="0.05"/>
    <n v="896"/>
    <n v="7"/>
    <x v="11"/>
    <s v="Notebook Pack"/>
    <s v="Stationery"/>
    <n v="400"/>
    <n v="200"/>
    <n v="800"/>
    <n v="400"/>
    <n v="400"/>
    <s v="Rumana Akter"/>
    <x v="22"/>
    <x v="5"/>
    <x v="9"/>
  </r>
  <r>
    <s v="ORD-00851"/>
    <x v="207"/>
    <s v="CUS-SYL-015"/>
    <s v="R03"/>
    <s v="ST-SYL-02"/>
    <x v="5"/>
    <s v="P048"/>
    <n v="2"/>
    <n v="7.0000000000000007E-2"/>
    <n v="11385"/>
    <n v="6"/>
    <x v="16"/>
    <s v="Shoe Rack"/>
    <s v="Furniture"/>
    <n v="5320"/>
    <n v="3830"/>
    <n v="10640"/>
    <n v="7660"/>
    <n v="2980"/>
    <s v="Sadia Sultana"/>
    <x v="5"/>
    <x v="3"/>
    <x v="32"/>
  </r>
  <r>
    <s v="ORD-00852"/>
    <x v="41"/>
    <s v="CUS-MYM-002"/>
    <s v="R08"/>
    <s v="ST-MYM-02"/>
    <x v="3"/>
    <s v="P038"/>
    <n v="1"/>
    <n v="0.03"/>
    <n v="367"/>
    <n v="5"/>
    <x v="19"/>
    <s v="Office File Set"/>
    <s v="Stationery"/>
    <n v="340"/>
    <n v="170"/>
    <n v="340"/>
    <n v="170"/>
    <n v="170"/>
    <s v="Karim Chowdhury"/>
    <x v="3"/>
    <x v="2"/>
    <x v="20"/>
  </r>
  <r>
    <s v="ORD-00853"/>
    <x v="185"/>
    <s v="CUS-DHA-014"/>
    <s v="R01"/>
    <s v="ST-DHA-03"/>
    <x v="35"/>
    <s v="P039"/>
    <n v="2"/>
    <n v="0.03"/>
    <n v="2205"/>
    <n v="4"/>
    <x v="17"/>
    <s v="Marker Set"/>
    <s v="Stationery"/>
    <n v="1040"/>
    <n v="520"/>
    <n v="2080"/>
    <n v="1040"/>
    <n v="1040"/>
    <s v="Shaila Ahmed"/>
    <x v="35"/>
    <x v="4"/>
    <x v="5"/>
  </r>
  <r>
    <s v="ORD-00854"/>
    <x v="423"/>
    <s v="CUS-SYL-003"/>
    <s v="R03"/>
    <s v="ST-SYL-03"/>
    <x v="20"/>
    <s v="P050"/>
    <n v="2"/>
    <n v="0.03"/>
    <n v="12562"/>
    <n v="3"/>
    <x v="10"/>
    <s v="Bedside Table"/>
    <s v="Furniture"/>
    <n v="5870"/>
    <n v="4230"/>
    <n v="11740"/>
    <n v="8460"/>
    <n v="3280"/>
    <s v="Farhana Khan"/>
    <x v="20"/>
    <x v="3"/>
    <x v="23"/>
  </r>
  <r>
    <s v="ORD-00855"/>
    <x v="397"/>
    <s v="CUS-KHL-008"/>
    <s v="R05"/>
    <s v="ST-KHL-01"/>
    <x v="24"/>
    <s v="P046"/>
    <n v="5"/>
    <n v="0.1"/>
    <n v="23871"/>
    <n v="1"/>
    <x v="13"/>
    <s v="Office Chair"/>
    <s v="Furniture"/>
    <n v="4380"/>
    <n v="3150"/>
    <n v="21900"/>
    <n v="15750"/>
    <n v="6150"/>
    <s v="Jannat Rahman"/>
    <x v="24"/>
    <x v="6"/>
    <x v="24"/>
  </r>
  <r>
    <s v="ORD-00856"/>
    <x v="108"/>
    <s v="CUS-CTG-009"/>
    <s v="R02"/>
    <s v="ST-CTG-03"/>
    <x v="18"/>
    <s v="P007"/>
    <n v="4"/>
    <n v="0.18"/>
    <n v="33881"/>
    <n v="9"/>
    <x v="14"/>
    <s v="Rice Cooker"/>
    <s v="Home Appliance"/>
    <n v="7430"/>
    <n v="5200"/>
    <n v="29720"/>
    <n v="20800"/>
    <n v="8920"/>
    <s v="Mim Hossain"/>
    <x v="18"/>
    <x v="7"/>
    <x v="16"/>
  </r>
  <r>
    <s v="ORD-00857"/>
    <x v="424"/>
    <s v="CUS-SYL-022"/>
    <s v="R03"/>
    <s v="ST-SYL-02"/>
    <x v="38"/>
    <s v="P003"/>
    <n v="2"/>
    <n v="0.08"/>
    <n v="6078"/>
    <n v="2"/>
    <x v="18"/>
    <s v="Power Bank"/>
    <s v="Electronics"/>
    <n v="2840"/>
    <n v="1930"/>
    <n v="5680"/>
    <n v="3860"/>
    <n v="1820"/>
    <s v="Samiha Ahmed"/>
    <x v="38"/>
    <x v="3"/>
    <x v="32"/>
  </r>
  <r>
    <s v="ORD-00858"/>
    <x v="162"/>
    <s v="CUS-MYM-018"/>
    <s v="R08"/>
    <s v="ST-MYM-02"/>
    <x v="19"/>
    <s v="P035"/>
    <n v="3"/>
    <n v="0.1"/>
    <n v="3596"/>
    <n v="8"/>
    <x v="27"/>
    <s v="Dumbbell Set"/>
    <s v="Sports"/>
    <n v="1110"/>
    <n v="690"/>
    <n v="3330"/>
    <n v="2070"/>
    <n v="1260"/>
    <s v="Nusrat Akter"/>
    <x v="19"/>
    <x v="2"/>
    <x v="20"/>
  </r>
  <r>
    <s v="ORD-00859"/>
    <x v="45"/>
    <s v="CUS-BAR-017"/>
    <s v="R06"/>
    <s v="ST-BAR-03"/>
    <x v="22"/>
    <s v="P008"/>
    <n v="3"/>
    <n v="0.15"/>
    <n v="8165"/>
    <n v="9"/>
    <x v="0"/>
    <s v="Blender Machine"/>
    <s v="Home Appliance"/>
    <n v="2430"/>
    <n v="1700"/>
    <n v="7290"/>
    <n v="5100"/>
    <n v="2190"/>
    <s v="Shuvo Chowdhury"/>
    <x v="22"/>
    <x v="5"/>
    <x v="27"/>
  </r>
  <r>
    <s v="ORD-00860"/>
    <x v="419"/>
    <s v="CUS-RAN-003"/>
    <s v="R07"/>
    <s v="ST-RAN-02"/>
    <x v="21"/>
    <s v="P044"/>
    <n v="3"/>
    <n v="7.0000000000000007E-2"/>
    <n v="7762"/>
    <n v="6"/>
    <x v="16"/>
    <s v="Color Pencil Set"/>
    <s v="Kids &amp; Toys"/>
    <n v="2250"/>
    <n v="1240"/>
    <n v="6750"/>
    <n v="3720"/>
    <n v="3030"/>
    <s v="Mim Sultana"/>
    <x v="21"/>
    <x v="0"/>
    <x v="6"/>
  </r>
  <r>
    <s v="ORD-00861"/>
    <x v="89"/>
    <s v="CUS-SYL-020"/>
    <s v="R03"/>
    <s v="ST-SYL-05"/>
    <x v="5"/>
    <s v="P042"/>
    <n v="4"/>
    <n v="0.1"/>
    <n v="7790"/>
    <n v="5"/>
    <x v="29"/>
    <s v="Toy Car Set"/>
    <s v="Kids &amp; Toys"/>
    <n v="1820"/>
    <n v="1000"/>
    <n v="7280"/>
    <n v="4000"/>
    <n v="3280"/>
    <s v="Shaila Uddin"/>
    <x v="5"/>
    <x v="3"/>
    <x v="4"/>
  </r>
  <r>
    <s v="ORD-00862"/>
    <x v="2"/>
    <s v="CUS-MYM-025"/>
    <s v="R08"/>
    <s v="ST-MYM-05"/>
    <x v="19"/>
    <s v="P039"/>
    <n v="3"/>
    <n v="0"/>
    <n v="3370"/>
    <n v="6"/>
    <x v="5"/>
    <s v="Marker Set"/>
    <s v="Stationery"/>
    <n v="1040"/>
    <n v="520"/>
    <n v="3120"/>
    <n v="1560"/>
    <n v="1560"/>
    <s v="Shaila Ahmed"/>
    <x v="19"/>
    <x v="2"/>
    <x v="28"/>
  </r>
  <r>
    <s v="ORD-00863"/>
    <x v="235"/>
    <s v="CUS-BAR-020"/>
    <s v="R06"/>
    <s v="ST-BAR-01"/>
    <x v="33"/>
    <s v="P019"/>
    <n v="5"/>
    <n v="0"/>
    <n v="2464"/>
    <n v="4"/>
    <x v="17"/>
    <s v="Flour 2kg"/>
    <s v="Grocery"/>
    <n v="440"/>
    <n v="340"/>
    <n v="2200"/>
    <n v="1700"/>
    <n v="500"/>
    <s v="Rumana Akter"/>
    <x v="33"/>
    <x v="5"/>
    <x v="9"/>
  </r>
  <r>
    <s v="ORD-00864"/>
    <x v="283"/>
    <s v="CUS-MYM-005"/>
    <s v="R08"/>
    <s v="ST-MYM-02"/>
    <x v="43"/>
    <s v="P025"/>
    <n v="2"/>
    <n v="7.0000000000000007E-2"/>
    <n v="2722"/>
    <n v="2"/>
    <x v="18"/>
    <s v="Perfume Spray"/>
    <s v="Beauty &amp; Personal Care"/>
    <n v="1260"/>
    <n v="730"/>
    <n v="2520"/>
    <n v="1460"/>
    <n v="1060"/>
    <s v="Shamim Hossain"/>
    <x v="43"/>
    <x v="2"/>
    <x v="20"/>
  </r>
  <r>
    <s v="ORD-00865"/>
    <x v="32"/>
    <s v="CUS-DHA-016"/>
    <s v="R01"/>
    <s v="ST-DHA-05"/>
    <x v="35"/>
    <s v="P004"/>
    <n v="3"/>
    <n v="0.08"/>
    <n v="12307"/>
    <n v="1"/>
    <x v="13"/>
    <s v="Smart Watch"/>
    <s v="Electronics"/>
    <n v="3870"/>
    <n v="2630"/>
    <n v="11610"/>
    <n v="7890"/>
    <n v="3720"/>
    <s v="Rafi Hossain"/>
    <x v="35"/>
    <x v="4"/>
    <x v="15"/>
  </r>
  <r>
    <s v="ORD-00866"/>
    <x v="263"/>
    <s v="CUS-CTG-016"/>
    <s v="R02"/>
    <s v="ST-CTG-01"/>
    <x v="18"/>
    <s v="P011"/>
    <n v="6"/>
    <n v="7.0000000000000007E-2"/>
    <n v="12791"/>
    <n v="5"/>
    <x v="29"/>
    <s v="Cotton T-Shirt"/>
    <s v="Fashion"/>
    <n v="1870"/>
    <n v="1030"/>
    <n v="11220"/>
    <n v="6180"/>
    <n v="5040"/>
    <s v="Arif Ahmed"/>
    <x v="18"/>
    <x v="7"/>
    <x v="37"/>
  </r>
  <r>
    <s v="ORD-00867"/>
    <x v="425"/>
    <s v="CUS-RAN-016"/>
    <s v="R07"/>
    <s v="ST-RAN-02"/>
    <x v="27"/>
    <s v="P039"/>
    <n v="5"/>
    <n v="0.05"/>
    <n v="5980"/>
    <n v="8"/>
    <x v="30"/>
    <s v="Marker Set"/>
    <s v="Stationery"/>
    <n v="1040"/>
    <n v="520"/>
    <n v="5200"/>
    <n v="2600"/>
    <n v="2600"/>
    <s v="Tamanna Mia"/>
    <x v="27"/>
    <x v="0"/>
    <x v="6"/>
  </r>
  <r>
    <s v="ORD-00868"/>
    <x v="426"/>
    <s v="CUS-RAN-005"/>
    <s v="R07"/>
    <s v="ST-RAN-01"/>
    <x v="27"/>
    <s v="P003"/>
    <n v="1"/>
    <n v="0.18"/>
    <n v="3266"/>
    <n v="4"/>
    <x v="19"/>
    <s v="Power Bank"/>
    <s v="Electronics"/>
    <n v="2840"/>
    <n v="1930"/>
    <n v="2840"/>
    <n v="1930"/>
    <n v="910"/>
    <s v="Shakib Mia"/>
    <x v="27"/>
    <x v="0"/>
    <x v="0"/>
  </r>
  <r>
    <s v="ORD-00869"/>
    <x v="9"/>
    <s v="CUS-RAJ-016"/>
    <s v="R04"/>
    <s v="ST-RAJ-04"/>
    <x v="26"/>
    <s v="P006"/>
    <n v="9"/>
    <n v="0.12"/>
    <n v="69984"/>
    <n v="5"/>
    <x v="5"/>
    <s v="Electric Kettle"/>
    <s v="Home Appliance"/>
    <n v="7200"/>
    <n v="5040"/>
    <n v="64800"/>
    <n v="45360"/>
    <n v="19440"/>
    <s v="Hasan Rahman"/>
    <x v="26"/>
    <x v="1"/>
    <x v="1"/>
  </r>
  <r>
    <s v="ORD-00870"/>
    <x v="156"/>
    <s v="CUS-CTG-015"/>
    <s v="R02"/>
    <s v="ST-CTG-04"/>
    <x v="39"/>
    <s v="P003"/>
    <n v="2"/>
    <n v="0.18"/>
    <n v="6475"/>
    <n v="3"/>
    <x v="20"/>
    <s v="Power Bank"/>
    <s v="Electronics"/>
    <n v="2840"/>
    <n v="1930"/>
    <n v="5680"/>
    <n v="3860"/>
    <n v="1820"/>
    <s v="Sajib Sultana"/>
    <x v="39"/>
    <x v="7"/>
    <x v="33"/>
  </r>
  <r>
    <s v="ORD-00871"/>
    <x v="257"/>
    <s v="CUS-RAN-001"/>
    <s v="R07"/>
    <s v="ST-RAN-05"/>
    <x v="42"/>
    <s v="P001"/>
    <n v="2"/>
    <n v="0.1"/>
    <n v="7452"/>
    <n v="3"/>
    <x v="21"/>
    <s v="Bluetooth Speaker"/>
    <s v="Electronics"/>
    <n v="3240"/>
    <n v="2200"/>
    <n v="6480"/>
    <n v="4400"/>
    <n v="2080"/>
    <s v="Jannat Khan"/>
    <x v="42"/>
    <x v="0"/>
    <x v="39"/>
  </r>
  <r>
    <s v="ORD-00872"/>
    <x v="328"/>
    <s v="CUS-KHL-001"/>
    <s v="R05"/>
    <s v="ST-KHL-02"/>
    <x v="16"/>
    <s v="P015"/>
    <n v="1"/>
    <n v="0.12"/>
    <n v="2856"/>
    <n v="4"/>
    <x v="6"/>
    <s v="Leather Belt"/>
    <s v="Fashion"/>
    <n v="2620"/>
    <n v="1440"/>
    <n v="2620"/>
    <n v="1440"/>
    <n v="1180"/>
    <s v="Karim Mia"/>
    <x v="16"/>
    <x v="6"/>
    <x v="14"/>
  </r>
  <r>
    <s v="ORD-00873"/>
    <x v="282"/>
    <s v="CUS-RAN-017"/>
    <s v="R07"/>
    <s v="ST-RAN-01"/>
    <x v="27"/>
    <s v="P026"/>
    <n v="5"/>
    <n v="7.0000000000000007E-2"/>
    <n v="20182"/>
    <n v="3"/>
    <x v="25"/>
    <s v="Running Shoe"/>
    <s v="Footwear"/>
    <n v="3510"/>
    <n v="2110"/>
    <n v="17550"/>
    <n v="10550"/>
    <n v="7000"/>
    <s v="Tamanna Mia"/>
    <x v="27"/>
    <x v="0"/>
    <x v="0"/>
  </r>
  <r>
    <s v="ORD-00874"/>
    <x v="384"/>
    <s v="CUS-SYL-009"/>
    <s v="R03"/>
    <s v="ST-SYL-03"/>
    <x v="32"/>
    <s v="P002"/>
    <n v="2"/>
    <n v="0.15"/>
    <n v="7148"/>
    <n v="4"/>
    <x v="3"/>
    <s v="Wireless Mouse"/>
    <s v="Electronics"/>
    <n v="3340"/>
    <n v="2270"/>
    <n v="6680"/>
    <n v="4540"/>
    <n v="2140"/>
    <s v="Imran Islam"/>
    <x v="32"/>
    <x v="3"/>
    <x v="23"/>
  </r>
  <r>
    <s v="ORD-00875"/>
    <x v="213"/>
    <s v="CUS-SYL-019"/>
    <s v="R03"/>
    <s v="ST-SYL-05"/>
    <x v="25"/>
    <s v="P016"/>
    <n v="4"/>
    <n v="0.03"/>
    <n v="4751"/>
    <n v="1"/>
    <x v="7"/>
    <s v="Premium Rice 5kg"/>
    <s v="Grocery"/>
    <n v="1110"/>
    <n v="870"/>
    <n v="4440"/>
    <n v="3480"/>
    <n v="960"/>
    <s v="Rahim Ahmed"/>
    <x v="25"/>
    <x v="3"/>
    <x v="4"/>
  </r>
  <r>
    <s v="ORD-00876"/>
    <x v="176"/>
    <s v="CUS-CTG-002"/>
    <s v="R02"/>
    <s v="ST-CTG-01"/>
    <x v="37"/>
    <s v="P003"/>
    <n v="4"/>
    <n v="0.15"/>
    <n v="12950"/>
    <n v="3"/>
    <x v="17"/>
    <s v="Power Bank"/>
    <s v="Electronics"/>
    <n v="2840"/>
    <n v="1930"/>
    <n v="11360"/>
    <n v="7720"/>
    <n v="3640"/>
    <s v="Arif Khan"/>
    <x v="37"/>
    <x v="7"/>
    <x v="37"/>
  </r>
  <r>
    <s v="ORD-00877"/>
    <x v="64"/>
    <s v="CUS-BAR-025"/>
    <s v="R06"/>
    <s v="ST-BAR-02"/>
    <x v="10"/>
    <s v="P036"/>
    <n v="6"/>
    <n v="0.05"/>
    <n v="2688"/>
    <n v="5"/>
    <x v="19"/>
    <s v="Notebook Pack"/>
    <s v="Stationery"/>
    <n v="400"/>
    <n v="200"/>
    <n v="2400"/>
    <n v="1200"/>
    <n v="1200"/>
    <s v="Fahim Khan"/>
    <x v="10"/>
    <x v="5"/>
    <x v="11"/>
  </r>
  <r>
    <s v="ORD-00878"/>
    <x v="427"/>
    <s v="CUS-CTG-002"/>
    <s v="R02"/>
    <s v="ST-CTG-05"/>
    <x v="15"/>
    <s v="P003"/>
    <n v="3"/>
    <n v="0.18"/>
    <n v="9713"/>
    <n v="3"/>
    <x v="20"/>
    <s v="Power Bank"/>
    <s v="Electronics"/>
    <n v="2840"/>
    <n v="1930"/>
    <n v="8520"/>
    <n v="5790"/>
    <n v="2730"/>
    <s v="Arif Khan"/>
    <x v="15"/>
    <x v="7"/>
    <x v="31"/>
  </r>
  <r>
    <s v="ORD-00879"/>
    <x v="139"/>
    <s v="CUS-DHA-006"/>
    <s v="R01"/>
    <s v="ST-DHA-03"/>
    <x v="44"/>
    <s v="P029"/>
    <n v="1"/>
    <n v="0.12"/>
    <n v="2841"/>
    <n v="1"/>
    <x v="1"/>
    <s v="Kids Sneaker"/>
    <s v="Footwear"/>
    <n v="2680"/>
    <n v="1610"/>
    <n v="2680"/>
    <n v="1610"/>
    <n v="1070"/>
    <s v="Tania Hossain"/>
    <x v="44"/>
    <x v="4"/>
    <x v="5"/>
  </r>
  <r>
    <s v="ORD-00880"/>
    <x v="326"/>
    <s v="CUS-MYM-015"/>
    <s v="R08"/>
    <s v="ST-MYM-03"/>
    <x v="11"/>
    <s v="P004"/>
    <n v="2"/>
    <n v="0.18"/>
    <n v="8359"/>
    <n v="4"/>
    <x v="19"/>
    <s v="Smart Watch"/>
    <s v="Electronics"/>
    <n v="3870"/>
    <n v="2630"/>
    <n v="7740"/>
    <n v="5260"/>
    <n v="2480"/>
    <s v="Shaila Hossain"/>
    <x v="11"/>
    <x v="2"/>
    <x v="10"/>
  </r>
  <r>
    <s v="ORD-00881"/>
    <x v="176"/>
    <s v="CUS-RAJ-003"/>
    <s v="R04"/>
    <s v="ST-RAJ-05"/>
    <x v="1"/>
    <s v="P024"/>
    <n v="1"/>
    <n v="0.03"/>
    <n v="1523"/>
    <n v="3"/>
    <x v="10"/>
    <s v="Toothpaste Twin Pack"/>
    <s v="Beauty &amp; Personal Care"/>
    <n v="1410"/>
    <n v="820"/>
    <n v="1410"/>
    <n v="820"/>
    <n v="590"/>
    <s v="Morshed Rahman"/>
    <x v="1"/>
    <x v="1"/>
    <x v="38"/>
  </r>
  <r>
    <s v="ORD-00882"/>
    <x v="428"/>
    <s v="CUS-CTG-011"/>
    <s v="R02"/>
    <s v="ST-CTG-02"/>
    <x v="37"/>
    <s v="P031"/>
    <n v="1"/>
    <n v="0.05"/>
    <n v="3010"/>
    <n v="6"/>
    <x v="4"/>
    <s v="Cricket Bat"/>
    <s v="Sports"/>
    <n v="2640"/>
    <n v="1640"/>
    <n v="2640"/>
    <n v="1640"/>
    <n v="1000"/>
    <s v="Rasel Uddin"/>
    <x v="37"/>
    <x v="7"/>
    <x v="22"/>
  </r>
  <r>
    <s v="ORD-00883"/>
    <x v="197"/>
    <s v="CUS-MYM-017"/>
    <s v="R08"/>
    <s v="ST-MYM-03"/>
    <x v="3"/>
    <s v="P023"/>
    <n v="5"/>
    <n v="0.1"/>
    <n v="6264"/>
    <n v="2"/>
    <x v="24"/>
    <s v="Body Lotion"/>
    <s v="Beauty &amp; Personal Care"/>
    <n v="1160"/>
    <n v="670"/>
    <n v="5800"/>
    <n v="3350"/>
    <n v="2450"/>
    <s v="Rafi Akter"/>
    <x v="3"/>
    <x v="2"/>
    <x v="10"/>
  </r>
  <r>
    <s v="ORD-00884"/>
    <x v="47"/>
    <s v="CUS-CTG-019"/>
    <s v="R02"/>
    <s v="ST-CTG-01"/>
    <x v="23"/>
    <s v="P035"/>
    <n v="1"/>
    <n v="0.1"/>
    <n v="1265"/>
    <n v="6"/>
    <x v="16"/>
    <s v="Dumbbell Set"/>
    <s v="Sports"/>
    <n v="1110"/>
    <n v="690"/>
    <n v="1110"/>
    <n v="690"/>
    <n v="420"/>
    <s v="Tanjim Rahman"/>
    <x v="23"/>
    <x v="7"/>
    <x v="37"/>
  </r>
  <r>
    <s v="ORD-00885"/>
    <x v="90"/>
    <s v="CUS-RAJ-002"/>
    <s v="R04"/>
    <s v="ST-RAJ-05"/>
    <x v="40"/>
    <s v="P007"/>
    <n v="5"/>
    <n v="0.12"/>
    <n v="40122"/>
    <n v="7"/>
    <x v="12"/>
    <s v="Rice Cooker"/>
    <s v="Home Appliance"/>
    <n v="7430"/>
    <n v="5200"/>
    <n v="37150"/>
    <n v="26000"/>
    <n v="11150"/>
    <s v="Mehedi Hossain"/>
    <x v="40"/>
    <x v="1"/>
    <x v="38"/>
  </r>
  <r>
    <s v="ORD-00886"/>
    <x v="285"/>
    <s v="CUS-BAR-003"/>
    <s v="R06"/>
    <s v="ST-BAR-02"/>
    <x v="33"/>
    <s v="P002"/>
    <n v="5"/>
    <n v="0.18"/>
    <n v="18704"/>
    <n v="4"/>
    <x v="19"/>
    <s v="Wireless Mouse"/>
    <s v="Electronics"/>
    <n v="3340"/>
    <n v="2270"/>
    <n v="16700"/>
    <n v="11350"/>
    <n v="5350"/>
    <s v="Arif Ahmed"/>
    <x v="33"/>
    <x v="5"/>
    <x v="11"/>
  </r>
  <r>
    <s v="ORD-00887"/>
    <x v="429"/>
    <s v="CUS-KHL-013"/>
    <s v="R05"/>
    <s v="ST-KHL-05"/>
    <x v="45"/>
    <s v="P018"/>
    <n v="4"/>
    <n v="0"/>
    <n v="7456"/>
    <n v="5"/>
    <x v="3"/>
    <s v="Lentil 1kg"/>
    <s v="Grocery"/>
    <n v="1710"/>
    <n v="1330"/>
    <n v="6840"/>
    <n v="5320"/>
    <n v="1520"/>
    <s v="Fahim Khan"/>
    <x v="45"/>
    <x v="6"/>
    <x v="30"/>
  </r>
  <r>
    <s v="ORD-00888"/>
    <x v="212"/>
    <s v="CUS-RAJ-011"/>
    <s v="R04"/>
    <s v="ST-RAJ-01"/>
    <x v="46"/>
    <s v="P004"/>
    <n v="8"/>
    <n v="0.08"/>
    <n v="33437"/>
    <n v="4"/>
    <x v="6"/>
    <s v="Smart Watch"/>
    <s v="Electronics"/>
    <n v="3870"/>
    <n v="2630"/>
    <n v="30960"/>
    <n v="21040"/>
    <n v="9920"/>
    <s v="Imran Uddin"/>
    <x v="46"/>
    <x v="1"/>
    <x v="36"/>
  </r>
  <r>
    <s v="ORD-00889"/>
    <x v="248"/>
    <s v="CUS-RAJ-016"/>
    <s v="R04"/>
    <s v="ST-RAJ-01"/>
    <x v="40"/>
    <s v="P044"/>
    <n v="2"/>
    <n v="0.03"/>
    <n v="4860"/>
    <n v="6"/>
    <x v="4"/>
    <s v="Color Pencil Set"/>
    <s v="Kids &amp; Toys"/>
    <n v="2250"/>
    <n v="1240"/>
    <n v="4500"/>
    <n v="2480"/>
    <n v="2020"/>
    <s v="Hasan Rahman"/>
    <x v="40"/>
    <x v="1"/>
    <x v="36"/>
  </r>
  <r>
    <s v="ORD-00890"/>
    <x v="184"/>
    <s v="CUS-CTG-018"/>
    <s v="R02"/>
    <s v="ST-CTG-04"/>
    <x v="23"/>
    <s v="P005"/>
    <n v="1"/>
    <n v="0.15"/>
    <n v="5575"/>
    <n v="4"/>
    <x v="3"/>
    <s v="USB-C Hub"/>
    <s v="Electronics"/>
    <n v="4890"/>
    <n v="3330"/>
    <n v="4890"/>
    <n v="3330"/>
    <n v="1560"/>
    <s v="Arif Hossain"/>
    <x v="23"/>
    <x v="7"/>
    <x v="33"/>
  </r>
  <r>
    <s v="ORD-00891"/>
    <x v="367"/>
    <s v="CUS-RAJ-021"/>
    <s v="R04"/>
    <s v="ST-RAJ-03"/>
    <x v="2"/>
    <s v="P013"/>
    <n v="1"/>
    <n v="0.03"/>
    <n v="2149"/>
    <n v="7"/>
    <x v="11"/>
    <s v="Women Kurti"/>
    <s v="Fashion"/>
    <n v="1990"/>
    <n v="1090"/>
    <n v="1990"/>
    <n v="1090"/>
    <n v="900"/>
    <s v="Nayeem Islam"/>
    <x v="2"/>
    <x v="1"/>
    <x v="18"/>
  </r>
  <r>
    <s v="ORD-00892"/>
    <x v="327"/>
    <s v="CUS-RAJ-018"/>
    <s v="R04"/>
    <s v="ST-RAJ-05"/>
    <x v="2"/>
    <s v="P028"/>
    <n v="3"/>
    <n v="0.03"/>
    <n v="10433"/>
    <n v="5"/>
    <x v="19"/>
    <s v="Ladies Sandal"/>
    <s v="Footwear"/>
    <n v="3220"/>
    <n v="1930"/>
    <n v="9660"/>
    <n v="5790"/>
    <n v="3870"/>
    <s v="Samiha Mia"/>
    <x v="2"/>
    <x v="1"/>
    <x v="38"/>
  </r>
  <r>
    <s v="ORD-00893"/>
    <x v="275"/>
    <s v="CUS-RAN-025"/>
    <s v="R07"/>
    <s v="ST-RAN-04"/>
    <x v="0"/>
    <s v="P003"/>
    <n v="3"/>
    <n v="0.15"/>
    <n v="9798"/>
    <n v="8"/>
    <x v="22"/>
    <s v="Power Bank"/>
    <s v="Electronics"/>
    <n v="2840"/>
    <n v="1930"/>
    <n v="8520"/>
    <n v="5790"/>
    <n v="2730"/>
    <s v="Samiha Islam"/>
    <x v="0"/>
    <x v="0"/>
    <x v="13"/>
  </r>
  <r>
    <s v="ORD-00894"/>
    <x v="377"/>
    <s v="CUS-BAR-012"/>
    <s v="R06"/>
    <s v="ST-BAR-02"/>
    <x v="33"/>
    <s v="P011"/>
    <n v="1"/>
    <n v="0.12"/>
    <n v="2094"/>
    <n v="7"/>
    <x v="12"/>
    <s v="Cotton T-Shirt"/>
    <s v="Fashion"/>
    <n v="1870"/>
    <n v="1030"/>
    <n v="1870"/>
    <n v="1030"/>
    <n v="840"/>
    <s v="Hasan Uddin"/>
    <x v="33"/>
    <x v="5"/>
    <x v="11"/>
  </r>
  <r>
    <s v="ORD-00895"/>
    <x v="341"/>
    <s v="CUS-DHA-008"/>
    <s v="R01"/>
    <s v="ST-DHA-04"/>
    <x v="35"/>
    <s v="P033"/>
    <n v="10"/>
    <n v="0.03"/>
    <n v="32860"/>
    <n v="3"/>
    <x v="10"/>
    <s v="Badminton Racket"/>
    <s v="Sports"/>
    <n v="3100"/>
    <n v="1920"/>
    <n v="31000"/>
    <n v="19200"/>
    <n v="11800"/>
    <s v="Karim Islam"/>
    <x v="35"/>
    <x v="4"/>
    <x v="35"/>
  </r>
  <r>
    <s v="ORD-00896"/>
    <x v="99"/>
    <s v="CUS-DHA-003"/>
    <s v="R01"/>
    <s v="ST-DHA-01"/>
    <x v="28"/>
    <s v="P011"/>
    <n v="1"/>
    <n v="7.0000000000000007E-2"/>
    <n v="1982"/>
    <n v="1"/>
    <x v="13"/>
    <s v="Cotton T-Shirt"/>
    <s v="Fashion"/>
    <n v="1870"/>
    <n v="1030"/>
    <n v="1870"/>
    <n v="1030"/>
    <n v="840"/>
    <s v="Tania Chowdhury"/>
    <x v="28"/>
    <x v="4"/>
    <x v="29"/>
  </r>
  <r>
    <s v="ORD-00897"/>
    <x v="329"/>
    <s v="CUS-RAJ-010"/>
    <s v="R04"/>
    <s v="ST-RAJ-02"/>
    <x v="40"/>
    <s v="P010"/>
    <n v="3"/>
    <n v="0.08"/>
    <n v="10076"/>
    <n v="6"/>
    <x v="16"/>
    <s v="Table Fan"/>
    <s v="Home Appliance"/>
    <n v="3110"/>
    <n v="2180"/>
    <n v="9330"/>
    <n v="6540"/>
    <n v="2790"/>
    <s v="Rasel Islam"/>
    <x v="40"/>
    <x v="1"/>
    <x v="2"/>
  </r>
  <r>
    <s v="ORD-00898"/>
    <x v="14"/>
    <s v="CUS-MYM-023"/>
    <s v="R08"/>
    <s v="ST-MYM-03"/>
    <x v="11"/>
    <s v="P011"/>
    <n v="8"/>
    <n v="0.12"/>
    <n v="16157"/>
    <n v="6"/>
    <x v="28"/>
    <s v="Cotton T-Shirt"/>
    <s v="Fashion"/>
    <n v="1870"/>
    <n v="1030"/>
    <n v="14960"/>
    <n v="8240"/>
    <n v="6720"/>
    <s v="Ayesha Uddin"/>
    <x v="11"/>
    <x v="2"/>
    <x v="10"/>
  </r>
  <r>
    <s v="ORD-00899"/>
    <x v="199"/>
    <s v="CUS-KHL-021"/>
    <s v="R05"/>
    <s v="ST-KHL-02"/>
    <x v="29"/>
    <s v="P043"/>
    <n v="4"/>
    <n v="0.12"/>
    <n v="9592"/>
    <n v="4"/>
    <x v="6"/>
    <s v="Puzzle Board"/>
    <s v="Kids &amp; Toys"/>
    <n v="2200"/>
    <n v="1210"/>
    <n v="8800"/>
    <n v="4840"/>
    <n v="3960"/>
    <s v="Jannat Sultana"/>
    <x v="29"/>
    <x v="6"/>
    <x v="14"/>
  </r>
  <r>
    <s v="ORD-00900"/>
    <x v="430"/>
    <s v="CUS-RAN-023"/>
    <s v="R07"/>
    <s v="ST-RAN-05"/>
    <x v="4"/>
    <s v="P006"/>
    <n v="6"/>
    <n v="0.18"/>
    <n v="49680"/>
    <n v="9"/>
    <x v="14"/>
    <s v="Electric Kettle"/>
    <s v="Home Appliance"/>
    <n v="7200"/>
    <n v="5040"/>
    <n v="43200"/>
    <n v="30240"/>
    <n v="12960"/>
    <s v="Farhana Ahmed"/>
    <x v="4"/>
    <x v="0"/>
    <x v="39"/>
  </r>
  <r>
    <s v="ORD-00901"/>
    <x v="11"/>
    <s v="CUS-RAJ-010"/>
    <s v="R04"/>
    <s v="ST-RAJ-05"/>
    <x v="46"/>
    <s v="P003"/>
    <n v="1"/>
    <n v="0.1"/>
    <n v="3067"/>
    <n v="3"/>
    <x v="21"/>
    <s v="Power Bank"/>
    <s v="Electronics"/>
    <n v="2840"/>
    <n v="1930"/>
    <n v="2840"/>
    <n v="1930"/>
    <n v="910"/>
    <s v="Rasel Islam"/>
    <x v="46"/>
    <x v="1"/>
    <x v="38"/>
  </r>
  <r>
    <s v="ORD-00902"/>
    <x v="431"/>
    <s v="CUS-MYM-004"/>
    <s v="R08"/>
    <s v="ST-MYM-01"/>
    <x v="19"/>
    <s v="P039"/>
    <n v="2"/>
    <n v="0.05"/>
    <n v="2246"/>
    <n v="2"/>
    <x v="15"/>
    <s v="Marker Set"/>
    <s v="Stationery"/>
    <n v="1040"/>
    <n v="520"/>
    <n v="2080"/>
    <n v="1040"/>
    <n v="1040"/>
    <s v="Morshed Sultana"/>
    <x v="19"/>
    <x v="2"/>
    <x v="3"/>
  </r>
  <r>
    <s v="ORD-00903"/>
    <x v="402"/>
    <s v="CUS-KHL-003"/>
    <s v="R05"/>
    <s v="ST-KHL-01"/>
    <x v="16"/>
    <s v="P040"/>
    <n v="2"/>
    <n v="0.05"/>
    <n v="1657"/>
    <n v="3"/>
    <x v="25"/>
    <s v="Sticky Notes"/>
    <s v="Stationery"/>
    <n v="760"/>
    <n v="380"/>
    <n v="1520"/>
    <n v="760"/>
    <n v="760"/>
    <s v="Arif Sultana"/>
    <x v="16"/>
    <x v="6"/>
    <x v="24"/>
  </r>
  <r>
    <s v="ORD-00904"/>
    <x v="353"/>
    <s v="CUS-RAJ-013"/>
    <s v="R04"/>
    <s v="ST-RAJ-02"/>
    <x v="30"/>
    <s v="P011"/>
    <n v="3"/>
    <n v="0.03"/>
    <n v="6059"/>
    <n v="4"/>
    <x v="17"/>
    <s v="Cotton T-Shirt"/>
    <s v="Fashion"/>
    <n v="1870"/>
    <n v="1030"/>
    <n v="5610"/>
    <n v="3090"/>
    <n v="2520"/>
    <s v="Imran Khan"/>
    <x v="30"/>
    <x v="1"/>
    <x v="2"/>
  </r>
  <r>
    <s v="ORD-00905"/>
    <x v="432"/>
    <s v="CUS-BAR-001"/>
    <s v="R06"/>
    <s v="ST-BAR-05"/>
    <x v="33"/>
    <s v="P045"/>
    <n v="5"/>
    <n v="0.12"/>
    <n v="4704"/>
    <n v="5"/>
    <x v="5"/>
    <s v="Kids Story Book"/>
    <s v="Kids &amp; Toys"/>
    <n v="840"/>
    <n v="460"/>
    <n v="4200"/>
    <n v="2300"/>
    <n v="1900"/>
    <s v="Shuvo Sultana"/>
    <x v="33"/>
    <x v="5"/>
    <x v="7"/>
  </r>
  <r>
    <s v="ORD-00906"/>
    <x v="279"/>
    <s v="CUS-RAN-014"/>
    <s v="R07"/>
    <s v="ST-RAN-01"/>
    <x v="7"/>
    <s v="P018"/>
    <n v="5"/>
    <n v="0.05"/>
    <n v="9832"/>
    <n v="6"/>
    <x v="4"/>
    <s v="Lentil 1kg"/>
    <s v="Grocery"/>
    <n v="1710"/>
    <n v="1330"/>
    <n v="8550"/>
    <n v="6650"/>
    <n v="1900"/>
    <s v="Samiha Uddin"/>
    <x v="7"/>
    <x v="0"/>
    <x v="0"/>
  </r>
  <r>
    <s v="ORD-00907"/>
    <x v="54"/>
    <s v="CUS-RAN-019"/>
    <s v="R07"/>
    <s v="ST-RAN-05"/>
    <x v="21"/>
    <s v="P005"/>
    <n v="2"/>
    <n v="0.1"/>
    <n v="11247"/>
    <n v="6"/>
    <x v="16"/>
    <s v="USB-C Hub"/>
    <s v="Electronics"/>
    <n v="4890"/>
    <n v="3330"/>
    <n v="9780"/>
    <n v="6660"/>
    <n v="3120"/>
    <s v="Tania Mia"/>
    <x v="21"/>
    <x v="0"/>
    <x v="39"/>
  </r>
  <r>
    <s v="ORD-00908"/>
    <x v="30"/>
    <s v="CUS-KHL-003"/>
    <s v="R05"/>
    <s v="ST-KHL-02"/>
    <x v="29"/>
    <s v="P006"/>
    <n v="1"/>
    <n v="0.12"/>
    <n v="7848"/>
    <n v="5"/>
    <x v="5"/>
    <s v="Electric Kettle"/>
    <s v="Home Appliance"/>
    <n v="7200"/>
    <n v="5040"/>
    <n v="7200"/>
    <n v="5040"/>
    <n v="2160"/>
    <s v="Arif Sultana"/>
    <x v="29"/>
    <x v="6"/>
    <x v="14"/>
  </r>
  <r>
    <s v="ORD-00909"/>
    <x v="33"/>
    <s v="CUS-BAR-009"/>
    <s v="R06"/>
    <s v="ST-BAR-03"/>
    <x v="10"/>
    <s v="P037"/>
    <n v="1"/>
    <n v="0.03"/>
    <n v="381"/>
    <n v="7"/>
    <x v="11"/>
    <s v="Ball Pen Box"/>
    <s v="Stationery"/>
    <n v="340"/>
    <n v="170"/>
    <n v="340"/>
    <n v="170"/>
    <n v="170"/>
    <s v="Tanvir Akter"/>
    <x v="10"/>
    <x v="5"/>
    <x v="27"/>
  </r>
  <r>
    <s v="ORD-00910"/>
    <x v="301"/>
    <s v="CUS-MYM-015"/>
    <s v="R08"/>
    <s v="ST-MYM-01"/>
    <x v="19"/>
    <s v="P001"/>
    <n v="8"/>
    <n v="0.15"/>
    <n v="27994"/>
    <n v="1"/>
    <x v="1"/>
    <s v="Bluetooth Speaker"/>
    <s v="Electronics"/>
    <n v="3240"/>
    <n v="2200"/>
    <n v="25920"/>
    <n v="17600"/>
    <n v="8320"/>
    <s v="Shaila Hossain"/>
    <x v="19"/>
    <x v="2"/>
    <x v="3"/>
  </r>
  <r>
    <s v="ORD-00911"/>
    <x v="433"/>
    <s v="CUS-RAJ-014"/>
    <s v="R04"/>
    <s v="ST-RAJ-01"/>
    <x v="40"/>
    <s v="P046"/>
    <n v="6"/>
    <n v="0.12"/>
    <n v="28382"/>
    <n v="6"/>
    <x v="28"/>
    <s v="Office Chair"/>
    <s v="Furniture"/>
    <n v="4380"/>
    <n v="3150"/>
    <n v="26280"/>
    <n v="18900"/>
    <n v="7380"/>
    <s v="Shuvo Sultana"/>
    <x v="40"/>
    <x v="1"/>
    <x v="36"/>
  </r>
  <r>
    <s v="ORD-00912"/>
    <x v="225"/>
    <s v="CUS-SYL-009"/>
    <s v="R03"/>
    <s v="ST-SYL-03"/>
    <x v="38"/>
    <s v="P041"/>
    <n v="1"/>
    <n v="0.05"/>
    <n v="899"/>
    <n v="4"/>
    <x v="20"/>
    <s v="Building Blocks"/>
    <s v="Kids &amp; Toys"/>
    <n v="840"/>
    <n v="460"/>
    <n v="840"/>
    <n v="460"/>
    <n v="380"/>
    <s v="Imran Islam"/>
    <x v="38"/>
    <x v="3"/>
    <x v="23"/>
  </r>
  <r>
    <s v="ORD-00913"/>
    <x v="35"/>
    <s v="CUS-SYL-020"/>
    <s v="R03"/>
    <s v="ST-SYL-01"/>
    <x v="20"/>
    <s v="P003"/>
    <n v="1"/>
    <n v="0.18"/>
    <n v="3039"/>
    <n v="5"/>
    <x v="4"/>
    <s v="Power Bank"/>
    <s v="Electronics"/>
    <n v="2840"/>
    <n v="1930"/>
    <n v="2840"/>
    <n v="1930"/>
    <n v="910"/>
    <s v="Shaila Uddin"/>
    <x v="20"/>
    <x v="3"/>
    <x v="25"/>
  </r>
  <r>
    <s v="ORD-00914"/>
    <x v="147"/>
    <s v="CUS-DHA-018"/>
    <s v="R01"/>
    <s v="ST-DHA-02"/>
    <x v="44"/>
    <s v="P047"/>
    <n v="8"/>
    <n v="0.03"/>
    <n v="99046"/>
    <n v="2"/>
    <x v="15"/>
    <s v="Study Table"/>
    <s v="Furniture"/>
    <n v="11680"/>
    <n v="8410"/>
    <n v="93440"/>
    <n v="67280"/>
    <n v="26160"/>
    <s v="Rafi Khan"/>
    <x v="44"/>
    <x v="4"/>
    <x v="8"/>
  </r>
  <r>
    <s v="ORD-00915"/>
    <x v="245"/>
    <s v="CUS-BAR-018"/>
    <s v="R06"/>
    <s v="ST-BAR-01"/>
    <x v="12"/>
    <s v="P005"/>
    <n v="2"/>
    <n v="0.08"/>
    <n v="10954"/>
    <n v="4"/>
    <x v="6"/>
    <s v="USB-C Hub"/>
    <s v="Electronics"/>
    <n v="4890"/>
    <n v="3330"/>
    <n v="9780"/>
    <n v="6660"/>
    <n v="3120"/>
    <s v="Samiha Ahmed"/>
    <x v="12"/>
    <x v="5"/>
    <x v="9"/>
  </r>
  <r>
    <s v="ORD-00916"/>
    <x v="434"/>
    <s v="CUS-BAR-019"/>
    <s v="R06"/>
    <s v="ST-BAR-03"/>
    <x v="10"/>
    <s v="P010"/>
    <n v="5"/>
    <n v="0.08"/>
    <n v="17416"/>
    <n v="7"/>
    <x v="2"/>
    <s v="Table Fan"/>
    <s v="Home Appliance"/>
    <n v="3110"/>
    <n v="2180"/>
    <n v="15550"/>
    <n v="10900"/>
    <n v="4650"/>
    <s v="Imran Chowdhury"/>
    <x v="10"/>
    <x v="5"/>
    <x v="27"/>
  </r>
  <r>
    <s v="ORD-00917"/>
    <x v="217"/>
    <s v="CUS-BAR-020"/>
    <s v="R06"/>
    <s v="ST-BAR-03"/>
    <x v="33"/>
    <s v="P049"/>
    <n v="2"/>
    <n v="7.0000000000000007E-2"/>
    <n v="9475"/>
    <n v="6"/>
    <x v="16"/>
    <s v="Bookshelf"/>
    <s v="Furniture"/>
    <n v="4230"/>
    <n v="3050"/>
    <n v="8460"/>
    <n v="6100"/>
    <n v="2360"/>
    <s v="Rumana Akter"/>
    <x v="33"/>
    <x v="5"/>
    <x v="27"/>
  </r>
  <r>
    <s v="ORD-00918"/>
    <x v="435"/>
    <s v="CUS-DHA-010"/>
    <s v="R01"/>
    <s v="ST-DHA-02"/>
    <x v="9"/>
    <s v="P001"/>
    <n v="5"/>
    <n v="0.18"/>
    <n v="17172"/>
    <n v="1"/>
    <x v="15"/>
    <s v="Bluetooth Speaker"/>
    <s v="Electronics"/>
    <n v="3240"/>
    <n v="2200"/>
    <n v="16200"/>
    <n v="11000"/>
    <n v="5200"/>
    <s v="Shamim Khan"/>
    <x v="9"/>
    <x v="4"/>
    <x v="8"/>
  </r>
  <r>
    <s v="ORD-00919"/>
    <x v="123"/>
    <s v="CUS-BAR-007"/>
    <s v="R06"/>
    <s v="ST-BAR-04"/>
    <x v="12"/>
    <s v="P001"/>
    <n v="2"/>
    <n v="0.08"/>
    <n v="7258"/>
    <n v="9"/>
    <x v="32"/>
    <s v="Bluetooth Speaker"/>
    <s v="Electronics"/>
    <n v="3240"/>
    <n v="2200"/>
    <n v="6480"/>
    <n v="4400"/>
    <n v="2080"/>
    <s v="Mahmud Sultana"/>
    <x v="12"/>
    <x v="5"/>
    <x v="12"/>
  </r>
  <r>
    <s v="ORD-00920"/>
    <x v="356"/>
    <s v="CUS-RAJ-019"/>
    <s v="R04"/>
    <s v="ST-RAJ-05"/>
    <x v="40"/>
    <s v="P024"/>
    <n v="3"/>
    <n v="0.12"/>
    <n v="4568"/>
    <n v="3"/>
    <x v="21"/>
    <s v="Toothpaste Twin Pack"/>
    <s v="Beauty &amp; Personal Care"/>
    <n v="1410"/>
    <n v="820"/>
    <n v="4230"/>
    <n v="2460"/>
    <n v="1770"/>
    <s v="Shuvo Khan"/>
    <x v="40"/>
    <x v="1"/>
    <x v="38"/>
  </r>
  <r>
    <s v="ORD-00921"/>
    <x v="374"/>
    <s v="CUS-DHA-020"/>
    <s v="R01"/>
    <s v="ST-DHA-04"/>
    <x v="35"/>
    <s v="P016"/>
    <n v="2"/>
    <n v="0.03"/>
    <n v="2353"/>
    <n v="3"/>
    <x v="10"/>
    <s v="Premium Rice 5kg"/>
    <s v="Grocery"/>
    <n v="1110"/>
    <n v="870"/>
    <n v="2220"/>
    <n v="1740"/>
    <n v="480"/>
    <s v="Tanjim Ahmed"/>
    <x v="35"/>
    <x v="4"/>
    <x v="35"/>
  </r>
  <r>
    <s v="ORD-00922"/>
    <x v="26"/>
    <s v="CUS-BAR-008"/>
    <s v="R06"/>
    <s v="ST-BAR-04"/>
    <x v="33"/>
    <s v="P032"/>
    <n v="5"/>
    <n v="0.1"/>
    <n v="20832"/>
    <n v="4"/>
    <x v="6"/>
    <s v="Football"/>
    <s v="Sports"/>
    <n v="3720"/>
    <n v="2310"/>
    <n v="18600"/>
    <n v="11550"/>
    <n v="7050"/>
    <s v="Rasel Chowdhury"/>
    <x v="33"/>
    <x v="5"/>
    <x v="12"/>
  </r>
  <r>
    <s v="ORD-00923"/>
    <x v="331"/>
    <s v="CUS-BAR-003"/>
    <s v="R06"/>
    <s v="ST-BAR-03"/>
    <x v="12"/>
    <s v="P015"/>
    <n v="3"/>
    <n v="0.12"/>
    <n v="8803"/>
    <n v="5"/>
    <x v="5"/>
    <s v="Leather Belt"/>
    <s v="Fashion"/>
    <n v="2620"/>
    <n v="1440"/>
    <n v="7860"/>
    <n v="4320"/>
    <n v="3540"/>
    <s v="Arif Ahmed"/>
    <x v="12"/>
    <x v="5"/>
    <x v="27"/>
  </r>
  <r>
    <s v="ORD-00924"/>
    <x v="436"/>
    <s v="CUS-RAJ-019"/>
    <s v="R04"/>
    <s v="ST-RAJ-02"/>
    <x v="40"/>
    <s v="P005"/>
    <n v="3"/>
    <n v="0.1"/>
    <n v="15844"/>
    <n v="7"/>
    <x v="12"/>
    <s v="USB-C Hub"/>
    <s v="Electronics"/>
    <n v="4890"/>
    <n v="3330"/>
    <n v="14670"/>
    <n v="9990"/>
    <n v="4680"/>
    <s v="Shuvo Khan"/>
    <x v="40"/>
    <x v="1"/>
    <x v="2"/>
  </r>
  <r>
    <s v="ORD-00925"/>
    <x v="127"/>
    <s v="CUS-KHL-010"/>
    <s v="R05"/>
    <s v="ST-KHL-03"/>
    <x v="16"/>
    <s v="P003"/>
    <n v="2"/>
    <n v="0.1"/>
    <n v="6191"/>
    <n v="1"/>
    <x v="13"/>
    <s v="Power Bank"/>
    <s v="Electronics"/>
    <n v="2840"/>
    <n v="1930"/>
    <n v="5680"/>
    <n v="3860"/>
    <n v="1820"/>
    <s v="Nabila Islam"/>
    <x v="16"/>
    <x v="6"/>
    <x v="17"/>
  </r>
  <r>
    <s v="ORD-00926"/>
    <x v="356"/>
    <s v="CUS-RAJ-006"/>
    <s v="R04"/>
    <s v="ST-RAJ-04"/>
    <x v="1"/>
    <s v="P004"/>
    <n v="4"/>
    <n v="0.15"/>
    <n v="16718"/>
    <n v="3"/>
    <x v="17"/>
    <s v="Smart Watch"/>
    <s v="Electronics"/>
    <n v="3870"/>
    <n v="2630"/>
    <n v="15480"/>
    <n v="10520"/>
    <n v="4960"/>
    <s v="Samiha Ahmed"/>
    <x v="1"/>
    <x v="1"/>
    <x v="1"/>
  </r>
  <r>
    <s v="ORD-00927"/>
    <x v="380"/>
    <s v="CUS-CTG-005"/>
    <s v="R02"/>
    <s v="ST-CTG-01"/>
    <x v="39"/>
    <s v="P001"/>
    <n v="10"/>
    <n v="0.1"/>
    <n v="36936"/>
    <n v="3"/>
    <x v="21"/>
    <s v="Bluetooth Speaker"/>
    <s v="Electronics"/>
    <n v="3240"/>
    <n v="2200"/>
    <n v="32400"/>
    <n v="22000"/>
    <n v="10400"/>
    <s v="Shakib Mia"/>
    <x v="39"/>
    <x v="7"/>
    <x v="37"/>
  </r>
  <r>
    <s v="ORD-00928"/>
    <x v="285"/>
    <s v="CUS-RAN-014"/>
    <s v="R07"/>
    <s v="ST-RAN-03"/>
    <x v="27"/>
    <s v="P010"/>
    <n v="4"/>
    <n v="0.08"/>
    <n v="14306"/>
    <n v="8"/>
    <x v="30"/>
    <s v="Table Fan"/>
    <s v="Home Appliance"/>
    <n v="3110"/>
    <n v="2180"/>
    <n v="12440"/>
    <n v="8720"/>
    <n v="3720"/>
    <s v="Samiha Uddin"/>
    <x v="27"/>
    <x v="0"/>
    <x v="26"/>
  </r>
  <r>
    <s v="ORD-00929"/>
    <x v="341"/>
    <s v="CUS-BAR-011"/>
    <s v="R06"/>
    <s v="ST-BAR-05"/>
    <x v="12"/>
    <s v="P023"/>
    <n v="1"/>
    <n v="7.0000000000000007E-2"/>
    <n v="1299"/>
    <n v="9"/>
    <x v="9"/>
    <s v="Body Lotion"/>
    <s v="Beauty &amp; Personal Care"/>
    <n v="1160"/>
    <n v="670"/>
    <n v="1160"/>
    <n v="670"/>
    <n v="490"/>
    <s v="Ayesha Islam"/>
    <x v="12"/>
    <x v="5"/>
    <x v="7"/>
  </r>
  <r>
    <s v="ORD-00930"/>
    <x v="119"/>
    <s v="CUS-MYM-024"/>
    <s v="R08"/>
    <s v="ST-MYM-04"/>
    <x v="3"/>
    <s v="P033"/>
    <n v="4"/>
    <n v="0.12"/>
    <n v="13392"/>
    <n v="3"/>
    <x v="21"/>
    <s v="Badminton Racket"/>
    <s v="Sports"/>
    <n v="3100"/>
    <n v="1920"/>
    <n v="12400"/>
    <n v="7680"/>
    <n v="4720"/>
    <s v="Farhana Islam"/>
    <x v="3"/>
    <x v="2"/>
    <x v="34"/>
  </r>
  <r>
    <s v="ORD-00931"/>
    <x v="210"/>
    <s v="CUS-CTG-005"/>
    <s v="R02"/>
    <s v="ST-CTG-01"/>
    <x v="18"/>
    <s v="P021"/>
    <n v="3"/>
    <n v="0.05"/>
    <n v="4378"/>
    <n v="3"/>
    <x v="25"/>
    <s v="Face Wash"/>
    <s v="Beauty &amp; Personal Care"/>
    <n v="1280"/>
    <n v="740"/>
    <n v="3840"/>
    <n v="2220"/>
    <n v="1620"/>
    <s v="Shakib Mia"/>
    <x v="18"/>
    <x v="7"/>
    <x v="37"/>
  </r>
  <r>
    <s v="ORD-00932"/>
    <x v="417"/>
    <s v="CUS-CTG-008"/>
    <s v="R02"/>
    <s v="ST-CTG-03"/>
    <x v="39"/>
    <s v="P008"/>
    <n v="6"/>
    <n v="0.18"/>
    <n v="16621"/>
    <n v="7"/>
    <x v="23"/>
    <s v="Blender Machine"/>
    <s v="Home Appliance"/>
    <n v="2430"/>
    <n v="1700"/>
    <n v="14580"/>
    <n v="10200"/>
    <n v="4380"/>
    <s v="Mim Akter"/>
    <x v="39"/>
    <x v="7"/>
    <x v="16"/>
  </r>
  <r>
    <s v="ORD-00933"/>
    <x v="87"/>
    <s v="CUS-RAN-010"/>
    <s v="R07"/>
    <s v="ST-RAN-03"/>
    <x v="4"/>
    <s v="P007"/>
    <n v="8"/>
    <n v="0.08"/>
    <n v="68356"/>
    <n v="9"/>
    <x v="32"/>
    <s v="Rice Cooker"/>
    <s v="Home Appliance"/>
    <n v="7430"/>
    <n v="5200"/>
    <n v="59440"/>
    <n v="41600"/>
    <n v="17840"/>
    <s v="Farhana Hossain"/>
    <x v="4"/>
    <x v="0"/>
    <x v="26"/>
  </r>
  <r>
    <s v="ORD-00934"/>
    <x v="411"/>
    <s v="CUS-RAJ-014"/>
    <s v="R04"/>
    <s v="ST-RAJ-05"/>
    <x v="26"/>
    <s v="P020"/>
    <n v="1"/>
    <n v="0.03"/>
    <n v="2311"/>
    <n v="1"/>
    <x v="7"/>
    <s v="Tea Pack 500g"/>
    <s v="Grocery"/>
    <n v="2140"/>
    <n v="1670"/>
    <n v="2140"/>
    <n v="1670"/>
    <n v="470"/>
    <s v="Shuvo Sultana"/>
    <x v="26"/>
    <x v="1"/>
    <x v="38"/>
  </r>
  <r>
    <s v="ORD-00935"/>
    <x v="90"/>
    <s v="CUS-SYL-004"/>
    <s v="R03"/>
    <s v="ST-SYL-03"/>
    <x v="38"/>
    <s v="P014"/>
    <n v="6"/>
    <n v="7.0000000000000007E-2"/>
    <n v="5650"/>
    <n v="4"/>
    <x v="20"/>
    <s v="Denim Jeans"/>
    <s v="Fashion"/>
    <n v="880"/>
    <n v="480"/>
    <n v="5280"/>
    <n v="2880"/>
    <n v="2400"/>
    <s v="Tania Akter"/>
    <x v="38"/>
    <x v="3"/>
    <x v="23"/>
  </r>
  <r>
    <s v="ORD-00936"/>
    <x v="78"/>
    <s v="CUS-CTG-008"/>
    <s v="R02"/>
    <s v="ST-CTG-03"/>
    <x v="23"/>
    <s v="P002"/>
    <n v="4"/>
    <n v="0.08"/>
    <n v="15230"/>
    <n v="4"/>
    <x v="6"/>
    <s v="Wireless Mouse"/>
    <s v="Electronics"/>
    <n v="3340"/>
    <n v="2270"/>
    <n v="13360"/>
    <n v="9080"/>
    <n v="4280"/>
    <s v="Mim Akter"/>
    <x v="23"/>
    <x v="7"/>
    <x v="16"/>
  </r>
  <r>
    <s v="ORD-00937"/>
    <x v="48"/>
    <s v="CUS-DHA-018"/>
    <s v="R01"/>
    <s v="ST-DHA-05"/>
    <x v="28"/>
    <s v="P001"/>
    <n v="2"/>
    <n v="0.12"/>
    <n v="6869"/>
    <n v="4"/>
    <x v="6"/>
    <s v="Bluetooth Speaker"/>
    <s v="Electronics"/>
    <n v="3240"/>
    <n v="2200"/>
    <n v="6480"/>
    <n v="4400"/>
    <n v="2080"/>
    <s v="Rafi Khan"/>
    <x v="28"/>
    <x v="4"/>
    <x v="15"/>
  </r>
  <r>
    <s v="ORD-00938"/>
    <x v="400"/>
    <s v="CUS-MYM-017"/>
    <s v="R08"/>
    <s v="ST-MYM-02"/>
    <x v="19"/>
    <s v="P006"/>
    <n v="4"/>
    <n v="0.15"/>
    <n v="31104"/>
    <n v="5"/>
    <x v="5"/>
    <s v="Electric Kettle"/>
    <s v="Home Appliance"/>
    <n v="7200"/>
    <n v="5040"/>
    <n v="28800"/>
    <n v="20160"/>
    <n v="8640"/>
    <s v="Rafi Akter"/>
    <x v="19"/>
    <x v="2"/>
    <x v="20"/>
  </r>
  <r>
    <s v="ORD-00939"/>
    <x v="370"/>
    <s v="CUS-RAN-016"/>
    <s v="R07"/>
    <s v="ST-RAN-03"/>
    <x v="7"/>
    <s v="P041"/>
    <n v="4"/>
    <n v="0.03"/>
    <n v="3864"/>
    <n v="9"/>
    <x v="22"/>
    <s v="Building Blocks"/>
    <s v="Kids &amp; Toys"/>
    <n v="840"/>
    <n v="460"/>
    <n v="3360"/>
    <n v="1840"/>
    <n v="1520"/>
    <s v="Tamanna Mia"/>
    <x v="7"/>
    <x v="0"/>
    <x v="26"/>
  </r>
  <r>
    <s v="ORD-00940"/>
    <x v="371"/>
    <s v="CUS-RAJ-024"/>
    <s v="R04"/>
    <s v="ST-RAJ-01"/>
    <x v="26"/>
    <s v="P003"/>
    <n v="4"/>
    <n v="0.18"/>
    <n v="12269"/>
    <n v="3"/>
    <x v="20"/>
    <s v="Power Bank"/>
    <s v="Electronics"/>
    <n v="2840"/>
    <n v="1930"/>
    <n v="11360"/>
    <n v="7720"/>
    <n v="3640"/>
    <s v="Mahmud Uddin"/>
    <x v="26"/>
    <x v="1"/>
    <x v="36"/>
  </r>
  <r>
    <s v="ORD-00941"/>
    <x v="95"/>
    <s v="CUS-CTG-023"/>
    <s v="R02"/>
    <s v="ST-CTG-03"/>
    <x v="41"/>
    <s v="P011"/>
    <n v="1"/>
    <n v="0.12"/>
    <n v="2132"/>
    <n v="3"/>
    <x v="21"/>
    <s v="Cotton T-Shirt"/>
    <s v="Fashion"/>
    <n v="1870"/>
    <n v="1030"/>
    <n v="1870"/>
    <n v="1030"/>
    <n v="840"/>
    <s v="Imran Uddin"/>
    <x v="41"/>
    <x v="7"/>
    <x v="16"/>
  </r>
  <r>
    <s v="ORD-00942"/>
    <x v="381"/>
    <s v="CUS-DHA-021"/>
    <s v="R01"/>
    <s v="ST-DHA-01"/>
    <x v="28"/>
    <s v="P003"/>
    <n v="5"/>
    <n v="0.1"/>
    <n v="15052"/>
    <n v="1"/>
    <x v="13"/>
    <s v="Power Bank"/>
    <s v="Electronics"/>
    <n v="2840"/>
    <n v="1930"/>
    <n v="14200"/>
    <n v="9650"/>
    <n v="4550"/>
    <s v="Tanjim Chowdhury"/>
    <x v="28"/>
    <x v="4"/>
    <x v="29"/>
  </r>
  <r>
    <s v="ORD-00943"/>
    <x v="437"/>
    <s v="CUS-RAJ-009"/>
    <s v="R04"/>
    <s v="ST-RAJ-04"/>
    <x v="46"/>
    <s v="P013"/>
    <n v="4"/>
    <n v="7.0000000000000007E-2"/>
    <n v="8597"/>
    <n v="6"/>
    <x v="16"/>
    <s v="Women Kurti"/>
    <s v="Fashion"/>
    <n v="1990"/>
    <n v="1090"/>
    <n v="7960"/>
    <n v="4360"/>
    <n v="3600"/>
    <s v="Nayeem Hossain"/>
    <x v="46"/>
    <x v="1"/>
    <x v="1"/>
  </r>
  <r>
    <s v="ORD-00944"/>
    <x v="274"/>
    <s v="CUS-CTG-017"/>
    <s v="R02"/>
    <s v="ST-CTG-02"/>
    <x v="41"/>
    <s v="P011"/>
    <n v="3"/>
    <n v="0.05"/>
    <n v="6395"/>
    <n v="7"/>
    <x v="11"/>
    <s v="Cotton T-Shirt"/>
    <s v="Fashion"/>
    <n v="1870"/>
    <n v="1030"/>
    <n v="5610"/>
    <n v="3090"/>
    <n v="2520"/>
    <s v="Jannat Islam"/>
    <x v="41"/>
    <x v="7"/>
    <x v="22"/>
  </r>
  <r>
    <s v="ORD-00945"/>
    <x v="204"/>
    <s v="CUS-SYL-002"/>
    <s v="R03"/>
    <s v="ST-SYL-04"/>
    <x v="25"/>
    <s v="P005"/>
    <n v="3"/>
    <n v="0.1"/>
    <n v="15697"/>
    <n v="2"/>
    <x v="24"/>
    <s v="USB-C Hub"/>
    <s v="Electronics"/>
    <n v="4890"/>
    <n v="3330"/>
    <n v="14670"/>
    <n v="9990"/>
    <n v="4680"/>
    <s v="Rafi Hossain"/>
    <x v="25"/>
    <x v="3"/>
    <x v="21"/>
  </r>
  <r>
    <s v="ORD-00946"/>
    <x v="321"/>
    <s v="CUS-SYL-010"/>
    <s v="R03"/>
    <s v="ST-SYL-02"/>
    <x v="38"/>
    <s v="P027"/>
    <n v="4"/>
    <n v="0.1"/>
    <n v="5179"/>
    <n v="1"/>
    <x v="13"/>
    <s v="Formal Shoe"/>
    <s v="Footwear"/>
    <n v="1210"/>
    <n v="730"/>
    <n v="4840"/>
    <n v="2920"/>
    <n v="1920"/>
    <s v="Rahim Akter"/>
    <x v="38"/>
    <x v="3"/>
    <x v="32"/>
  </r>
  <r>
    <s v="ORD-00947"/>
    <x v="205"/>
    <s v="CUS-BAR-018"/>
    <s v="R06"/>
    <s v="ST-BAR-04"/>
    <x v="33"/>
    <s v="P002"/>
    <n v="9"/>
    <n v="0.15"/>
    <n v="33667"/>
    <n v="7"/>
    <x v="23"/>
    <s v="Wireless Mouse"/>
    <s v="Electronics"/>
    <n v="3340"/>
    <n v="2270"/>
    <n v="30060"/>
    <n v="20430"/>
    <n v="9630"/>
    <s v="Samiha Ahmed"/>
    <x v="33"/>
    <x v="5"/>
    <x v="12"/>
  </r>
  <r>
    <s v="ORD-00948"/>
    <x v="438"/>
    <s v="CUS-RAN-004"/>
    <s v="R07"/>
    <s v="ST-RAN-02"/>
    <x v="4"/>
    <s v="P047"/>
    <n v="3"/>
    <n v="0.05"/>
    <n v="40296"/>
    <n v="8"/>
    <x v="30"/>
    <s v="Study Table"/>
    <s v="Furniture"/>
    <n v="11680"/>
    <n v="8410"/>
    <n v="35040"/>
    <n v="25230"/>
    <n v="9810"/>
    <s v="Sadia Sultana"/>
    <x v="4"/>
    <x v="0"/>
    <x v="6"/>
  </r>
  <r>
    <s v="ORD-00949"/>
    <x v="71"/>
    <s v="CUS-MYM-016"/>
    <s v="R08"/>
    <s v="ST-MYM-05"/>
    <x v="19"/>
    <s v="P028"/>
    <n v="2"/>
    <n v="0.12"/>
    <n v="6955"/>
    <n v="5"/>
    <x v="5"/>
    <s v="Ladies Sandal"/>
    <s v="Footwear"/>
    <n v="3220"/>
    <n v="1930"/>
    <n v="6440"/>
    <n v="3860"/>
    <n v="2580"/>
    <s v="Rasel Uddin"/>
    <x v="19"/>
    <x v="2"/>
    <x v="28"/>
  </r>
  <r>
    <s v="ORD-00950"/>
    <x v="95"/>
    <s v="CUS-RAN-002"/>
    <s v="R07"/>
    <s v="ST-RAN-05"/>
    <x v="42"/>
    <s v="P005"/>
    <n v="2"/>
    <n v="0.15"/>
    <n v="11247"/>
    <n v="9"/>
    <x v="0"/>
    <s v="USB-C Hub"/>
    <s v="Electronics"/>
    <n v="4890"/>
    <n v="3330"/>
    <n v="9780"/>
    <n v="6660"/>
    <n v="3120"/>
    <s v="Rumana Akter"/>
    <x v="42"/>
    <x v="0"/>
    <x v="39"/>
  </r>
  <r>
    <s v="ORD-00951"/>
    <x v="8"/>
    <s v="CUS-RAN-013"/>
    <s v="R07"/>
    <s v="ST-RAN-03"/>
    <x v="7"/>
    <s v="P005"/>
    <n v="2"/>
    <n v="0.08"/>
    <n v="11247"/>
    <n v="5"/>
    <x v="29"/>
    <s v="USB-C Hub"/>
    <s v="Electronics"/>
    <n v="4890"/>
    <n v="3330"/>
    <n v="9780"/>
    <n v="6660"/>
    <n v="3120"/>
    <s v="Arif Rahman"/>
    <x v="7"/>
    <x v="0"/>
    <x v="26"/>
  </r>
  <r>
    <s v="ORD-00952"/>
    <x v="212"/>
    <s v="CUS-SYL-018"/>
    <s v="R03"/>
    <s v="ST-SYL-02"/>
    <x v="25"/>
    <s v="P002"/>
    <n v="3"/>
    <n v="0.08"/>
    <n v="10721"/>
    <n v="5"/>
    <x v="29"/>
    <s v="Wireless Mouse"/>
    <s v="Electronics"/>
    <n v="3340"/>
    <n v="2270"/>
    <n v="10020"/>
    <n v="6810"/>
    <n v="3210"/>
    <s v="Rafi Chowdhury"/>
    <x v="25"/>
    <x v="3"/>
    <x v="32"/>
  </r>
  <r>
    <s v="ORD-00953"/>
    <x v="439"/>
    <s v="CUS-DHA-013"/>
    <s v="R01"/>
    <s v="ST-DHA-01"/>
    <x v="35"/>
    <s v="P007"/>
    <n v="6"/>
    <n v="0.08"/>
    <n v="47255"/>
    <n v="3"/>
    <x v="25"/>
    <s v="Rice Cooker"/>
    <s v="Home Appliance"/>
    <n v="7430"/>
    <n v="5200"/>
    <n v="44580"/>
    <n v="31200"/>
    <n v="13380"/>
    <s v="Arif Hossain"/>
    <x v="35"/>
    <x v="4"/>
    <x v="29"/>
  </r>
  <r>
    <s v="ORD-00954"/>
    <x v="352"/>
    <s v="CUS-BAR-018"/>
    <s v="R06"/>
    <s v="ST-BAR-02"/>
    <x v="8"/>
    <s v="P039"/>
    <n v="5"/>
    <n v="0.02"/>
    <n v="5824"/>
    <n v="3"/>
    <x v="10"/>
    <s v="Marker Set"/>
    <s v="Stationery"/>
    <n v="1040"/>
    <n v="520"/>
    <n v="5200"/>
    <n v="2600"/>
    <n v="2600"/>
    <s v="Samiha Ahmed"/>
    <x v="8"/>
    <x v="5"/>
    <x v="11"/>
  </r>
  <r>
    <s v="ORD-00955"/>
    <x v="397"/>
    <s v="CUS-KHL-006"/>
    <s v="R05"/>
    <s v="ST-KHL-03"/>
    <x v="16"/>
    <s v="P010"/>
    <n v="8"/>
    <n v="0.08"/>
    <n v="27119"/>
    <n v="7"/>
    <x v="2"/>
    <s v="Table Fan"/>
    <s v="Home Appliance"/>
    <n v="3110"/>
    <n v="2180"/>
    <n v="24880"/>
    <n v="17440"/>
    <n v="7440"/>
    <s v="Sadia Ahmed"/>
    <x v="16"/>
    <x v="6"/>
    <x v="17"/>
  </r>
  <r>
    <s v="ORD-00956"/>
    <x v="99"/>
    <s v="CUS-CTG-017"/>
    <s v="R02"/>
    <s v="ST-CTG-04"/>
    <x v="39"/>
    <s v="P001"/>
    <n v="2"/>
    <n v="0.1"/>
    <n v="7387"/>
    <n v="3"/>
    <x v="21"/>
    <s v="Bluetooth Speaker"/>
    <s v="Electronics"/>
    <n v="3240"/>
    <n v="2200"/>
    <n v="6480"/>
    <n v="4400"/>
    <n v="2080"/>
    <s v="Jannat Islam"/>
    <x v="39"/>
    <x v="7"/>
    <x v="33"/>
  </r>
  <r>
    <s v="ORD-00957"/>
    <x v="139"/>
    <s v="CUS-RAJ-002"/>
    <s v="R04"/>
    <s v="ST-RAJ-03"/>
    <x v="30"/>
    <s v="P003"/>
    <n v="3"/>
    <n v="0.1"/>
    <n v="9202"/>
    <n v="6"/>
    <x v="16"/>
    <s v="Power Bank"/>
    <s v="Electronics"/>
    <n v="2840"/>
    <n v="1930"/>
    <n v="8520"/>
    <n v="5790"/>
    <n v="2730"/>
    <s v="Mehedi Hossain"/>
    <x v="30"/>
    <x v="1"/>
    <x v="18"/>
  </r>
  <r>
    <s v="ORD-00958"/>
    <x v="253"/>
    <s v="CUS-CTG-003"/>
    <s v="R02"/>
    <s v="ST-CTG-01"/>
    <x v="18"/>
    <s v="P030"/>
    <n v="3"/>
    <n v="0.12"/>
    <n v="6395"/>
    <n v="2"/>
    <x v="24"/>
    <s v="Casual Loafer"/>
    <s v="Footwear"/>
    <n v="1870"/>
    <n v="1120"/>
    <n v="5610"/>
    <n v="3360"/>
    <n v="2250"/>
    <s v="Shuvo Mia"/>
    <x v="18"/>
    <x v="7"/>
    <x v="37"/>
  </r>
  <r>
    <s v="ORD-00959"/>
    <x v="288"/>
    <s v="CUS-SYL-004"/>
    <s v="R03"/>
    <s v="ST-SYL-05"/>
    <x v="32"/>
    <s v="P004"/>
    <n v="4"/>
    <n v="0.15"/>
    <n v="16564"/>
    <n v="3"/>
    <x v="17"/>
    <s v="Smart Watch"/>
    <s v="Electronics"/>
    <n v="3870"/>
    <n v="2630"/>
    <n v="15480"/>
    <n v="10520"/>
    <n v="4960"/>
    <s v="Tania Akter"/>
    <x v="32"/>
    <x v="3"/>
    <x v="4"/>
  </r>
  <r>
    <s v="ORD-00960"/>
    <x v="121"/>
    <s v="CUS-KHL-015"/>
    <s v="R05"/>
    <s v="ST-KHL-02"/>
    <x v="45"/>
    <s v="P005"/>
    <n v="3"/>
    <n v="0.08"/>
    <n v="15990"/>
    <n v="3"/>
    <x v="25"/>
    <s v="USB-C Hub"/>
    <s v="Electronics"/>
    <n v="4890"/>
    <n v="3330"/>
    <n v="14670"/>
    <n v="9990"/>
    <n v="4680"/>
    <s v="Imran Mia"/>
    <x v="45"/>
    <x v="6"/>
    <x v="14"/>
  </r>
  <r>
    <s v="ORD-00961"/>
    <x v="440"/>
    <s v="CUS-RAJ-014"/>
    <s v="R04"/>
    <s v="ST-RAJ-05"/>
    <x v="26"/>
    <s v="P013"/>
    <n v="1"/>
    <n v="0.03"/>
    <n v="2149"/>
    <n v="7"/>
    <x v="11"/>
    <s v="Women Kurti"/>
    <s v="Fashion"/>
    <n v="1990"/>
    <n v="1090"/>
    <n v="1990"/>
    <n v="1090"/>
    <n v="900"/>
    <s v="Shuvo Sultana"/>
    <x v="26"/>
    <x v="1"/>
    <x v="38"/>
  </r>
  <r>
    <s v="ORD-00962"/>
    <x v="90"/>
    <s v="CUS-BAR-025"/>
    <s v="R06"/>
    <s v="ST-BAR-05"/>
    <x v="10"/>
    <s v="P002"/>
    <n v="3"/>
    <n v="0.08"/>
    <n v="11222"/>
    <n v="5"/>
    <x v="29"/>
    <s v="Wireless Mouse"/>
    <s v="Electronics"/>
    <n v="3340"/>
    <n v="2270"/>
    <n v="10020"/>
    <n v="6810"/>
    <n v="3210"/>
    <s v="Fahim Khan"/>
    <x v="10"/>
    <x v="5"/>
    <x v="7"/>
  </r>
  <r>
    <s v="ORD-00963"/>
    <x v="245"/>
    <s v="CUS-RAN-025"/>
    <s v="R07"/>
    <s v="ST-RAN-02"/>
    <x v="4"/>
    <s v="P009"/>
    <n v="4"/>
    <n v="0.1"/>
    <n v="20976"/>
    <n v="10"/>
    <x v="26"/>
    <s v="Steam Iron"/>
    <s v="Home Appliance"/>
    <n v="4560"/>
    <n v="3190"/>
    <n v="18240"/>
    <n v="12760"/>
    <n v="5480"/>
    <s v="Samiha Islam"/>
    <x v="4"/>
    <x v="0"/>
    <x v="6"/>
  </r>
  <r>
    <s v="ORD-00964"/>
    <x v="321"/>
    <s v="CUS-CTG-018"/>
    <s v="R02"/>
    <s v="ST-CTG-02"/>
    <x v="23"/>
    <s v="P041"/>
    <n v="3"/>
    <n v="0.03"/>
    <n v="2873"/>
    <n v="1"/>
    <x v="7"/>
    <s v="Building Blocks"/>
    <s v="Kids &amp; Toys"/>
    <n v="840"/>
    <n v="460"/>
    <n v="2520"/>
    <n v="1380"/>
    <n v="1140"/>
    <s v="Arif Hossain"/>
    <x v="23"/>
    <x v="7"/>
    <x v="22"/>
  </r>
  <r>
    <s v="ORD-00965"/>
    <x v="372"/>
    <s v="CUS-SYL-013"/>
    <s v="R03"/>
    <s v="ST-SYL-05"/>
    <x v="32"/>
    <s v="P016"/>
    <n v="1"/>
    <n v="0.05"/>
    <n v="1188"/>
    <n v="3"/>
    <x v="25"/>
    <s v="Premium Rice 5kg"/>
    <s v="Grocery"/>
    <n v="1110"/>
    <n v="870"/>
    <n v="1110"/>
    <n v="870"/>
    <n v="240"/>
    <s v="Rasel Islam"/>
    <x v="32"/>
    <x v="3"/>
    <x v="4"/>
  </r>
  <r>
    <s v="ORD-00966"/>
    <x v="38"/>
    <s v="CUS-BAR-005"/>
    <s v="R06"/>
    <s v="ST-BAR-01"/>
    <x v="33"/>
    <s v="P028"/>
    <n v="5"/>
    <n v="7.0000000000000007E-2"/>
    <n v="18032"/>
    <n v="7"/>
    <x v="2"/>
    <s v="Ladies Sandal"/>
    <s v="Footwear"/>
    <n v="3220"/>
    <n v="1930"/>
    <n v="16100"/>
    <n v="9650"/>
    <n v="6450"/>
    <s v="Rahim Sultana"/>
    <x v="33"/>
    <x v="5"/>
    <x v="9"/>
  </r>
  <r>
    <s v="ORD-00967"/>
    <x v="91"/>
    <s v="CUS-RAJ-025"/>
    <s v="R04"/>
    <s v="ST-RAJ-05"/>
    <x v="2"/>
    <s v="P018"/>
    <n v="8"/>
    <n v="0.02"/>
    <n v="14774"/>
    <n v="3"/>
    <x v="10"/>
    <s v="Lentil 1kg"/>
    <s v="Grocery"/>
    <n v="1710"/>
    <n v="1330"/>
    <n v="13680"/>
    <n v="10640"/>
    <n v="3040"/>
    <s v="Mehedi Khan"/>
    <x v="2"/>
    <x v="1"/>
    <x v="38"/>
  </r>
  <r>
    <s v="ORD-00968"/>
    <x v="225"/>
    <s v="CUS-CTG-004"/>
    <s v="R02"/>
    <s v="ST-CTG-04"/>
    <x v="37"/>
    <s v="P002"/>
    <n v="4"/>
    <n v="0.1"/>
    <n v="15230"/>
    <n v="8"/>
    <x v="27"/>
    <s v="Wireless Mouse"/>
    <s v="Electronics"/>
    <n v="3340"/>
    <n v="2270"/>
    <n v="13360"/>
    <n v="9080"/>
    <n v="4280"/>
    <s v="Shaila Mia"/>
    <x v="37"/>
    <x v="7"/>
    <x v="33"/>
  </r>
  <r>
    <s v="ORD-00969"/>
    <x v="438"/>
    <s v="CUS-CTG-006"/>
    <s v="R02"/>
    <s v="ST-CTG-02"/>
    <x v="39"/>
    <s v="P041"/>
    <n v="2"/>
    <n v="0.1"/>
    <n v="1915"/>
    <n v="7"/>
    <x v="12"/>
    <s v="Building Blocks"/>
    <s v="Kids &amp; Toys"/>
    <n v="840"/>
    <n v="460"/>
    <n v="1680"/>
    <n v="920"/>
    <n v="760"/>
    <s v="Karim Rahman"/>
    <x v="39"/>
    <x v="7"/>
    <x v="22"/>
  </r>
  <r>
    <s v="ORD-00970"/>
    <x v="67"/>
    <s v="CUS-MYM-005"/>
    <s v="R08"/>
    <s v="ST-MYM-05"/>
    <x v="19"/>
    <s v="P010"/>
    <n v="1"/>
    <n v="0.12"/>
    <n v="3359"/>
    <n v="9"/>
    <x v="32"/>
    <s v="Table Fan"/>
    <s v="Home Appliance"/>
    <n v="3110"/>
    <n v="2180"/>
    <n v="3110"/>
    <n v="2180"/>
    <n v="930"/>
    <s v="Shamim Hossain"/>
    <x v="19"/>
    <x v="2"/>
    <x v="28"/>
  </r>
  <r>
    <s v="ORD-00971"/>
    <x v="441"/>
    <s v="CUS-KHL-017"/>
    <s v="R05"/>
    <s v="ST-KHL-03"/>
    <x v="29"/>
    <s v="P043"/>
    <n v="1"/>
    <n v="0.12"/>
    <n v="2398"/>
    <n v="2"/>
    <x v="24"/>
    <s v="Puzzle Board"/>
    <s v="Kids &amp; Toys"/>
    <n v="2200"/>
    <n v="1210"/>
    <n v="2200"/>
    <n v="1210"/>
    <n v="990"/>
    <s v="Sajib Rahman"/>
    <x v="29"/>
    <x v="6"/>
    <x v="17"/>
  </r>
  <r>
    <s v="ORD-00972"/>
    <x v="350"/>
    <s v="CUS-BAR-017"/>
    <s v="R06"/>
    <s v="ST-BAR-05"/>
    <x v="33"/>
    <s v="P012"/>
    <n v="6"/>
    <n v="0.05"/>
    <n v="12230"/>
    <n v="2"/>
    <x v="15"/>
    <s v="Formal Shirt"/>
    <s v="Fashion"/>
    <n v="1820"/>
    <n v="1000"/>
    <n v="10920"/>
    <n v="6000"/>
    <n v="4920"/>
    <s v="Shuvo Chowdhury"/>
    <x v="33"/>
    <x v="5"/>
    <x v="7"/>
  </r>
  <r>
    <s v="ORD-00973"/>
    <x v="206"/>
    <s v="CUS-SYL-017"/>
    <s v="R03"/>
    <s v="ST-SYL-04"/>
    <x v="34"/>
    <s v="P007"/>
    <n v="1"/>
    <n v="0.08"/>
    <n v="7950"/>
    <n v="5"/>
    <x v="29"/>
    <s v="Rice Cooker"/>
    <s v="Home Appliance"/>
    <n v="7430"/>
    <n v="5200"/>
    <n v="7430"/>
    <n v="5200"/>
    <n v="2230"/>
    <s v="Tania Sultana"/>
    <x v="34"/>
    <x v="3"/>
    <x v="21"/>
  </r>
  <r>
    <s v="ORD-00974"/>
    <x v="442"/>
    <s v="CUS-RAJ-007"/>
    <s v="R04"/>
    <s v="ST-RAJ-01"/>
    <x v="40"/>
    <s v="P012"/>
    <n v="2"/>
    <n v="0.12"/>
    <n v="3931"/>
    <n v="4"/>
    <x v="6"/>
    <s v="Formal Shirt"/>
    <s v="Fashion"/>
    <n v="1820"/>
    <n v="1000"/>
    <n v="3640"/>
    <n v="2000"/>
    <n v="1640"/>
    <s v="Nabila Khan"/>
    <x v="40"/>
    <x v="1"/>
    <x v="36"/>
  </r>
  <r>
    <s v="ORD-00975"/>
    <x v="388"/>
    <s v="CUS-SYL-003"/>
    <s v="R03"/>
    <s v="ST-SYL-03"/>
    <x v="25"/>
    <s v="P019"/>
    <n v="2"/>
    <n v="0"/>
    <n v="942"/>
    <n v="4"/>
    <x v="17"/>
    <s v="Flour 2kg"/>
    <s v="Grocery"/>
    <n v="440"/>
    <n v="340"/>
    <n v="880"/>
    <n v="680"/>
    <n v="200"/>
    <s v="Farhana Khan"/>
    <x v="25"/>
    <x v="3"/>
    <x v="23"/>
  </r>
  <r>
    <s v="ORD-00976"/>
    <x v="338"/>
    <s v="CUS-RAN-019"/>
    <s v="R07"/>
    <s v="ST-RAN-03"/>
    <x v="42"/>
    <s v="P023"/>
    <n v="6"/>
    <n v="0.12"/>
    <n v="8004"/>
    <n v="5"/>
    <x v="5"/>
    <s v="Body Lotion"/>
    <s v="Beauty &amp; Personal Care"/>
    <n v="1160"/>
    <n v="670"/>
    <n v="6960"/>
    <n v="4020"/>
    <n v="2940"/>
    <s v="Tania Mia"/>
    <x v="42"/>
    <x v="0"/>
    <x v="26"/>
  </r>
  <r>
    <s v="ORD-00977"/>
    <x v="259"/>
    <s v="CUS-RAJ-003"/>
    <s v="R04"/>
    <s v="ST-RAJ-05"/>
    <x v="46"/>
    <s v="P002"/>
    <n v="2"/>
    <n v="0.12"/>
    <n v="7214"/>
    <n v="3"/>
    <x v="21"/>
    <s v="Wireless Mouse"/>
    <s v="Electronics"/>
    <n v="3340"/>
    <n v="2270"/>
    <n v="6680"/>
    <n v="4540"/>
    <n v="2140"/>
    <s v="Morshed Rahman"/>
    <x v="46"/>
    <x v="1"/>
    <x v="38"/>
  </r>
  <r>
    <s v="ORD-00978"/>
    <x v="79"/>
    <s v="CUS-RAN-011"/>
    <s v="R07"/>
    <s v="ST-RAN-05"/>
    <x v="21"/>
    <s v="P022"/>
    <n v="1"/>
    <n v="0.05"/>
    <n v="1909"/>
    <n v="6"/>
    <x v="4"/>
    <s v="Shampoo 375ml"/>
    <s v="Beauty &amp; Personal Care"/>
    <n v="1660"/>
    <n v="960"/>
    <n v="1660"/>
    <n v="960"/>
    <n v="700"/>
    <s v="Arif Akter"/>
    <x v="21"/>
    <x v="0"/>
    <x v="39"/>
  </r>
  <r>
    <s v="ORD-00979"/>
    <x v="97"/>
    <s v="CUS-RAJ-003"/>
    <s v="R04"/>
    <s v="ST-RAJ-05"/>
    <x v="46"/>
    <s v="P003"/>
    <n v="5"/>
    <n v="0.12"/>
    <n v="15336"/>
    <n v="8"/>
    <x v="27"/>
    <s v="Power Bank"/>
    <s v="Electronics"/>
    <n v="2840"/>
    <n v="1930"/>
    <n v="14200"/>
    <n v="9650"/>
    <n v="4550"/>
    <s v="Morshed Rahman"/>
    <x v="46"/>
    <x v="1"/>
    <x v="38"/>
  </r>
  <r>
    <s v="ORD-00980"/>
    <x v="267"/>
    <s v="CUS-SYL-017"/>
    <s v="R03"/>
    <s v="ST-SYL-04"/>
    <x v="32"/>
    <s v="P026"/>
    <n v="2"/>
    <n v="0.05"/>
    <n v="7511"/>
    <n v="5"/>
    <x v="19"/>
    <s v="Running Shoe"/>
    <s v="Footwear"/>
    <n v="3510"/>
    <n v="2110"/>
    <n v="7020"/>
    <n v="4220"/>
    <n v="2800"/>
    <s v="Tania Sultana"/>
    <x v="32"/>
    <x v="3"/>
    <x v="21"/>
  </r>
  <r>
    <s v="ORD-00981"/>
    <x v="288"/>
    <s v="CUS-RAN-013"/>
    <s v="R07"/>
    <s v="ST-RAN-04"/>
    <x v="0"/>
    <s v="P013"/>
    <n v="5"/>
    <n v="7.0000000000000007E-2"/>
    <n v="11442"/>
    <n v="2"/>
    <x v="18"/>
    <s v="Women Kurti"/>
    <s v="Fashion"/>
    <n v="1990"/>
    <n v="1090"/>
    <n v="9950"/>
    <n v="5450"/>
    <n v="4500"/>
    <s v="Arif Rahman"/>
    <x v="0"/>
    <x v="0"/>
    <x v="13"/>
  </r>
  <r>
    <s v="ORD-00982"/>
    <x v="162"/>
    <s v="CUS-RAJ-006"/>
    <s v="R04"/>
    <s v="ST-RAJ-03"/>
    <x v="30"/>
    <s v="P003"/>
    <n v="4"/>
    <n v="0.12"/>
    <n v="12269"/>
    <n v="3"/>
    <x v="21"/>
    <s v="Power Bank"/>
    <s v="Electronics"/>
    <n v="2840"/>
    <n v="1930"/>
    <n v="11360"/>
    <n v="7720"/>
    <n v="3640"/>
    <s v="Samiha Ahmed"/>
    <x v="30"/>
    <x v="1"/>
    <x v="18"/>
  </r>
  <r>
    <s v="ORD-00983"/>
    <x v="443"/>
    <s v="CUS-CTG-018"/>
    <s v="R02"/>
    <s v="ST-CTG-04"/>
    <x v="37"/>
    <s v="P008"/>
    <n v="5"/>
    <n v="0.15"/>
    <n v="13851"/>
    <n v="7"/>
    <x v="23"/>
    <s v="Blender Machine"/>
    <s v="Home Appliance"/>
    <n v="2430"/>
    <n v="1700"/>
    <n v="12150"/>
    <n v="8500"/>
    <n v="3650"/>
    <s v="Arif Hossain"/>
    <x v="37"/>
    <x v="7"/>
    <x v="33"/>
  </r>
  <r>
    <s v="ORD-00984"/>
    <x v="81"/>
    <s v="CUS-RAN-007"/>
    <s v="R07"/>
    <s v="ST-RAN-05"/>
    <x v="21"/>
    <s v="P042"/>
    <n v="2"/>
    <n v="0.05"/>
    <n v="4186"/>
    <n v="4"/>
    <x v="20"/>
    <s v="Toy Car Set"/>
    <s v="Kids &amp; Toys"/>
    <n v="1820"/>
    <n v="1000"/>
    <n v="3640"/>
    <n v="2000"/>
    <n v="1640"/>
    <s v="Hasan Rahman"/>
    <x v="21"/>
    <x v="0"/>
    <x v="39"/>
  </r>
  <r>
    <s v="ORD-00985"/>
    <x v="354"/>
    <s v="CUS-DHA-007"/>
    <s v="R01"/>
    <s v="ST-DHA-04"/>
    <x v="14"/>
    <s v="P016"/>
    <n v="3"/>
    <n v="0.03"/>
    <n v="3530"/>
    <n v="3"/>
    <x v="10"/>
    <s v="Premium Rice 5kg"/>
    <s v="Grocery"/>
    <n v="1110"/>
    <n v="870"/>
    <n v="3330"/>
    <n v="2610"/>
    <n v="720"/>
    <s v="Shamim Hossain"/>
    <x v="14"/>
    <x v="4"/>
    <x v="35"/>
  </r>
  <r>
    <s v="ORD-00986"/>
    <x v="366"/>
    <s v="CUS-KHL-017"/>
    <s v="R05"/>
    <s v="ST-KHL-01"/>
    <x v="29"/>
    <s v="P005"/>
    <n v="3"/>
    <n v="0.15"/>
    <n v="15990"/>
    <n v="4"/>
    <x v="3"/>
    <s v="USB-C Hub"/>
    <s v="Electronics"/>
    <n v="4890"/>
    <n v="3330"/>
    <n v="14670"/>
    <n v="9990"/>
    <n v="4680"/>
    <s v="Sajib Rahman"/>
    <x v="29"/>
    <x v="6"/>
    <x v="24"/>
  </r>
  <r>
    <s v="ORD-00987"/>
    <x v="444"/>
    <s v="CUS-DHA-023"/>
    <s v="R01"/>
    <s v="ST-DHA-03"/>
    <x v="14"/>
    <s v="P024"/>
    <n v="5"/>
    <n v="0.1"/>
    <n v="7473"/>
    <n v="5"/>
    <x v="29"/>
    <s v="Toothpaste Twin Pack"/>
    <s v="Beauty &amp; Personal Care"/>
    <n v="1410"/>
    <n v="820"/>
    <n v="7050"/>
    <n v="4100"/>
    <n v="2950"/>
    <s v="Nayeem Uddin"/>
    <x v="14"/>
    <x v="4"/>
    <x v="5"/>
  </r>
  <r>
    <s v="ORD-00988"/>
    <x v="242"/>
    <s v="CUS-MYM-006"/>
    <s v="R08"/>
    <s v="ST-MYM-04"/>
    <x v="43"/>
    <s v="P041"/>
    <n v="1"/>
    <n v="0.12"/>
    <n v="907"/>
    <n v="4"/>
    <x v="6"/>
    <s v="Building Blocks"/>
    <s v="Kids &amp; Toys"/>
    <n v="840"/>
    <n v="460"/>
    <n v="840"/>
    <n v="460"/>
    <n v="380"/>
    <s v="Mim Ahmed"/>
    <x v="43"/>
    <x v="2"/>
    <x v="34"/>
  </r>
  <r>
    <s v="ORD-00989"/>
    <x v="445"/>
    <s v="CUS-SYL-023"/>
    <s v="R03"/>
    <s v="ST-SYL-02"/>
    <x v="20"/>
    <s v="P002"/>
    <n v="1"/>
    <n v="0.08"/>
    <n v="3574"/>
    <n v="2"/>
    <x v="18"/>
    <s v="Wireless Mouse"/>
    <s v="Electronics"/>
    <n v="3340"/>
    <n v="2270"/>
    <n v="3340"/>
    <n v="2270"/>
    <n v="1070"/>
    <s v="Tanvir Hossain"/>
    <x v="20"/>
    <x v="3"/>
    <x v="32"/>
  </r>
  <r>
    <s v="ORD-00990"/>
    <x v="296"/>
    <s v="CUS-KHL-007"/>
    <s v="R05"/>
    <s v="ST-KHL-05"/>
    <x v="13"/>
    <s v="P001"/>
    <n v="6"/>
    <n v="0.1"/>
    <n v="21190"/>
    <n v="6"/>
    <x v="16"/>
    <s v="Bluetooth Speaker"/>
    <s v="Electronics"/>
    <n v="3240"/>
    <n v="2200"/>
    <n v="19440"/>
    <n v="13200"/>
    <n v="6240"/>
    <s v="Mahmud Chowdhury"/>
    <x v="13"/>
    <x v="6"/>
    <x v="30"/>
  </r>
  <r>
    <s v="ORD-00991"/>
    <x v="228"/>
    <s v="CUS-BAR-017"/>
    <s v="R06"/>
    <s v="ST-BAR-01"/>
    <x v="10"/>
    <s v="P010"/>
    <n v="3"/>
    <n v="0.1"/>
    <n v="10450"/>
    <n v="7"/>
    <x v="12"/>
    <s v="Table Fan"/>
    <s v="Home Appliance"/>
    <n v="3110"/>
    <n v="2180"/>
    <n v="9330"/>
    <n v="6540"/>
    <n v="2790"/>
    <s v="Shuvo Chowdhury"/>
    <x v="10"/>
    <x v="5"/>
    <x v="9"/>
  </r>
  <r>
    <s v="ORD-00992"/>
    <x v="335"/>
    <s v="CUS-MYM-002"/>
    <s v="R08"/>
    <s v="ST-MYM-03"/>
    <x v="31"/>
    <s v="P004"/>
    <n v="2"/>
    <n v="0.08"/>
    <n v="8359"/>
    <n v="3"/>
    <x v="25"/>
    <s v="Smart Watch"/>
    <s v="Electronics"/>
    <n v="3870"/>
    <n v="2630"/>
    <n v="7740"/>
    <n v="5260"/>
    <n v="2480"/>
    <s v="Karim Chowdhury"/>
    <x v="31"/>
    <x v="2"/>
    <x v="10"/>
  </r>
  <r>
    <s v="ORD-00993"/>
    <x v="45"/>
    <s v="CUS-KHL-009"/>
    <s v="R05"/>
    <s v="ST-KHL-05"/>
    <x v="16"/>
    <s v="P003"/>
    <n v="5"/>
    <n v="0.08"/>
    <n v="15478"/>
    <n v="1"/>
    <x v="13"/>
    <s v="Power Bank"/>
    <s v="Electronics"/>
    <n v="2840"/>
    <n v="1930"/>
    <n v="14200"/>
    <n v="9650"/>
    <n v="4550"/>
    <s v="Arif Akter"/>
    <x v="16"/>
    <x v="6"/>
    <x v="30"/>
  </r>
  <r>
    <s v="ORD-00994"/>
    <x v="95"/>
    <s v="CUS-CTG-003"/>
    <s v="R02"/>
    <s v="ST-CTG-02"/>
    <x v="37"/>
    <s v="P002"/>
    <n v="3"/>
    <n v="0.08"/>
    <n v="11423"/>
    <n v="4"/>
    <x v="6"/>
    <s v="Wireless Mouse"/>
    <s v="Electronics"/>
    <n v="3340"/>
    <n v="2270"/>
    <n v="10020"/>
    <n v="6810"/>
    <n v="3210"/>
    <s v="Shuvo Mia"/>
    <x v="37"/>
    <x v="7"/>
    <x v="22"/>
  </r>
  <r>
    <s v="ORD-00995"/>
    <x v="446"/>
    <s v="CUS-SYL-001"/>
    <s v="R03"/>
    <s v="ST-SYL-02"/>
    <x v="25"/>
    <s v="P009"/>
    <n v="5"/>
    <n v="0.12"/>
    <n v="24396"/>
    <n v="6"/>
    <x v="28"/>
    <s v="Steam Iron"/>
    <s v="Home Appliance"/>
    <n v="4560"/>
    <n v="3190"/>
    <n v="22800"/>
    <n v="15950"/>
    <n v="6850"/>
    <s v="Karim Khan"/>
    <x v="25"/>
    <x v="3"/>
    <x v="32"/>
  </r>
  <r>
    <s v="ORD-00996"/>
    <x v="447"/>
    <s v="CUS-RAJ-024"/>
    <s v="R04"/>
    <s v="ST-RAJ-02"/>
    <x v="26"/>
    <s v="P001"/>
    <n v="1"/>
    <n v="0.1"/>
    <n v="3499"/>
    <n v="2"/>
    <x v="24"/>
    <s v="Bluetooth Speaker"/>
    <s v="Electronics"/>
    <n v="3240"/>
    <n v="2200"/>
    <n v="3240"/>
    <n v="2200"/>
    <n v="1040"/>
    <s v="Mahmud Uddin"/>
    <x v="26"/>
    <x v="1"/>
    <x v="2"/>
  </r>
  <r>
    <s v="ORD-00997"/>
    <x v="424"/>
    <s v="CUS-BAR-014"/>
    <s v="R06"/>
    <s v="ST-BAR-02"/>
    <x v="8"/>
    <s v="P005"/>
    <n v="1"/>
    <n v="0.12"/>
    <n v="5477"/>
    <n v="5"/>
    <x v="5"/>
    <s v="USB-C Hub"/>
    <s v="Electronics"/>
    <n v="4890"/>
    <n v="3330"/>
    <n v="4890"/>
    <n v="3330"/>
    <n v="1560"/>
    <s v="Rasel Ahmed"/>
    <x v="8"/>
    <x v="5"/>
    <x v="11"/>
  </r>
  <r>
    <s v="ORD-00998"/>
    <x v="232"/>
    <s v="CUS-CTG-016"/>
    <s v="R02"/>
    <s v="ST-CTG-03"/>
    <x v="18"/>
    <s v="P009"/>
    <n v="7"/>
    <n v="0.1"/>
    <n v="36389"/>
    <n v="9"/>
    <x v="32"/>
    <s v="Steam Iron"/>
    <s v="Home Appliance"/>
    <n v="4560"/>
    <n v="3190"/>
    <n v="31920"/>
    <n v="22330"/>
    <n v="9590"/>
    <s v="Arif Ahmed"/>
    <x v="18"/>
    <x v="7"/>
    <x v="16"/>
  </r>
  <r>
    <s v="ORD-00999"/>
    <x v="350"/>
    <s v="CUS-DHA-019"/>
    <s v="R01"/>
    <s v="ST-DHA-04"/>
    <x v="28"/>
    <s v="P017"/>
    <n v="10"/>
    <n v="0.05"/>
    <n v="3922"/>
    <n v="1"/>
    <x v="7"/>
    <s v="Soybean Oil 5L"/>
    <s v="Grocery"/>
    <n v="370"/>
    <n v="290"/>
    <n v="3700"/>
    <n v="2900"/>
    <n v="800"/>
    <s v="Sadia Islam"/>
    <x v="28"/>
    <x v="4"/>
    <x v="35"/>
  </r>
  <r>
    <s v="ORD-01000"/>
    <x v="28"/>
    <s v="CUS-KHL-007"/>
    <s v="R05"/>
    <s v="ST-KHL-03"/>
    <x v="13"/>
    <s v="P048"/>
    <n v="1"/>
    <n v="0.05"/>
    <n v="5799"/>
    <n v="8"/>
    <x v="30"/>
    <s v="Shoe Rack"/>
    <s v="Furniture"/>
    <n v="5320"/>
    <n v="3830"/>
    <n v="5320"/>
    <n v="3830"/>
    <n v="1490"/>
    <s v="Mahmud Chowdhury"/>
    <x v="13"/>
    <x v="6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B8295-E0F6-498E-8CF2-8823346E50A3}" name="PivotTable4" cacheId="1" applyNumberFormats="0" applyBorderFormats="0" applyFontFormats="0" applyPatternFormats="0" applyAlignmentFormats="0" applyWidthHeightFormats="1" dataCaption="Values" updatedVersion="8" minRefreshableVersion="5" itemPrintTitles="1" createdVersion="8" indent="0" outline="1" outlineData="1" multipleFieldFilters="0" chartFormat="8" rowHeaderCaption="Region">
  <location ref="D25:E34" firstHeaderRow="1" firstDataRow="1" firstDataCol="1"/>
  <pivotFields count="24">
    <pivotField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3" showAll="0"/>
    <pivotField dataField="1" showAll="0"/>
    <pivotField numFmtId="165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axis="axisRow" showAll="0" sortType="ascending">
      <items count="9">
        <item x="5"/>
        <item x="7"/>
        <item x="4"/>
        <item x="6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ragToRow="0" dragToCol="0" dragToPage="0" showAll="0" defaultSubtotal="0"/>
  </pivotFields>
  <rowFields count="1">
    <field x="21"/>
  </rowFields>
  <rowItems count="9">
    <i>
      <x v="2"/>
    </i>
    <i>
      <x v="3"/>
    </i>
    <i>
      <x v="7"/>
    </i>
    <i>
      <x v="5"/>
    </i>
    <i>
      <x v="4"/>
    </i>
    <i>
      <x/>
    </i>
    <i>
      <x v="1"/>
    </i>
    <i>
      <x v="6"/>
    </i>
    <i t="grand">
      <x/>
    </i>
  </rowItems>
  <colItems count="1">
    <i/>
  </colItems>
  <dataFields count="1">
    <dataField name="Avg Delivery Date" fld="10" subtotal="average" baseField="21" baseItem="0"/>
  </dataFields>
  <formats count="6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21" type="button" dataOnly="0" labelOnly="1" outline="0" axis="axisRow" fieldPosition="0"/>
    </format>
    <format dxfId="49">
      <pivotArea dataOnly="0" labelOnly="1" fieldPosition="0">
        <references count="1">
          <reference field="21" count="0"/>
        </references>
      </pivotArea>
    </format>
    <format dxfId="48">
      <pivotArea dataOnly="0" labelOnly="1" grandRow="1" outline="0" fieldPosition="0"/>
    </format>
    <format dxfId="47">
      <pivotArea collapsedLevelsAreSubtotals="1" fieldPosition="0">
        <references count="1">
          <reference field="21" count="0"/>
        </references>
      </pivotArea>
    </format>
  </formats>
  <conditionalFormats count="2">
    <conditionalFormat priority="1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40A2B-0504-4E88-876F-5FD953E45407}" name="PivotTable3" cacheId="1" applyNumberFormats="0" applyBorderFormats="0" applyFontFormats="0" applyPatternFormats="0" applyAlignmentFormats="0" applyWidthHeightFormats="1" dataCaption="Values" updatedVersion="8" minRefreshableVersion="5" itemPrintTitles="1" createdVersion="8" indent="0" outline="1" outlineData="1" multipleFieldFilters="0" rowHeaderCaption="Region">
  <location ref="D11:H20" firstHeaderRow="0" firstDataRow="1" firstDataCol="1"/>
  <pivotFields count="24">
    <pivotField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dataField="1" numFmtId="3" showAll="0"/>
    <pivotField showAll="0"/>
    <pivotField numFmtId="165" showAll="0"/>
    <pivotField showAll="0"/>
    <pivotField showAll="0"/>
    <pivotField numFmtId="3" showAll="0"/>
    <pivotField numFmtId="3" showAll="0"/>
    <pivotField dataField="1" numFmtId="3" showAll="0"/>
    <pivotField numFmtId="3" showAll="0"/>
    <pivotField numFmtId="3" showAll="0"/>
    <pivotField showAll="0"/>
    <pivotField showAll="0"/>
    <pivotField axis="axisRow" showAll="0" sortType="descending">
      <items count="9">
        <item x="5"/>
        <item x="7"/>
        <item x="4"/>
        <item x="6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dataField="1" dragToRow="0" dragToCol="0" dragToPage="0" showAll="0" defaultSubtotal="0"/>
  </pivotFields>
  <rowFields count="1">
    <field x="21"/>
  </rowFields>
  <rowItems count="9">
    <i>
      <x v="2"/>
    </i>
    <i>
      <x v="7"/>
    </i>
    <i>
      <x v="5"/>
    </i>
    <i>
      <x v="4"/>
    </i>
    <i>
      <x v="3"/>
    </i>
    <i>
      <x/>
    </i>
    <i>
      <x v="1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16" baseField="0" baseItem="0" numFmtId="3"/>
    <dataField name="Rank" fld="16" baseField="21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Target sales" fld="9" baseField="0" baseItem="0" numFmtId="3"/>
    <dataField name="Target Achieved " fld="23" baseField="0" baseItem="0" numFmtId="3"/>
  </dataFields>
  <formats count="19">
    <format dxfId="71">
      <pivotArea field="21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21" type="button" dataOnly="0" labelOnly="1" outline="0" axis="axisRow" fieldPosition="0"/>
    </format>
    <format dxfId="67">
      <pivotArea dataOnly="0" labelOnly="1" fieldPosition="0">
        <references count="1">
          <reference field="21" count="0"/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0"/>
          </reference>
          <reference field="21" count="0"/>
        </references>
      </pivotArea>
    </format>
    <format dxfId="63">
      <pivotArea collapsedLevelsAreSubtotals="1" fieldPosition="0">
        <references count="2">
          <reference field="4294967294" count="1" selected="0">
            <x v="2"/>
          </reference>
          <reference field="21" count="0"/>
        </references>
      </pivotArea>
    </format>
    <format dxfId="62">
      <pivotArea field="2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61">
      <pivotArea field="2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fieldPosition="0">
        <references count="1">
          <reference field="21" count="0"/>
        </references>
      </pivotArea>
    </format>
    <format dxfId="57">
      <pivotArea field="21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5">
      <pivotArea grandRow="1" outline="0" collapsedLevelsAreSubtotals="1" fieldPosition="0"/>
    </format>
    <format dxfId="54">
      <pivotArea dataOnly="0" labelOnly="1" grandRow="1" outline="0" fieldPosition="0"/>
    </format>
    <format dxfId="53">
      <pivotArea collapsedLevelsAreSubtotals="1" fieldPosition="0">
        <references count="2">
          <reference field="4294967294" count="1" selected="0">
            <x v="3"/>
          </reference>
          <reference field="21" count="0"/>
        </references>
      </pivotArea>
    </format>
  </formats>
  <conditionalFormats count="2">
    <conditionalFormat priority="2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2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B1FD3-9681-45AC-ABF5-AB80E7CFB319}" name="PivotTable8" cacheId="1" applyNumberFormats="0" applyBorderFormats="0" applyFontFormats="0" applyPatternFormats="0" applyAlignmentFormats="0" applyWidthHeightFormats="1" dataCaption="Values" updatedVersion="8" minRefreshableVersion="5" rowGrandTotals="0" itemPrintTitles="1" createdVersion="8" indent="0" outline="1" outlineData="1" multipleFieldFilters="0" chartFormat="14" rowHeaderCaption="Region">
  <location ref="H26:J34" firstHeaderRow="0" firstDataRow="1" firstDataCol="1"/>
  <pivotFields count="24">
    <pivotField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dataField="1" numFmtId="3" showAll="0"/>
    <pivotField showAll="0"/>
    <pivotField numFmtId="165" showAll="0"/>
    <pivotField showAll="0"/>
    <pivotField showAll="0"/>
    <pivotField numFmtId="3" showAll="0"/>
    <pivotField numFmtId="3" showAll="0"/>
    <pivotField dataField="1" numFmtId="3" showAll="0"/>
    <pivotField numFmtId="3" showAll="0"/>
    <pivotField numFmtId="3" showAll="0"/>
    <pivotField showAll="0"/>
    <pivotField showAll="0"/>
    <pivotField axis="axisRow" showAll="0">
      <items count="9">
        <item x="5"/>
        <item x="7"/>
        <item x="4"/>
        <item x="6"/>
        <item x="2"/>
        <item x="1"/>
        <item x="0"/>
        <item x="3"/>
        <item t="default"/>
      </items>
    </pivotField>
    <pivotField showAll="0"/>
    <pivotField dragToRow="0" dragToCol="0" dragToPage="0" showAll="0" defaultSubtota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Total Sales" fld="16" baseField="0" baseItem="0" numFmtId="3"/>
    <dataField name="Target Sales " fld="9" baseField="0" baseItem="0" numFmtId="3"/>
  </dataFields>
  <formats count="14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21" type="button" dataOnly="0" labelOnly="1" outline="0" axis="axisRow" fieldPosition="0"/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0">
      <pivotArea field="2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79">
      <pivotArea type="all" dataOnly="0" outline="0" fieldPosition="0"/>
    </format>
    <format dxfId="78">
      <pivotArea grandRow="1" outline="0" collapsedLevelsAreSubtotals="1" fieldPosition="0"/>
    </format>
    <format dxfId="77">
      <pivotArea dataOnly="0" labelOnly="1" grandRow="1" outline="0" fieldPosition="0"/>
    </format>
    <format dxfId="76">
      <pivotArea collapsedLevelsAreSubtotals="1" fieldPosition="0">
        <references count="2">
          <reference field="4294967294" count="1" selected="0">
            <x v="0"/>
          </reference>
          <reference field="21" count="0"/>
        </references>
      </pivotArea>
    </format>
    <format dxfId="75">
      <pivotArea collapsedLevelsAreSubtotals="1" fieldPosition="0">
        <references count="2">
          <reference field="4294967294" count="1" selected="0">
            <x v="1"/>
          </reference>
          <reference field="21" count="0"/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21" type="button" dataOnly="0" labelOnly="1" outline="0" axis="axisRow" fieldPosition="0"/>
    </format>
  </formats>
  <chartFormats count="6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52400-C56D-4E1B-BEF7-663074C52452}" name="PivotTable6" cacheId="1" applyNumberFormats="0" applyBorderFormats="0" applyFontFormats="0" applyPatternFormats="0" applyAlignmentFormats="0" applyWidthHeightFormats="1" dataCaption="Values" updatedVersion="8" minRefreshableVersion="5" itemPrintTitles="1" createdVersion="8" indent="0" outline="1" outlineData="1" multipleFieldFilters="0" rowHeaderCaption="Region">
  <location ref="D53:F59" firstHeaderRow="0" firstDataRow="1" firstDataCol="1"/>
  <pivotFields count="24">
    <pivotField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3" showAll="0"/>
    <pivotField showAll="0"/>
    <pivotField numFmtId="165" showAll="0"/>
    <pivotField showAll="0"/>
    <pivotField showAll="0"/>
    <pivotField numFmtId="3" showAll="0"/>
    <pivotField numFmtId="3" showAll="0"/>
    <pivotField dataField="1" numFmtId="3" showAll="0"/>
    <pivotField numFmtId="3" showAll="0"/>
    <pivotField numFmtId="3" showAll="0"/>
    <pivotField showAll="0"/>
    <pivotField showAll="0"/>
    <pivotField showAll="0">
      <items count="9">
        <item x="5"/>
        <item x="7"/>
        <item x="4"/>
        <item x="6"/>
        <item x="2"/>
        <item x="1"/>
        <item x="0"/>
        <item x="3"/>
        <item t="default"/>
      </items>
    </pivotField>
    <pivotField axis="axisRow" showAll="0" measureFilter="1">
      <items count="41">
        <item x="12"/>
        <item x="7"/>
        <item x="9"/>
        <item x="27"/>
        <item x="11"/>
        <item x="37"/>
        <item x="22"/>
        <item x="31"/>
        <item x="33"/>
        <item x="16"/>
        <item x="8"/>
        <item x="29"/>
        <item x="5"/>
        <item x="15"/>
        <item x="35"/>
        <item x="19"/>
        <item x="17"/>
        <item x="14"/>
        <item x="30"/>
        <item x="24"/>
        <item x="10"/>
        <item x="3"/>
        <item x="34"/>
        <item x="28"/>
        <item x="20"/>
        <item x="2"/>
        <item x="38"/>
        <item x="1"/>
        <item x="36"/>
        <item x="18"/>
        <item x="39"/>
        <item x="13"/>
        <item x="0"/>
        <item x="26"/>
        <item x="6"/>
        <item x="32"/>
        <item x="23"/>
        <item x="21"/>
        <item x="4"/>
        <item x="25"/>
        <item t="default"/>
      </items>
    </pivotField>
    <pivotField dataField="1" dragToRow="0" dragToCol="0" dragToPage="0" showAll="0" defaultSubtotal="0"/>
  </pivotFields>
  <rowFields count="1">
    <field x="22"/>
  </rowFields>
  <rowItems count="6">
    <i>
      <x v="1"/>
    </i>
    <i>
      <x v="8"/>
    </i>
    <i>
      <x v="10"/>
    </i>
    <i>
      <x v="18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Amount" fld="16" baseField="0" baseItem="0" numFmtId="167"/>
    <dataField name="Target Achieved " fld="23" baseField="0" baseItem="0" numFmtId="9"/>
  </dataFields>
  <formats count="6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21" type="button" dataOnly="0" labelOnly="1" outline="0"/>
    </format>
    <format dxfId="88">
      <pivotArea dataOnly="0" labelOnly="1" grandRow="1" outline="0" fieldPosition="0"/>
    </format>
    <format dxfId="8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2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6F538-72F7-4E82-BC12-17E1335ED9D0}" name="PivotTable5" cacheId="1" applyNumberFormats="0" applyBorderFormats="0" applyFontFormats="0" applyPatternFormats="0" applyAlignmentFormats="0" applyWidthHeightFormats="1" dataCaption="Values" updatedVersion="8" minRefreshableVersion="5" colGrandTotals="0" itemPrintTitles="1" createdVersion="8" indent="0" outline="1" outlineData="1" multipleFieldFilters="0" chartFormat="6" rowHeaderCaption="Region">
  <location ref="J10:N20" firstHeaderRow="1" firstDataRow="2" firstDataCol="1"/>
  <pivotFields count="24">
    <pivotField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9" showAll="0"/>
    <pivotField numFmtId="3" showAll="0"/>
    <pivotField showAll="0"/>
    <pivotField axis="axisCol" numFmtId="165" showAll="0" defaultSubtotal="0">
      <items count="6">
        <item x="0"/>
        <item x="1"/>
        <item x="2"/>
        <item x="3"/>
        <item x="4"/>
        <item x="5"/>
      </items>
    </pivotField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axis="axisRow" showAll="0" sortType="descending">
      <items count="9">
        <item x="5"/>
        <item x="7"/>
        <item x="4"/>
        <item x="6"/>
        <item x="2"/>
        <item x="1"/>
        <item x="0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4"/>
            </reference>
          </references>
        </pivotArea>
      </autoSortScope>
    </pivotField>
    <pivotField showAll="0"/>
    <pivotField dragToRow="0" dragToCol="0" dragToPage="0" showAll="0" defaultSubtotal="0"/>
  </pivotFields>
  <rowFields count="1">
    <field x="21"/>
  </rowFields>
  <rowItems count="9">
    <i>
      <x v="2"/>
    </i>
    <i>
      <x v="3"/>
    </i>
    <i>
      <x v="5"/>
    </i>
    <i>
      <x v="7"/>
    </i>
    <i>
      <x v="4"/>
    </i>
    <i>
      <x/>
    </i>
    <i>
      <x v="1"/>
    </i>
    <i>
      <x v="6"/>
    </i>
    <i t="grand">
      <x/>
    </i>
  </rowItems>
  <colFields count="1">
    <field x="11"/>
  </colFields>
  <colItems count="4">
    <i>
      <x v="1"/>
    </i>
    <i>
      <x v="2"/>
    </i>
    <i>
      <x v="3"/>
    </i>
    <i>
      <x v="4"/>
    </i>
  </colItems>
  <dataFields count="1">
    <dataField name="Count of Customer_ID" fld="2" subtotal="count" baseField="0" baseItem="0"/>
  </dataFields>
  <formats count="9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21" type="button" dataOnly="0" labelOnly="1" outline="0" axis="axisRow" fieldPosition="0"/>
    </format>
    <format dxfId="97">
      <pivotArea dataOnly="0" labelOnly="1" fieldPosition="0">
        <references count="1">
          <reference field="21" count="0"/>
        </references>
      </pivotArea>
    </format>
    <format dxfId="96">
      <pivotArea dataOnly="0" labelOnly="1" grandRow="1" outline="0" fieldPosition="0"/>
    </format>
    <format dxfId="95">
      <pivotArea collapsedLevelsAreSubtotals="1" fieldPosition="0">
        <references count="2">
          <reference field="11" count="1" selected="0">
            <x v="4"/>
          </reference>
          <reference field="21" count="0"/>
        </references>
      </pivotArea>
    </format>
    <format dxfId="94">
      <pivotArea collapsedLevelsAreSubtotals="1" fieldPosition="0">
        <references count="2">
          <reference field="11" count="1" selected="0">
            <x v="3"/>
          </reference>
          <reference field="21" count="1">
            <x v="2"/>
          </reference>
        </references>
      </pivotArea>
    </format>
    <format dxfId="93">
      <pivotArea collapsedLevelsAreSubtotals="1" fieldPosition="0">
        <references count="2">
          <reference field="11" count="1" selected="0">
            <x v="2"/>
          </reference>
          <reference field="21" count="1">
            <x v="2"/>
          </reference>
        </references>
      </pivotArea>
    </format>
    <format dxfId="92">
      <pivotArea collapsedLevelsAreSubtotals="1" fieldPosition="0">
        <references count="2">
          <reference field="11" count="1" selected="0">
            <x v="1"/>
          </reference>
          <reference field="21" count="1">
            <x v="2"/>
          </reference>
        </references>
      </pivotArea>
    </format>
  </formats>
  <conditionalFormats count="4"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1" count="1" selected="0">
              <x v="1"/>
            </reference>
            <reference field="2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1" count="1" selected="0">
              <x v="2"/>
            </reference>
            <reference field="2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1" count="1" selected="0">
              <x v="3"/>
            </reference>
            <reference field="2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1" count="1" selected="0">
              <x v="4"/>
            </reference>
            <reference field="2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4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401C7-2DC8-4737-A996-6648E9515FCF}" name="PivotTable1" cacheId="1" applyNumberFormats="0" applyBorderFormats="0" applyFontFormats="0" applyPatternFormats="0" applyAlignmentFormats="0" applyWidthHeightFormats="1" dataCaption="Values" updatedVersion="8" minRefreshableVersion="5" showDrill="0" itemPrintTitles="1" createdVersion="8" indent="0" compact="0" compactData="0" multipleFieldFilters="0" chartFormat="10" rowHeaderCaption="Region">
  <location ref="D38:F49" firstHeaderRow="1" firstDataRow="1" firstDataCol="2"/>
  <pivotFields count="24">
    <pivotField compact="0" outline="0" showAll="0"/>
    <pivotField compact="0" numFmtId="164" outline="0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measureFilter="1" defaultSubtotal="0">
      <items count="48">
        <item x="47"/>
        <item x="8"/>
        <item x="33"/>
        <item x="22"/>
        <item x="12"/>
        <item x="10"/>
        <item x="41"/>
        <item x="23"/>
        <item x="15"/>
        <item x="39"/>
        <item x="18"/>
        <item x="37"/>
        <item x="44"/>
        <item x="28"/>
        <item x="14"/>
        <item x="6"/>
        <item x="9"/>
        <item x="35"/>
        <item x="45"/>
        <item x="36"/>
        <item x="16"/>
        <item x="24"/>
        <item x="29"/>
        <item x="13"/>
        <item x="17"/>
        <item x="11"/>
        <item x="3"/>
        <item x="19"/>
        <item x="31"/>
        <item x="43"/>
        <item x="1"/>
        <item x="46"/>
        <item x="26"/>
        <item x="2"/>
        <item x="40"/>
        <item x="30"/>
        <item x="7"/>
        <item x="27"/>
        <item x="42"/>
        <item x="4"/>
        <item x="21"/>
        <item x="0"/>
        <item x="34"/>
        <item x="20"/>
        <item x="38"/>
        <item x="32"/>
        <item x="5"/>
        <item x="25"/>
      </items>
    </pivotField>
    <pivotField compact="0" outline="0" showAll="0"/>
    <pivotField compact="0" outline="0" showAll="0"/>
    <pivotField compact="0" numFmtId="9" outline="0" showAll="0"/>
    <pivotField compact="0" numFmtId="3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dataField="1" compact="0" numFmtId="3" outline="0" showAll="0"/>
    <pivotField compact="0" numFmtId="3" outline="0" showAll="0"/>
    <pivotField compact="0" numFmtId="3" outline="0" showAll="0"/>
    <pivotField compact="0" outline="0" showAll="0"/>
    <pivotField axis="axisRow" compact="0" outline="0" showAll="0" sortType="descending">
      <items count="49">
        <item x="19"/>
        <item x="5"/>
        <item x="13"/>
        <item x="2"/>
        <item x="4"/>
        <item x="26"/>
        <item x="20"/>
        <item x="1"/>
        <item x="9"/>
        <item x="46"/>
        <item x="40"/>
        <item x="44"/>
        <item x="38"/>
        <item x="12"/>
        <item x="47"/>
        <item x="30"/>
        <item x="7"/>
        <item x="34"/>
        <item x="3"/>
        <item x="18"/>
        <item x="10"/>
        <item x="21"/>
        <item x="36"/>
        <item x="29"/>
        <item x="15"/>
        <item x="14"/>
        <item x="41"/>
        <item x="35"/>
        <item x="11"/>
        <item x="32"/>
        <item x="28"/>
        <item x="33"/>
        <item x="23"/>
        <item x="25"/>
        <item x="37"/>
        <item x="16"/>
        <item x="17"/>
        <item x="42"/>
        <item x="45"/>
        <item x="8"/>
        <item x="22"/>
        <item x="39"/>
        <item x="31"/>
        <item x="24"/>
        <item x="0"/>
        <item x="6"/>
        <item x="43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9">
        <item x="5"/>
        <item x="7"/>
        <item x="4"/>
        <item x="6"/>
        <item x="2"/>
        <item x="1"/>
        <item x="0"/>
        <item x="3"/>
        <item t="default"/>
      </items>
    </pivotField>
    <pivotField compact="0" outline="0" showAll="0"/>
    <pivotField compact="0" outline="0" dragToRow="0" dragToCol="0" dragToPage="0" showAll="0" defaultSubtotal="0"/>
  </pivotFields>
  <rowFields count="2">
    <field x="5"/>
    <field x="20"/>
  </rowFields>
  <rowItems count="11">
    <i>
      <x v="1"/>
      <x v="39"/>
    </i>
    <i>
      <x v="2"/>
      <x v="31"/>
    </i>
    <i>
      <x v="9"/>
      <x v="41"/>
    </i>
    <i>
      <x v="10"/>
      <x v="19"/>
    </i>
    <i>
      <x v="12"/>
      <x v="11"/>
    </i>
    <i>
      <x v="15"/>
      <x v="45"/>
    </i>
    <i>
      <x v="20"/>
      <x v="35"/>
    </i>
    <i>
      <x v="23"/>
      <x v="2"/>
    </i>
    <i>
      <x v="27"/>
      <x/>
    </i>
    <i>
      <x v="31"/>
      <x v="9"/>
    </i>
    <i t="grand">
      <x/>
    </i>
  </rowItems>
  <colItems count="1">
    <i/>
  </colItems>
  <dataFields count="1">
    <dataField name="Sum of Sales_Amount" fld="16" baseField="0" baseItem="0" numFmtId="3"/>
  </dataFields>
  <formats count="6"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21" type="button" dataOnly="0" labelOnly="1" outline="0"/>
    </format>
    <format dxfId="103">
      <pivotArea dataOnly="0" labelOnly="1" grandRow="1" outline="0" fieldPosition="0"/>
    </format>
    <format dxfId="102">
      <pivotArea outline="0" fieldPosition="0">
        <references count="2">
          <reference field="5" count="10" selected="0">
            <x v="1"/>
            <x v="2"/>
            <x v="9"/>
            <x v="10"/>
            <x v="12"/>
            <x v="15"/>
            <x v="20"/>
            <x v="23"/>
            <x v="27"/>
            <x v="31"/>
          </reference>
          <reference field="20" count="10" selected="0">
            <x v="0"/>
            <x v="2"/>
            <x v="9"/>
            <x v="11"/>
            <x v="19"/>
            <x v="31"/>
            <x v="35"/>
            <x v="39"/>
            <x v="41"/>
            <x v="45"/>
          </reference>
        </references>
      </pivotArea>
    </format>
    <format dxfId="101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5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F0E46-4FE1-497A-9837-BC6FEAF1177A}" name="PivotTable2" cacheId="1" applyNumberFormats="0" applyBorderFormats="0" applyFontFormats="0" applyPatternFormats="0" applyAlignmentFormats="0" applyWidthHeightFormats="1" dataCaption="Values" updatedVersion="8" minRefreshableVersion="5" itemPrintTitles="1" createdVersion="8" indent="0" outline="1" outlineData="1" multipleFieldFilters="0">
  <location ref="D5:G6" firstHeaderRow="0" firstDataRow="1" firstDataCol="0"/>
  <pivotFields count="24">
    <pivotField dataField="1"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dataField="1" numFmtId="3" showAll="0"/>
    <pivotField showAll="0"/>
    <pivotField numFmtId="165" showAll="0"/>
    <pivotField showAll="0"/>
    <pivotField showAll="0"/>
    <pivotField numFmtId="3" showAll="0"/>
    <pivotField numFmtId="3" showAll="0"/>
    <pivotField dataField="1" numFmtId="3" showAll="0"/>
    <pivotField numFmtId="3" showAll="0"/>
    <pivotField numFmtId="3" showAll="0"/>
    <pivotField showAll="0"/>
    <pivotField showAll="0"/>
    <pivotField showAll="0"/>
    <pivotField showAll="0"/>
    <pivotField dataField="1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Order" fld="0" subtotal="count" baseField="0" baseItem="0" numFmtId="167"/>
    <dataField name="Total Sales" fld="16" baseField="0" baseItem="0" numFmtId="167"/>
    <dataField name=" Target Sales" fld="9" baseField="0" baseItem="0" numFmtId="167"/>
    <dataField name="Target Achieved " fld="23" baseField="0" baseItem="0" numFmtId="10"/>
  </dataFields>
  <formats count="18">
    <format dxfId="124">
      <pivotArea type="all" dataOnly="0" outline="0" fieldPosition="0"/>
    </format>
    <format dxfId="123">
      <pivotArea outline="0" collapsedLevelsAreSubtotals="1" fieldPosition="0"/>
    </format>
    <format dxfId="122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1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08">
      <pivotArea outline="0" collapsedLevelsAreSubtotals="1" fieldPosition="0"/>
    </format>
    <format dxfId="10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43FD3-BEB5-4412-BB53-DBDDFC285F2A}" name="PivotTable7" cacheId="1" applyNumberFormats="0" applyBorderFormats="0" applyFontFormats="0" applyPatternFormats="0" applyAlignmentFormats="0" applyWidthHeightFormats="1" dataCaption="Values" updatedVersion="8" minRefreshableVersion="5" itemPrintTitles="1" createdVersion="8" indent="0" outline="1" outlineData="1" multipleFieldFilters="0" rowHeaderCaption="Region">
  <location ref="D64:F70" firstHeaderRow="0" firstDataRow="1" firstDataCol="1"/>
  <pivotFields count="24">
    <pivotField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3" showAll="0"/>
    <pivotField showAll="0"/>
    <pivotField numFmtId="165" showAll="0"/>
    <pivotField showAll="0"/>
    <pivotField showAll="0"/>
    <pivotField numFmtId="3" showAll="0"/>
    <pivotField numFmtId="3" showAll="0"/>
    <pivotField dataField="1" numFmtId="3" showAll="0"/>
    <pivotField numFmtId="3" showAll="0"/>
    <pivotField numFmtId="3" showAll="0"/>
    <pivotField showAll="0"/>
    <pivotField showAll="0"/>
    <pivotField showAll="0">
      <items count="9">
        <item x="5"/>
        <item x="7"/>
        <item x="4"/>
        <item x="6"/>
        <item x="2"/>
        <item x="1"/>
        <item x="0"/>
        <item x="3"/>
        <item t="default"/>
      </items>
    </pivotField>
    <pivotField axis="axisRow" showAll="0" measureFilter="1">
      <items count="41">
        <item x="12"/>
        <item x="7"/>
        <item x="9"/>
        <item x="27"/>
        <item x="11"/>
        <item x="37"/>
        <item x="22"/>
        <item x="31"/>
        <item x="33"/>
        <item x="16"/>
        <item x="8"/>
        <item x="29"/>
        <item x="5"/>
        <item x="15"/>
        <item x="35"/>
        <item x="19"/>
        <item x="17"/>
        <item x="14"/>
        <item x="30"/>
        <item x="24"/>
        <item x="10"/>
        <item x="3"/>
        <item x="34"/>
        <item x="28"/>
        <item x="20"/>
        <item x="2"/>
        <item x="38"/>
        <item x="1"/>
        <item x="36"/>
        <item x="18"/>
        <item x="39"/>
        <item x="13"/>
        <item x="0"/>
        <item x="26"/>
        <item x="6"/>
        <item x="32"/>
        <item x="23"/>
        <item x="21"/>
        <item x="4"/>
        <item x="25"/>
        <item t="default"/>
      </items>
    </pivotField>
    <pivotField dataField="1" dragToRow="0" dragToCol="0" dragToPage="0" showAll="0" defaultSubtotal="0"/>
  </pivotFields>
  <rowFields count="1">
    <field x="22"/>
  </rowFields>
  <rowItems count="6">
    <i>
      <x v="5"/>
    </i>
    <i>
      <x v="22"/>
    </i>
    <i>
      <x v="29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Amount" fld="16" baseField="0" baseItem="0" numFmtId="167"/>
    <dataField name="Target Achieved " fld="23" baseField="0" baseItem="0" numFmtId="9"/>
  </dataFields>
  <formats count="6"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21" type="button" dataOnly="0" labelOnly="1" outline="0"/>
    </format>
    <format dxfId="127">
      <pivotArea dataOnly="0" labelOnly="1" grandRow="1" outline="0" fieldPosition="0"/>
    </format>
    <format dxfId="1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1E856-40FD-44C9-A33B-09CEA788DAFF}" name="PivotTable6" cacheId="1" applyNumberFormats="0" applyBorderFormats="0" applyFontFormats="0" applyPatternFormats="0" applyAlignmentFormats="0" applyWidthHeightFormats="1" dataCaption="Values" updatedVersion="8" minRefreshableVersion="5" showDrill="0" itemPrintTitles="1" createdVersion="8" indent="0" compact="0" compactData="0" multipleFieldFilters="0" rowHeaderCaption="Region">
  <location ref="A1:C50" firstHeaderRow="1" firstDataRow="1" firstDataCol="2"/>
  <pivotFields count="24">
    <pivotField compact="0" outline="0" showAll="0"/>
    <pivotField compact="0" numFmtId="164" outline="0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3" outline="0" showAll="0"/>
    <pivotField dataField="1" compact="0" outline="0" showAll="0"/>
    <pivotField compact="0" numFmtId="165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axis="axisRow" compact="0" outline="0" showAll="0" sortType="ascending">
      <items count="9">
        <item x="5"/>
        <item x="7"/>
        <item x="4"/>
        <item x="6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1">
        <item x="12"/>
        <item x="7"/>
        <item x="9"/>
        <item x="27"/>
        <item x="11"/>
        <item x="37"/>
        <item x="22"/>
        <item x="31"/>
        <item x="33"/>
        <item x="16"/>
        <item x="8"/>
        <item x="29"/>
        <item x="5"/>
        <item x="15"/>
        <item x="35"/>
        <item x="19"/>
        <item x="17"/>
        <item x="14"/>
        <item x="30"/>
        <item x="24"/>
        <item x="10"/>
        <item x="3"/>
        <item x="34"/>
        <item x="28"/>
        <item x="20"/>
        <item x="2"/>
        <item x="38"/>
        <item x="1"/>
        <item x="36"/>
        <item x="18"/>
        <item x="39"/>
        <item x="13"/>
        <item x="0"/>
        <item x="26"/>
        <item x="6"/>
        <item x="32"/>
        <item x="23"/>
        <item x="21"/>
        <item x="4"/>
        <item x="25"/>
        <item t="default"/>
      </items>
    </pivotField>
    <pivotField compact="0" outline="0" dragToRow="0" dragToCol="0" dragToPage="0" showAll="0" defaultSubtotal="0"/>
  </pivotFields>
  <rowFields count="2">
    <field x="21"/>
    <field x="22"/>
  </rowFields>
  <rowItems count="49">
    <i>
      <x v="2"/>
      <x v="10"/>
    </i>
    <i r="1">
      <x v="11"/>
    </i>
    <i r="1">
      <x v="12"/>
    </i>
    <i r="1">
      <x v="13"/>
    </i>
    <i r="1">
      <x v="14"/>
    </i>
    <i t="default">
      <x v="2"/>
    </i>
    <i>
      <x v="3"/>
      <x v="15"/>
    </i>
    <i r="1">
      <x v="16"/>
    </i>
    <i r="1">
      <x v="17"/>
    </i>
    <i r="1">
      <x v="18"/>
    </i>
    <i r="1">
      <x v="19"/>
    </i>
    <i t="default">
      <x v="3"/>
    </i>
    <i>
      <x v="7"/>
      <x v="35"/>
    </i>
    <i r="1">
      <x v="36"/>
    </i>
    <i r="1">
      <x v="37"/>
    </i>
    <i r="1">
      <x v="38"/>
    </i>
    <i r="1">
      <x v="39"/>
    </i>
    <i t="default">
      <x v="7"/>
    </i>
    <i>
      <x v="5"/>
      <x v="25"/>
    </i>
    <i r="1">
      <x v="26"/>
    </i>
    <i r="1">
      <x v="27"/>
    </i>
    <i r="1">
      <x v="28"/>
    </i>
    <i r="1">
      <x v="29"/>
    </i>
    <i t="default">
      <x v="5"/>
    </i>
    <i>
      <x v="4"/>
      <x v="20"/>
    </i>
    <i r="1">
      <x v="21"/>
    </i>
    <i r="1">
      <x v="22"/>
    </i>
    <i r="1">
      <x v="23"/>
    </i>
    <i r="1">
      <x v="24"/>
    </i>
    <i t="default">
      <x v="4"/>
    </i>
    <i>
      <x/>
      <x/>
    </i>
    <i r="1">
      <x v="1"/>
    </i>
    <i r="1">
      <x v="2"/>
    </i>
    <i r="1">
      <x v="3"/>
    </i>
    <i r="1">
      <x v="4"/>
    </i>
    <i t="default">
      <x/>
    </i>
    <i>
      <x v="1"/>
      <x v="5"/>
    </i>
    <i r="1">
      <x v="6"/>
    </i>
    <i r="1">
      <x v="7"/>
    </i>
    <i r="1">
      <x v="8"/>
    </i>
    <i r="1">
      <x v="9"/>
    </i>
    <i t="default">
      <x v="1"/>
    </i>
    <i>
      <x v="6"/>
      <x v="30"/>
    </i>
    <i r="1">
      <x v="31"/>
    </i>
    <i r="1">
      <x v="32"/>
    </i>
    <i r="1">
      <x v="33"/>
    </i>
    <i r="1">
      <x v="34"/>
    </i>
    <i t="default">
      <x v="6"/>
    </i>
    <i t="grand">
      <x/>
    </i>
  </rowItems>
  <colItems count="1">
    <i/>
  </colItems>
  <dataFields count="1">
    <dataField name="Avg Delivery Date" fld="10" subtotal="average" baseField="21" baseItem="0"/>
  </dataFields>
  <formats count="45">
    <format dxfId="46">
      <pivotArea type="all" dataOnly="0" outline="0" fieldPosition="0"/>
    </format>
    <format dxfId="45">
      <pivotArea field="21" type="button" dataOnly="0" labelOnly="1" outline="0" axis="axisRow" fieldPosition="0"/>
    </format>
    <format dxfId="44">
      <pivotArea dataOnly="0" labelOnly="1" fieldPosition="0">
        <references count="1">
          <reference field="21" count="0"/>
        </references>
      </pivotArea>
    </format>
    <format dxfId="43">
      <pivotArea collapsedLevelsAreSubtotals="1" fieldPosition="0">
        <references count="1">
          <reference field="21" count="0"/>
        </references>
      </pivotArea>
    </format>
    <format dxfId="42">
      <pivotArea dataOnly="0" outline="0" fieldPosition="0">
        <references count="1">
          <reference field="21" count="0" defaultSubtotal="1"/>
        </references>
      </pivotArea>
    </format>
    <format dxfId="41">
      <pivotArea dataOnly="0" outline="0" fieldPosition="0">
        <references count="1">
          <reference field="21" count="0" defaultSubtotal="1"/>
        </references>
      </pivotArea>
    </format>
    <format dxfId="40">
      <pivotArea field="21" type="button" dataOnly="0" labelOnly="1" outline="0" axis="axisRow" fieldPosition="0"/>
    </format>
    <format dxfId="39">
      <pivotArea field="22" type="button" dataOnly="0" labelOnly="1" outline="0" axis="axisRow" fieldPosition="1"/>
    </format>
    <format dxfId="38">
      <pivotArea dataOnly="0" labelOnly="1" outline="0" axis="axisValues" fieldPosition="0"/>
    </format>
    <format dxfId="37">
      <pivotArea field="21" type="button" dataOnly="0" labelOnly="1" outline="0" axis="axisRow" fieldPosition="0"/>
    </format>
    <format dxfId="36">
      <pivotArea field="22" type="button" dataOnly="0" labelOnly="1" outline="0" axis="axisRow" fieldPosition="1"/>
    </format>
    <format dxfId="35">
      <pivotArea dataOnly="0" labelOnly="1" outline="0" axis="axisValues" fieldPosition="0"/>
    </format>
    <format dxfId="34">
      <pivotArea dataOnly="0" outline="0" fieldPosition="0">
        <references count="1">
          <reference field="21" count="0" defaultSubtotal="1"/>
        </references>
      </pivotArea>
    </format>
    <format dxfId="33">
      <pivotArea outline="0" collapsedLevelsAreSubtotals="1" fieldPosition="0"/>
    </format>
    <format dxfId="32">
      <pivotArea dataOnly="0" labelOnly="1" outline="0" axis="axisValues" fieldPosition="0"/>
    </format>
    <format dxfId="31">
      <pivotArea outline="0" fieldPosition="0">
        <references count="2">
          <reference field="21" count="1" selected="0">
            <x v="2"/>
          </reference>
          <reference field="22" count="5" selected="0">
            <x v="10"/>
            <x v="11"/>
            <x v="12"/>
            <x v="13"/>
            <x v="14"/>
          </reference>
        </references>
      </pivotArea>
    </format>
    <format dxfId="30">
      <pivotArea outline="0" fieldPosition="0">
        <references count="1">
          <reference field="21" count="6" selected="0" defaultSubtotal="1">
            <x v="0"/>
            <x v="1"/>
            <x v="3"/>
            <x v="4"/>
            <x v="5"/>
            <x v="7"/>
          </reference>
        </references>
      </pivotArea>
    </format>
    <format dxfId="29">
      <pivotArea outline="0" fieldPosition="0">
        <references count="2">
          <reference field="21" count="1" selected="0">
            <x v="6"/>
          </reference>
          <reference field="22" count="5" selected="0">
            <x v="30"/>
            <x v="31"/>
            <x v="32"/>
            <x v="33"/>
            <x v="34"/>
          </reference>
        </references>
      </pivotArea>
    </format>
    <format dxfId="28">
      <pivotArea field="21" type="button" dataOnly="0" labelOnly="1" outline="0" axis="axisRow" fieldPosition="0"/>
    </format>
    <format dxfId="27">
      <pivotArea dataOnly="0" labelOnly="1" outline="0" fieldPosition="0">
        <references count="1">
          <reference field="21" count="1">
            <x v="2"/>
          </reference>
        </references>
      </pivotArea>
    </format>
    <format dxfId="26">
      <pivotArea dataOnly="0" labelOnly="1" outline="0" fieldPosition="0">
        <references count="1">
          <reference field="21" count="1">
            <x v="3"/>
          </reference>
        </references>
      </pivotArea>
    </format>
    <format dxfId="25">
      <pivotArea dataOnly="0" labelOnly="1" outline="0" fieldPosition="0">
        <references count="1">
          <reference field="21" count="1">
            <x v="7"/>
          </reference>
        </references>
      </pivotArea>
    </format>
    <format dxfId="24">
      <pivotArea dataOnly="0" labelOnly="1" outline="0" fieldPosition="0">
        <references count="1">
          <reference field="21" count="1">
            <x v="5"/>
          </reference>
        </references>
      </pivotArea>
    </format>
    <format dxfId="23">
      <pivotArea dataOnly="0" labelOnly="1" outline="0" fieldPosition="0">
        <references count="1">
          <reference field="21" count="1">
            <x v="4"/>
          </reference>
        </references>
      </pivotArea>
    </format>
    <format dxfId="22">
      <pivotArea dataOnly="0" labelOnly="1" outline="0" fieldPosition="0">
        <references count="1">
          <reference field="21" count="1">
            <x v="0"/>
          </reference>
        </references>
      </pivotArea>
    </format>
    <format dxfId="21">
      <pivotArea dataOnly="0" labelOnly="1" outline="0" fieldPosition="0">
        <references count="1">
          <reference field="21" count="1">
            <x v="1"/>
          </reference>
        </references>
      </pivotArea>
    </format>
    <format dxfId="20">
      <pivotArea dataOnly="0" labelOnly="1" outline="0" fieldPosition="0">
        <references count="1">
          <reference field="21" count="1">
            <x v="6"/>
          </reference>
        </references>
      </pivotArea>
    </format>
    <format dxfId="19">
      <pivotArea dataOnly="0" outline="0" fieldPosition="0">
        <references count="1">
          <reference field="21" count="1" defaultSubtotal="1">
            <x v="2"/>
          </reference>
        </references>
      </pivotArea>
    </format>
    <format dxfId="18">
      <pivotArea dataOnly="0" labelOnly="1" outline="0" fieldPosition="0">
        <references count="1">
          <reference field="21" count="1" defaultSubtotal="1">
            <x v="2"/>
          </reference>
        </references>
      </pivotArea>
    </format>
    <format dxfId="17">
      <pivotArea dataOnly="0" labelOnly="1" outline="0" fieldPosition="0">
        <references count="1">
          <reference field="21" count="1" defaultSubtotal="1">
            <x v="3"/>
          </reference>
        </references>
      </pivotArea>
    </format>
    <format dxfId="16">
      <pivotArea dataOnly="0" labelOnly="1" outline="0" fieldPosition="0">
        <references count="1">
          <reference field="21" count="1" defaultSubtotal="1">
            <x v="7"/>
          </reference>
        </references>
      </pivotArea>
    </format>
    <format dxfId="15">
      <pivotArea dataOnly="0" labelOnly="1" outline="0" fieldPosition="0">
        <references count="1">
          <reference field="21" count="1" defaultSubtotal="1">
            <x v="5"/>
          </reference>
        </references>
      </pivotArea>
    </format>
    <format dxfId="14">
      <pivotArea dataOnly="0" labelOnly="1" outline="0" fieldPosition="0">
        <references count="1">
          <reference field="21" count="1" defaultSubtotal="1">
            <x v="4"/>
          </reference>
        </references>
      </pivotArea>
    </format>
    <format dxfId="13">
      <pivotArea dataOnly="0" labelOnly="1" outline="0" fieldPosition="0">
        <references count="1">
          <reference field="21" count="1" defaultSubtotal="1">
            <x v="0"/>
          </reference>
        </references>
      </pivotArea>
    </format>
    <format dxfId="12">
      <pivotArea dataOnly="0" labelOnly="1" outline="0" fieldPosition="0">
        <references count="1">
          <reference field="21" count="1" defaultSubtotal="1">
            <x v="1"/>
          </reference>
        </references>
      </pivotArea>
    </format>
    <format dxfId="11">
      <pivotArea dataOnly="0" labelOnly="1" outline="0" fieldPosition="0">
        <references count="1">
          <reference field="21" count="1" defaultSubtotal="1">
            <x v="6"/>
          </reference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2">
          <reference field="21" count="1" selected="0">
            <x v="2"/>
          </reference>
          <reference field="22" count="5">
            <x v="10"/>
            <x v="11"/>
            <x v="12"/>
            <x v="13"/>
            <x v="14"/>
          </reference>
        </references>
      </pivotArea>
    </format>
    <format dxfId="8">
      <pivotArea dataOnly="0" labelOnly="1" outline="0" fieldPosition="0">
        <references count="2">
          <reference field="21" count="1" selected="0">
            <x v="3"/>
          </reference>
          <reference field="22" count="5">
            <x v="15"/>
            <x v="16"/>
            <x v="17"/>
            <x v="18"/>
            <x v="19"/>
          </reference>
        </references>
      </pivotArea>
    </format>
    <format dxfId="7">
      <pivotArea dataOnly="0" labelOnly="1" outline="0" fieldPosition="0">
        <references count="2">
          <reference field="21" count="1" selected="0">
            <x v="7"/>
          </reference>
          <reference field="22" count="5">
            <x v="35"/>
            <x v="36"/>
            <x v="37"/>
            <x v="38"/>
            <x v="39"/>
          </reference>
        </references>
      </pivotArea>
    </format>
    <format dxfId="6">
      <pivotArea dataOnly="0" labelOnly="1" outline="0" fieldPosition="0">
        <references count="2">
          <reference field="21" count="1" selected="0">
            <x v="5"/>
          </reference>
          <reference field="22" count="5">
            <x v="25"/>
            <x v="26"/>
            <x v="27"/>
            <x v="28"/>
            <x v="29"/>
          </reference>
        </references>
      </pivotArea>
    </format>
    <format dxfId="5">
      <pivotArea dataOnly="0" labelOnly="1" outline="0" fieldPosition="0">
        <references count="2">
          <reference field="21" count="1" selected="0">
            <x v="4"/>
          </reference>
          <reference field="22" count="5">
            <x v="20"/>
            <x v="21"/>
            <x v="22"/>
            <x v="23"/>
            <x v="24"/>
          </reference>
        </references>
      </pivotArea>
    </format>
    <format dxfId="4">
      <pivotArea dataOnly="0" labelOnly="1" outline="0" fieldPosition="0">
        <references count="2">
          <reference field="21" count="1" selected="0">
            <x v="0"/>
          </reference>
          <reference field="22" count="5">
            <x v="0"/>
            <x v="1"/>
            <x v="2"/>
            <x v="3"/>
            <x v="4"/>
          </reference>
        </references>
      </pivotArea>
    </format>
    <format dxfId="3">
      <pivotArea dataOnly="0" labelOnly="1" outline="0" fieldPosition="0">
        <references count="2">
          <reference field="21" count="1" selected="0">
            <x v="1"/>
          </reference>
          <reference field="22" count="5">
            <x v="5"/>
            <x v="6"/>
            <x v="7"/>
            <x v="8"/>
            <x v="9"/>
          </reference>
        </references>
      </pivotArea>
    </format>
    <format dxfId="2">
      <pivotArea dataOnly="0" labelOnly="1" outline="0" fieldPosition="0">
        <references count="2">
          <reference field="21" count="1" selected="0">
            <x v="6"/>
          </reference>
          <reference field="22" count="5">
            <x v="30"/>
            <x v="31"/>
            <x v="32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Region" displayName="DimRegion" ref="A1:F9">
  <tableColumns count="6">
    <tableColumn id="1" xr3:uid="{00000000-0010-0000-0000-000001000000}" name="Region_ID"/>
    <tableColumn id="2" xr3:uid="{00000000-0010-0000-0000-000002000000}" name="Region_Name"/>
    <tableColumn id="3" xr3:uid="{00000000-0010-0000-0000-000003000000}" name="Region_Code"/>
    <tableColumn id="4" xr3:uid="{00000000-0010-0000-0000-000004000000}" name="Zone"/>
    <tableColumn id="5" xr3:uid="{00000000-0010-0000-0000-000005000000}" name="Main_City"/>
    <tableColumn id="6" xr3:uid="{00000000-0010-0000-0000-000006000000}" name="Regional_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Customer" displayName="DimCustomer" ref="A1:H201">
  <tableColumns count="8">
    <tableColumn id="1" xr3:uid="{00000000-0010-0000-0100-000001000000}" name="Customer_ID"/>
    <tableColumn id="2" xr3:uid="{00000000-0010-0000-0100-000002000000}" name="Customer_Name"/>
    <tableColumn id="3" xr3:uid="{00000000-0010-0000-0100-000003000000}" name="DOB"/>
    <tableColumn id="4" xr3:uid="{00000000-0010-0000-0100-000004000000}" name="Mobile"/>
    <tableColumn id="5" xr3:uid="{00000000-0010-0000-0100-000005000000}" name="Gender"/>
    <tableColumn id="6" xr3:uid="{00000000-0010-0000-0100-000006000000}" name="Family_Members"/>
    <tableColumn id="7" xr3:uid="{00000000-0010-0000-0100-000007000000}" name="Region_ID"/>
    <tableColumn id="8" xr3:uid="{00000000-0010-0000-0100-000008000000}" name="Region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Store" displayName="DimStore" ref="A1:F41">
  <tableColumns count="6">
    <tableColumn id="1" xr3:uid="{00000000-0010-0000-0200-000001000000}" name="Store_ID"/>
    <tableColumn id="2" xr3:uid="{00000000-0010-0000-0200-000002000000}" name="Store_Name"/>
    <tableColumn id="3" xr3:uid="{00000000-0010-0000-0200-000003000000}" name="Region_ID"/>
    <tableColumn id="4" xr3:uid="{00000000-0010-0000-0200-000004000000}" name="Region_Name"/>
    <tableColumn id="5" xr3:uid="{00000000-0010-0000-0200-000005000000}" name="City_Area"/>
    <tableColumn id="6" xr3:uid="{00000000-0010-0000-0200-000006000000}" name="Store_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Product" displayName="DimProduct" ref="A1:G51">
  <tableColumns count="7">
    <tableColumn id="1" xr3:uid="{00000000-0010-0000-0300-000001000000}" name="Product_ID"/>
    <tableColumn id="2" xr3:uid="{00000000-0010-0000-0300-000002000000}" name="Product_Name"/>
    <tableColumn id="3" xr3:uid="{00000000-0010-0000-0300-000003000000}" name="Category"/>
    <tableColumn id="4" xr3:uid="{00000000-0010-0000-0300-000004000000}" name="Sub_Category"/>
    <tableColumn id="5" xr3:uid="{00000000-0010-0000-0300-000005000000}" name="Brand"/>
    <tableColumn id="6" xr3:uid="{00000000-0010-0000-0300-000006000000}" name="Unit_Price"/>
    <tableColumn id="7" xr3:uid="{00000000-0010-0000-0300-000007000000}" name="Unit_Co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Salesman" displayName="DimSalesman" ref="A1:G49">
  <tableColumns count="7">
    <tableColumn id="1" xr3:uid="{00000000-0010-0000-0400-000001000000}" name="Salesperson_ID"/>
    <tableColumn id="2" xr3:uid="{00000000-0010-0000-0400-000002000000}" name="Salesperson_Name"/>
    <tableColumn id="3" xr3:uid="{00000000-0010-0000-0400-000003000000}" name="Region_ID"/>
    <tableColumn id="4" xr3:uid="{00000000-0010-0000-0400-000004000000}" name="Region_Name"/>
    <tableColumn id="5" xr3:uid="{00000000-0010-0000-0400-000005000000}" name="Assigned_Store_ID"/>
    <tableColumn id="6" xr3:uid="{00000000-0010-0000-0400-000006000000}" name="Joining_Date"/>
    <tableColumn id="7" xr3:uid="{00000000-0010-0000-0400-000007000000}" name="Experience_Yea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actSales" displayName="FactSales" ref="A1:W1001" headerRowDxfId="142">
  <autoFilter ref="A1:W1001" xr:uid="{00000000-000C-0000-FFFF-FFFF05000000}"/>
  <tableColumns count="23">
    <tableColumn id="1" xr3:uid="{00000000-0010-0000-0500-000001000000}" name="Order_ID"/>
    <tableColumn id="2" xr3:uid="{00000000-0010-0000-0500-000002000000}" name="Order_Date"/>
    <tableColumn id="3" xr3:uid="{00000000-0010-0000-0500-000003000000}" name="Customer_ID"/>
    <tableColumn id="4" xr3:uid="{00000000-0010-0000-0500-000004000000}" name="Region_ID"/>
    <tableColumn id="5" xr3:uid="{00000000-0010-0000-0500-000005000000}" name="Store_ID"/>
    <tableColumn id="6" xr3:uid="{00000000-0010-0000-0500-000006000000}" name="Salesperson_ID"/>
    <tableColumn id="7" xr3:uid="{00000000-0010-0000-0500-000007000000}" name="Product_ID"/>
    <tableColumn id="10" xr3:uid="{00000000-0010-0000-0500-00000A000000}" name="Quantity_Sold"/>
    <tableColumn id="12" xr3:uid="{00000000-0010-0000-0500-00000C000000}" name="Discount"/>
    <tableColumn id="14" xr3:uid="{00000000-0010-0000-0500-00000E000000}" name="Target_Sales"/>
    <tableColumn id="16" xr3:uid="{00000000-0010-0000-0500-000010000000}" name="Delivery_Days"/>
    <tableColumn id="17" xr3:uid="{00000000-0010-0000-0500-000011000000}" name="Customer_Rating"/>
    <tableColumn id="8" xr3:uid="{00000000-0010-0000-0500-000008000000}" name="Product_Name" dataDxfId="141">
      <calculatedColumnFormula>_xlfn.XLOOKUP(FactSales[[#This Row],[Product_ID]],DimProduct[Product_ID],DimProduct[Product_Name])</calculatedColumnFormula>
    </tableColumn>
    <tableColumn id="9" xr3:uid="{00000000-0010-0000-0500-000009000000}" name="Category" dataDxfId="140">
      <calculatedColumnFormula>_xlfn.XLOOKUP(FactSales[[#This Row],[Product_ID]],DimProduct[Product_ID],DimProduct[Category])</calculatedColumnFormula>
    </tableColumn>
    <tableColumn id="11" xr3:uid="{00000000-0010-0000-0500-00000B000000}" name="Unit_Price" dataDxfId="139">
      <calculatedColumnFormula>_xlfn.XLOOKUP(FactSales[[#This Row],[Product_ID]],DimProduct[Product_ID],DimProduct[Unit_Price])</calculatedColumnFormula>
    </tableColumn>
    <tableColumn id="21" xr3:uid="{786FC642-D119-4274-9D3F-0E6CBF930824}" name="Unit_Cost" dataDxfId="138">
      <calculatedColumnFormula>_xlfn.XLOOKUP(FactSales[[#This Row],[Product_ID]],DimProduct[Product_ID],DimProduct[Unit_Cost])</calculatedColumnFormula>
    </tableColumn>
    <tableColumn id="13" xr3:uid="{00000000-0010-0000-0500-00000D000000}" name="Sales_Amount" dataDxfId="137">
      <calculatedColumnFormula>FactSales[[#This Row],[Unit_Price]]*FactSales[[#This Row],[Quantity_Sold]]</calculatedColumnFormula>
    </tableColumn>
    <tableColumn id="23" xr3:uid="{5EC0AF1B-C532-4FA9-9F24-76E8A47F6E18}" name="Total_Cost" dataDxfId="136">
      <calculatedColumnFormula>FactSales[[#This Row],[Unit_Cost]]*FactSales[[#This Row],[Quantity_Sold]]</calculatedColumnFormula>
    </tableColumn>
    <tableColumn id="15" xr3:uid="{00000000-0010-0000-0500-00000F000000}" name="Profit" dataDxfId="135">
      <calculatedColumnFormula>FactSales[[#This Row],[Sales_Amount]]-FactSales[[#This Row],[Total_Cost]]</calculatedColumnFormula>
    </tableColumn>
    <tableColumn id="25" xr3:uid="{3EE7F93F-A663-496C-80CD-155A7B7D62E7}" name="Customer Name" dataDxfId="134">
      <calculatedColumnFormula>_xlfn.XLOOKUP(FactSales[[#This Row],[Customer_ID]],DimCustomer[Customer_ID],DimCustomer[Customer_Name])</calculatedColumnFormula>
    </tableColumn>
    <tableColumn id="26" xr3:uid="{CDA73A21-8BEC-4169-A787-028B5DD3E48B}" name="Sales Man" dataDxfId="133">
      <calculatedColumnFormula>_xlfn.XLOOKUP(FactSales[[#This Row],[Salesperson_ID]],DimSalesman[Salesperson_ID],DimSalesman[Salesperson_Name])</calculatedColumnFormula>
    </tableColumn>
    <tableColumn id="27" xr3:uid="{6ADE11B5-7710-48A6-8067-3B39BA899153}" name="Region" dataDxfId="132">
      <calculatedColumnFormula>_xlfn.XLOOKUP(FactSales[[#This Row],[Region_ID]],DimRegion[Region_ID],DimRegion[Region_Name])</calculatedColumnFormula>
    </tableColumn>
    <tableColumn id="28" xr3:uid="{7F5A3B4C-BB05-455B-998C-EF58AD49016B}" name="Store Name" dataDxfId="131">
      <calculatedColumnFormula>_xlfn.XLOOKUP(FactSales[[#This Row],[Store_ID]],DimStore[Store_ID],DimStore[Store_Name])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taModel" displayName="DataModel" ref="A1:E6">
  <tableColumns count="5">
    <tableColumn id="1" xr3:uid="{00000000-0010-0000-0600-000001000000}" name="Fact Table"/>
    <tableColumn id="2" xr3:uid="{00000000-0010-0000-0600-000002000000}" name="Key Column"/>
    <tableColumn id="3" xr3:uid="{00000000-0010-0000-0600-000003000000}" name="Dimension Table"/>
    <tableColumn id="4" xr3:uid="{00000000-0010-0000-0600-000004000000}" name="Relationship Logic"/>
    <tableColumn id="5" xr3:uid="{00000000-0010-0000-0600-000005000000}" name="Mismatch Contro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shboardPlan" displayName="DashboardPlan" ref="A1:B7">
  <tableColumns count="2">
    <tableColumn id="1" xr3:uid="{00000000-0010-0000-0700-000001000000}" name="Business Question"/>
    <tableColumn id="2" xr3:uid="{00000000-0010-0000-0700-000002000000}" name="Metric/KP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usinessFindings" displayName="BusinessFindings" ref="A1:E6">
  <tableColumns count="5">
    <tableColumn id="1" xr3:uid="{00000000-0010-0000-0800-000001000000}" name="Problem_Area"/>
    <tableColumn id="2" xr3:uid="{00000000-0010-0000-0800-000002000000}" name="Observation"/>
    <tableColumn id="3" xr3:uid="{00000000-0010-0000-0800-000003000000}" name="Possible_Reason"/>
    <tableColumn id="4" xr3:uid="{00000000-0010-0000-0800-000004000000}" name="Business_Impact"/>
    <tableColumn id="5" xr3:uid="{00000000-0010-0000-0800-000005000000}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22C15F99-72DF-41DE-AF7F-7D7E46023051}" sourceName="Order_Date">
  <pivotTables>
    <pivotTable tabId="12" name="PivotTable4"/>
    <pivotTable tabId="12" name="PivotTable1"/>
    <pivotTable tabId="12" name="PivotTable2"/>
    <pivotTable tabId="12" name="PivotTable3"/>
    <pivotTable tabId="12" name="PivotTable5"/>
    <pivotTable tabId="12" name="PivotTable6"/>
    <pivotTable tabId="12" name="PivotTable7"/>
    <pivotTable tabId="12" name="PivotTable8"/>
    <pivotTable tabId="16" name="PivotTable6"/>
  </pivotTables>
  <state minimalRefreshVersion="6" lastRefreshVersion="6" pivotCacheId="1926754782" filterType="unknown"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1" xr10:uid="{9E061AB0-9602-440D-B7FC-9093437D9516}" cache="NativeTimeline_Order_Date" caption="Order_Date" level="2" selectionLevel="2" scrollPosition="2025-01-01T00:00:00" style="TimeSlicerStyleLight4 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2" xr10:uid="{3BD13698-9EA3-4A05-84E4-D3208E7EFD98}" cache="NativeTimeline_Order_Date" caption="Order_Date" level="2" selectionLevel="2" scrollPosition="2025-01-01T00:00:00" style="TimeSlicerStyleLight4 2"/>
</timeline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microsoft.com/office/2011/relationships/timeline" Target="../timelines/timeline1.xml"/><Relationship Id="rId4" Type="http://schemas.openxmlformats.org/officeDocument/2006/relationships/ctrlProp" Target="../ctrlProps/ctrlProp2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11/relationships/timeline" Target="../timelines/timeline2.x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1"/>
  <sheetViews>
    <sheetView workbookViewId="0">
      <selection activeCell="B15" sqref="B15"/>
    </sheetView>
  </sheetViews>
  <sheetFormatPr defaultRowHeight="13.8"/>
  <cols>
    <col min="1" max="1" width="24" customWidth="1"/>
    <col min="2" max="2" width="110" customWidth="1"/>
  </cols>
  <sheetData>
    <row r="1" spans="1:2" ht="33.9" customHeight="1">
      <c r="A1" s="76" t="s">
        <v>0</v>
      </c>
      <c r="B1" s="77"/>
    </row>
    <row r="2" spans="1:2" ht="27.6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  <row r="8" spans="1:2">
      <c r="A8" s="1" t="s">
        <v>13</v>
      </c>
      <c r="B8" s="2" t="s">
        <v>14</v>
      </c>
    </row>
    <row r="9" spans="1:2">
      <c r="A9" s="1" t="s">
        <v>15</v>
      </c>
      <c r="B9" s="2" t="s">
        <v>16</v>
      </c>
    </row>
    <row r="10" spans="1:2">
      <c r="A10" s="1" t="s">
        <v>17</v>
      </c>
      <c r="B10" s="2" t="s">
        <v>18</v>
      </c>
    </row>
    <row r="11" spans="1:2">
      <c r="A11" s="1" t="s">
        <v>19</v>
      </c>
      <c r="B11" s="2" t="s">
        <v>20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9"/>
  <sheetViews>
    <sheetView workbookViewId="0">
      <selection activeCell="F21" sqref="F21"/>
    </sheetView>
  </sheetViews>
  <sheetFormatPr defaultRowHeight="13.8"/>
  <cols>
    <col min="1" max="1" width="12" customWidth="1"/>
    <col min="2" max="2" width="18" customWidth="1"/>
    <col min="3" max="3" width="14" customWidth="1"/>
    <col min="4" max="4" width="16" customWidth="1"/>
    <col min="5" max="5" width="18" customWidth="1"/>
    <col min="6" max="6" width="22" customWidth="1"/>
  </cols>
  <sheetData>
    <row r="1" spans="1:6" ht="27.9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</row>
    <row r="2" spans="1:6">
      <c r="A2" s="4" t="s">
        <v>27</v>
      </c>
      <c r="B2" s="4" t="s">
        <v>28</v>
      </c>
      <c r="C2" s="4" t="s">
        <v>29</v>
      </c>
      <c r="D2" s="4" t="s">
        <v>30</v>
      </c>
      <c r="E2" s="4" t="s">
        <v>28</v>
      </c>
      <c r="F2" s="4" t="s">
        <v>31</v>
      </c>
    </row>
    <row r="3" spans="1:6">
      <c r="A3" s="4" t="s">
        <v>32</v>
      </c>
      <c r="B3" s="4" t="s">
        <v>33</v>
      </c>
      <c r="C3" s="4" t="s">
        <v>34</v>
      </c>
      <c r="D3" s="4" t="s">
        <v>35</v>
      </c>
      <c r="E3" s="4" t="s">
        <v>33</v>
      </c>
      <c r="F3" s="4" t="s">
        <v>36</v>
      </c>
    </row>
    <row r="4" spans="1:6">
      <c r="A4" s="4" t="s">
        <v>37</v>
      </c>
      <c r="B4" s="4" t="s">
        <v>38</v>
      </c>
      <c r="C4" s="4" t="s">
        <v>39</v>
      </c>
      <c r="D4" s="4" t="s">
        <v>40</v>
      </c>
      <c r="E4" s="4" t="s">
        <v>38</v>
      </c>
      <c r="F4" s="4" t="s">
        <v>41</v>
      </c>
    </row>
    <row r="5" spans="1:6">
      <c r="A5" s="4" t="s">
        <v>42</v>
      </c>
      <c r="B5" s="4" t="s">
        <v>43</v>
      </c>
      <c r="C5" s="4" t="s">
        <v>44</v>
      </c>
      <c r="D5" s="4" t="s">
        <v>45</v>
      </c>
      <c r="E5" s="4" t="s">
        <v>43</v>
      </c>
      <c r="F5" s="4" t="s">
        <v>46</v>
      </c>
    </row>
    <row r="6" spans="1:6">
      <c r="A6" s="4" t="s">
        <v>47</v>
      </c>
      <c r="B6" s="4" t="s">
        <v>48</v>
      </c>
      <c r="C6" s="4" t="s">
        <v>49</v>
      </c>
      <c r="D6" s="4" t="s">
        <v>50</v>
      </c>
      <c r="E6" s="4" t="s">
        <v>48</v>
      </c>
      <c r="F6" s="4" t="s">
        <v>51</v>
      </c>
    </row>
    <row r="7" spans="1:6">
      <c r="A7" s="4" t="s">
        <v>52</v>
      </c>
      <c r="B7" s="4" t="s">
        <v>53</v>
      </c>
      <c r="C7" s="4" t="s">
        <v>54</v>
      </c>
      <c r="D7" s="4" t="s">
        <v>55</v>
      </c>
      <c r="E7" s="4" t="s">
        <v>53</v>
      </c>
      <c r="F7" s="4" t="s">
        <v>56</v>
      </c>
    </row>
    <row r="8" spans="1:6">
      <c r="A8" s="4" t="s">
        <v>57</v>
      </c>
      <c r="B8" s="4" t="s">
        <v>58</v>
      </c>
      <c r="C8" s="4" t="s">
        <v>59</v>
      </c>
      <c r="D8" s="4" t="s">
        <v>60</v>
      </c>
      <c r="E8" s="4" t="s">
        <v>58</v>
      </c>
      <c r="F8" s="4" t="s">
        <v>61</v>
      </c>
    </row>
    <row r="9" spans="1:6">
      <c r="A9" s="4" t="s">
        <v>62</v>
      </c>
      <c r="B9" s="4" t="s">
        <v>63</v>
      </c>
      <c r="C9" s="4" t="s">
        <v>64</v>
      </c>
      <c r="D9" s="4" t="s">
        <v>65</v>
      </c>
      <c r="E9" s="4" t="s">
        <v>63</v>
      </c>
      <c r="F9" s="4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01"/>
  <sheetViews>
    <sheetView workbookViewId="0">
      <selection activeCell="F21" sqref="F21"/>
    </sheetView>
  </sheetViews>
  <sheetFormatPr defaultRowHeight="13.8"/>
  <cols>
    <col min="1" max="1" width="16" customWidth="1"/>
    <col min="2" max="2" width="22" customWidth="1"/>
    <col min="3" max="3" width="12" customWidth="1"/>
    <col min="4" max="4" width="14" customWidth="1"/>
    <col min="5" max="5" width="10" customWidth="1"/>
    <col min="6" max="6" width="15" customWidth="1"/>
    <col min="7" max="7" width="12" customWidth="1"/>
    <col min="8" max="8" width="18" customWidth="1"/>
  </cols>
  <sheetData>
    <row r="1" spans="1:8" ht="27.9" customHeight="1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21</v>
      </c>
      <c r="H1" s="3" t="s">
        <v>22</v>
      </c>
    </row>
    <row r="2" spans="1:8">
      <c r="A2" s="4" t="s">
        <v>73</v>
      </c>
      <c r="B2" s="4" t="s">
        <v>41</v>
      </c>
      <c r="C2" s="5">
        <v>25852</v>
      </c>
      <c r="D2" s="4" t="s">
        <v>74</v>
      </c>
      <c r="E2" s="4" t="s">
        <v>75</v>
      </c>
      <c r="F2" s="4">
        <v>1</v>
      </c>
      <c r="G2" s="4" t="s">
        <v>27</v>
      </c>
      <c r="H2" s="4" t="s">
        <v>28</v>
      </c>
    </row>
    <row r="3" spans="1:8">
      <c r="A3" s="4" t="s">
        <v>76</v>
      </c>
      <c r="B3" s="4" t="s">
        <v>77</v>
      </c>
      <c r="C3" s="5">
        <v>38051</v>
      </c>
      <c r="D3" s="4" t="s">
        <v>78</v>
      </c>
      <c r="E3" s="4" t="s">
        <v>75</v>
      </c>
      <c r="F3" s="4">
        <v>6</v>
      </c>
      <c r="G3" s="4" t="s">
        <v>27</v>
      </c>
      <c r="H3" s="4" t="s">
        <v>28</v>
      </c>
    </row>
    <row r="4" spans="1:8">
      <c r="A4" s="4" t="s">
        <v>79</v>
      </c>
      <c r="B4" s="4" t="s">
        <v>80</v>
      </c>
      <c r="C4" s="5">
        <v>36053</v>
      </c>
      <c r="D4" s="4" t="s">
        <v>81</v>
      </c>
      <c r="E4" s="4" t="s">
        <v>75</v>
      </c>
      <c r="F4" s="4">
        <v>1</v>
      </c>
      <c r="G4" s="4" t="s">
        <v>27</v>
      </c>
      <c r="H4" s="4" t="s">
        <v>28</v>
      </c>
    </row>
    <row r="5" spans="1:8">
      <c r="A5" s="4" t="s">
        <v>82</v>
      </c>
      <c r="B5" s="4" t="s">
        <v>83</v>
      </c>
      <c r="C5" s="5">
        <v>30714</v>
      </c>
      <c r="D5" s="4" t="s">
        <v>84</v>
      </c>
      <c r="E5" s="4" t="s">
        <v>75</v>
      </c>
      <c r="F5" s="4">
        <v>6</v>
      </c>
      <c r="G5" s="4" t="s">
        <v>27</v>
      </c>
      <c r="H5" s="4" t="s">
        <v>28</v>
      </c>
    </row>
    <row r="6" spans="1:8">
      <c r="A6" s="4" t="s">
        <v>85</v>
      </c>
      <c r="B6" s="4" t="s">
        <v>86</v>
      </c>
      <c r="C6" s="5">
        <v>36642</v>
      </c>
      <c r="D6" s="4" t="s">
        <v>87</v>
      </c>
      <c r="E6" s="4" t="s">
        <v>88</v>
      </c>
      <c r="F6" s="4">
        <v>7</v>
      </c>
      <c r="G6" s="4" t="s">
        <v>27</v>
      </c>
      <c r="H6" s="4" t="s">
        <v>28</v>
      </c>
    </row>
    <row r="7" spans="1:8">
      <c r="A7" s="4" t="s">
        <v>89</v>
      </c>
      <c r="B7" s="4" t="s">
        <v>90</v>
      </c>
      <c r="C7" s="5">
        <v>26869</v>
      </c>
      <c r="D7" s="4" t="s">
        <v>91</v>
      </c>
      <c r="E7" s="4" t="s">
        <v>75</v>
      </c>
      <c r="F7" s="4">
        <v>3</v>
      </c>
      <c r="G7" s="4" t="s">
        <v>27</v>
      </c>
      <c r="H7" s="4" t="s">
        <v>28</v>
      </c>
    </row>
    <row r="8" spans="1:8">
      <c r="A8" s="4" t="s">
        <v>92</v>
      </c>
      <c r="B8" s="4" t="s">
        <v>93</v>
      </c>
      <c r="C8" s="5">
        <v>36042</v>
      </c>
      <c r="D8" s="4" t="s">
        <v>94</v>
      </c>
      <c r="E8" s="4" t="s">
        <v>75</v>
      </c>
      <c r="F8" s="4">
        <v>7</v>
      </c>
      <c r="G8" s="4" t="s">
        <v>27</v>
      </c>
      <c r="H8" s="4" t="s">
        <v>28</v>
      </c>
    </row>
    <row r="9" spans="1:8">
      <c r="A9" s="4" t="s">
        <v>95</v>
      </c>
      <c r="B9" s="4" t="s">
        <v>96</v>
      </c>
      <c r="C9" s="5">
        <v>34347</v>
      </c>
      <c r="D9" s="4" t="s">
        <v>97</v>
      </c>
      <c r="E9" s="4" t="s">
        <v>75</v>
      </c>
      <c r="F9" s="4">
        <v>1</v>
      </c>
      <c r="G9" s="4" t="s">
        <v>27</v>
      </c>
      <c r="H9" s="4" t="s">
        <v>28</v>
      </c>
    </row>
    <row r="10" spans="1:8">
      <c r="A10" s="4" t="s">
        <v>98</v>
      </c>
      <c r="B10" s="4" t="s">
        <v>99</v>
      </c>
      <c r="C10" s="5">
        <v>32875</v>
      </c>
      <c r="D10" s="4" t="s">
        <v>100</v>
      </c>
      <c r="E10" s="4" t="s">
        <v>75</v>
      </c>
      <c r="F10" s="4">
        <v>5</v>
      </c>
      <c r="G10" s="4" t="s">
        <v>27</v>
      </c>
      <c r="H10" s="4" t="s">
        <v>28</v>
      </c>
    </row>
    <row r="11" spans="1:8">
      <c r="A11" s="4" t="s">
        <v>101</v>
      </c>
      <c r="B11" s="4" t="s">
        <v>102</v>
      </c>
      <c r="C11" s="5">
        <v>34749</v>
      </c>
      <c r="D11" s="4" t="s">
        <v>103</v>
      </c>
      <c r="E11" s="4" t="s">
        <v>88</v>
      </c>
      <c r="F11" s="4">
        <v>3</v>
      </c>
      <c r="G11" s="4" t="s">
        <v>27</v>
      </c>
      <c r="H11" s="4" t="s">
        <v>28</v>
      </c>
    </row>
    <row r="12" spans="1:8">
      <c r="A12" s="4" t="s">
        <v>104</v>
      </c>
      <c r="B12" s="4" t="s">
        <v>105</v>
      </c>
      <c r="C12" s="5">
        <v>31180</v>
      </c>
      <c r="D12" s="4" t="s">
        <v>106</v>
      </c>
      <c r="E12" s="4" t="s">
        <v>75</v>
      </c>
      <c r="F12" s="4">
        <v>1</v>
      </c>
      <c r="G12" s="4" t="s">
        <v>27</v>
      </c>
      <c r="H12" s="4" t="s">
        <v>28</v>
      </c>
    </row>
    <row r="13" spans="1:8">
      <c r="A13" s="4" t="s">
        <v>107</v>
      </c>
      <c r="B13" s="4" t="s">
        <v>36</v>
      </c>
      <c r="C13" s="5">
        <v>28644</v>
      </c>
      <c r="D13" s="4" t="s">
        <v>108</v>
      </c>
      <c r="E13" s="4" t="s">
        <v>75</v>
      </c>
      <c r="F13" s="4">
        <v>6</v>
      </c>
      <c r="G13" s="4" t="s">
        <v>27</v>
      </c>
      <c r="H13" s="4" t="s">
        <v>28</v>
      </c>
    </row>
    <row r="14" spans="1:8">
      <c r="A14" s="4" t="s">
        <v>109</v>
      </c>
      <c r="B14" s="4" t="s">
        <v>110</v>
      </c>
      <c r="C14" s="5">
        <v>28614</v>
      </c>
      <c r="D14" s="4" t="s">
        <v>111</v>
      </c>
      <c r="E14" s="4" t="s">
        <v>88</v>
      </c>
      <c r="F14" s="4">
        <v>5</v>
      </c>
      <c r="G14" s="4" t="s">
        <v>27</v>
      </c>
      <c r="H14" s="4" t="s">
        <v>28</v>
      </c>
    </row>
    <row r="15" spans="1:8">
      <c r="A15" s="4" t="s">
        <v>112</v>
      </c>
      <c r="B15" s="4" t="s">
        <v>113</v>
      </c>
      <c r="C15" s="5">
        <v>27712</v>
      </c>
      <c r="D15" s="4" t="s">
        <v>114</v>
      </c>
      <c r="E15" s="4" t="s">
        <v>88</v>
      </c>
      <c r="F15" s="4">
        <v>5</v>
      </c>
      <c r="G15" s="4" t="s">
        <v>27</v>
      </c>
      <c r="H15" s="4" t="s">
        <v>28</v>
      </c>
    </row>
    <row r="16" spans="1:8">
      <c r="A16" s="4" t="s">
        <v>115</v>
      </c>
      <c r="B16" s="4" t="s">
        <v>116</v>
      </c>
      <c r="C16" s="5">
        <v>38013</v>
      </c>
      <c r="D16" s="4" t="s">
        <v>117</v>
      </c>
      <c r="E16" s="4" t="s">
        <v>75</v>
      </c>
      <c r="F16" s="4">
        <v>3</v>
      </c>
      <c r="G16" s="4" t="s">
        <v>27</v>
      </c>
      <c r="H16" s="4" t="s">
        <v>28</v>
      </c>
    </row>
    <row r="17" spans="1:8">
      <c r="A17" s="4" t="s">
        <v>118</v>
      </c>
      <c r="B17" s="4" t="s">
        <v>119</v>
      </c>
      <c r="C17" s="5">
        <v>33875</v>
      </c>
      <c r="D17" s="4" t="s">
        <v>120</v>
      </c>
      <c r="E17" s="4" t="s">
        <v>88</v>
      </c>
      <c r="F17" s="4">
        <v>7</v>
      </c>
      <c r="G17" s="4" t="s">
        <v>27</v>
      </c>
      <c r="H17" s="4" t="s">
        <v>28</v>
      </c>
    </row>
    <row r="18" spans="1:8">
      <c r="A18" s="4" t="s">
        <v>121</v>
      </c>
      <c r="B18" s="4" t="s">
        <v>122</v>
      </c>
      <c r="C18" s="5">
        <v>31862</v>
      </c>
      <c r="D18" s="4" t="s">
        <v>123</v>
      </c>
      <c r="E18" s="4" t="s">
        <v>88</v>
      </c>
      <c r="F18" s="4">
        <v>7</v>
      </c>
      <c r="G18" s="4" t="s">
        <v>27</v>
      </c>
      <c r="H18" s="4" t="s">
        <v>28</v>
      </c>
    </row>
    <row r="19" spans="1:8">
      <c r="A19" s="4" t="s">
        <v>124</v>
      </c>
      <c r="B19" s="4" t="s">
        <v>125</v>
      </c>
      <c r="C19" s="5">
        <v>26244</v>
      </c>
      <c r="D19" s="4" t="s">
        <v>126</v>
      </c>
      <c r="E19" s="4" t="s">
        <v>88</v>
      </c>
      <c r="F19" s="4">
        <v>1</v>
      </c>
      <c r="G19" s="4" t="s">
        <v>27</v>
      </c>
      <c r="H19" s="4" t="s">
        <v>28</v>
      </c>
    </row>
    <row r="20" spans="1:8">
      <c r="A20" s="4" t="s">
        <v>127</v>
      </c>
      <c r="B20" s="4" t="s">
        <v>128</v>
      </c>
      <c r="C20" s="5">
        <v>31416</v>
      </c>
      <c r="D20" s="4" t="s">
        <v>129</v>
      </c>
      <c r="E20" s="4" t="s">
        <v>75</v>
      </c>
      <c r="F20" s="4">
        <v>3</v>
      </c>
      <c r="G20" s="4" t="s">
        <v>27</v>
      </c>
      <c r="H20" s="4" t="s">
        <v>28</v>
      </c>
    </row>
    <row r="21" spans="1:8">
      <c r="A21" s="4" t="s">
        <v>130</v>
      </c>
      <c r="B21" s="4" t="s">
        <v>131</v>
      </c>
      <c r="C21" s="5">
        <v>37886</v>
      </c>
      <c r="D21" s="4" t="s">
        <v>132</v>
      </c>
      <c r="E21" s="4" t="s">
        <v>88</v>
      </c>
      <c r="F21" s="4">
        <v>5</v>
      </c>
      <c r="G21" s="4" t="s">
        <v>27</v>
      </c>
      <c r="H21" s="4" t="s">
        <v>28</v>
      </c>
    </row>
    <row r="22" spans="1:8">
      <c r="A22" s="4" t="s">
        <v>133</v>
      </c>
      <c r="B22" s="4" t="s">
        <v>134</v>
      </c>
      <c r="C22" s="5">
        <v>35043</v>
      </c>
      <c r="D22" s="4" t="s">
        <v>135</v>
      </c>
      <c r="E22" s="4" t="s">
        <v>88</v>
      </c>
      <c r="F22" s="4">
        <v>5</v>
      </c>
      <c r="G22" s="4" t="s">
        <v>27</v>
      </c>
      <c r="H22" s="4" t="s">
        <v>28</v>
      </c>
    </row>
    <row r="23" spans="1:8">
      <c r="A23" s="4" t="s">
        <v>136</v>
      </c>
      <c r="B23" s="4" t="s">
        <v>137</v>
      </c>
      <c r="C23" s="5">
        <v>30523</v>
      </c>
      <c r="D23" s="4" t="s">
        <v>138</v>
      </c>
      <c r="E23" s="4" t="s">
        <v>75</v>
      </c>
      <c r="F23" s="4">
        <v>6</v>
      </c>
      <c r="G23" s="4" t="s">
        <v>27</v>
      </c>
      <c r="H23" s="4" t="s">
        <v>28</v>
      </c>
    </row>
    <row r="24" spans="1:8">
      <c r="A24" s="4" t="s">
        <v>139</v>
      </c>
      <c r="B24" s="4" t="s">
        <v>140</v>
      </c>
      <c r="C24" s="5">
        <v>33296</v>
      </c>
      <c r="D24" s="4" t="s">
        <v>141</v>
      </c>
      <c r="E24" s="4" t="s">
        <v>88</v>
      </c>
      <c r="F24" s="4">
        <v>5</v>
      </c>
      <c r="G24" s="4" t="s">
        <v>27</v>
      </c>
      <c r="H24" s="4" t="s">
        <v>28</v>
      </c>
    </row>
    <row r="25" spans="1:8">
      <c r="A25" s="4" t="s">
        <v>142</v>
      </c>
      <c r="B25" s="4" t="s">
        <v>143</v>
      </c>
      <c r="C25" s="5">
        <v>35388</v>
      </c>
      <c r="D25" s="4" t="s">
        <v>144</v>
      </c>
      <c r="E25" s="4" t="s">
        <v>75</v>
      </c>
      <c r="F25" s="4">
        <v>2</v>
      </c>
      <c r="G25" s="4" t="s">
        <v>27</v>
      </c>
      <c r="H25" s="4" t="s">
        <v>28</v>
      </c>
    </row>
    <row r="26" spans="1:8">
      <c r="A26" s="4" t="s">
        <v>145</v>
      </c>
      <c r="B26" s="4" t="s">
        <v>146</v>
      </c>
      <c r="C26" s="5">
        <v>36178</v>
      </c>
      <c r="D26" s="4" t="s">
        <v>147</v>
      </c>
      <c r="E26" s="4" t="s">
        <v>88</v>
      </c>
      <c r="F26" s="4">
        <v>5</v>
      </c>
      <c r="G26" s="4" t="s">
        <v>27</v>
      </c>
      <c r="H26" s="4" t="s">
        <v>28</v>
      </c>
    </row>
    <row r="27" spans="1:8">
      <c r="A27" s="4" t="s">
        <v>148</v>
      </c>
      <c r="B27" s="4" t="s">
        <v>149</v>
      </c>
      <c r="C27" s="5">
        <v>35688</v>
      </c>
      <c r="D27" s="4" t="s">
        <v>150</v>
      </c>
      <c r="E27" s="4" t="s">
        <v>88</v>
      </c>
      <c r="F27" s="4">
        <v>4</v>
      </c>
      <c r="G27" s="4" t="s">
        <v>32</v>
      </c>
      <c r="H27" s="4" t="s">
        <v>33</v>
      </c>
    </row>
    <row r="28" spans="1:8">
      <c r="A28" s="4" t="s">
        <v>151</v>
      </c>
      <c r="B28" s="4" t="s">
        <v>56</v>
      </c>
      <c r="C28" s="5">
        <v>31939</v>
      </c>
      <c r="D28" s="4" t="s">
        <v>152</v>
      </c>
      <c r="E28" s="4" t="s">
        <v>88</v>
      </c>
      <c r="F28" s="4">
        <v>4</v>
      </c>
      <c r="G28" s="4" t="s">
        <v>32</v>
      </c>
      <c r="H28" s="4" t="s">
        <v>33</v>
      </c>
    </row>
    <row r="29" spans="1:8">
      <c r="A29" s="4" t="s">
        <v>153</v>
      </c>
      <c r="B29" s="4" t="s">
        <v>154</v>
      </c>
      <c r="C29" s="5">
        <v>26781</v>
      </c>
      <c r="D29" s="4" t="s">
        <v>155</v>
      </c>
      <c r="E29" s="4" t="s">
        <v>88</v>
      </c>
      <c r="F29" s="4">
        <v>7</v>
      </c>
      <c r="G29" s="4" t="s">
        <v>32</v>
      </c>
      <c r="H29" s="4" t="s">
        <v>33</v>
      </c>
    </row>
    <row r="30" spans="1:8">
      <c r="A30" s="4" t="s">
        <v>156</v>
      </c>
      <c r="B30" s="4" t="s">
        <v>157</v>
      </c>
      <c r="C30" s="5">
        <v>38345</v>
      </c>
      <c r="D30" s="4" t="s">
        <v>158</v>
      </c>
      <c r="E30" s="4" t="s">
        <v>88</v>
      </c>
      <c r="F30" s="4">
        <v>3</v>
      </c>
      <c r="G30" s="4" t="s">
        <v>32</v>
      </c>
      <c r="H30" s="4" t="s">
        <v>33</v>
      </c>
    </row>
    <row r="31" spans="1:8">
      <c r="A31" s="4" t="s">
        <v>159</v>
      </c>
      <c r="B31" s="4" t="s">
        <v>160</v>
      </c>
      <c r="C31" s="5">
        <v>29438</v>
      </c>
      <c r="D31" s="4" t="s">
        <v>161</v>
      </c>
      <c r="E31" s="4" t="s">
        <v>75</v>
      </c>
      <c r="F31" s="4">
        <v>7</v>
      </c>
      <c r="G31" s="4" t="s">
        <v>32</v>
      </c>
      <c r="H31" s="4" t="s">
        <v>33</v>
      </c>
    </row>
    <row r="32" spans="1:8">
      <c r="A32" s="4" t="s">
        <v>162</v>
      </c>
      <c r="B32" s="4" t="s">
        <v>163</v>
      </c>
      <c r="C32" s="5">
        <v>34492</v>
      </c>
      <c r="D32" s="4" t="s">
        <v>164</v>
      </c>
      <c r="E32" s="4" t="s">
        <v>75</v>
      </c>
      <c r="F32" s="4">
        <v>6</v>
      </c>
      <c r="G32" s="4" t="s">
        <v>32</v>
      </c>
      <c r="H32" s="4" t="s">
        <v>33</v>
      </c>
    </row>
    <row r="33" spans="1:8">
      <c r="A33" s="4" t="s">
        <v>165</v>
      </c>
      <c r="B33" s="4" t="s">
        <v>166</v>
      </c>
      <c r="C33" s="5">
        <v>27335</v>
      </c>
      <c r="D33" s="4" t="s">
        <v>167</v>
      </c>
      <c r="E33" s="4" t="s">
        <v>88</v>
      </c>
      <c r="F33" s="4">
        <v>6</v>
      </c>
      <c r="G33" s="4" t="s">
        <v>32</v>
      </c>
      <c r="H33" s="4" t="s">
        <v>33</v>
      </c>
    </row>
    <row r="34" spans="1:8">
      <c r="A34" s="4" t="s">
        <v>168</v>
      </c>
      <c r="B34" s="4" t="s">
        <v>169</v>
      </c>
      <c r="C34" s="5">
        <v>31569</v>
      </c>
      <c r="D34" s="4" t="s">
        <v>170</v>
      </c>
      <c r="E34" s="4" t="s">
        <v>88</v>
      </c>
      <c r="F34" s="4">
        <v>4</v>
      </c>
      <c r="G34" s="4" t="s">
        <v>32</v>
      </c>
      <c r="H34" s="4" t="s">
        <v>33</v>
      </c>
    </row>
    <row r="35" spans="1:8">
      <c r="A35" s="4" t="s">
        <v>171</v>
      </c>
      <c r="B35" s="4" t="s">
        <v>172</v>
      </c>
      <c r="C35" s="5">
        <v>31101</v>
      </c>
      <c r="D35" s="4" t="s">
        <v>173</v>
      </c>
      <c r="E35" s="4" t="s">
        <v>88</v>
      </c>
      <c r="F35" s="4">
        <v>1</v>
      </c>
      <c r="G35" s="4" t="s">
        <v>32</v>
      </c>
      <c r="H35" s="4" t="s">
        <v>33</v>
      </c>
    </row>
    <row r="36" spans="1:8">
      <c r="A36" s="4" t="s">
        <v>174</v>
      </c>
      <c r="B36" s="4" t="s">
        <v>175</v>
      </c>
      <c r="C36" s="5">
        <v>35281</v>
      </c>
      <c r="D36" s="4" t="s">
        <v>176</v>
      </c>
      <c r="E36" s="4" t="s">
        <v>88</v>
      </c>
      <c r="F36" s="4">
        <v>4</v>
      </c>
      <c r="G36" s="4" t="s">
        <v>32</v>
      </c>
      <c r="H36" s="4" t="s">
        <v>33</v>
      </c>
    </row>
    <row r="37" spans="1:8">
      <c r="A37" s="4" t="s">
        <v>177</v>
      </c>
      <c r="B37" s="4" t="s">
        <v>178</v>
      </c>
      <c r="C37" s="5">
        <v>31956</v>
      </c>
      <c r="D37" s="4" t="s">
        <v>179</v>
      </c>
      <c r="E37" s="4" t="s">
        <v>88</v>
      </c>
      <c r="F37" s="4">
        <v>1</v>
      </c>
      <c r="G37" s="4" t="s">
        <v>32</v>
      </c>
      <c r="H37" s="4" t="s">
        <v>33</v>
      </c>
    </row>
    <row r="38" spans="1:8">
      <c r="A38" s="4" t="s">
        <v>180</v>
      </c>
      <c r="B38" s="4" t="s">
        <v>181</v>
      </c>
      <c r="C38" s="5">
        <v>36993</v>
      </c>
      <c r="D38" s="4" t="s">
        <v>182</v>
      </c>
      <c r="E38" s="4" t="s">
        <v>75</v>
      </c>
      <c r="F38" s="4">
        <v>1</v>
      </c>
      <c r="G38" s="4" t="s">
        <v>32</v>
      </c>
      <c r="H38" s="4" t="s">
        <v>33</v>
      </c>
    </row>
    <row r="39" spans="1:8">
      <c r="A39" s="4" t="s">
        <v>183</v>
      </c>
      <c r="B39" s="4" t="s">
        <v>184</v>
      </c>
      <c r="C39" s="5">
        <v>38465</v>
      </c>
      <c r="D39" s="4" t="s">
        <v>185</v>
      </c>
      <c r="E39" s="4" t="s">
        <v>88</v>
      </c>
      <c r="F39" s="4">
        <v>6</v>
      </c>
      <c r="G39" s="4" t="s">
        <v>32</v>
      </c>
      <c r="H39" s="4" t="s">
        <v>33</v>
      </c>
    </row>
    <row r="40" spans="1:8">
      <c r="A40" s="4" t="s">
        <v>186</v>
      </c>
      <c r="B40" s="4" t="s">
        <v>187</v>
      </c>
      <c r="C40" s="5">
        <v>37786</v>
      </c>
      <c r="D40" s="4" t="s">
        <v>188</v>
      </c>
      <c r="E40" s="4" t="s">
        <v>75</v>
      </c>
      <c r="F40" s="4">
        <v>6</v>
      </c>
      <c r="G40" s="4" t="s">
        <v>32</v>
      </c>
      <c r="H40" s="4" t="s">
        <v>33</v>
      </c>
    </row>
    <row r="41" spans="1:8">
      <c r="A41" s="4" t="s">
        <v>189</v>
      </c>
      <c r="B41" s="4" t="s">
        <v>190</v>
      </c>
      <c r="C41" s="5">
        <v>29683</v>
      </c>
      <c r="D41" s="4" t="s">
        <v>191</v>
      </c>
      <c r="E41" s="4" t="s">
        <v>88</v>
      </c>
      <c r="F41" s="4">
        <v>2</v>
      </c>
      <c r="G41" s="4" t="s">
        <v>32</v>
      </c>
      <c r="H41" s="4" t="s">
        <v>33</v>
      </c>
    </row>
    <row r="42" spans="1:8">
      <c r="A42" s="4" t="s">
        <v>192</v>
      </c>
      <c r="B42" s="4" t="s">
        <v>193</v>
      </c>
      <c r="C42" s="5">
        <v>38055</v>
      </c>
      <c r="D42" s="4" t="s">
        <v>194</v>
      </c>
      <c r="E42" s="4" t="s">
        <v>88</v>
      </c>
      <c r="F42" s="4">
        <v>4</v>
      </c>
      <c r="G42" s="4" t="s">
        <v>32</v>
      </c>
      <c r="H42" s="4" t="s">
        <v>33</v>
      </c>
    </row>
    <row r="43" spans="1:8">
      <c r="A43" s="4" t="s">
        <v>195</v>
      </c>
      <c r="B43" s="4" t="s">
        <v>181</v>
      </c>
      <c r="C43" s="5">
        <v>26812</v>
      </c>
      <c r="D43" s="4" t="s">
        <v>196</v>
      </c>
      <c r="E43" s="4" t="s">
        <v>75</v>
      </c>
      <c r="F43" s="4">
        <v>7</v>
      </c>
      <c r="G43" s="4" t="s">
        <v>32</v>
      </c>
      <c r="H43" s="4" t="s">
        <v>33</v>
      </c>
    </row>
    <row r="44" spans="1:8">
      <c r="A44" s="4" t="s">
        <v>197</v>
      </c>
      <c r="B44" s="4" t="s">
        <v>110</v>
      </c>
      <c r="C44" s="5">
        <v>31096</v>
      </c>
      <c r="D44" s="4" t="s">
        <v>198</v>
      </c>
      <c r="E44" s="4" t="s">
        <v>88</v>
      </c>
      <c r="F44" s="4">
        <v>3</v>
      </c>
      <c r="G44" s="4" t="s">
        <v>32</v>
      </c>
      <c r="H44" s="4" t="s">
        <v>33</v>
      </c>
    </row>
    <row r="45" spans="1:8">
      <c r="A45" s="4" t="s">
        <v>199</v>
      </c>
      <c r="B45" s="4" t="s">
        <v>200</v>
      </c>
      <c r="C45" s="5">
        <v>26961</v>
      </c>
      <c r="D45" s="4" t="s">
        <v>201</v>
      </c>
      <c r="E45" s="4" t="s">
        <v>75</v>
      </c>
      <c r="F45" s="4">
        <v>2</v>
      </c>
      <c r="G45" s="4" t="s">
        <v>32</v>
      </c>
      <c r="H45" s="4" t="s">
        <v>33</v>
      </c>
    </row>
    <row r="46" spans="1:8">
      <c r="A46" s="4" t="s">
        <v>202</v>
      </c>
      <c r="B46" s="4" t="s">
        <v>203</v>
      </c>
      <c r="C46" s="5">
        <v>36648</v>
      </c>
      <c r="D46" s="4" t="s">
        <v>204</v>
      </c>
      <c r="E46" s="4" t="s">
        <v>88</v>
      </c>
      <c r="F46" s="4">
        <v>1</v>
      </c>
      <c r="G46" s="4" t="s">
        <v>32</v>
      </c>
      <c r="H46" s="4" t="s">
        <v>33</v>
      </c>
    </row>
    <row r="47" spans="1:8">
      <c r="A47" s="4" t="s">
        <v>205</v>
      </c>
      <c r="B47" s="4" t="s">
        <v>61</v>
      </c>
      <c r="C47" s="5">
        <v>31839</v>
      </c>
      <c r="D47" s="4" t="s">
        <v>206</v>
      </c>
      <c r="E47" s="4" t="s">
        <v>88</v>
      </c>
      <c r="F47" s="4">
        <v>6</v>
      </c>
      <c r="G47" s="4" t="s">
        <v>32</v>
      </c>
      <c r="H47" s="4" t="s">
        <v>33</v>
      </c>
    </row>
    <row r="48" spans="1:8">
      <c r="A48" s="4" t="s">
        <v>207</v>
      </c>
      <c r="B48" s="4" t="s">
        <v>208</v>
      </c>
      <c r="C48" s="5">
        <v>38214</v>
      </c>
      <c r="D48" s="4" t="s">
        <v>209</v>
      </c>
      <c r="E48" s="4" t="s">
        <v>75</v>
      </c>
      <c r="F48" s="4">
        <v>6</v>
      </c>
      <c r="G48" s="4" t="s">
        <v>32</v>
      </c>
      <c r="H48" s="4" t="s">
        <v>33</v>
      </c>
    </row>
    <row r="49" spans="1:8">
      <c r="A49" s="4" t="s">
        <v>210</v>
      </c>
      <c r="B49" s="4" t="s">
        <v>86</v>
      </c>
      <c r="C49" s="5">
        <v>26264</v>
      </c>
      <c r="D49" s="4" t="s">
        <v>211</v>
      </c>
      <c r="E49" s="4" t="s">
        <v>88</v>
      </c>
      <c r="F49" s="4">
        <v>6</v>
      </c>
      <c r="G49" s="4" t="s">
        <v>32</v>
      </c>
      <c r="H49" s="4" t="s">
        <v>33</v>
      </c>
    </row>
    <row r="50" spans="1:8">
      <c r="A50" s="4" t="s">
        <v>212</v>
      </c>
      <c r="B50" s="4" t="s">
        <v>143</v>
      </c>
      <c r="C50" s="5">
        <v>33796</v>
      </c>
      <c r="D50" s="4" t="s">
        <v>213</v>
      </c>
      <c r="E50" s="4" t="s">
        <v>75</v>
      </c>
      <c r="F50" s="4">
        <v>4</v>
      </c>
      <c r="G50" s="4" t="s">
        <v>32</v>
      </c>
      <c r="H50" s="4" t="s">
        <v>33</v>
      </c>
    </row>
    <row r="51" spans="1:8">
      <c r="A51" s="4" t="s">
        <v>214</v>
      </c>
      <c r="B51" s="4" t="s">
        <v>215</v>
      </c>
      <c r="C51" s="5">
        <v>28334</v>
      </c>
      <c r="D51" s="4" t="s">
        <v>216</v>
      </c>
      <c r="E51" s="4" t="s">
        <v>88</v>
      </c>
      <c r="F51" s="4">
        <v>6</v>
      </c>
      <c r="G51" s="4" t="s">
        <v>32</v>
      </c>
      <c r="H51" s="4" t="s">
        <v>33</v>
      </c>
    </row>
    <row r="52" spans="1:8">
      <c r="A52" s="4" t="s">
        <v>217</v>
      </c>
      <c r="B52" s="4" t="s">
        <v>218</v>
      </c>
      <c r="C52" s="5">
        <v>32025</v>
      </c>
      <c r="D52" s="4" t="s">
        <v>219</v>
      </c>
      <c r="E52" s="4" t="s">
        <v>75</v>
      </c>
      <c r="F52" s="4">
        <v>5</v>
      </c>
      <c r="G52" s="4" t="s">
        <v>37</v>
      </c>
      <c r="H52" s="4" t="s">
        <v>38</v>
      </c>
    </row>
    <row r="53" spans="1:8">
      <c r="A53" s="4" t="s">
        <v>220</v>
      </c>
      <c r="B53" s="4" t="s">
        <v>119</v>
      </c>
      <c r="C53" s="5">
        <v>36212</v>
      </c>
      <c r="D53" s="4" t="s">
        <v>221</v>
      </c>
      <c r="E53" s="4" t="s">
        <v>75</v>
      </c>
      <c r="F53" s="4">
        <v>4</v>
      </c>
      <c r="G53" s="4" t="s">
        <v>37</v>
      </c>
      <c r="H53" s="4" t="s">
        <v>38</v>
      </c>
    </row>
    <row r="54" spans="1:8">
      <c r="A54" s="4" t="s">
        <v>222</v>
      </c>
      <c r="B54" s="4" t="s">
        <v>223</v>
      </c>
      <c r="C54" s="5">
        <v>37595</v>
      </c>
      <c r="D54" s="4" t="s">
        <v>224</v>
      </c>
      <c r="E54" s="4" t="s">
        <v>88</v>
      </c>
      <c r="F54" s="4">
        <v>7</v>
      </c>
      <c r="G54" s="4" t="s">
        <v>37</v>
      </c>
      <c r="H54" s="4" t="s">
        <v>38</v>
      </c>
    </row>
    <row r="55" spans="1:8">
      <c r="A55" s="4" t="s">
        <v>225</v>
      </c>
      <c r="B55" s="4" t="s">
        <v>226</v>
      </c>
      <c r="C55" s="5">
        <v>29085</v>
      </c>
      <c r="D55" s="4" t="s">
        <v>227</v>
      </c>
      <c r="E55" s="4" t="s">
        <v>75</v>
      </c>
      <c r="F55" s="4">
        <v>5</v>
      </c>
      <c r="G55" s="4" t="s">
        <v>37</v>
      </c>
      <c r="H55" s="4" t="s">
        <v>38</v>
      </c>
    </row>
    <row r="56" spans="1:8">
      <c r="A56" s="4" t="s">
        <v>228</v>
      </c>
      <c r="B56" s="4" t="s">
        <v>229</v>
      </c>
      <c r="C56" s="5">
        <v>26474</v>
      </c>
      <c r="D56" s="4" t="s">
        <v>230</v>
      </c>
      <c r="E56" s="4" t="s">
        <v>88</v>
      </c>
      <c r="F56" s="4">
        <v>7</v>
      </c>
      <c r="G56" s="4" t="s">
        <v>37</v>
      </c>
      <c r="H56" s="4" t="s">
        <v>38</v>
      </c>
    </row>
    <row r="57" spans="1:8">
      <c r="A57" s="4" t="s">
        <v>231</v>
      </c>
      <c r="B57" s="4" t="s">
        <v>232</v>
      </c>
      <c r="C57" s="5">
        <v>28018</v>
      </c>
      <c r="D57" s="4" t="s">
        <v>233</v>
      </c>
      <c r="E57" s="4" t="s">
        <v>88</v>
      </c>
      <c r="F57" s="4">
        <v>6</v>
      </c>
      <c r="G57" s="4" t="s">
        <v>37</v>
      </c>
      <c r="H57" s="4" t="s">
        <v>38</v>
      </c>
    </row>
    <row r="58" spans="1:8">
      <c r="A58" s="4" t="s">
        <v>234</v>
      </c>
      <c r="B58" s="4" t="s">
        <v>235</v>
      </c>
      <c r="C58" s="5">
        <v>34506</v>
      </c>
      <c r="D58" s="4" t="s">
        <v>236</v>
      </c>
      <c r="E58" s="4" t="s">
        <v>75</v>
      </c>
      <c r="F58" s="4">
        <v>4</v>
      </c>
      <c r="G58" s="4" t="s">
        <v>37</v>
      </c>
      <c r="H58" s="4" t="s">
        <v>38</v>
      </c>
    </row>
    <row r="59" spans="1:8">
      <c r="A59" s="4" t="s">
        <v>237</v>
      </c>
      <c r="B59" s="4" t="s">
        <v>238</v>
      </c>
      <c r="C59" s="5">
        <v>35877</v>
      </c>
      <c r="D59" s="4" t="s">
        <v>239</v>
      </c>
      <c r="E59" s="4" t="s">
        <v>75</v>
      </c>
      <c r="F59" s="4">
        <v>2</v>
      </c>
      <c r="G59" s="4" t="s">
        <v>37</v>
      </c>
      <c r="H59" s="4" t="s">
        <v>38</v>
      </c>
    </row>
    <row r="60" spans="1:8">
      <c r="A60" s="4" t="s">
        <v>240</v>
      </c>
      <c r="B60" s="4" t="s">
        <v>241</v>
      </c>
      <c r="C60" s="5">
        <v>29283</v>
      </c>
      <c r="D60" s="4" t="s">
        <v>242</v>
      </c>
      <c r="E60" s="4" t="s">
        <v>88</v>
      </c>
      <c r="F60" s="4">
        <v>4</v>
      </c>
      <c r="G60" s="4" t="s">
        <v>37</v>
      </c>
      <c r="H60" s="4" t="s">
        <v>38</v>
      </c>
    </row>
    <row r="61" spans="1:8">
      <c r="A61" s="4" t="s">
        <v>243</v>
      </c>
      <c r="B61" s="4" t="s">
        <v>244</v>
      </c>
      <c r="C61" s="5">
        <v>32465</v>
      </c>
      <c r="D61" s="4" t="s">
        <v>245</v>
      </c>
      <c r="E61" s="4" t="s">
        <v>88</v>
      </c>
      <c r="F61" s="4">
        <v>2</v>
      </c>
      <c r="G61" s="4" t="s">
        <v>37</v>
      </c>
      <c r="H61" s="4" t="s">
        <v>38</v>
      </c>
    </row>
    <row r="62" spans="1:8">
      <c r="A62" s="4" t="s">
        <v>246</v>
      </c>
      <c r="B62" s="4" t="s">
        <v>232</v>
      </c>
      <c r="C62" s="5">
        <v>27863</v>
      </c>
      <c r="D62" s="4" t="s">
        <v>247</v>
      </c>
      <c r="E62" s="4" t="s">
        <v>75</v>
      </c>
      <c r="F62" s="4">
        <v>5</v>
      </c>
      <c r="G62" s="4" t="s">
        <v>37</v>
      </c>
      <c r="H62" s="4" t="s">
        <v>38</v>
      </c>
    </row>
    <row r="63" spans="1:8">
      <c r="A63" s="4" t="s">
        <v>248</v>
      </c>
      <c r="B63" s="4" t="s">
        <v>249</v>
      </c>
      <c r="C63" s="5">
        <v>30981</v>
      </c>
      <c r="D63" s="4" t="s">
        <v>250</v>
      </c>
      <c r="E63" s="4" t="s">
        <v>88</v>
      </c>
      <c r="F63" s="4">
        <v>1</v>
      </c>
      <c r="G63" s="4" t="s">
        <v>37</v>
      </c>
      <c r="H63" s="4" t="s">
        <v>38</v>
      </c>
    </row>
    <row r="64" spans="1:8">
      <c r="A64" s="4" t="s">
        <v>251</v>
      </c>
      <c r="B64" s="4" t="s">
        <v>252</v>
      </c>
      <c r="C64" s="5">
        <v>27525</v>
      </c>
      <c r="D64" s="4" t="s">
        <v>253</v>
      </c>
      <c r="E64" s="4" t="s">
        <v>88</v>
      </c>
      <c r="F64" s="4">
        <v>7</v>
      </c>
      <c r="G64" s="4" t="s">
        <v>37</v>
      </c>
      <c r="H64" s="4" t="s">
        <v>38</v>
      </c>
    </row>
    <row r="65" spans="1:8">
      <c r="A65" s="4" t="s">
        <v>254</v>
      </c>
      <c r="B65" s="4" t="s">
        <v>255</v>
      </c>
      <c r="C65" s="5">
        <v>32505</v>
      </c>
      <c r="D65" s="4" t="s">
        <v>256</v>
      </c>
      <c r="E65" s="4" t="s">
        <v>75</v>
      </c>
      <c r="F65" s="4">
        <v>7</v>
      </c>
      <c r="G65" s="4" t="s">
        <v>37</v>
      </c>
      <c r="H65" s="4" t="s">
        <v>38</v>
      </c>
    </row>
    <row r="66" spans="1:8">
      <c r="A66" s="4" t="s">
        <v>257</v>
      </c>
      <c r="B66" s="4" t="s">
        <v>208</v>
      </c>
      <c r="C66" s="5">
        <v>28349</v>
      </c>
      <c r="D66" s="4" t="s">
        <v>258</v>
      </c>
      <c r="E66" s="4" t="s">
        <v>88</v>
      </c>
      <c r="F66" s="4">
        <v>5</v>
      </c>
      <c r="G66" s="4" t="s">
        <v>37</v>
      </c>
      <c r="H66" s="4" t="s">
        <v>38</v>
      </c>
    </row>
    <row r="67" spans="1:8">
      <c r="A67" s="4" t="s">
        <v>259</v>
      </c>
      <c r="B67" s="4" t="s">
        <v>143</v>
      </c>
      <c r="C67" s="5">
        <v>32826</v>
      </c>
      <c r="D67" s="4" t="s">
        <v>260</v>
      </c>
      <c r="E67" s="4" t="s">
        <v>75</v>
      </c>
      <c r="F67" s="4">
        <v>4</v>
      </c>
      <c r="G67" s="4" t="s">
        <v>37</v>
      </c>
      <c r="H67" s="4" t="s">
        <v>38</v>
      </c>
    </row>
    <row r="68" spans="1:8">
      <c r="A68" s="4" t="s">
        <v>261</v>
      </c>
      <c r="B68" s="4" t="s">
        <v>262</v>
      </c>
      <c r="C68" s="5">
        <v>35362</v>
      </c>
      <c r="D68" s="4" t="s">
        <v>263</v>
      </c>
      <c r="E68" s="4" t="s">
        <v>88</v>
      </c>
      <c r="F68" s="4">
        <v>2</v>
      </c>
      <c r="G68" s="4" t="s">
        <v>37</v>
      </c>
      <c r="H68" s="4" t="s">
        <v>38</v>
      </c>
    </row>
    <row r="69" spans="1:8">
      <c r="A69" s="4" t="s">
        <v>264</v>
      </c>
      <c r="B69" s="4" t="s">
        <v>265</v>
      </c>
      <c r="C69" s="5">
        <v>28076</v>
      </c>
      <c r="D69" s="4" t="s">
        <v>266</v>
      </c>
      <c r="E69" s="4" t="s">
        <v>75</v>
      </c>
      <c r="F69" s="4">
        <v>6</v>
      </c>
      <c r="G69" s="4" t="s">
        <v>37</v>
      </c>
      <c r="H69" s="4" t="s">
        <v>38</v>
      </c>
    </row>
    <row r="70" spans="1:8">
      <c r="A70" s="4" t="s">
        <v>267</v>
      </c>
      <c r="B70" s="4" t="s">
        <v>268</v>
      </c>
      <c r="C70" s="5">
        <v>33333</v>
      </c>
      <c r="D70" s="4" t="s">
        <v>269</v>
      </c>
      <c r="E70" s="4" t="s">
        <v>88</v>
      </c>
      <c r="F70" s="4">
        <v>7</v>
      </c>
      <c r="G70" s="4" t="s">
        <v>37</v>
      </c>
      <c r="H70" s="4" t="s">
        <v>38</v>
      </c>
    </row>
    <row r="71" spans="1:8">
      <c r="A71" s="4" t="s">
        <v>270</v>
      </c>
      <c r="B71" s="4" t="s">
        <v>271</v>
      </c>
      <c r="C71" s="5">
        <v>25716</v>
      </c>
      <c r="D71" s="4" t="s">
        <v>272</v>
      </c>
      <c r="E71" s="4" t="s">
        <v>88</v>
      </c>
      <c r="F71" s="4">
        <v>7</v>
      </c>
      <c r="G71" s="4" t="s">
        <v>37</v>
      </c>
      <c r="H71" s="4" t="s">
        <v>38</v>
      </c>
    </row>
    <row r="72" spans="1:8">
      <c r="A72" s="4" t="s">
        <v>273</v>
      </c>
      <c r="B72" s="4" t="s">
        <v>274</v>
      </c>
      <c r="C72" s="5">
        <v>26001</v>
      </c>
      <c r="D72" s="4" t="s">
        <v>275</v>
      </c>
      <c r="E72" s="4" t="s">
        <v>75</v>
      </c>
      <c r="F72" s="4">
        <v>4</v>
      </c>
      <c r="G72" s="4" t="s">
        <v>37</v>
      </c>
      <c r="H72" s="4" t="s">
        <v>38</v>
      </c>
    </row>
    <row r="73" spans="1:8">
      <c r="A73" s="4" t="s">
        <v>276</v>
      </c>
      <c r="B73" s="4" t="s">
        <v>277</v>
      </c>
      <c r="C73" s="5">
        <v>37756</v>
      </c>
      <c r="D73" s="4" t="s">
        <v>278</v>
      </c>
      <c r="E73" s="4" t="s">
        <v>75</v>
      </c>
      <c r="F73" s="4">
        <v>1</v>
      </c>
      <c r="G73" s="4" t="s">
        <v>37</v>
      </c>
      <c r="H73" s="4" t="s">
        <v>38</v>
      </c>
    </row>
    <row r="74" spans="1:8">
      <c r="A74" s="4" t="s">
        <v>279</v>
      </c>
      <c r="B74" s="4" t="s">
        <v>46</v>
      </c>
      <c r="C74" s="5">
        <v>28630</v>
      </c>
      <c r="D74" s="4" t="s">
        <v>280</v>
      </c>
      <c r="E74" s="4" t="s">
        <v>88</v>
      </c>
      <c r="F74" s="4">
        <v>1</v>
      </c>
      <c r="G74" s="4" t="s">
        <v>37</v>
      </c>
      <c r="H74" s="4" t="s">
        <v>38</v>
      </c>
    </row>
    <row r="75" spans="1:8">
      <c r="A75" s="4" t="s">
        <v>281</v>
      </c>
      <c r="B75" s="4" t="s">
        <v>190</v>
      </c>
      <c r="C75" s="5">
        <v>30512</v>
      </c>
      <c r="D75" s="4" t="s">
        <v>282</v>
      </c>
      <c r="E75" s="4" t="s">
        <v>88</v>
      </c>
      <c r="F75" s="4">
        <v>6</v>
      </c>
      <c r="G75" s="4" t="s">
        <v>37</v>
      </c>
      <c r="H75" s="4" t="s">
        <v>38</v>
      </c>
    </row>
    <row r="76" spans="1:8">
      <c r="A76" s="4" t="s">
        <v>283</v>
      </c>
      <c r="B76" s="4" t="s">
        <v>284</v>
      </c>
      <c r="C76" s="5">
        <v>27087</v>
      </c>
      <c r="D76" s="4" t="s">
        <v>285</v>
      </c>
      <c r="E76" s="4" t="s">
        <v>88</v>
      </c>
      <c r="F76" s="4">
        <v>6</v>
      </c>
      <c r="G76" s="4" t="s">
        <v>37</v>
      </c>
      <c r="H76" s="4" t="s">
        <v>38</v>
      </c>
    </row>
    <row r="77" spans="1:8">
      <c r="A77" s="4" t="s">
        <v>286</v>
      </c>
      <c r="B77" s="4" t="s">
        <v>287</v>
      </c>
      <c r="C77" s="5">
        <v>26804</v>
      </c>
      <c r="D77" s="4" t="s">
        <v>288</v>
      </c>
      <c r="E77" s="4" t="s">
        <v>75</v>
      </c>
      <c r="F77" s="4">
        <v>3</v>
      </c>
      <c r="G77" s="4" t="s">
        <v>42</v>
      </c>
      <c r="H77" s="4" t="s">
        <v>43</v>
      </c>
    </row>
    <row r="78" spans="1:8">
      <c r="A78" s="4" t="s">
        <v>289</v>
      </c>
      <c r="B78" s="4" t="s">
        <v>290</v>
      </c>
      <c r="C78" s="5">
        <v>32058</v>
      </c>
      <c r="D78" s="4" t="s">
        <v>291</v>
      </c>
      <c r="E78" s="4" t="s">
        <v>75</v>
      </c>
      <c r="F78" s="4">
        <v>2</v>
      </c>
      <c r="G78" s="4" t="s">
        <v>42</v>
      </c>
      <c r="H78" s="4" t="s">
        <v>43</v>
      </c>
    </row>
    <row r="79" spans="1:8">
      <c r="A79" s="4" t="s">
        <v>292</v>
      </c>
      <c r="B79" s="4" t="s">
        <v>293</v>
      </c>
      <c r="C79" s="5">
        <v>33390</v>
      </c>
      <c r="D79" s="4" t="s">
        <v>294</v>
      </c>
      <c r="E79" s="4" t="s">
        <v>75</v>
      </c>
      <c r="F79" s="4">
        <v>4</v>
      </c>
      <c r="G79" s="4" t="s">
        <v>42</v>
      </c>
      <c r="H79" s="4" t="s">
        <v>43</v>
      </c>
    </row>
    <row r="80" spans="1:8">
      <c r="A80" s="4" t="s">
        <v>295</v>
      </c>
      <c r="B80" s="4" t="s">
        <v>181</v>
      </c>
      <c r="C80" s="5">
        <v>34113</v>
      </c>
      <c r="D80" s="4" t="s">
        <v>296</v>
      </c>
      <c r="E80" s="4" t="s">
        <v>75</v>
      </c>
      <c r="F80" s="4">
        <v>3</v>
      </c>
      <c r="G80" s="4" t="s">
        <v>42</v>
      </c>
      <c r="H80" s="4" t="s">
        <v>43</v>
      </c>
    </row>
    <row r="81" spans="1:8">
      <c r="A81" s="4" t="s">
        <v>297</v>
      </c>
      <c r="B81" s="4" t="s">
        <v>184</v>
      </c>
      <c r="C81" s="5">
        <v>35985</v>
      </c>
      <c r="D81" s="4" t="s">
        <v>298</v>
      </c>
      <c r="E81" s="4" t="s">
        <v>88</v>
      </c>
      <c r="F81" s="4">
        <v>1</v>
      </c>
      <c r="G81" s="4" t="s">
        <v>42</v>
      </c>
      <c r="H81" s="4" t="s">
        <v>43</v>
      </c>
    </row>
    <row r="82" spans="1:8">
      <c r="A82" s="4" t="s">
        <v>299</v>
      </c>
      <c r="B82" s="4" t="s">
        <v>277</v>
      </c>
      <c r="C82" s="5">
        <v>25668</v>
      </c>
      <c r="D82" s="4" t="s">
        <v>300</v>
      </c>
      <c r="E82" s="4" t="s">
        <v>75</v>
      </c>
      <c r="F82" s="4">
        <v>2</v>
      </c>
      <c r="G82" s="4" t="s">
        <v>42</v>
      </c>
      <c r="H82" s="4" t="s">
        <v>43</v>
      </c>
    </row>
    <row r="83" spans="1:8">
      <c r="A83" s="4" t="s">
        <v>301</v>
      </c>
      <c r="B83" s="4" t="s">
        <v>302</v>
      </c>
      <c r="C83" s="5">
        <v>37526</v>
      </c>
      <c r="D83" s="4" t="s">
        <v>303</v>
      </c>
      <c r="E83" s="4" t="s">
        <v>88</v>
      </c>
      <c r="F83" s="4">
        <v>5</v>
      </c>
      <c r="G83" s="4" t="s">
        <v>42</v>
      </c>
      <c r="H83" s="4" t="s">
        <v>43</v>
      </c>
    </row>
    <row r="84" spans="1:8">
      <c r="A84" s="4" t="s">
        <v>304</v>
      </c>
      <c r="B84" s="4" t="s">
        <v>305</v>
      </c>
      <c r="C84" s="5">
        <v>32186</v>
      </c>
      <c r="D84" s="4" t="s">
        <v>306</v>
      </c>
      <c r="E84" s="4" t="s">
        <v>75</v>
      </c>
      <c r="F84" s="4">
        <v>4</v>
      </c>
      <c r="G84" s="4" t="s">
        <v>42</v>
      </c>
      <c r="H84" s="4" t="s">
        <v>43</v>
      </c>
    </row>
    <row r="85" spans="1:8">
      <c r="A85" s="4" t="s">
        <v>307</v>
      </c>
      <c r="B85" s="4" t="s">
        <v>308</v>
      </c>
      <c r="C85" s="5">
        <v>34843</v>
      </c>
      <c r="D85" s="4" t="s">
        <v>309</v>
      </c>
      <c r="E85" s="4" t="s">
        <v>75</v>
      </c>
      <c r="F85" s="4">
        <v>7</v>
      </c>
      <c r="G85" s="4" t="s">
        <v>42</v>
      </c>
      <c r="H85" s="4" t="s">
        <v>43</v>
      </c>
    </row>
    <row r="86" spans="1:8">
      <c r="A86" s="4" t="s">
        <v>310</v>
      </c>
      <c r="B86" s="4" t="s">
        <v>252</v>
      </c>
      <c r="C86" s="5">
        <v>31083</v>
      </c>
      <c r="D86" s="4" t="s">
        <v>311</v>
      </c>
      <c r="E86" s="4" t="s">
        <v>88</v>
      </c>
      <c r="F86" s="4">
        <v>6</v>
      </c>
      <c r="G86" s="4" t="s">
        <v>42</v>
      </c>
      <c r="H86" s="4" t="s">
        <v>43</v>
      </c>
    </row>
    <row r="87" spans="1:8">
      <c r="A87" s="4" t="s">
        <v>312</v>
      </c>
      <c r="B87" s="4" t="s">
        <v>86</v>
      </c>
      <c r="C87" s="5">
        <v>33188</v>
      </c>
      <c r="D87" s="4" t="s">
        <v>313</v>
      </c>
      <c r="E87" s="4" t="s">
        <v>88</v>
      </c>
      <c r="F87" s="4">
        <v>5</v>
      </c>
      <c r="G87" s="4" t="s">
        <v>42</v>
      </c>
      <c r="H87" s="4" t="s">
        <v>43</v>
      </c>
    </row>
    <row r="88" spans="1:8">
      <c r="A88" s="4" t="s">
        <v>314</v>
      </c>
      <c r="B88" s="4" t="s">
        <v>315</v>
      </c>
      <c r="C88" s="5">
        <v>26310</v>
      </c>
      <c r="D88" s="4" t="s">
        <v>316</v>
      </c>
      <c r="E88" s="4" t="s">
        <v>75</v>
      </c>
      <c r="F88" s="4">
        <v>4</v>
      </c>
      <c r="G88" s="4" t="s">
        <v>42</v>
      </c>
      <c r="H88" s="4" t="s">
        <v>43</v>
      </c>
    </row>
    <row r="89" spans="1:8">
      <c r="A89" s="4" t="s">
        <v>317</v>
      </c>
      <c r="B89" s="4" t="s">
        <v>318</v>
      </c>
      <c r="C89" s="5">
        <v>33162</v>
      </c>
      <c r="D89" s="4" t="s">
        <v>319</v>
      </c>
      <c r="E89" s="4" t="s">
        <v>75</v>
      </c>
      <c r="F89" s="4">
        <v>2</v>
      </c>
      <c r="G89" s="4" t="s">
        <v>42</v>
      </c>
      <c r="H89" s="4" t="s">
        <v>43</v>
      </c>
    </row>
    <row r="90" spans="1:8">
      <c r="A90" s="4" t="s">
        <v>320</v>
      </c>
      <c r="B90" s="4" t="s">
        <v>321</v>
      </c>
      <c r="C90" s="5">
        <v>37900</v>
      </c>
      <c r="D90" s="4" t="s">
        <v>322</v>
      </c>
      <c r="E90" s="4" t="s">
        <v>75</v>
      </c>
      <c r="F90" s="4">
        <v>3</v>
      </c>
      <c r="G90" s="4" t="s">
        <v>42</v>
      </c>
      <c r="H90" s="4" t="s">
        <v>43</v>
      </c>
    </row>
    <row r="91" spans="1:8">
      <c r="A91" s="4" t="s">
        <v>323</v>
      </c>
      <c r="B91" s="4" t="s">
        <v>324</v>
      </c>
      <c r="C91" s="5">
        <v>32287</v>
      </c>
      <c r="D91" s="4" t="s">
        <v>325</v>
      </c>
      <c r="E91" s="4" t="s">
        <v>88</v>
      </c>
      <c r="F91" s="4">
        <v>2</v>
      </c>
      <c r="G91" s="4" t="s">
        <v>42</v>
      </c>
      <c r="H91" s="4" t="s">
        <v>43</v>
      </c>
    </row>
    <row r="92" spans="1:8">
      <c r="A92" s="4" t="s">
        <v>326</v>
      </c>
      <c r="B92" s="4" t="s">
        <v>327</v>
      </c>
      <c r="C92" s="5">
        <v>38554</v>
      </c>
      <c r="D92" s="4" t="s">
        <v>328</v>
      </c>
      <c r="E92" s="4" t="s">
        <v>88</v>
      </c>
      <c r="F92" s="4">
        <v>3</v>
      </c>
      <c r="G92" s="4" t="s">
        <v>42</v>
      </c>
      <c r="H92" s="4" t="s">
        <v>43</v>
      </c>
    </row>
    <row r="93" spans="1:8">
      <c r="A93" s="4" t="s">
        <v>329</v>
      </c>
      <c r="B93" s="4" t="s">
        <v>330</v>
      </c>
      <c r="C93" s="5">
        <v>36989</v>
      </c>
      <c r="D93" s="4" t="s">
        <v>331</v>
      </c>
      <c r="E93" s="4" t="s">
        <v>88</v>
      </c>
      <c r="F93" s="4">
        <v>7</v>
      </c>
      <c r="G93" s="4" t="s">
        <v>42</v>
      </c>
      <c r="H93" s="4" t="s">
        <v>43</v>
      </c>
    </row>
    <row r="94" spans="1:8">
      <c r="A94" s="4" t="s">
        <v>332</v>
      </c>
      <c r="B94" s="4" t="s">
        <v>333</v>
      </c>
      <c r="C94" s="5">
        <v>28920</v>
      </c>
      <c r="D94" s="4" t="s">
        <v>334</v>
      </c>
      <c r="E94" s="4" t="s">
        <v>88</v>
      </c>
      <c r="F94" s="4">
        <v>7</v>
      </c>
      <c r="G94" s="4" t="s">
        <v>42</v>
      </c>
      <c r="H94" s="4" t="s">
        <v>43</v>
      </c>
    </row>
    <row r="95" spans="1:8">
      <c r="A95" s="4" t="s">
        <v>335</v>
      </c>
      <c r="B95" s="4" t="s">
        <v>336</v>
      </c>
      <c r="C95" s="5">
        <v>38087</v>
      </c>
      <c r="D95" s="4" t="s">
        <v>337</v>
      </c>
      <c r="E95" s="4" t="s">
        <v>88</v>
      </c>
      <c r="F95" s="4">
        <v>2</v>
      </c>
      <c r="G95" s="4" t="s">
        <v>42</v>
      </c>
      <c r="H95" s="4" t="s">
        <v>43</v>
      </c>
    </row>
    <row r="96" spans="1:8">
      <c r="A96" s="4" t="s">
        <v>338</v>
      </c>
      <c r="B96" s="4" t="s">
        <v>339</v>
      </c>
      <c r="C96" s="5">
        <v>28612</v>
      </c>
      <c r="D96" s="4" t="s">
        <v>340</v>
      </c>
      <c r="E96" s="4" t="s">
        <v>75</v>
      </c>
      <c r="F96" s="4">
        <v>3</v>
      </c>
      <c r="G96" s="4" t="s">
        <v>42</v>
      </c>
      <c r="H96" s="4" t="s">
        <v>43</v>
      </c>
    </row>
    <row r="97" spans="1:8">
      <c r="A97" s="4" t="s">
        <v>341</v>
      </c>
      <c r="B97" s="4" t="s">
        <v>342</v>
      </c>
      <c r="C97" s="5">
        <v>35469</v>
      </c>
      <c r="D97" s="4" t="s">
        <v>343</v>
      </c>
      <c r="E97" s="4" t="s">
        <v>75</v>
      </c>
      <c r="F97" s="4">
        <v>4</v>
      </c>
      <c r="G97" s="4" t="s">
        <v>42</v>
      </c>
      <c r="H97" s="4" t="s">
        <v>43</v>
      </c>
    </row>
    <row r="98" spans="1:8">
      <c r="A98" s="4" t="s">
        <v>344</v>
      </c>
      <c r="B98" s="4" t="s">
        <v>166</v>
      </c>
      <c r="C98" s="5">
        <v>26088</v>
      </c>
      <c r="D98" s="4" t="s">
        <v>345</v>
      </c>
      <c r="E98" s="4" t="s">
        <v>88</v>
      </c>
      <c r="F98" s="4">
        <v>5</v>
      </c>
      <c r="G98" s="4" t="s">
        <v>42</v>
      </c>
      <c r="H98" s="4" t="s">
        <v>43</v>
      </c>
    </row>
    <row r="99" spans="1:8">
      <c r="A99" s="4" t="s">
        <v>346</v>
      </c>
      <c r="B99" s="4" t="s">
        <v>347</v>
      </c>
      <c r="C99" s="5">
        <v>31529</v>
      </c>
      <c r="D99" s="4" t="s">
        <v>348</v>
      </c>
      <c r="E99" s="4" t="s">
        <v>75</v>
      </c>
      <c r="F99" s="4">
        <v>1</v>
      </c>
      <c r="G99" s="4" t="s">
        <v>42</v>
      </c>
      <c r="H99" s="4" t="s">
        <v>43</v>
      </c>
    </row>
    <row r="100" spans="1:8">
      <c r="A100" s="4" t="s">
        <v>349</v>
      </c>
      <c r="B100" s="4" t="s">
        <v>350</v>
      </c>
      <c r="C100" s="5">
        <v>36195</v>
      </c>
      <c r="D100" s="4" t="s">
        <v>351</v>
      </c>
      <c r="E100" s="4" t="s">
        <v>88</v>
      </c>
      <c r="F100" s="4">
        <v>4</v>
      </c>
      <c r="G100" s="4" t="s">
        <v>42</v>
      </c>
      <c r="H100" s="4" t="s">
        <v>43</v>
      </c>
    </row>
    <row r="101" spans="1:8">
      <c r="A101" s="4" t="s">
        <v>352</v>
      </c>
      <c r="B101" s="4" t="s">
        <v>166</v>
      </c>
      <c r="C101" s="5">
        <v>35146</v>
      </c>
      <c r="D101" s="4" t="s">
        <v>353</v>
      </c>
      <c r="E101" s="4" t="s">
        <v>75</v>
      </c>
      <c r="F101" s="4">
        <v>4</v>
      </c>
      <c r="G101" s="4" t="s">
        <v>42</v>
      </c>
      <c r="H101" s="4" t="s">
        <v>43</v>
      </c>
    </row>
    <row r="102" spans="1:8">
      <c r="A102" s="4" t="s">
        <v>354</v>
      </c>
      <c r="B102" s="4" t="s">
        <v>355</v>
      </c>
      <c r="C102" s="5">
        <v>34113</v>
      </c>
      <c r="D102" s="4" t="s">
        <v>356</v>
      </c>
      <c r="E102" s="4" t="s">
        <v>75</v>
      </c>
      <c r="F102" s="4">
        <v>3</v>
      </c>
      <c r="G102" s="4" t="s">
        <v>47</v>
      </c>
      <c r="H102" s="4" t="s">
        <v>48</v>
      </c>
    </row>
    <row r="103" spans="1:8">
      <c r="A103" s="4" t="s">
        <v>357</v>
      </c>
      <c r="B103" s="4" t="s">
        <v>358</v>
      </c>
      <c r="C103" s="5">
        <v>36510</v>
      </c>
      <c r="D103" s="4" t="s">
        <v>359</v>
      </c>
      <c r="E103" s="4" t="s">
        <v>75</v>
      </c>
      <c r="F103" s="4">
        <v>1</v>
      </c>
      <c r="G103" s="4" t="s">
        <v>47</v>
      </c>
      <c r="H103" s="4" t="s">
        <v>48</v>
      </c>
    </row>
    <row r="104" spans="1:8">
      <c r="A104" s="4" t="s">
        <v>360</v>
      </c>
      <c r="B104" s="4" t="s">
        <v>361</v>
      </c>
      <c r="C104" s="5">
        <v>34958</v>
      </c>
      <c r="D104" s="4" t="s">
        <v>362</v>
      </c>
      <c r="E104" s="4" t="s">
        <v>88</v>
      </c>
      <c r="F104" s="4">
        <v>4</v>
      </c>
      <c r="G104" s="4" t="s">
        <v>47</v>
      </c>
      <c r="H104" s="4" t="s">
        <v>48</v>
      </c>
    </row>
    <row r="105" spans="1:8">
      <c r="A105" s="4" t="s">
        <v>363</v>
      </c>
      <c r="B105" s="4" t="s">
        <v>364</v>
      </c>
      <c r="C105" s="5">
        <v>34491</v>
      </c>
      <c r="D105" s="4" t="s">
        <v>365</v>
      </c>
      <c r="E105" s="4" t="s">
        <v>75</v>
      </c>
      <c r="F105" s="4">
        <v>5</v>
      </c>
      <c r="G105" s="4" t="s">
        <v>47</v>
      </c>
      <c r="H105" s="4" t="s">
        <v>48</v>
      </c>
    </row>
    <row r="106" spans="1:8">
      <c r="A106" s="4" t="s">
        <v>366</v>
      </c>
      <c r="B106" s="4" t="s">
        <v>367</v>
      </c>
      <c r="C106" s="5">
        <v>33187</v>
      </c>
      <c r="D106" s="4" t="s">
        <v>368</v>
      </c>
      <c r="E106" s="4" t="s">
        <v>88</v>
      </c>
      <c r="F106" s="4">
        <v>5</v>
      </c>
      <c r="G106" s="4" t="s">
        <v>47</v>
      </c>
      <c r="H106" s="4" t="s">
        <v>48</v>
      </c>
    </row>
    <row r="107" spans="1:8">
      <c r="A107" s="4" t="s">
        <v>369</v>
      </c>
      <c r="B107" s="4" t="s">
        <v>370</v>
      </c>
      <c r="C107" s="5">
        <v>27354</v>
      </c>
      <c r="D107" s="4" t="s">
        <v>371</v>
      </c>
      <c r="E107" s="4" t="s">
        <v>75</v>
      </c>
      <c r="F107" s="4">
        <v>1</v>
      </c>
      <c r="G107" s="4" t="s">
        <v>47</v>
      </c>
      <c r="H107" s="4" t="s">
        <v>48</v>
      </c>
    </row>
    <row r="108" spans="1:8">
      <c r="A108" s="4" t="s">
        <v>372</v>
      </c>
      <c r="B108" s="4" t="s">
        <v>373</v>
      </c>
      <c r="C108" s="5">
        <v>34169</v>
      </c>
      <c r="D108" s="4" t="s">
        <v>374</v>
      </c>
      <c r="E108" s="4" t="s">
        <v>75</v>
      </c>
      <c r="F108" s="4">
        <v>5</v>
      </c>
      <c r="G108" s="4" t="s">
        <v>47</v>
      </c>
      <c r="H108" s="4" t="s">
        <v>48</v>
      </c>
    </row>
    <row r="109" spans="1:8">
      <c r="A109" s="4" t="s">
        <v>375</v>
      </c>
      <c r="B109" s="4" t="s">
        <v>376</v>
      </c>
      <c r="C109" s="5">
        <v>31079</v>
      </c>
      <c r="D109" s="4" t="s">
        <v>377</v>
      </c>
      <c r="E109" s="4" t="s">
        <v>88</v>
      </c>
      <c r="F109" s="4">
        <v>2</v>
      </c>
      <c r="G109" s="4" t="s">
        <v>47</v>
      </c>
      <c r="H109" s="4" t="s">
        <v>48</v>
      </c>
    </row>
    <row r="110" spans="1:8">
      <c r="A110" s="4" t="s">
        <v>378</v>
      </c>
      <c r="B110" s="4" t="s">
        <v>379</v>
      </c>
      <c r="C110" s="5">
        <v>29987</v>
      </c>
      <c r="D110" s="4" t="s">
        <v>380</v>
      </c>
      <c r="E110" s="4" t="s">
        <v>88</v>
      </c>
      <c r="F110" s="4">
        <v>3</v>
      </c>
      <c r="G110" s="4" t="s">
        <v>47</v>
      </c>
      <c r="H110" s="4" t="s">
        <v>48</v>
      </c>
    </row>
    <row r="111" spans="1:8">
      <c r="A111" s="4" t="s">
        <v>381</v>
      </c>
      <c r="B111" s="4" t="s">
        <v>382</v>
      </c>
      <c r="C111" s="5">
        <v>34220</v>
      </c>
      <c r="D111" s="4" t="s">
        <v>383</v>
      </c>
      <c r="E111" s="4" t="s">
        <v>88</v>
      </c>
      <c r="F111" s="4">
        <v>4</v>
      </c>
      <c r="G111" s="4" t="s">
        <v>47</v>
      </c>
      <c r="H111" s="4" t="s">
        <v>48</v>
      </c>
    </row>
    <row r="112" spans="1:8">
      <c r="A112" s="4" t="s">
        <v>384</v>
      </c>
      <c r="B112" s="4" t="s">
        <v>385</v>
      </c>
      <c r="C112" s="5">
        <v>27435</v>
      </c>
      <c r="D112" s="4" t="s">
        <v>386</v>
      </c>
      <c r="E112" s="4" t="s">
        <v>75</v>
      </c>
      <c r="F112" s="4">
        <v>4</v>
      </c>
      <c r="G112" s="4" t="s">
        <v>47</v>
      </c>
      <c r="H112" s="4" t="s">
        <v>48</v>
      </c>
    </row>
    <row r="113" spans="1:8">
      <c r="A113" s="4" t="s">
        <v>387</v>
      </c>
      <c r="B113" s="4" t="s">
        <v>388</v>
      </c>
      <c r="C113" s="5">
        <v>28754</v>
      </c>
      <c r="D113" s="4" t="s">
        <v>389</v>
      </c>
      <c r="E113" s="4" t="s">
        <v>88</v>
      </c>
      <c r="F113" s="4">
        <v>2</v>
      </c>
      <c r="G113" s="4" t="s">
        <v>47</v>
      </c>
      <c r="H113" s="4" t="s">
        <v>48</v>
      </c>
    </row>
    <row r="114" spans="1:8">
      <c r="A114" s="4" t="s">
        <v>390</v>
      </c>
      <c r="B114" s="4" t="s">
        <v>391</v>
      </c>
      <c r="C114" s="5">
        <v>33857</v>
      </c>
      <c r="D114" s="4" t="s">
        <v>392</v>
      </c>
      <c r="E114" s="4" t="s">
        <v>75</v>
      </c>
      <c r="F114" s="4">
        <v>5</v>
      </c>
      <c r="G114" s="4" t="s">
        <v>47</v>
      </c>
      <c r="H114" s="4" t="s">
        <v>48</v>
      </c>
    </row>
    <row r="115" spans="1:8">
      <c r="A115" s="4" t="s">
        <v>393</v>
      </c>
      <c r="B115" s="4" t="s">
        <v>86</v>
      </c>
      <c r="C115" s="5">
        <v>28936</v>
      </c>
      <c r="D115" s="4" t="s">
        <v>394</v>
      </c>
      <c r="E115" s="4" t="s">
        <v>88</v>
      </c>
      <c r="F115" s="4">
        <v>6</v>
      </c>
      <c r="G115" s="4" t="s">
        <v>47</v>
      </c>
      <c r="H115" s="4" t="s">
        <v>48</v>
      </c>
    </row>
    <row r="116" spans="1:8">
      <c r="A116" s="4" t="s">
        <v>395</v>
      </c>
      <c r="B116" s="4" t="s">
        <v>396</v>
      </c>
      <c r="C116" s="5">
        <v>26166</v>
      </c>
      <c r="D116" s="4" t="s">
        <v>397</v>
      </c>
      <c r="E116" s="4" t="s">
        <v>75</v>
      </c>
      <c r="F116" s="4">
        <v>2</v>
      </c>
      <c r="G116" s="4" t="s">
        <v>47</v>
      </c>
      <c r="H116" s="4" t="s">
        <v>48</v>
      </c>
    </row>
    <row r="117" spans="1:8">
      <c r="A117" s="4" t="s">
        <v>398</v>
      </c>
      <c r="B117" s="4" t="s">
        <v>399</v>
      </c>
      <c r="C117" s="5">
        <v>30487</v>
      </c>
      <c r="D117" s="4" t="s">
        <v>400</v>
      </c>
      <c r="E117" s="4" t="s">
        <v>75</v>
      </c>
      <c r="F117" s="4">
        <v>3</v>
      </c>
      <c r="G117" s="4" t="s">
        <v>47</v>
      </c>
      <c r="H117" s="4" t="s">
        <v>48</v>
      </c>
    </row>
    <row r="118" spans="1:8">
      <c r="A118" s="4" t="s">
        <v>401</v>
      </c>
      <c r="B118" s="4" t="s">
        <v>402</v>
      </c>
      <c r="C118" s="5">
        <v>35890</v>
      </c>
      <c r="D118" s="4" t="s">
        <v>403</v>
      </c>
      <c r="E118" s="4" t="s">
        <v>88</v>
      </c>
      <c r="F118" s="4">
        <v>2</v>
      </c>
      <c r="G118" s="4" t="s">
        <v>47</v>
      </c>
      <c r="H118" s="4" t="s">
        <v>48</v>
      </c>
    </row>
    <row r="119" spans="1:8">
      <c r="A119" s="4" t="s">
        <v>404</v>
      </c>
      <c r="B119" s="4" t="s">
        <v>187</v>
      </c>
      <c r="C119" s="5">
        <v>36382</v>
      </c>
      <c r="D119" s="4" t="s">
        <v>405</v>
      </c>
      <c r="E119" s="4" t="s">
        <v>88</v>
      </c>
      <c r="F119" s="4">
        <v>1</v>
      </c>
      <c r="G119" s="4" t="s">
        <v>47</v>
      </c>
      <c r="H119" s="4" t="s">
        <v>48</v>
      </c>
    </row>
    <row r="120" spans="1:8">
      <c r="A120" s="4" t="s">
        <v>406</v>
      </c>
      <c r="B120" s="4" t="s">
        <v>407</v>
      </c>
      <c r="C120" s="5">
        <v>36664</v>
      </c>
      <c r="D120" s="4" t="s">
        <v>408</v>
      </c>
      <c r="E120" s="4" t="s">
        <v>88</v>
      </c>
      <c r="F120" s="4">
        <v>1</v>
      </c>
      <c r="G120" s="4" t="s">
        <v>47</v>
      </c>
      <c r="H120" s="4" t="s">
        <v>48</v>
      </c>
    </row>
    <row r="121" spans="1:8">
      <c r="A121" s="4" t="s">
        <v>409</v>
      </c>
      <c r="B121" s="4" t="s">
        <v>330</v>
      </c>
      <c r="C121" s="5">
        <v>38475</v>
      </c>
      <c r="D121" s="4" t="s">
        <v>410</v>
      </c>
      <c r="E121" s="4" t="s">
        <v>75</v>
      </c>
      <c r="F121" s="4">
        <v>4</v>
      </c>
      <c r="G121" s="4" t="s">
        <v>47</v>
      </c>
      <c r="H121" s="4" t="s">
        <v>48</v>
      </c>
    </row>
    <row r="122" spans="1:8">
      <c r="A122" s="4" t="s">
        <v>411</v>
      </c>
      <c r="B122" s="4" t="s">
        <v>235</v>
      </c>
      <c r="C122" s="5">
        <v>34035</v>
      </c>
      <c r="D122" s="4" t="s">
        <v>412</v>
      </c>
      <c r="E122" s="4" t="s">
        <v>88</v>
      </c>
      <c r="F122" s="4">
        <v>5</v>
      </c>
      <c r="G122" s="4" t="s">
        <v>47</v>
      </c>
      <c r="H122" s="4" t="s">
        <v>48</v>
      </c>
    </row>
    <row r="123" spans="1:8">
      <c r="A123" s="4" t="s">
        <v>413</v>
      </c>
      <c r="B123" s="4" t="s">
        <v>414</v>
      </c>
      <c r="C123" s="5">
        <v>28661</v>
      </c>
      <c r="D123" s="4" t="s">
        <v>415</v>
      </c>
      <c r="E123" s="4" t="s">
        <v>88</v>
      </c>
      <c r="F123" s="4">
        <v>6</v>
      </c>
      <c r="G123" s="4" t="s">
        <v>47</v>
      </c>
      <c r="H123" s="4" t="s">
        <v>48</v>
      </c>
    </row>
    <row r="124" spans="1:8">
      <c r="A124" s="4" t="s">
        <v>416</v>
      </c>
      <c r="B124" s="4" t="s">
        <v>417</v>
      </c>
      <c r="C124" s="5">
        <v>34142</v>
      </c>
      <c r="D124" s="4" t="s">
        <v>418</v>
      </c>
      <c r="E124" s="4" t="s">
        <v>75</v>
      </c>
      <c r="F124" s="4">
        <v>6</v>
      </c>
      <c r="G124" s="4" t="s">
        <v>47</v>
      </c>
      <c r="H124" s="4" t="s">
        <v>48</v>
      </c>
    </row>
    <row r="125" spans="1:8">
      <c r="A125" s="4" t="s">
        <v>419</v>
      </c>
      <c r="B125" s="4" t="s">
        <v>420</v>
      </c>
      <c r="C125" s="5">
        <v>37949</v>
      </c>
      <c r="D125" s="4" t="s">
        <v>421</v>
      </c>
      <c r="E125" s="4" t="s">
        <v>88</v>
      </c>
      <c r="F125" s="4">
        <v>3</v>
      </c>
      <c r="G125" s="4" t="s">
        <v>47</v>
      </c>
      <c r="H125" s="4" t="s">
        <v>48</v>
      </c>
    </row>
    <row r="126" spans="1:8">
      <c r="A126" s="4" t="s">
        <v>422</v>
      </c>
      <c r="B126" s="4" t="s">
        <v>423</v>
      </c>
      <c r="C126" s="5">
        <v>35333</v>
      </c>
      <c r="D126" s="4" t="s">
        <v>424</v>
      </c>
      <c r="E126" s="4" t="s">
        <v>88</v>
      </c>
      <c r="F126" s="4">
        <v>3</v>
      </c>
      <c r="G126" s="4" t="s">
        <v>47</v>
      </c>
      <c r="H126" s="4" t="s">
        <v>48</v>
      </c>
    </row>
    <row r="127" spans="1:8">
      <c r="A127" s="4" t="s">
        <v>425</v>
      </c>
      <c r="B127" s="4" t="s">
        <v>321</v>
      </c>
      <c r="C127" s="5">
        <v>33493</v>
      </c>
      <c r="D127" s="4" t="s">
        <v>426</v>
      </c>
      <c r="E127" s="4" t="s">
        <v>75</v>
      </c>
      <c r="F127" s="4">
        <v>3</v>
      </c>
      <c r="G127" s="4" t="s">
        <v>52</v>
      </c>
      <c r="H127" s="4" t="s">
        <v>53</v>
      </c>
    </row>
    <row r="128" spans="1:8">
      <c r="A128" s="4" t="s">
        <v>427</v>
      </c>
      <c r="B128" s="4" t="s">
        <v>302</v>
      </c>
      <c r="C128" s="5">
        <v>37058</v>
      </c>
      <c r="D128" s="4" t="s">
        <v>428</v>
      </c>
      <c r="E128" s="4" t="s">
        <v>88</v>
      </c>
      <c r="F128" s="4">
        <v>7</v>
      </c>
      <c r="G128" s="4" t="s">
        <v>52</v>
      </c>
      <c r="H128" s="4" t="s">
        <v>53</v>
      </c>
    </row>
    <row r="129" spans="1:8">
      <c r="A129" s="4" t="s">
        <v>429</v>
      </c>
      <c r="B129" s="4" t="s">
        <v>193</v>
      </c>
      <c r="C129" s="5">
        <v>32480</v>
      </c>
      <c r="D129" s="4" t="s">
        <v>430</v>
      </c>
      <c r="E129" s="4" t="s">
        <v>88</v>
      </c>
      <c r="F129" s="4">
        <v>2</v>
      </c>
      <c r="G129" s="4" t="s">
        <v>52</v>
      </c>
      <c r="H129" s="4" t="s">
        <v>53</v>
      </c>
    </row>
    <row r="130" spans="1:8">
      <c r="A130" s="4" t="s">
        <v>431</v>
      </c>
      <c r="B130" s="4" t="s">
        <v>178</v>
      </c>
      <c r="C130" s="5">
        <v>31139</v>
      </c>
      <c r="D130" s="4" t="s">
        <v>432</v>
      </c>
      <c r="E130" s="4" t="s">
        <v>75</v>
      </c>
      <c r="F130" s="4">
        <v>6</v>
      </c>
      <c r="G130" s="4" t="s">
        <v>52</v>
      </c>
      <c r="H130" s="4" t="s">
        <v>53</v>
      </c>
    </row>
    <row r="131" spans="1:8">
      <c r="A131" s="4" t="s">
        <v>433</v>
      </c>
      <c r="B131" s="4" t="s">
        <v>434</v>
      </c>
      <c r="C131" s="5">
        <v>29423</v>
      </c>
      <c r="D131" s="4" t="s">
        <v>435</v>
      </c>
      <c r="E131" s="4" t="s">
        <v>75</v>
      </c>
      <c r="F131" s="4">
        <v>5</v>
      </c>
      <c r="G131" s="4" t="s">
        <v>52</v>
      </c>
      <c r="H131" s="4" t="s">
        <v>53</v>
      </c>
    </row>
    <row r="132" spans="1:8">
      <c r="A132" s="4" t="s">
        <v>436</v>
      </c>
      <c r="B132" s="4" t="s">
        <v>437</v>
      </c>
      <c r="C132" s="5">
        <v>29794</v>
      </c>
      <c r="D132" s="4" t="s">
        <v>438</v>
      </c>
      <c r="E132" s="4" t="s">
        <v>75</v>
      </c>
      <c r="F132" s="4">
        <v>3</v>
      </c>
      <c r="G132" s="4" t="s">
        <v>52</v>
      </c>
      <c r="H132" s="4" t="s">
        <v>53</v>
      </c>
    </row>
    <row r="133" spans="1:8">
      <c r="A133" s="4" t="s">
        <v>439</v>
      </c>
      <c r="B133" s="4" t="s">
        <v>440</v>
      </c>
      <c r="C133" s="5">
        <v>37838</v>
      </c>
      <c r="D133" s="4" t="s">
        <v>441</v>
      </c>
      <c r="E133" s="4" t="s">
        <v>88</v>
      </c>
      <c r="F133" s="4">
        <v>6</v>
      </c>
      <c r="G133" s="4" t="s">
        <v>52</v>
      </c>
      <c r="H133" s="4" t="s">
        <v>53</v>
      </c>
    </row>
    <row r="134" spans="1:8">
      <c r="A134" s="4" t="s">
        <v>442</v>
      </c>
      <c r="B134" s="4" t="s">
        <v>443</v>
      </c>
      <c r="C134" s="5">
        <v>32438</v>
      </c>
      <c r="D134" s="4" t="s">
        <v>444</v>
      </c>
      <c r="E134" s="4" t="s">
        <v>88</v>
      </c>
      <c r="F134" s="4">
        <v>6</v>
      </c>
      <c r="G134" s="4" t="s">
        <v>52</v>
      </c>
      <c r="H134" s="4" t="s">
        <v>53</v>
      </c>
    </row>
    <row r="135" spans="1:8">
      <c r="A135" s="4" t="s">
        <v>445</v>
      </c>
      <c r="B135" s="4" t="s">
        <v>284</v>
      </c>
      <c r="C135" s="5">
        <v>32964</v>
      </c>
      <c r="D135" s="4" t="s">
        <v>446</v>
      </c>
      <c r="E135" s="4" t="s">
        <v>75</v>
      </c>
      <c r="F135" s="4">
        <v>3</v>
      </c>
      <c r="G135" s="4" t="s">
        <v>52</v>
      </c>
      <c r="H135" s="4" t="s">
        <v>53</v>
      </c>
    </row>
    <row r="136" spans="1:8">
      <c r="A136" s="4" t="s">
        <v>447</v>
      </c>
      <c r="B136" s="4" t="s">
        <v>302</v>
      </c>
      <c r="C136" s="5">
        <v>26972</v>
      </c>
      <c r="D136" s="4" t="s">
        <v>448</v>
      </c>
      <c r="E136" s="4" t="s">
        <v>75</v>
      </c>
      <c r="F136" s="4">
        <v>2</v>
      </c>
      <c r="G136" s="4" t="s">
        <v>52</v>
      </c>
      <c r="H136" s="4" t="s">
        <v>53</v>
      </c>
    </row>
    <row r="137" spans="1:8">
      <c r="A137" s="4" t="s">
        <v>449</v>
      </c>
      <c r="B137" s="4" t="s">
        <v>420</v>
      </c>
      <c r="C137" s="5">
        <v>36514</v>
      </c>
      <c r="D137" s="4" t="s">
        <v>450</v>
      </c>
      <c r="E137" s="4" t="s">
        <v>88</v>
      </c>
      <c r="F137" s="4">
        <v>5</v>
      </c>
      <c r="G137" s="4" t="s">
        <v>52</v>
      </c>
      <c r="H137" s="4" t="s">
        <v>53</v>
      </c>
    </row>
    <row r="138" spans="1:8">
      <c r="A138" s="4" t="s">
        <v>451</v>
      </c>
      <c r="B138" s="4" t="s">
        <v>452</v>
      </c>
      <c r="C138" s="5">
        <v>28152</v>
      </c>
      <c r="D138" s="4" t="s">
        <v>453</v>
      </c>
      <c r="E138" s="4" t="s">
        <v>88</v>
      </c>
      <c r="F138" s="4">
        <v>1</v>
      </c>
      <c r="G138" s="4" t="s">
        <v>52</v>
      </c>
      <c r="H138" s="4" t="s">
        <v>53</v>
      </c>
    </row>
    <row r="139" spans="1:8">
      <c r="A139" s="4" t="s">
        <v>454</v>
      </c>
      <c r="B139" s="4" t="s">
        <v>455</v>
      </c>
      <c r="C139" s="5">
        <v>36939</v>
      </c>
      <c r="D139" s="4" t="s">
        <v>456</v>
      </c>
      <c r="E139" s="4" t="s">
        <v>88</v>
      </c>
      <c r="F139" s="4">
        <v>6</v>
      </c>
      <c r="G139" s="4" t="s">
        <v>52</v>
      </c>
      <c r="H139" s="4" t="s">
        <v>53</v>
      </c>
    </row>
    <row r="140" spans="1:8">
      <c r="A140" s="4" t="s">
        <v>457</v>
      </c>
      <c r="B140" s="4" t="s">
        <v>458</v>
      </c>
      <c r="C140" s="5">
        <v>34846</v>
      </c>
      <c r="D140" s="4" t="s">
        <v>459</v>
      </c>
      <c r="E140" s="4" t="s">
        <v>75</v>
      </c>
      <c r="F140" s="4">
        <v>1</v>
      </c>
      <c r="G140" s="4" t="s">
        <v>52</v>
      </c>
      <c r="H140" s="4" t="s">
        <v>53</v>
      </c>
    </row>
    <row r="141" spans="1:8">
      <c r="A141" s="4" t="s">
        <v>460</v>
      </c>
      <c r="B141" s="4" t="s">
        <v>417</v>
      </c>
      <c r="C141" s="5">
        <v>32330</v>
      </c>
      <c r="D141" s="4" t="s">
        <v>461</v>
      </c>
      <c r="E141" s="4" t="s">
        <v>75</v>
      </c>
      <c r="F141" s="4">
        <v>6</v>
      </c>
      <c r="G141" s="4" t="s">
        <v>52</v>
      </c>
      <c r="H141" s="4" t="s">
        <v>53</v>
      </c>
    </row>
    <row r="142" spans="1:8">
      <c r="A142" s="4" t="s">
        <v>462</v>
      </c>
      <c r="B142" s="4" t="s">
        <v>463</v>
      </c>
      <c r="C142" s="5">
        <v>38185</v>
      </c>
      <c r="D142" s="4" t="s">
        <v>464</v>
      </c>
      <c r="E142" s="4" t="s">
        <v>88</v>
      </c>
      <c r="F142" s="4">
        <v>7</v>
      </c>
      <c r="G142" s="4" t="s">
        <v>52</v>
      </c>
      <c r="H142" s="4" t="s">
        <v>53</v>
      </c>
    </row>
    <row r="143" spans="1:8">
      <c r="A143" s="4" t="s">
        <v>465</v>
      </c>
      <c r="B143" s="4" t="s">
        <v>466</v>
      </c>
      <c r="C143" s="5">
        <v>28982</v>
      </c>
      <c r="D143" s="4" t="s">
        <v>467</v>
      </c>
      <c r="E143" s="4" t="s">
        <v>75</v>
      </c>
      <c r="F143" s="4">
        <v>5</v>
      </c>
      <c r="G143" s="4" t="s">
        <v>52</v>
      </c>
      <c r="H143" s="4" t="s">
        <v>53</v>
      </c>
    </row>
    <row r="144" spans="1:8">
      <c r="A144" s="4" t="s">
        <v>468</v>
      </c>
      <c r="B144" s="4" t="s">
        <v>277</v>
      </c>
      <c r="C144" s="5">
        <v>31383</v>
      </c>
      <c r="D144" s="4" t="s">
        <v>469</v>
      </c>
      <c r="E144" s="4" t="s">
        <v>75</v>
      </c>
      <c r="F144" s="4">
        <v>7</v>
      </c>
      <c r="G144" s="4" t="s">
        <v>52</v>
      </c>
      <c r="H144" s="4" t="s">
        <v>53</v>
      </c>
    </row>
    <row r="145" spans="1:8">
      <c r="A145" s="4" t="s">
        <v>470</v>
      </c>
      <c r="B145" s="4" t="s">
        <v>274</v>
      </c>
      <c r="C145" s="5">
        <v>32973</v>
      </c>
      <c r="D145" s="4" t="s">
        <v>471</v>
      </c>
      <c r="E145" s="4" t="s">
        <v>75</v>
      </c>
      <c r="F145" s="4">
        <v>6</v>
      </c>
      <c r="G145" s="4" t="s">
        <v>52</v>
      </c>
      <c r="H145" s="4" t="s">
        <v>53</v>
      </c>
    </row>
    <row r="146" spans="1:8">
      <c r="A146" s="4" t="s">
        <v>472</v>
      </c>
      <c r="B146" s="4" t="s">
        <v>473</v>
      </c>
      <c r="C146" s="5">
        <v>26836</v>
      </c>
      <c r="D146" s="4" t="s">
        <v>474</v>
      </c>
      <c r="E146" s="4" t="s">
        <v>75</v>
      </c>
      <c r="F146" s="4">
        <v>7</v>
      </c>
      <c r="G146" s="4" t="s">
        <v>52</v>
      </c>
      <c r="H146" s="4" t="s">
        <v>53</v>
      </c>
    </row>
    <row r="147" spans="1:8">
      <c r="A147" s="4" t="s">
        <v>475</v>
      </c>
      <c r="B147" s="4" t="s">
        <v>125</v>
      </c>
      <c r="C147" s="5">
        <v>32847</v>
      </c>
      <c r="D147" s="4" t="s">
        <v>476</v>
      </c>
      <c r="E147" s="4" t="s">
        <v>88</v>
      </c>
      <c r="F147" s="4">
        <v>2</v>
      </c>
      <c r="G147" s="4" t="s">
        <v>52</v>
      </c>
      <c r="H147" s="4" t="s">
        <v>53</v>
      </c>
    </row>
    <row r="148" spans="1:8">
      <c r="A148" s="4" t="s">
        <v>477</v>
      </c>
      <c r="B148" s="4" t="s">
        <v>478</v>
      </c>
      <c r="C148" s="5">
        <v>35949</v>
      </c>
      <c r="D148" s="4" t="s">
        <v>479</v>
      </c>
      <c r="E148" s="4" t="s">
        <v>75</v>
      </c>
      <c r="F148" s="4">
        <v>7</v>
      </c>
      <c r="G148" s="4" t="s">
        <v>52</v>
      </c>
      <c r="H148" s="4" t="s">
        <v>53</v>
      </c>
    </row>
    <row r="149" spans="1:8">
      <c r="A149" s="4" t="s">
        <v>480</v>
      </c>
      <c r="B149" s="4" t="s">
        <v>481</v>
      </c>
      <c r="C149" s="5">
        <v>30535</v>
      </c>
      <c r="D149" s="4" t="s">
        <v>482</v>
      </c>
      <c r="E149" s="4" t="s">
        <v>75</v>
      </c>
      <c r="F149" s="4">
        <v>4</v>
      </c>
      <c r="G149" s="4" t="s">
        <v>52</v>
      </c>
      <c r="H149" s="4" t="s">
        <v>53</v>
      </c>
    </row>
    <row r="150" spans="1:8">
      <c r="A150" s="4" t="s">
        <v>483</v>
      </c>
      <c r="B150" s="4" t="s">
        <v>484</v>
      </c>
      <c r="C150" s="5">
        <v>32339</v>
      </c>
      <c r="D150" s="4" t="s">
        <v>485</v>
      </c>
      <c r="E150" s="4" t="s">
        <v>88</v>
      </c>
      <c r="F150" s="4">
        <v>7</v>
      </c>
      <c r="G150" s="4" t="s">
        <v>52</v>
      </c>
      <c r="H150" s="4" t="s">
        <v>53</v>
      </c>
    </row>
    <row r="151" spans="1:8">
      <c r="A151" s="4" t="s">
        <v>486</v>
      </c>
      <c r="B151" s="4" t="s">
        <v>391</v>
      </c>
      <c r="C151" s="5">
        <v>34134</v>
      </c>
      <c r="D151" s="4" t="s">
        <v>487</v>
      </c>
      <c r="E151" s="4" t="s">
        <v>88</v>
      </c>
      <c r="F151" s="4">
        <v>3</v>
      </c>
      <c r="G151" s="4" t="s">
        <v>52</v>
      </c>
      <c r="H151" s="4" t="s">
        <v>53</v>
      </c>
    </row>
    <row r="152" spans="1:8">
      <c r="A152" s="4" t="s">
        <v>488</v>
      </c>
      <c r="B152" s="4" t="s">
        <v>489</v>
      </c>
      <c r="C152" s="5">
        <v>34634</v>
      </c>
      <c r="D152" s="4" t="s">
        <v>490</v>
      </c>
      <c r="E152" s="4" t="s">
        <v>88</v>
      </c>
      <c r="F152" s="4">
        <v>2</v>
      </c>
      <c r="G152" s="4" t="s">
        <v>57</v>
      </c>
      <c r="H152" s="4" t="s">
        <v>58</v>
      </c>
    </row>
    <row r="153" spans="1:8">
      <c r="A153" s="4" t="s">
        <v>491</v>
      </c>
      <c r="B153" s="4" t="s">
        <v>473</v>
      </c>
      <c r="C153" s="5">
        <v>29850</v>
      </c>
      <c r="D153" s="4" t="s">
        <v>492</v>
      </c>
      <c r="E153" s="4" t="s">
        <v>75</v>
      </c>
      <c r="F153" s="4">
        <v>6</v>
      </c>
      <c r="G153" s="4" t="s">
        <v>57</v>
      </c>
      <c r="H153" s="4" t="s">
        <v>58</v>
      </c>
    </row>
    <row r="154" spans="1:8">
      <c r="A154" s="4" t="s">
        <v>493</v>
      </c>
      <c r="B154" s="4" t="s">
        <v>494</v>
      </c>
      <c r="C154" s="5">
        <v>36313</v>
      </c>
      <c r="D154" s="4" t="s">
        <v>495</v>
      </c>
      <c r="E154" s="4" t="s">
        <v>75</v>
      </c>
      <c r="F154" s="4">
        <v>1</v>
      </c>
      <c r="G154" s="4" t="s">
        <v>57</v>
      </c>
      <c r="H154" s="4" t="s">
        <v>58</v>
      </c>
    </row>
    <row r="155" spans="1:8">
      <c r="A155" s="4" t="s">
        <v>496</v>
      </c>
      <c r="B155" s="4" t="s">
        <v>208</v>
      </c>
      <c r="C155" s="5">
        <v>32159</v>
      </c>
      <c r="D155" s="4" t="s">
        <v>497</v>
      </c>
      <c r="E155" s="4" t="s">
        <v>88</v>
      </c>
      <c r="F155" s="4">
        <v>7</v>
      </c>
      <c r="G155" s="4" t="s">
        <v>57</v>
      </c>
      <c r="H155" s="4" t="s">
        <v>58</v>
      </c>
    </row>
    <row r="156" spans="1:8">
      <c r="A156" s="4" t="s">
        <v>498</v>
      </c>
      <c r="B156" s="4" t="s">
        <v>160</v>
      </c>
      <c r="C156" s="5">
        <v>27558</v>
      </c>
      <c r="D156" s="4" t="s">
        <v>499</v>
      </c>
      <c r="E156" s="4" t="s">
        <v>88</v>
      </c>
      <c r="F156" s="4">
        <v>4</v>
      </c>
      <c r="G156" s="4" t="s">
        <v>57</v>
      </c>
      <c r="H156" s="4" t="s">
        <v>58</v>
      </c>
    </row>
    <row r="157" spans="1:8">
      <c r="A157" s="4" t="s">
        <v>500</v>
      </c>
      <c r="B157" s="4" t="s">
        <v>501</v>
      </c>
      <c r="C157" s="5">
        <v>29267</v>
      </c>
      <c r="D157" s="4" t="s">
        <v>502</v>
      </c>
      <c r="E157" s="4" t="s">
        <v>88</v>
      </c>
      <c r="F157" s="4">
        <v>3</v>
      </c>
      <c r="G157" s="4" t="s">
        <v>57</v>
      </c>
      <c r="H157" s="4" t="s">
        <v>58</v>
      </c>
    </row>
    <row r="158" spans="1:8">
      <c r="A158" s="4" t="s">
        <v>503</v>
      </c>
      <c r="B158" s="4" t="s">
        <v>327</v>
      </c>
      <c r="C158" s="5">
        <v>38282</v>
      </c>
      <c r="D158" s="4" t="s">
        <v>504</v>
      </c>
      <c r="E158" s="4" t="s">
        <v>88</v>
      </c>
      <c r="F158" s="4">
        <v>2</v>
      </c>
      <c r="G158" s="4" t="s">
        <v>57</v>
      </c>
      <c r="H158" s="4" t="s">
        <v>58</v>
      </c>
    </row>
    <row r="159" spans="1:8">
      <c r="A159" s="4" t="s">
        <v>505</v>
      </c>
      <c r="B159" s="4" t="s">
        <v>396</v>
      </c>
      <c r="C159" s="5">
        <v>38151</v>
      </c>
      <c r="D159" s="4" t="s">
        <v>506</v>
      </c>
      <c r="E159" s="4" t="s">
        <v>75</v>
      </c>
      <c r="F159" s="4">
        <v>3</v>
      </c>
      <c r="G159" s="4" t="s">
        <v>57</v>
      </c>
      <c r="H159" s="4" t="s">
        <v>58</v>
      </c>
    </row>
    <row r="160" spans="1:8">
      <c r="A160" s="4" t="s">
        <v>507</v>
      </c>
      <c r="B160" s="4" t="s">
        <v>508</v>
      </c>
      <c r="C160" s="5">
        <v>34851</v>
      </c>
      <c r="D160" s="4" t="s">
        <v>509</v>
      </c>
      <c r="E160" s="4" t="s">
        <v>75</v>
      </c>
      <c r="F160" s="4">
        <v>6</v>
      </c>
      <c r="G160" s="4" t="s">
        <v>57</v>
      </c>
      <c r="H160" s="4" t="s">
        <v>58</v>
      </c>
    </row>
    <row r="161" spans="1:8">
      <c r="A161" s="4" t="s">
        <v>510</v>
      </c>
      <c r="B161" s="4" t="s">
        <v>511</v>
      </c>
      <c r="C161" s="5">
        <v>32256</v>
      </c>
      <c r="D161" s="4" t="s">
        <v>512</v>
      </c>
      <c r="E161" s="4" t="s">
        <v>75</v>
      </c>
      <c r="F161" s="4">
        <v>1</v>
      </c>
      <c r="G161" s="4" t="s">
        <v>57</v>
      </c>
      <c r="H161" s="4" t="s">
        <v>58</v>
      </c>
    </row>
    <row r="162" spans="1:8">
      <c r="A162" s="4" t="s">
        <v>513</v>
      </c>
      <c r="B162" s="4" t="s">
        <v>379</v>
      </c>
      <c r="C162" s="5">
        <v>34093</v>
      </c>
      <c r="D162" s="4" t="s">
        <v>514</v>
      </c>
      <c r="E162" s="4" t="s">
        <v>75</v>
      </c>
      <c r="F162" s="4">
        <v>1</v>
      </c>
      <c r="G162" s="4" t="s">
        <v>57</v>
      </c>
      <c r="H162" s="4" t="s">
        <v>58</v>
      </c>
    </row>
    <row r="163" spans="1:8">
      <c r="A163" s="4" t="s">
        <v>515</v>
      </c>
      <c r="B163" s="4" t="s">
        <v>516</v>
      </c>
      <c r="C163" s="5">
        <v>33055</v>
      </c>
      <c r="D163" s="4" t="s">
        <v>517</v>
      </c>
      <c r="E163" s="4" t="s">
        <v>88</v>
      </c>
      <c r="F163" s="4">
        <v>2</v>
      </c>
      <c r="G163" s="4" t="s">
        <v>57</v>
      </c>
      <c r="H163" s="4" t="s">
        <v>58</v>
      </c>
    </row>
    <row r="164" spans="1:8">
      <c r="A164" s="4" t="s">
        <v>518</v>
      </c>
      <c r="B164" s="4" t="s">
        <v>137</v>
      </c>
      <c r="C164" s="5">
        <v>36953</v>
      </c>
      <c r="D164" s="4" t="s">
        <v>519</v>
      </c>
      <c r="E164" s="4" t="s">
        <v>75</v>
      </c>
      <c r="F164" s="4">
        <v>6</v>
      </c>
      <c r="G164" s="4" t="s">
        <v>57</v>
      </c>
      <c r="H164" s="4" t="s">
        <v>58</v>
      </c>
    </row>
    <row r="165" spans="1:8">
      <c r="A165" s="4" t="s">
        <v>520</v>
      </c>
      <c r="B165" s="4" t="s">
        <v>508</v>
      </c>
      <c r="C165" s="5">
        <v>30167</v>
      </c>
      <c r="D165" s="4" t="s">
        <v>521</v>
      </c>
      <c r="E165" s="4" t="s">
        <v>88</v>
      </c>
      <c r="F165" s="4">
        <v>4</v>
      </c>
      <c r="G165" s="4" t="s">
        <v>57</v>
      </c>
      <c r="H165" s="4" t="s">
        <v>58</v>
      </c>
    </row>
    <row r="166" spans="1:8">
      <c r="A166" s="4" t="s">
        <v>522</v>
      </c>
      <c r="B166" s="4" t="s">
        <v>523</v>
      </c>
      <c r="C166" s="5">
        <v>28621</v>
      </c>
      <c r="D166" s="4" t="s">
        <v>524</v>
      </c>
      <c r="E166" s="4" t="s">
        <v>75</v>
      </c>
      <c r="F166" s="4">
        <v>3</v>
      </c>
      <c r="G166" s="4" t="s">
        <v>57</v>
      </c>
      <c r="H166" s="4" t="s">
        <v>58</v>
      </c>
    </row>
    <row r="167" spans="1:8">
      <c r="A167" s="4" t="s">
        <v>525</v>
      </c>
      <c r="B167" s="4" t="s">
        <v>526</v>
      </c>
      <c r="C167" s="5">
        <v>34019</v>
      </c>
      <c r="D167" s="4" t="s">
        <v>527</v>
      </c>
      <c r="E167" s="4" t="s">
        <v>88</v>
      </c>
      <c r="F167" s="4">
        <v>7</v>
      </c>
      <c r="G167" s="4" t="s">
        <v>57</v>
      </c>
      <c r="H167" s="4" t="s">
        <v>58</v>
      </c>
    </row>
    <row r="168" spans="1:8">
      <c r="A168" s="4" t="s">
        <v>528</v>
      </c>
      <c r="B168" s="4" t="s">
        <v>526</v>
      </c>
      <c r="C168" s="5">
        <v>36971</v>
      </c>
      <c r="D168" s="4" t="s">
        <v>529</v>
      </c>
      <c r="E168" s="4" t="s">
        <v>88</v>
      </c>
      <c r="F168" s="4">
        <v>5</v>
      </c>
      <c r="G168" s="4" t="s">
        <v>57</v>
      </c>
      <c r="H168" s="4" t="s">
        <v>58</v>
      </c>
    </row>
    <row r="169" spans="1:8">
      <c r="A169" s="4" t="s">
        <v>530</v>
      </c>
      <c r="B169" s="4" t="s">
        <v>531</v>
      </c>
      <c r="C169" s="5">
        <v>38012</v>
      </c>
      <c r="D169" s="4" t="s">
        <v>532</v>
      </c>
      <c r="E169" s="4" t="s">
        <v>75</v>
      </c>
      <c r="F169" s="4">
        <v>5</v>
      </c>
      <c r="G169" s="4" t="s">
        <v>57</v>
      </c>
      <c r="H169" s="4" t="s">
        <v>58</v>
      </c>
    </row>
    <row r="170" spans="1:8">
      <c r="A170" s="4" t="s">
        <v>533</v>
      </c>
      <c r="B170" s="4" t="s">
        <v>324</v>
      </c>
      <c r="C170" s="5">
        <v>33423</v>
      </c>
      <c r="D170" s="4" t="s">
        <v>534</v>
      </c>
      <c r="E170" s="4" t="s">
        <v>75</v>
      </c>
      <c r="F170" s="4">
        <v>4</v>
      </c>
      <c r="G170" s="4" t="s">
        <v>57</v>
      </c>
      <c r="H170" s="4" t="s">
        <v>58</v>
      </c>
    </row>
    <row r="171" spans="1:8">
      <c r="A171" s="4" t="s">
        <v>535</v>
      </c>
      <c r="B171" s="4" t="s">
        <v>203</v>
      </c>
      <c r="C171" s="5">
        <v>37327</v>
      </c>
      <c r="D171" s="4" t="s">
        <v>536</v>
      </c>
      <c r="E171" s="4" t="s">
        <v>88</v>
      </c>
      <c r="F171" s="4">
        <v>3</v>
      </c>
      <c r="G171" s="4" t="s">
        <v>57</v>
      </c>
      <c r="H171" s="4" t="s">
        <v>58</v>
      </c>
    </row>
    <row r="172" spans="1:8">
      <c r="A172" s="4" t="s">
        <v>537</v>
      </c>
      <c r="B172" s="4" t="s">
        <v>494</v>
      </c>
      <c r="C172" s="5">
        <v>36693</v>
      </c>
      <c r="D172" s="4" t="s">
        <v>538</v>
      </c>
      <c r="E172" s="4" t="s">
        <v>88</v>
      </c>
      <c r="F172" s="4">
        <v>6</v>
      </c>
      <c r="G172" s="4" t="s">
        <v>57</v>
      </c>
      <c r="H172" s="4" t="s">
        <v>58</v>
      </c>
    </row>
    <row r="173" spans="1:8">
      <c r="A173" s="4" t="s">
        <v>539</v>
      </c>
      <c r="B173" s="4" t="s">
        <v>540</v>
      </c>
      <c r="C173" s="5">
        <v>31296</v>
      </c>
      <c r="D173" s="4" t="s">
        <v>541</v>
      </c>
      <c r="E173" s="4" t="s">
        <v>75</v>
      </c>
      <c r="F173" s="4">
        <v>6</v>
      </c>
      <c r="G173" s="4" t="s">
        <v>57</v>
      </c>
      <c r="H173" s="4" t="s">
        <v>58</v>
      </c>
    </row>
    <row r="174" spans="1:8">
      <c r="A174" s="4" t="s">
        <v>542</v>
      </c>
      <c r="B174" s="4" t="s">
        <v>543</v>
      </c>
      <c r="C174" s="5">
        <v>30182</v>
      </c>
      <c r="D174" s="4" t="s">
        <v>544</v>
      </c>
      <c r="E174" s="4" t="s">
        <v>75</v>
      </c>
      <c r="F174" s="4">
        <v>3</v>
      </c>
      <c r="G174" s="4" t="s">
        <v>57</v>
      </c>
      <c r="H174" s="4" t="s">
        <v>58</v>
      </c>
    </row>
    <row r="175" spans="1:8">
      <c r="A175" s="4" t="s">
        <v>545</v>
      </c>
      <c r="B175" s="4" t="s">
        <v>546</v>
      </c>
      <c r="C175" s="5">
        <v>31744</v>
      </c>
      <c r="D175" s="4" t="s">
        <v>547</v>
      </c>
      <c r="E175" s="4" t="s">
        <v>88</v>
      </c>
      <c r="F175" s="4">
        <v>3</v>
      </c>
      <c r="G175" s="4" t="s">
        <v>57</v>
      </c>
      <c r="H175" s="4" t="s">
        <v>58</v>
      </c>
    </row>
    <row r="176" spans="1:8">
      <c r="A176" s="4" t="s">
        <v>548</v>
      </c>
      <c r="B176" s="4" t="s">
        <v>549</v>
      </c>
      <c r="C176" s="5">
        <v>32800</v>
      </c>
      <c r="D176" s="4" t="s">
        <v>550</v>
      </c>
      <c r="E176" s="4" t="s">
        <v>75</v>
      </c>
      <c r="F176" s="4">
        <v>5</v>
      </c>
      <c r="G176" s="4" t="s">
        <v>57</v>
      </c>
      <c r="H176" s="4" t="s">
        <v>58</v>
      </c>
    </row>
    <row r="177" spans="1:8">
      <c r="A177" s="4" t="s">
        <v>551</v>
      </c>
      <c r="B177" s="4" t="s">
        <v>549</v>
      </c>
      <c r="C177" s="5">
        <v>34521</v>
      </c>
      <c r="D177" s="4" t="s">
        <v>552</v>
      </c>
      <c r="E177" s="4" t="s">
        <v>88</v>
      </c>
      <c r="F177" s="4">
        <v>7</v>
      </c>
      <c r="G177" s="4" t="s">
        <v>62</v>
      </c>
      <c r="H177" s="4" t="s">
        <v>63</v>
      </c>
    </row>
    <row r="178" spans="1:8">
      <c r="A178" s="4" t="s">
        <v>553</v>
      </c>
      <c r="B178" s="4" t="s">
        <v>554</v>
      </c>
      <c r="C178" s="5">
        <v>25785</v>
      </c>
      <c r="D178" s="4" t="s">
        <v>555</v>
      </c>
      <c r="E178" s="4" t="s">
        <v>88</v>
      </c>
      <c r="F178" s="4">
        <v>2</v>
      </c>
      <c r="G178" s="4" t="s">
        <v>62</v>
      </c>
      <c r="H178" s="4" t="s">
        <v>63</v>
      </c>
    </row>
    <row r="179" spans="1:8">
      <c r="A179" s="4" t="s">
        <v>556</v>
      </c>
      <c r="B179" s="4" t="s">
        <v>557</v>
      </c>
      <c r="C179" s="5">
        <v>32151</v>
      </c>
      <c r="D179" s="4" t="s">
        <v>558</v>
      </c>
      <c r="E179" s="4" t="s">
        <v>75</v>
      </c>
      <c r="F179" s="4">
        <v>5</v>
      </c>
      <c r="G179" s="4" t="s">
        <v>62</v>
      </c>
      <c r="H179" s="4" t="s">
        <v>63</v>
      </c>
    </row>
    <row r="180" spans="1:8">
      <c r="A180" s="4" t="s">
        <v>559</v>
      </c>
      <c r="B180" s="4" t="s">
        <v>560</v>
      </c>
      <c r="C180" s="5">
        <v>34239</v>
      </c>
      <c r="D180" s="4" t="s">
        <v>561</v>
      </c>
      <c r="E180" s="4" t="s">
        <v>75</v>
      </c>
      <c r="F180" s="4">
        <v>4</v>
      </c>
      <c r="G180" s="4" t="s">
        <v>62</v>
      </c>
      <c r="H180" s="4" t="s">
        <v>63</v>
      </c>
    </row>
    <row r="181" spans="1:8">
      <c r="A181" s="4" t="s">
        <v>562</v>
      </c>
      <c r="B181" s="4" t="s">
        <v>93</v>
      </c>
      <c r="C181" s="5">
        <v>35851</v>
      </c>
      <c r="D181" s="4" t="s">
        <v>563</v>
      </c>
      <c r="E181" s="4" t="s">
        <v>75</v>
      </c>
      <c r="F181" s="4">
        <v>7</v>
      </c>
      <c r="G181" s="4" t="s">
        <v>62</v>
      </c>
      <c r="H181" s="4" t="s">
        <v>63</v>
      </c>
    </row>
    <row r="182" spans="1:8">
      <c r="A182" s="4" t="s">
        <v>564</v>
      </c>
      <c r="B182" s="4" t="s">
        <v>565</v>
      </c>
      <c r="C182" s="5">
        <v>33856</v>
      </c>
      <c r="D182" s="4" t="s">
        <v>566</v>
      </c>
      <c r="E182" s="4" t="s">
        <v>75</v>
      </c>
      <c r="F182" s="4">
        <v>2</v>
      </c>
      <c r="G182" s="4" t="s">
        <v>62</v>
      </c>
      <c r="H182" s="4" t="s">
        <v>63</v>
      </c>
    </row>
    <row r="183" spans="1:8">
      <c r="A183" s="4" t="s">
        <v>567</v>
      </c>
      <c r="B183" s="4" t="s">
        <v>160</v>
      </c>
      <c r="C183" s="5">
        <v>26812</v>
      </c>
      <c r="D183" s="4" t="s">
        <v>568</v>
      </c>
      <c r="E183" s="4" t="s">
        <v>75</v>
      </c>
      <c r="F183" s="4">
        <v>5</v>
      </c>
      <c r="G183" s="4" t="s">
        <v>62</v>
      </c>
      <c r="H183" s="4" t="s">
        <v>63</v>
      </c>
    </row>
    <row r="184" spans="1:8">
      <c r="A184" s="4" t="s">
        <v>569</v>
      </c>
      <c r="B184" s="4" t="s">
        <v>570</v>
      </c>
      <c r="C184" s="5">
        <v>34549</v>
      </c>
      <c r="D184" s="4" t="s">
        <v>571</v>
      </c>
      <c r="E184" s="4" t="s">
        <v>75</v>
      </c>
      <c r="F184" s="4">
        <v>7</v>
      </c>
      <c r="G184" s="4" t="s">
        <v>62</v>
      </c>
      <c r="H184" s="4" t="s">
        <v>63</v>
      </c>
    </row>
    <row r="185" spans="1:8">
      <c r="A185" s="4" t="s">
        <v>572</v>
      </c>
      <c r="B185" s="4" t="s">
        <v>573</v>
      </c>
      <c r="C185" s="5">
        <v>36486</v>
      </c>
      <c r="D185" s="4" t="s">
        <v>574</v>
      </c>
      <c r="E185" s="4" t="s">
        <v>88</v>
      </c>
      <c r="F185" s="4">
        <v>3</v>
      </c>
      <c r="G185" s="4" t="s">
        <v>62</v>
      </c>
      <c r="H185" s="4" t="s">
        <v>63</v>
      </c>
    </row>
    <row r="186" spans="1:8">
      <c r="A186" s="4" t="s">
        <v>575</v>
      </c>
      <c r="B186" s="4" t="s">
        <v>235</v>
      </c>
      <c r="C186" s="5">
        <v>28791</v>
      </c>
      <c r="D186" s="4" t="s">
        <v>576</v>
      </c>
      <c r="E186" s="4" t="s">
        <v>88</v>
      </c>
      <c r="F186" s="4">
        <v>4</v>
      </c>
      <c r="G186" s="4" t="s">
        <v>62</v>
      </c>
      <c r="H186" s="4" t="s">
        <v>63</v>
      </c>
    </row>
    <row r="187" spans="1:8">
      <c r="A187" s="4" t="s">
        <v>577</v>
      </c>
      <c r="B187" s="4" t="s">
        <v>423</v>
      </c>
      <c r="C187" s="5">
        <v>28804</v>
      </c>
      <c r="D187" s="4" t="s">
        <v>578</v>
      </c>
      <c r="E187" s="4" t="s">
        <v>88</v>
      </c>
      <c r="F187" s="4">
        <v>6</v>
      </c>
      <c r="G187" s="4" t="s">
        <v>62</v>
      </c>
      <c r="H187" s="4" t="s">
        <v>63</v>
      </c>
    </row>
    <row r="188" spans="1:8">
      <c r="A188" s="4" t="s">
        <v>579</v>
      </c>
      <c r="B188" s="4" t="s">
        <v>302</v>
      </c>
      <c r="C188" s="5">
        <v>35737</v>
      </c>
      <c r="D188" s="4" t="s">
        <v>580</v>
      </c>
      <c r="E188" s="4" t="s">
        <v>88</v>
      </c>
      <c r="F188" s="4">
        <v>1</v>
      </c>
      <c r="G188" s="4" t="s">
        <v>62</v>
      </c>
      <c r="H188" s="4" t="s">
        <v>63</v>
      </c>
    </row>
    <row r="189" spans="1:8">
      <c r="A189" s="4" t="s">
        <v>581</v>
      </c>
      <c r="B189" s="4" t="s">
        <v>478</v>
      </c>
      <c r="C189" s="5">
        <v>35769</v>
      </c>
      <c r="D189" s="4" t="s">
        <v>582</v>
      </c>
      <c r="E189" s="4" t="s">
        <v>88</v>
      </c>
      <c r="F189" s="4">
        <v>2</v>
      </c>
      <c r="G189" s="4" t="s">
        <v>62</v>
      </c>
      <c r="H189" s="4" t="s">
        <v>63</v>
      </c>
    </row>
    <row r="190" spans="1:8">
      <c r="A190" s="4" t="s">
        <v>583</v>
      </c>
      <c r="B190" s="4" t="s">
        <v>358</v>
      </c>
      <c r="C190" s="5">
        <v>28903</v>
      </c>
      <c r="D190" s="4" t="s">
        <v>584</v>
      </c>
      <c r="E190" s="4" t="s">
        <v>88</v>
      </c>
      <c r="F190" s="4">
        <v>7</v>
      </c>
      <c r="G190" s="4" t="s">
        <v>62</v>
      </c>
      <c r="H190" s="4" t="s">
        <v>63</v>
      </c>
    </row>
    <row r="191" spans="1:8">
      <c r="A191" s="4" t="s">
        <v>585</v>
      </c>
      <c r="B191" s="4" t="s">
        <v>586</v>
      </c>
      <c r="C191" s="5">
        <v>28540</v>
      </c>
      <c r="D191" s="4" t="s">
        <v>587</v>
      </c>
      <c r="E191" s="4" t="s">
        <v>75</v>
      </c>
      <c r="F191" s="4">
        <v>5</v>
      </c>
      <c r="G191" s="4" t="s">
        <v>62</v>
      </c>
      <c r="H191" s="4" t="s">
        <v>63</v>
      </c>
    </row>
    <row r="192" spans="1:8">
      <c r="A192" s="4" t="s">
        <v>588</v>
      </c>
      <c r="B192" s="4" t="s">
        <v>178</v>
      </c>
      <c r="C192" s="5">
        <v>32478</v>
      </c>
      <c r="D192" s="4" t="s">
        <v>589</v>
      </c>
      <c r="E192" s="4" t="s">
        <v>75</v>
      </c>
      <c r="F192" s="4">
        <v>7</v>
      </c>
      <c r="G192" s="4" t="s">
        <v>62</v>
      </c>
      <c r="H192" s="4" t="s">
        <v>63</v>
      </c>
    </row>
    <row r="193" spans="1:8">
      <c r="A193" s="4" t="s">
        <v>590</v>
      </c>
      <c r="B193" s="4" t="s">
        <v>591</v>
      </c>
      <c r="C193" s="5">
        <v>34373</v>
      </c>
      <c r="D193" s="4" t="s">
        <v>592</v>
      </c>
      <c r="E193" s="4" t="s">
        <v>88</v>
      </c>
      <c r="F193" s="4">
        <v>3</v>
      </c>
      <c r="G193" s="4" t="s">
        <v>62</v>
      </c>
      <c r="H193" s="4" t="s">
        <v>63</v>
      </c>
    </row>
    <row r="194" spans="1:8">
      <c r="A194" s="4" t="s">
        <v>593</v>
      </c>
      <c r="B194" s="4" t="s">
        <v>594</v>
      </c>
      <c r="C194" s="5">
        <v>27048</v>
      </c>
      <c r="D194" s="4" t="s">
        <v>595</v>
      </c>
      <c r="E194" s="4" t="s">
        <v>88</v>
      </c>
      <c r="F194" s="4">
        <v>4</v>
      </c>
      <c r="G194" s="4" t="s">
        <v>62</v>
      </c>
      <c r="H194" s="4" t="s">
        <v>63</v>
      </c>
    </row>
    <row r="195" spans="1:8">
      <c r="A195" s="4" t="s">
        <v>596</v>
      </c>
      <c r="B195" s="4" t="s">
        <v>597</v>
      </c>
      <c r="C195" s="5">
        <v>38265</v>
      </c>
      <c r="D195" s="4" t="s">
        <v>598</v>
      </c>
      <c r="E195" s="4" t="s">
        <v>88</v>
      </c>
      <c r="F195" s="4">
        <v>5</v>
      </c>
      <c r="G195" s="4" t="s">
        <v>62</v>
      </c>
      <c r="H195" s="4" t="s">
        <v>63</v>
      </c>
    </row>
    <row r="196" spans="1:8">
      <c r="A196" s="4" t="s">
        <v>599</v>
      </c>
      <c r="B196" s="4" t="s">
        <v>77</v>
      </c>
      <c r="C196" s="5">
        <v>32856</v>
      </c>
      <c r="D196" s="4" t="s">
        <v>600</v>
      </c>
      <c r="E196" s="4" t="s">
        <v>75</v>
      </c>
      <c r="F196" s="4">
        <v>3</v>
      </c>
      <c r="G196" s="4" t="s">
        <v>62</v>
      </c>
      <c r="H196" s="4" t="s">
        <v>63</v>
      </c>
    </row>
    <row r="197" spans="1:8">
      <c r="A197" s="4" t="s">
        <v>601</v>
      </c>
      <c r="B197" s="4" t="s">
        <v>602</v>
      </c>
      <c r="C197" s="5">
        <v>28148</v>
      </c>
      <c r="D197" s="4" t="s">
        <v>603</v>
      </c>
      <c r="E197" s="4" t="s">
        <v>88</v>
      </c>
      <c r="F197" s="4">
        <v>2</v>
      </c>
      <c r="G197" s="4" t="s">
        <v>62</v>
      </c>
      <c r="H197" s="4" t="s">
        <v>63</v>
      </c>
    </row>
    <row r="198" spans="1:8">
      <c r="A198" s="4" t="s">
        <v>604</v>
      </c>
      <c r="B198" s="4" t="s">
        <v>605</v>
      </c>
      <c r="C198" s="5">
        <v>28136</v>
      </c>
      <c r="D198" s="4" t="s">
        <v>606</v>
      </c>
      <c r="E198" s="4" t="s">
        <v>88</v>
      </c>
      <c r="F198" s="4">
        <v>5</v>
      </c>
      <c r="G198" s="4" t="s">
        <v>62</v>
      </c>
      <c r="H198" s="4" t="s">
        <v>63</v>
      </c>
    </row>
    <row r="199" spans="1:8">
      <c r="A199" s="4" t="s">
        <v>607</v>
      </c>
      <c r="B199" s="4" t="s">
        <v>407</v>
      </c>
      <c r="C199" s="5">
        <v>29378</v>
      </c>
      <c r="D199" s="4" t="s">
        <v>608</v>
      </c>
      <c r="E199" s="4" t="s">
        <v>75</v>
      </c>
      <c r="F199" s="4">
        <v>1</v>
      </c>
      <c r="G199" s="4" t="s">
        <v>62</v>
      </c>
      <c r="H199" s="4" t="s">
        <v>63</v>
      </c>
    </row>
    <row r="200" spans="1:8">
      <c r="A200" s="4" t="s">
        <v>609</v>
      </c>
      <c r="B200" s="4" t="s">
        <v>610</v>
      </c>
      <c r="C200" s="5">
        <v>29604</v>
      </c>
      <c r="D200" s="4" t="s">
        <v>611</v>
      </c>
      <c r="E200" s="4" t="s">
        <v>88</v>
      </c>
      <c r="F200" s="4">
        <v>1</v>
      </c>
      <c r="G200" s="4" t="s">
        <v>62</v>
      </c>
      <c r="H200" s="4" t="s">
        <v>63</v>
      </c>
    </row>
    <row r="201" spans="1:8">
      <c r="A201" s="4" t="s">
        <v>612</v>
      </c>
      <c r="B201" s="4" t="s">
        <v>113</v>
      </c>
      <c r="C201" s="5">
        <v>29702</v>
      </c>
      <c r="D201" s="4" t="s">
        <v>613</v>
      </c>
      <c r="E201" s="4" t="s">
        <v>88</v>
      </c>
      <c r="F201" s="4">
        <v>1</v>
      </c>
      <c r="G201" s="4" t="s">
        <v>62</v>
      </c>
      <c r="H201" s="4" t="s">
        <v>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41"/>
  <sheetViews>
    <sheetView workbookViewId="0">
      <selection activeCell="F21" sqref="F21"/>
    </sheetView>
  </sheetViews>
  <sheetFormatPr defaultRowHeight="13.8"/>
  <cols>
    <col min="1" max="1" width="14" customWidth="1"/>
    <col min="2" max="2" width="30" customWidth="1"/>
    <col min="3" max="3" width="12" customWidth="1"/>
    <col min="4" max="5" width="18" customWidth="1"/>
    <col min="6" max="6" width="14" customWidth="1"/>
  </cols>
  <sheetData>
    <row r="1" spans="1:6" ht="27.9" customHeight="1">
      <c r="A1" s="3" t="s">
        <v>614</v>
      </c>
      <c r="B1" s="3" t="s">
        <v>615</v>
      </c>
      <c r="C1" s="3" t="s">
        <v>21</v>
      </c>
      <c r="D1" s="3" t="s">
        <v>22</v>
      </c>
      <c r="E1" s="3" t="s">
        <v>616</v>
      </c>
      <c r="F1" s="3" t="s">
        <v>617</v>
      </c>
    </row>
    <row r="2" spans="1:6">
      <c r="A2" s="4" t="s">
        <v>618</v>
      </c>
      <c r="B2" s="4" t="s">
        <v>619</v>
      </c>
      <c r="C2" s="4" t="s">
        <v>27</v>
      </c>
      <c r="D2" s="4" t="s">
        <v>28</v>
      </c>
      <c r="E2" s="4" t="s">
        <v>620</v>
      </c>
      <c r="F2" s="4" t="s">
        <v>621</v>
      </c>
    </row>
    <row r="3" spans="1:6">
      <c r="A3" s="4" t="s">
        <v>622</v>
      </c>
      <c r="B3" s="4" t="s">
        <v>623</v>
      </c>
      <c r="C3" s="4" t="s">
        <v>27</v>
      </c>
      <c r="D3" s="4" t="s">
        <v>28</v>
      </c>
      <c r="E3" s="4" t="s">
        <v>624</v>
      </c>
      <c r="F3" s="4" t="s">
        <v>625</v>
      </c>
    </row>
    <row r="4" spans="1:6">
      <c r="A4" s="4" t="s">
        <v>626</v>
      </c>
      <c r="B4" s="4" t="s">
        <v>627</v>
      </c>
      <c r="C4" s="4" t="s">
        <v>27</v>
      </c>
      <c r="D4" s="4" t="s">
        <v>28</v>
      </c>
      <c r="E4" s="4" t="s">
        <v>628</v>
      </c>
      <c r="F4" s="4" t="s">
        <v>629</v>
      </c>
    </row>
    <row r="5" spans="1:6">
      <c r="A5" s="4" t="s">
        <v>630</v>
      </c>
      <c r="B5" s="4" t="s">
        <v>631</v>
      </c>
      <c r="C5" s="4" t="s">
        <v>27</v>
      </c>
      <c r="D5" s="4" t="s">
        <v>28</v>
      </c>
      <c r="E5" s="4" t="s">
        <v>632</v>
      </c>
      <c r="F5" s="4" t="s">
        <v>633</v>
      </c>
    </row>
    <row r="6" spans="1:6">
      <c r="A6" s="4" t="s">
        <v>634</v>
      </c>
      <c r="B6" s="4" t="s">
        <v>635</v>
      </c>
      <c r="C6" s="4" t="s">
        <v>27</v>
      </c>
      <c r="D6" s="4" t="s">
        <v>28</v>
      </c>
      <c r="E6" s="4" t="s">
        <v>636</v>
      </c>
      <c r="F6" s="4" t="s">
        <v>637</v>
      </c>
    </row>
    <row r="7" spans="1:6">
      <c r="A7" s="4" t="s">
        <v>638</v>
      </c>
      <c r="B7" s="4" t="s">
        <v>639</v>
      </c>
      <c r="C7" s="4" t="s">
        <v>32</v>
      </c>
      <c r="D7" s="4" t="s">
        <v>33</v>
      </c>
      <c r="E7" s="4" t="s">
        <v>640</v>
      </c>
      <c r="F7" s="4" t="s">
        <v>621</v>
      </c>
    </row>
    <row r="8" spans="1:6">
      <c r="A8" s="4" t="s">
        <v>641</v>
      </c>
      <c r="B8" s="4" t="s">
        <v>642</v>
      </c>
      <c r="C8" s="4" t="s">
        <v>32</v>
      </c>
      <c r="D8" s="4" t="s">
        <v>33</v>
      </c>
      <c r="E8" s="4" t="s">
        <v>643</v>
      </c>
      <c r="F8" s="4" t="s">
        <v>625</v>
      </c>
    </row>
    <row r="9" spans="1:6">
      <c r="A9" s="4" t="s">
        <v>644</v>
      </c>
      <c r="B9" s="4" t="s">
        <v>645</v>
      </c>
      <c r="C9" s="4" t="s">
        <v>32</v>
      </c>
      <c r="D9" s="4" t="s">
        <v>33</v>
      </c>
      <c r="E9" s="4" t="s">
        <v>646</v>
      </c>
      <c r="F9" s="4" t="s">
        <v>629</v>
      </c>
    </row>
    <row r="10" spans="1:6">
      <c r="A10" s="4" t="s">
        <v>647</v>
      </c>
      <c r="B10" s="4" t="s">
        <v>648</v>
      </c>
      <c r="C10" s="4" t="s">
        <v>32</v>
      </c>
      <c r="D10" s="4" t="s">
        <v>33</v>
      </c>
      <c r="E10" s="4" t="s">
        <v>649</v>
      </c>
      <c r="F10" s="4" t="s">
        <v>633</v>
      </c>
    </row>
    <row r="11" spans="1:6">
      <c r="A11" s="4" t="s">
        <v>650</v>
      </c>
      <c r="B11" s="4" t="s">
        <v>651</v>
      </c>
      <c r="C11" s="4" t="s">
        <v>32</v>
      </c>
      <c r="D11" s="4" t="s">
        <v>33</v>
      </c>
      <c r="E11" s="4" t="s">
        <v>652</v>
      </c>
      <c r="F11" s="4" t="s">
        <v>637</v>
      </c>
    </row>
    <row r="12" spans="1:6">
      <c r="A12" s="4" t="s">
        <v>653</v>
      </c>
      <c r="B12" s="4" t="s">
        <v>654</v>
      </c>
      <c r="C12" s="4" t="s">
        <v>37</v>
      </c>
      <c r="D12" s="4" t="s">
        <v>38</v>
      </c>
      <c r="E12" s="4" t="s">
        <v>655</v>
      </c>
      <c r="F12" s="4" t="s">
        <v>621</v>
      </c>
    </row>
    <row r="13" spans="1:6">
      <c r="A13" s="4" t="s">
        <v>656</v>
      </c>
      <c r="B13" s="4" t="s">
        <v>657</v>
      </c>
      <c r="C13" s="4" t="s">
        <v>37</v>
      </c>
      <c r="D13" s="4" t="s">
        <v>38</v>
      </c>
      <c r="E13" s="4" t="s">
        <v>658</v>
      </c>
      <c r="F13" s="4" t="s">
        <v>625</v>
      </c>
    </row>
    <row r="14" spans="1:6">
      <c r="A14" s="4" t="s">
        <v>659</v>
      </c>
      <c r="B14" s="4" t="s">
        <v>660</v>
      </c>
      <c r="C14" s="4" t="s">
        <v>37</v>
      </c>
      <c r="D14" s="4" t="s">
        <v>38</v>
      </c>
      <c r="E14" s="4" t="s">
        <v>661</v>
      </c>
      <c r="F14" s="4" t="s">
        <v>629</v>
      </c>
    </row>
    <row r="15" spans="1:6">
      <c r="A15" s="4" t="s">
        <v>662</v>
      </c>
      <c r="B15" s="4" t="s">
        <v>663</v>
      </c>
      <c r="C15" s="4" t="s">
        <v>37</v>
      </c>
      <c r="D15" s="4" t="s">
        <v>38</v>
      </c>
      <c r="E15" s="4" t="s">
        <v>664</v>
      </c>
      <c r="F15" s="4" t="s">
        <v>633</v>
      </c>
    </row>
    <row r="16" spans="1:6">
      <c r="A16" s="4" t="s">
        <v>665</v>
      </c>
      <c r="B16" s="4" t="s">
        <v>666</v>
      </c>
      <c r="C16" s="4" t="s">
        <v>37</v>
      </c>
      <c r="D16" s="4" t="s">
        <v>38</v>
      </c>
      <c r="E16" s="4" t="s">
        <v>667</v>
      </c>
      <c r="F16" s="4" t="s">
        <v>637</v>
      </c>
    </row>
    <row r="17" spans="1:6">
      <c r="A17" s="4" t="s">
        <v>668</v>
      </c>
      <c r="B17" s="4" t="s">
        <v>669</v>
      </c>
      <c r="C17" s="4" t="s">
        <v>42</v>
      </c>
      <c r="D17" s="4" t="s">
        <v>43</v>
      </c>
      <c r="E17" s="4" t="s">
        <v>670</v>
      </c>
      <c r="F17" s="4" t="s">
        <v>621</v>
      </c>
    </row>
    <row r="18" spans="1:6">
      <c r="A18" s="4" t="s">
        <v>671</v>
      </c>
      <c r="B18" s="4" t="s">
        <v>672</v>
      </c>
      <c r="C18" s="4" t="s">
        <v>42</v>
      </c>
      <c r="D18" s="4" t="s">
        <v>43</v>
      </c>
      <c r="E18" s="4" t="s">
        <v>673</v>
      </c>
      <c r="F18" s="4" t="s">
        <v>625</v>
      </c>
    </row>
    <row r="19" spans="1:6">
      <c r="A19" s="4" t="s">
        <v>674</v>
      </c>
      <c r="B19" s="4" t="s">
        <v>675</v>
      </c>
      <c r="C19" s="4" t="s">
        <v>42</v>
      </c>
      <c r="D19" s="4" t="s">
        <v>43</v>
      </c>
      <c r="E19" s="4" t="s">
        <v>676</v>
      </c>
      <c r="F19" s="4" t="s">
        <v>629</v>
      </c>
    </row>
    <row r="20" spans="1:6">
      <c r="A20" s="4" t="s">
        <v>677</v>
      </c>
      <c r="B20" s="4" t="s">
        <v>678</v>
      </c>
      <c r="C20" s="4" t="s">
        <v>42</v>
      </c>
      <c r="D20" s="4" t="s">
        <v>43</v>
      </c>
      <c r="E20" s="4" t="s">
        <v>679</v>
      </c>
      <c r="F20" s="4" t="s">
        <v>633</v>
      </c>
    </row>
    <row r="21" spans="1:6">
      <c r="A21" s="4" t="s">
        <v>680</v>
      </c>
      <c r="B21" s="4" t="s">
        <v>681</v>
      </c>
      <c r="C21" s="4" t="s">
        <v>42</v>
      </c>
      <c r="D21" s="4" t="s">
        <v>43</v>
      </c>
      <c r="E21" s="4" t="s">
        <v>682</v>
      </c>
      <c r="F21" s="4" t="s">
        <v>637</v>
      </c>
    </row>
    <row r="22" spans="1:6">
      <c r="A22" s="4" t="s">
        <v>683</v>
      </c>
      <c r="B22" s="4" t="s">
        <v>684</v>
      </c>
      <c r="C22" s="4" t="s">
        <v>47</v>
      </c>
      <c r="D22" s="4" t="s">
        <v>48</v>
      </c>
      <c r="E22" s="4" t="s">
        <v>685</v>
      </c>
      <c r="F22" s="4" t="s">
        <v>621</v>
      </c>
    </row>
    <row r="23" spans="1:6">
      <c r="A23" s="4" t="s">
        <v>686</v>
      </c>
      <c r="B23" s="4" t="s">
        <v>687</v>
      </c>
      <c r="C23" s="4" t="s">
        <v>47</v>
      </c>
      <c r="D23" s="4" t="s">
        <v>48</v>
      </c>
      <c r="E23" s="4" t="s">
        <v>688</v>
      </c>
      <c r="F23" s="4" t="s">
        <v>625</v>
      </c>
    </row>
    <row r="24" spans="1:6">
      <c r="A24" s="4" t="s">
        <v>689</v>
      </c>
      <c r="B24" s="4" t="s">
        <v>690</v>
      </c>
      <c r="C24" s="4" t="s">
        <v>47</v>
      </c>
      <c r="D24" s="4" t="s">
        <v>48</v>
      </c>
      <c r="E24" s="4" t="s">
        <v>691</v>
      </c>
      <c r="F24" s="4" t="s">
        <v>629</v>
      </c>
    </row>
    <row r="25" spans="1:6">
      <c r="A25" s="4" t="s">
        <v>692</v>
      </c>
      <c r="B25" s="4" t="s">
        <v>693</v>
      </c>
      <c r="C25" s="4" t="s">
        <v>47</v>
      </c>
      <c r="D25" s="4" t="s">
        <v>48</v>
      </c>
      <c r="E25" s="4" t="s">
        <v>694</v>
      </c>
      <c r="F25" s="4" t="s">
        <v>633</v>
      </c>
    </row>
    <row r="26" spans="1:6">
      <c r="A26" s="4" t="s">
        <v>695</v>
      </c>
      <c r="B26" s="4" t="s">
        <v>696</v>
      </c>
      <c r="C26" s="4" t="s">
        <v>47</v>
      </c>
      <c r="D26" s="4" t="s">
        <v>48</v>
      </c>
      <c r="E26" s="4" t="s">
        <v>697</v>
      </c>
      <c r="F26" s="4" t="s">
        <v>637</v>
      </c>
    </row>
    <row r="27" spans="1:6">
      <c r="A27" s="4" t="s">
        <v>698</v>
      </c>
      <c r="B27" s="4" t="s">
        <v>699</v>
      </c>
      <c r="C27" s="4" t="s">
        <v>52</v>
      </c>
      <c r="D27" s="4" t="s">
        <v>53</v>
      </c>
      <c r="E27" s="4" t="s">
        <v>700</v>
      </c>
      <c r="F27" s="4" t="s">
        <v>621</v>
      </c>
    </row>
    <row r="28" spans="1:6">
      <c r="A28" s="4" t="s">
        <v>701</v>
      </c>
      <c r="B28" s="4" t="s">
        <v>702</v>
      </c>
      <c r="C28" s="4" t="s">
        <v>52</v>
      </c>
      <c r="D28" s="4" t="s">
        <v>53</v>
      </c>
      <c r="E28" s="4" t="s">
        <v>703</v>
      </c>
      <c r="F28" s="4" t="s">
        <v>625</v>
      </c>
    </row>
    <row r="29" spans="1:6">
      <c r="A29" s="4" t="s">
        <v>704</v>
      </c>
      <c r="B29" s="4" t="s">
        <v>705</v>
      </c>
      <c r="C29" s="4" t="s">
        <v>52</v>
      </c>
      <c r="D29" s="4" t="s">
        <v>53</v>
      </c>
      <c r="E29" s="4" t="s">
        <v>706</v>
      </c>
      <c r="F29" s="4" t="s">
        <v>629</v>
      </c>
    </row>
    <row r="30" spans="1:6">
      <c r="A30" s="4" t="s">
        <v>707</v>
      </c>
      <c r="B30" s="4" t="s">
        <v>708</v>
      </c>
      <c r="C30" s="4" t="s">
        <v>52</v>
      </c>
      <c r="D30" s="4" t="s">
        <v>53</v>
      </c>
      <c r="E30" s="4" t="s">
        <v>709</v>
      </c>
      <c r="F30" s="4" t="s">
        <v>633</v>
      </c>
    </row>
    <row r="31" spans="1:6">
      <c r="A31" s="4" t="s">
        <v>710</v>
      </c>
      <c r="B31" s="4" t="s">
        <v>711</v>
      </c>
      <c r="C31" s="4" t="s">
        <v>52</v>
      </c>
      <c r="D31" s="4" t="s">
        <v>53</v>
      </c>
      <c r="E31" s="4" t="s">
        <v>712</v>
      </c>
      <c r="F31" s="4" t="s">
        <v>637</v>
      </c>
    </row>
    <row r="32" spans="1:6">
      <c r="A32" s="4" t="s">
        <v>713</v>
      </c>
      <c r="B32" s="4" t="s">
        <v>714</v>
      </c>
      <c r="C32" s="4" t="s">
        <v>57</v>
      </c>
      <c r="D32" s="4" t="s">
        <v>58</v>
      </c>
      <c r="E32" s="4" t="s">
        <v>715</v>
      </c>
      <c r="F32" s="4" t="s">
        <v>621</v>
      </c>
    </row>
    <row r="33" spans="1:6">
      <c r="A33" s="4" t="s">
        <v>716</v>
      </c>
      <c r="B33" s="4" t="s">
        <v>717</v>
      </c>
      <c r="C33" s="4" t="s">
        <v>57</v>
      </c>
      <c r="D33" s="4" t="s">
        <v>58</v>
      </c>
      <c r="E33" s="4" t="s">
        <v>718</v>
      </c>
      <c r="F33" s="4" t="s">
        <v>625</v>
      </c>
    </row>
    <row r="34" spans="1:6">
      <c r="A34" s="4" t="s">
        <v>719</v>
      </c>
      <c r="B34" s="4" t="s">
        <v>720</v>
      </c>
      <c r="C34" s="4" t="s">
        <v>57</v>
      </c>
      <c r="D34" s="4" t="s">
        <v>58</v>
      </c>
      <c r="E34" s="4" t="s">
        <v>721</v>
      </c>
      <c r="F34" s="4" t="s">
        <v>629</v>
      </c>
    </row>
    <row r="35" spans="1:6">
      <c r="A35" s="4" t="s">
        <v>722</v>
      </c>
      <c r="B35" s="4" t="s">
        <v>723</v>
      </c>
      <c r="C35" s="4" t="s">
        <v>57</v>
      </c>
      <c r="D35" s="4" t="s">
        <v>58</v>
      </c>
      <c r="E35" s="4" t="s">
        <v>724</v>
      </c>
      <c r="F35" s="4" t="s">
        <v>633</v>
      </c>
    </row>
    <row r="36" spans="1:6">
      <c r="A36" s="4" t="s">
        <v>725</v>
      </c>
      <c r="B36" s="4" t="s">
        <v>726</v>
      </c>
      <c r="C36" s="4" t="s">
        <v>57</v>
      </c>
      <c r="D36" s="4" t="s">
        <v>58</v>
      </c>
      <c r="E36" s="4" t="s">
        <v>727</v>
      </c>
      <c r="F36" s="4" t="s">
        <v>637</v>
      </c>
    </row>
    <row r="37" spans="1:6">
      <c r="A37" s="4" t="s">
        <v>728</v>
      </c>
      <c r="B37" s="4" t="s">
        <v>729</v>
      </c>
      <c r="C37" s="4" t="s">
        <v>62</v>
      </c>
      <c r="D37" s="4" t="s">
        <v>63</v>
      </c>
      <c r="E37" s="4" t="s">
        <v>730</v>
      </c>
      <c r="F37" s="4" t="s">
        <v>621</v>
      </c>
    </row>
    <row r="38" spans="1:6">
      <c r="A38" s="4" t="s">
        <v>731</v>
      </c>
      <c r="B38" s="4" t="s">
        <v>732</v>
      </c>
      <c r="C38" s="4" t="s">
        <v>62</v>
      </c>
      <c r="D38" s="4" t="s">
        <v>63</v>
      </c>
      <c r="E38" s="4" t="s">
        <v>733</v>
      </c>
      <c r="F38" s="4" t="s">
        <v>625</v>
      </c>
    </row>
    <row r="39" spans="1:6">
      <c r="A39" s="4" t="s">
        <v>734</v>
      </c>
      <c r="B39" s="4" t="s">
        <v>735</v>
      </c>
      <c r="C39" s="4" t="s">
        <v>62</v>
      </c>
      <c r="D39" s="4" t="s">
        <v>63</v>
      </c>
      <c r="E39" s="4" t="s">
        <v>736</v>
      </c>
      <c r="F39" s="4" t="s">
        <v>629</v>
      </c>
    </row>
    <row r="40" spans="1:6">
      <c r="A40" s="4" t="s">
        <v>737</v>
      </c>
      <c r="B40" s="4" t="s">
        <v>738</v>
      </c>
      <c r="C40" s="4" t="s">
        <v>62</v>
      </c>
      <c r="D40" s="4" t="s">
        <v>63</v>
      </c>
      <c r="E40" s="4" t="s">
        <v>739</v>
      </c>
      <c r="F40" s="4" t="s">
        <v>633</v>
      </c>
    </row>
    <row r="41" spans="1:6">
      <c r="A41" s="4" t="s">
        <v>740</v>
      </c>
      <c r="B41" s="4" t="s">
        <v>741</v>
      </c>
      <c r="C41" s="4" t="s">
        <v>62</v>
      </c>
      <c r="D41" s="4" t="s">
        <v>63</v>
      </c>
      <c r="E41" s="4" t="s">
        <v>742</v>
      </c>
      <c r="F41" s="4" t="s">
        <v>637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51"/>
  <sheetViews>
    <sheetView workbookViewId="0">
      <selection activeCell="F21" sqref="F21"/>
    </sheetView>
  </sheetViews>
  <sheetFormatPr defaultRowHeight="13.8"/>
  <cols>
    <col min="1" max="1" width="12" customWidth="1"/>
    <col min="2" max="2" width="28" customWidth="1"/>
    <col min="3" max="3" width="24" customWidth="1"/>
    <col min="4" max="4" width="22" customWidth="1"/>
    <col min="5" max="5" width="16" customWidth="1"/>
    <col min="6" max="7" width="14" customWidth="1"/>
  </cols>
  <sheetData>
    <row r="1" spans="1:7" ht="27.9" customHeight="1">
      <c r="A1" s="3" t="s">
        <v>743</v>
      </c>
      <c r="B1" s="3" t="s">
        <v>744</v>
      </c>
      <c r="C1" s="3" t="s">
        <v>745</v>
      </c>
      <c r="D1" s="3" t="s">
        <v>746</v>
      </c>
      <c r="E1" s="3" t="s">
        <v>747</v>
      </c>
      <c r="F1" s="3" t="s">
        <v>748</v>
      </c>
      <c r="G1" s="3" t="s">
        <v>749</v>
      </c>
    </row>
    <row r="2" spans="1:7">
      <c r="A2" s="4" t="s">
        <v>750</v>
      </c>
      <c r="B2" s="4" t="s">
        <v>751</v>
      </c>
      <c r="C2" s="4" t="s">
        <v>752</v>
      </c>
      <c r="D2" s="4" t="s">
        <v>753</v>
      </c>
      <c r="E2" s="4" t="s">
        <v>754</v>
      </c>
      <c r="F2" s="6">
        <v>3240</v>
      </c>
      <c r="G2" s="6">
        <v>2200</v>
      </c>
    </row>
    <row r="3" spans="1:7">
      <c r="A3" s="4" t="s">
        <v>755</v>
      </c>
      <c r="B3" s="4" t="s">
        <v>756</v>
      </c>
      <c r="C3" s="4" t="s">
        <v>752</v>
      </c>
      <c r="D3" s="4" t="s">
        <v>757</v>
      </c>
      <c r="E3" s="4" t="s">
        <v>754</v>
      </c>
      <c r="F3" s="6">
        <v>3340</v>
      </c>
      <c r="G3" s="6">
        <v>2270</v>
      </c>
    </row>
    <row r="4" spans="1:7">
      <c r="A4" s="4" t="s">
        <v>758</v>
      </c>
      <c r="B4" s="4" t="s">
        <v>759</v>
      </c>
      <c r="C4" s="4" t="s">
        <v>752</v>
      </c>
      <c r="D4" s="4" t="s">
        <v>760</v>
      </c>
      <c r="E4" s="4" t="s">
        <v>761</v>
      </c>
      <c r="F4" s="6">
        <v>2840</v>
      </c>
      <c r="G4" s="6">
        <v>1930</v>
      </c>
    </row>
    <row r="5" spans="1:7">
      <c r="A5" s="4" t="s">
        <v>762</v>
      </c>
      <c r="B5" s="4" t="s">
        <v>763</v>
      </c>
      <c r="C5" s="4" t="s">
        <v>752</v>
      </c>
      <c r="D5" s="4" t="s">
        <v>764</v>
      </c>
      <c r="E5" s="4" t="s">
        <v>754</v>
      </c>
      <c r="F5" s="6">
        <v>3870</v>
      </c>
      <c r="G5" s="6">
        <v>2630</v>
      </c>
    </row>
    <row r="6" spans="1:7">
      <c r="A6" s="4" t="s">
        <v>765</v>
      </c>
      <c r="B6" s="4" t="s">
        <v>766</v>
      </c>
      <c r="C6" s="4" t="s">
        <v>752</v>
      </c>
      <c r="D6" s="4" t="s">
        <v>757</v>
      </c>
      <c r="E6" s="4" t="s">
        <v>767</v>
      </c>
      <c r="F6" s="6">
        <v>4890</v>
      </c>
      <c r="G6" s="6">
        <v>3330</v>
      </c>
    </row>
    <row r="7" spans="1:7">
      <c r="A7" s="4" t="s">
        <v>768</v>
      </c>
      <c r="B7" s="4" t="s">
        <v>769</v>
      </c>
      <c r="C7" s="4" t="s">
        <v>770</v>
      </c>
      <c r="D7" s="4" t="s">
        <v>771</v>
      </c>
      <c r="E7" s="4" t="s">
        <v>772</v>
      </c>
      <c r="F7" s="6">
        <v>7200</v>
      </c>
      <c r="G7" s="6">
        <v>5040</v>
      </c>
    </row>
    <row r="8" spans="1:7">
      <c r="A8" s="4" t="s">
        <v>773</v>
      </c>
      <c r="B8" s="4" t="s">
        <v>774</v>
      </c>
      <c r="C8" s="4" t="s">
        <v>770</v>
      </c>
      <c r="D8" s="4" t="s">
        <v>771</v>
      </c>
      <c r="E8" s="4" t="s">
        <v>767</v>
      </c>
      <c r="F8" s="6">
        <v>7430</v>
      </c>
      <c r="G8" s="6">
        <v>5200</v>
      </c>
    </row>
    <row r="9" spans="1:7">
      <c r="A9" s="4" t="s">
        <v>775</v>
      </c>
      <c r="B9" s="4" t="s">
        <v>776</v>
      </c>
      <c r="C9" s="4" t="s">
        <v>770</v>
      </c>
      <c r="D9" s="4" t="s">
        <v>771</v>
      </c>
      <c r="E9" s="4" t="s">
        <v>777</v>
      </c>
      <c r="F9" s="6">
        <v>2430</v>
      </c>
      <c r="G9" s="6">
        <v>1700</v>
      </c>
    </row>
    <row r="10" spans="1:7">
      <c r="A10" s="4" t="s">
        <v>778</v>
      </c>
      <c r="B10" s="4" t="s">
        <v>779</v>
      </c>
      <c r="C10" s="4" t="s">
        <v>770</v>
      </c>
      <c r="D10" s="4" t="s">
        <v>780</v>
      </c>
      <c r="E10" s="4" t="s">
        <v>777</v>
      </c>
      <c r="F10" s="6">
        <v>4560</v>
      </c>
      <c r="G10" s="6">
        <v>3190</v>
      </c>
    </row>
    <row r="11" spans="1:7">
      <c r="A11" s="4" t="s">
        <v>781</v>
      </c>
      <c r="B11" s="4" t="s">
        <v>782</v>
      </c>
      <c r="C11" s="4" t="s">
        <v>770</v>
      </c>
      <c r="D11" s="4" t="s">
        <v>783</v>
      </c>
      <c r="E11" s="4" t="s">
        <v>772</v>
      </c>
      <c r="F11" s="6">
        <v>3110</v>
      </c>
      <c r="G11" s="6">
        <v>2180</v>
      </c>
    </row>
    <row r="12" spans="1:7">
      <c r="A12" s="4" t="s">
        <v>784</v>
      </c>
      <c r="B12" s="4" t="s">
        <v>785</v>
      </c>
      <c r="C12" s="4" t="s">
        <v>786</v>
      </c>
      <c r="D12" s="4" t="s">
        <v>787</v>
      </c>
      <c r="E12" s="4" t="s">
        <v>777</v>
      </c>
      <c r="F12" s="6">
        <v>1870</v>
      </c>
      <c r="G12" s="6">
        <v>1030</v>
      </c>
    </row>
    <row r="13" spans="1:7">
      <c r="A13" s="4" t="s">
        <v>788</v>
      </c>
      <c r="B13" s="4" t="s">
        <v>789</v>
      </c>
      <c r="C13" s="4" t="s">
        <v>786</v>
      </c>
      <c r="D13" s="4" t="s">
        <v>787</v>
      </c>
      <c r="E13" s="4" t="s">
        <v>777</v>
      </c>
      <c r="F13" s="6">
        <v>1820</v>
      </c>
      <c r="G13" s="6">
        <v>1000</v>
      </c>
    </row>
    <row r="14" spans="1:7">
      <c r="A14" s="4" t="s">
        <v>790</v>
      </c>
      <c r="B14" s="4" t="s">
        <v>791</v>
      </c>
      <c r="C14" s="4" t="s">
        <v>786</v>
      </c>
      <c r="D14" s="4" t="s">
        <v>792</v>
      </c>
      <c r="E14" s="4" t="s">
        <v>793</v>
      </c>
      <c r="F14" s="6">
        <v>1990</v>
      </c>
      <c r="G14" s="6">
        <v>1090</v>
      </c>
    </row>
    <row r="15" spans="1:7">
      <c r="A15" s="4" t="s">
        <v>794</v>
      </c>
      <c r="B15" s="4" t="s">
        <v>795</v>
      </c>
      <c r="C15" s="4" t="s">
        <v>786</v>
      </c>
      <c r="D15" s="4" t="s">
        <v>796</v>
      </c>
      <c r="E15" s="4" t="s">
        <v>767</v>
      </c>
      <c r="F15" s="6">
        <v>880</v>
      </c>
      <c r="G15" s="6">
        <v>480</v>
      </c>
    </row>
    <row r="16" spans="1:7">
      <c r="A16" s="4" t="s">
        <v>797</v>
      </c>
      <c r="B16" s="4" t="s">
        <v>798</v>
      </c>
      <c r="C16" s="4" t="s">
        <v>786</v>
      </c>
      <c r="D16" s="4" t="s">
        <v>799</v>
      </c>
      <c r="E16" s="4" t="s">
        <v>767</v>
      </c>
      <c r="F16" s="6">
        <v>2620</v>
      </c>
      <c r="G16" s="6">
        <v>1440</v>
      </c>
    </row>
    <row r="17" spans="1:7">
      <c r="A17" s="4" t="s">
        <v>800</v>
      </c>
      <c r="B17" s="4" t="s">
        <v>801</v>
      </c>
      <c r="C17" s="4" t="s">
        <v>802</v>
      </c>
      <c r="D17" s="4" t="s">
        <v>803</v>
      </c>
      <c r="E17" s="4" t="s">
        <v>761</v>
      </c>
      <c r="F17" s="6">
        <v>1110</v>
      </c>
      <c r="G17" s="6">
        <v>870</v>
      </c>
    </row>
    <row r="18" spans="1:7">
      <c r="A18" s="4" t="s">
        <v>804</v>
      </c>
      <c r="B18" s="4" t="s">
        <v>805</v>
      </c>
      <c r="C18" s="4" t="s">
        <v>802</v>
      </c>
      <c r="D18" s="4" t="s">
        <v>806</v>
      </c>
      <c r="E18" s="4" t="s">
        <v>807</v>
      </c>
      <c r="F18" s="6">
        <v>370</v>
      </c>
      <c r="G18" s="6">
        <v>290</v>
      </c>
    </row>
    <row r="19" spans="1:7">
      <c r="A19" s="4" t="s">
        <v>808</v>
      </c>
      <c r="B19" s="4" t="s">
        <v>809</v>
      </c>
      <c r="C19" s="4" t="s">
        <v>802</v>
      </c>
      <c r="D19" s="4" t="s">
        <v>803</v>
      </c>
      <c r="E19" s="4" t="s">
        <v>793</v>
      </c>
      <c r="F19" s="6">
        <v>1710</v>
      </c>
      <c r="G19" s="6">
        <v>1330</v>
      </c>
    </row>
    <row r="20" spans="1:7">
      <c r="A20" s="4" t="s">
        <v>810</v>
      </c>
      <c r="B20" s="4" t="s">
        <v>811</v>
      </c>
      <c r="C20" s="4" t="s">
        <v>802</v>
      </c>
      <c r="D20" s="4" t="s">
        <v>812</v>
      </c>
      <c r="E20" s="4" t="s">
        <v>777</v>
      </c>
      <c r="F20" s="6">
        <v>440</v>
      </c>
      <c r="G20" s="6">
        <v>340</v>
      </c>
    </row>
    <row r="21" spans="1:7">
      <c r="A21" s="4" t="s">
        <v>813</v>
      </c>
      <c r="B21" s="4" t="s">
        <v>814</v>
      </c>
      <c r="C21" s="4" t="s">
        <v>802</v>
      </c>
      <c r="D21" s="4" t="s">
        <v>815</v>
      </c>
      <c r="E21" s="4" t="s">
        <v>767</v>
      </c>
      <c r="F21" s="6">
        <v>2140</v>
      </c>
      <c r="G21" s="6">
        <v>1670</v>
      </c>
    </row>
    <row r="22" spans="1:7">
      <c r="A22" s="4" t="s">
        <v>816</v>
      </c>
      <c r="B22" s="4" t="s">
        <v>817</v>
      </c>
      <c r="C22" s="4" t="s">
        <v>818</v>
      </c>
      <c r="D22" s="4" t="s">
        <v>819</v>
      </c>
      <c r="E22" s="4" t="s">
        <v>820</v>
      </c>
      <c r="F22" s="6">
        <v>1280</v>
      </c>
      <c r="G22" s="6">
        <v>740</v>
      </c>
    </row>
    <row r="23" spans="1:7">
      <c r="A23" s="4" t="s">
        <v>821</v>
      </c>
      <c r="B23" s="4" t="s">
        <v>822</v>
      </c>
      <c r="C23" s="4" t="s">
        <v>818</v>
      </c>
      <c r="D23" s="4" t="s">
        <v>823</v>
      </c>
      <c r="E23" s="4" t="s">
        <v>824</v>
      </c>
      <c r="F23" s="6">
        <v>1660</v>
      </c>
      <c r="G23" s="6">
        <v>960</v>
      </c>
    </row>
    <row r="24" spans="1:7">
      <c r="A24" s="4" t="s">
        <v>825</v>
      </c>
      <c r="B24" s="4" t="s">
        <v>826</v>
      </c>
      <c r="C24" s="4" t="s">
        <v>818</v>
      </c>
      <c r="D24" s="4" t="s">
        <v>819</v>
      </c>
      <c r="E24" s="4" t="s">
        <v>827</v>
      </c>
      <c r="F24" s="6">
        <v>1160</v>
      </c>
      <c r="G24" s="6">
        <v>670</v>
      </c>
    </row>
    <row r="25" spans="1:7">
      <c r="A25" s="4" t="s">
        <v>828</v>
      </c>
      <c r="B25" s="4" t="s">
        <v>829</v>
      </c>
      <c r="C25" s="4" t="s">
        <v>818</v>
      </c>
      <c r="D25" s="4" t="s">
        <v>830</v>
      </c>
      <c r="E25" s="4" t="s">
        <v>827</v>
      </c>
      <c r="F25" s="6">
        <v>1410</v>
      </c>
      <c r="G25" s="6">
        <v>820</v>
      </c>
    </row>
    <row r="26" spans="1:7">
      <c r="A26" s="4" t="s">
        <v>831</v>
      </c>
      <c r="B26" s="4" t="s">
        <v>832</v>
      </c>
      <c r="C26" s="4" t="s">
        <v>818</v>
      </c>
      <c r="D26" s="4" t="s">
        <v>833</v>
      </c>
      <c r="E26" s="4" t="s">
        <v>807</v>
      </c>
      <c r="F26" s="6">
        <v>1260</v>
      </c>
      <c r="G26" s="6">
        <v>730</v>
      </c>
    </row>
    <row r="27" spans="1:7">
      <c r="A27" s="4" t="s">
        <v>834</v>
      </c>
      <c r="B27" s="4" t="s">
        <v>835</v>
      </c>
      <c r="C27" s="4" t="s">
        <v>836</v>
      </c>
      <c r="D27" s="4" t="s">
        <v>837</v>
      </c>
      <c r="E27" s="4" t="s">
        <v>820</v>
      </c>
      <c r="F27" s="6">
        <v>3510</v>
      </c>
      <c r="G27" s="6">
        <v>2110</v>
      </c>
    </row>
    <row r="28" spans="1:7">
      <c r="A28" s="4" t="s">
        <v>838</v>
      </c>
      <c r="B28" s="4" t="s">
        <v>839</v>
      </c>
      <c r="C28" s="4" t="s">
        <v>836</v>
      </c>
      <c r="D28" s="4" t="s">
        <v>840</v>
      </c>
      <c r="E28" s="4" t="s">
        <v>754</v>
      </c>
      <c r="F28" s="6">
        <v>1210</v>
      </c>
      <c r="G28" s="6">
        <v>730</v>
      </c>
    </row>
    <row r="29" spans="1:7">
      <c r="A29" s="4" t="s">
        <v>841</v>
      </c>
      <c r="B29" s="4" t="s">
        <v>842</v>
      </c>
      <c r="C29" s="4" t="s">
        <v>836</v>
      </c>
      <c r="D29" s="4" t="s">
        <v>843</v>
      </c>
      <c r="E29" s="4" t="s">
        <v>777</v>
      </c>
      <c r="F29" s="6">
        <v>3220</v>
      </c>
      <c r="G29" s="6">
        <v>1930</v>
      </c>
    </row>
    <row r="30" spans="1:7">
      <c r="A30" s="4" t="s">
        <v>844</v>
      </c>
      <c r="B30" s="4" t="s">
        <v>845</v>
      </c>
      <c r="C30" s="4" t="s">
        <v>836</v>
      </c>
      <c r="D30" s="4" t="s">
        <v>846</v>
      </c>
      <c r="E30" s="4" t="s">
        <v>807</v>
      </c>
      <c r="F30" s="6">
        <v>2680</v>
      </c>
      <c r="G30" s="6">
        <v>1610</v>
      </c>
    </row>
    <row r="31" spans="1:7">
      <c r="A31" s="4" t="s">
        <v>847</v>
      </c>
      <c r="B31" s="4" t="s">
        <v>848</v>
      </c>
      <c r="C31" s="4" t="s">
        <v>836</v>
      </c>
      <c r="D31" s="4" t="s">
        <v>849</v>
      </c>
      <c r="E31" s="4" t="s">
        <v>793</v>
      </c>
      <c r="F31" s="6">
        <v>1870</v>
      </c>
      <c r="G31" s="6">
        <v>1120</v>
      </c>
    </row>
    <row r="32" spans="1:7">
      <c r="A32" s="4" t="s">
        <v>850</v>
      </c>
      <c r="B32" s="4" t="s">
        <v>851</v>
      </c>
      <c r="C32" s="4" t="s">
        <v>852</v>
      </c>
      <c r="D32" s="4" t="s">
        <v>853</v>
      </c>
      <c r="E32" s="4" t="s">
        <v>824</v>
      </c>
      <c r="F32" s="6">
        <v>2640</v>
      </c>
      <c r="G32" s="6">
        <v>1640</v>
      </c>
    </row>
    <row r="33" spans="1:7">
      <c r="A33" s="4" t="s">
        <v>854</v>
      </c>
      <c r="B33" s="4" t="s">
        <v>855</v>
      </c>
      <c r="C33" s="4" t="s">
        <v>852</v>
      </c>
      <c r="D33" s="4" t="s">
        <v>855</v>
      </c>
      <c r="E33" s="4" t="s">
        <v>824</v>
      </c>
      <c r="F33" s="6">
        <v>3720</v>
      </c>
      <c r="G33" s="6">
        <v>2310</v>
      </c>
    </row>
    <row r="34" spans="1:7">
      <c r="A34" s="4" t="s">
        <v>856</v>
      </c>
      <c r="B34" s="4" t="s">
        <v>857</v>
      </c>
      <c r="C34" s="4" t="s">
        <v>852</v>
      </c>
      <c r="D34" s="4" t="s">
        <v>858</v>
      </c>
      <c r="E34" s="4" t="s">
        <v>761</v>
      </c>
      <c r="F34" s="6">
        <v>3100</v>
      </c>
      <c r="G34" s="6">
        <v>1920</v>
      </c>
    </row>
    <row r="35" spans="1:7">
      <c r="A35" s="4" t="s">
        <v>859</v>
      </c>
      <c r="B35" s="4" t="s">
        <v>860</v>
      </c>
      <c r="C35" s="4" t="s">
        <v>852</v>
      </c>
      <c r="D35" s="4" t="s">
        <v>861</v>
      </c>
      <c r="E35" s="4" t="s">
        <v>767</v>
      </c>
      <c r="F35" s="6">
        <v>2730</v>
      </c>
      <c r="G35" s="6">
        <v>1690</v>
      </c>
    </row>
    <row r="36" spans="1:7">
      <c r="A36" s="4" t="s">
        <v>862</v>
      </c>
      <c r="B36" s="4" t="s">
        <v>863</v>
      </c>
      <c r="C36" s="4" t="s">
        <v>852</v>
      </c>
      <c r="D36" s="4" t="s">
        <v>861</v>
      </c>
      <c r="E36" s="4" t="s">
        <v>767</v>
      </c>
      <c r="F36" s="6">
        <v>1110</v>
      </c>
      <c r="G36" s="6">
        <v>690</v>
      </c>
    </row>
    <row r="37" spans="1:7">
      <c r="A37" s="4" t="s">
        <v>864</v>
      </c>
      <c r="B37" s="4" t="s">
        <v>865</v>
      </c>
      <c r="C37" s="4" t="s">
        <v>866</v>
      </c>
      <c r="D37" s="4" t="s">
        <v>867</v>
      </c>
      <c r="E37" s="4" t="s">
        <v>754</v>
      </c>
      <c r="F37" s="6">
        <v>400</v>
      </c>
      <c r="G37" s="6">
        <v>200</v>
      </c>
    </row>
    <row r="38" spans="1:7">
      <c r="A38" s="4" t="s">
        <v>868</v>
      </c>
      <c r="B38" s="4" t="s">
        <v>869</v>
      </c>
      <c r="C38" s="4" t="s">
        <v>866</v>
      </c>
      <c r="D38" s="4" t="s">
        <v>870</v>
      </c>
      <c r="E38" s="4" t="s">
        <v>807</v>
      </c>
      <c r="F38" s="6">
        <v>340</v>
      </c>
      <c r="G38" s="6">
        <v>170</v>
      </c>
    </row>
    <row r="39" spans="1:7">
      <c r="A39" s="4" t="s">
        <v>871</v>
      </c>
      <c r="B39" s="4" t="s">
        <v>872</v>
      </c>
      <c r="C39" s="4" t="s">
        <v>866</v>
      </c>
      <c r="D39" s="4" t="s">
        <v>873</v>
      </c>
      <c r="E39" s="4" t="s">
        <v>807</v>
      </c>
      <c r="F39" s="6">
        <v>340</v>
      </c>
      <c r="G39" s="6">
        <v>170</v>
      </c>
    </row>
    <row r="40" spans="1:7">
      <c r="A40" s="4" t="s">
        <v>874</v>
      </c>
      <c r="B40" s="4" t="s">
        <v>875</v>
      </c>
      <c r="C40" s="4" t="s">
        <v>866</v>
      </c>
      <c r="D40" s="4" t="s">
        <v>870</v>
      </c>
      <c r="E40" s="4" t="s">
        <v>761</v>
      </c>
      <c r="F40" s="6">
        <v>1040</v>
      </c>
      <c r="G40" s="6">
        <v>520</v>
      </c>
    </row>
    <row r="41" spans="1:7">
      <c r="A41" s="4" t="s">
        <v>876</v>
      </c>
      <c r="B41" s="4" t="s">
        <v>877</v>
      </c>
      <c r="C41" s="4" t="s">
        <v>866</v>
      </c>
      <c r="D41" s="4" t="s">
        <v>873</v>
      </c>
      <c r="E41" s="4" t="s">
        <v>820</v>
      </c>
      <c r="F41" s="6">
        <v>760</v>
      </c>
      <c r="G41" s="6">
        <v>380</v>
      </c>
    </row>
    <row r="42" spans="1:7">
      <c r="A42" s="4" t="s">
        <v>878</v>
      </c>
      <c r="B42" s="4" t="s">
        <v>879</v>
      </c>
      <c r="C42" s="4" t="s">
        <v>880</v>
      </c>
      <c r="D42" s="4" t="s">
        <v>881</v>
      </c>
      <c r="E42" s="4" t="s">
        <v>772</v>
      </c>
      <c r="F42" s="6">
        <v>840</v>
      </c>
      <c r="G42" s="6">
        <v>460</v>
      </c>
    </row>
    <row r="43" spans="1:7">
      <c r="A43" s="4" t="s">
        <v>882</v>
      </c>
      <c r="B43" s="4" t="s">
        <v>883</v>
      </c>
      <c r="C43" s="4" t="s">
        <v>880</v>
      </c>
      <c r="D43" s="4" t="s">
        <v>884</v>
      </c>
      <c r="E43" s="4" t="s">
        <v>767</v>
      </c>
      <c r="F43" s="6">
        <v>1820</v>
      </c>
      <c r="G43" s="6">
        <v>1000</v>
      </c>
    </row>
    <row r="44" spans="1:7">
      <c r="A44" s="4" t="s">
        <v>885</v>
      </c>
      <c r="B44" s="4" t="s">
        <v>886</v>
      </c>
      <c r="C44" s="4" t="s">
        <v>880</v>
      </c>
      <c r="D44" s="4" t="s">
        <v>881</v>
      </c>
      <c r="E44" s="4" t="s">
        <v>793</v>
      </c>
      <c r="F44" s="6">
        <v>2200</v>
      </c>
      <c r="G44" s="6">
        <v>1210</v>
      </c>
    </row>
    <row r="45" spans="1:7">
      <c r="A45" s="4" t="s">
        <v>887</v>
      </c>
      <c r="B45" s="4" t="s">
        <v>888</v>
      </c>
      <c r="C45" s="4" t="s">
        <v>880</v>
      </c>
      <c r="D45" s="4" t="s">
        <v>889</v>
      </c>
      <c r="E45" s="4" t="s">
        <v>793</v>
      </c>
      <c r="F45" s="6">
        <v>2250</v>
      </c>
      <c r="G45" s="6">
        <v>1240</v>
      </c>
    </row>
    <row r="46" spans="1:7">
      <c r="A46" s="4" t="s">
        <v>890</v>
      </c>
      <c r="B46" s="4" t="s">
        <v>891</v>
      </c>
      <c r="C46" s="4" t="s">
        <v>880</v>
      </c>
      <c r="D46" s="4" t="s">
        <v>892</v>
      </c>
      <c r="E46" s="4" t="s">
        <v>827</v>
      </c>
      <c r="F46" s="6">
        <v>840</v>
      </c>
      <c r="G46" s="6">
        <v>460</v>
      </c>
    </row>
    <row r="47" spans="1:7">
      <c r="A47" s="4" t="s">
        <v>893</v>
      </c>
      <c r="B47" s="4" t="s">
        <v>894</v>
      </c>
      <c r="C47" s="4" t="s">
        <v>895</v>
      </c>
      <c r="D47" s="4" t="s">
        <v>896</v>
      </c>
      <c r="E47" s="4" t="s">
        <v>793</v>
      </c>
      <c r="F47" s="6">
        <v>4380</v>
      </c>
      <c r="G47" s="6">
        <v>3150</v>
      </c>
    </row>
    <row r="48" spans="1:7">
      <c r="A48" s="4" t="s">
        <v>897</v>
      </c>
      <c r="B48" s="4" t="s">
        <v>898</v>
      </c>
      <c r="C48" s="4" t="s">
        <v>895</v>
      </c>
      <c r="D48" s="4" t="s">
        <v>899</v>
      </c>
      <c r="E48" s="4" t="s">
        <v>777</v>
      </c>
      <c r="F48" s="6">
        <v>11680</v>
      </c>
      <c r="G48" s="6">
        <v>8410</v>
      </c>
    </row>
    <row r="49" spans="1:7">
      <c r="A49" s="4" t="s">
        <v>900</v>
      </c>
      <c r="B49" s="4" t="s">
        <v>901</v>
      </c>
      <c r="C49" s="4" t="s">
        <v>895</v>
      </c>
      <c r="D49" s="4" t="s">
        <v>902</v>
      </c>
      <c r="E49" s="4" t="s">
        <v>824</v>
      </c>
      <c r="F49" s="6">
        <v>5320</v>
      </c>
      <c r="G49" s="6">
        <v>3830</v>
      </c>
    </row>
    <row r="50" spans="1:7">
      <c r="A50" s="4" t="s">
        <v>903</v>
      </c>
      <c r="B50" s="4" t="s">
        <v>904</v>
      </c>
      <c r="C50" s="4" t="s">
        <v>895</v>
      </c>
      <c r="D50" s="4" t="s">
        <v>902</v>
      </c>
      <c r="E50" s="4" t="s">
        <v>827</v>
      </c>
      <c r="F50" s="6">
        <v>4230</v>
      </c>
      <c r="G50" s="6">
        <v>3050</v>
      </c>
    </row>
    <row r="51" spans="1:7">
      <c r="A51" s="4" t="s">
        <v>905</v>
      </c>
      <c r="B51" s="4" t="s">
        <v>906</v>
      </c>
      <c r="C51" s="4" t="s">
        <v>895</v>
      </c>
      <c r="D51" s="4" t="s">
        <v>899</v>
      </c>
      <c r="E51" s="4" t="s">
        <v>824</v>
      </c>
      <c r="F51" s="6">
        <v>5870</v>
      </c>
      <c r="G51" s="6">
        <v>4230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9"/>
  <sheetViews>
    <sheetView workbookViewId="0">
      <selection activeCell="F21" sqref="F21"/>
    </sheetView>
  </sheetViews>
  <sheetFormatPr defaultRowHeight="13.8"/>
  <cols>
    <col min="1" max="1" width="16" customWidth="1"/>
    <col min="2" max="2" width="24" customWidth="1"/>
    <col min="3" max="3" width="12" customWidth="1"/>
    <col min="4" max="5" width="18" customWidth="1"/>
    <col min="6" max="6" width="14" customWidth="1"/>
    <col min="7" max="7" width="17.3984375" bestFit="1" customWidth="1"/>
  </cols>
  <sheetData>
    <row r="1" spans="1:7" ht="27.9" customHeight="1">
      <c r="A1" s="3" t="s">
        <v>907</v>
      </c>
      <c r="B1" s="3" t="s">
        <v>908</v>
      </c>
      <c r="C1" s="3" t="s">
        <v>21</v>
      </c>
      <c r="D1" s="3" t="s">
        <v>22</v>
      </c>
      <c r="E1" s="3" t="s">
        <v>909</v>
      </c>
      <c r="F1" s="3" t="s">
        <v>910</v>
      </c>
      <c r="G1" s="3" t="s">
        <v>911</v>
      </c>
    </row>
    <row r="2" spans="1:7">
      <c r="A2" s="4" t="s">
        <v>912</v>
      </c>
      <c r="B2" s="4" t="s">
        <v>913</v>
      </c>
      <c r="C2" s="4" t="s">
        <v>27</v>
      </c>
      <c r="D2" s="4" t="s">
        <v>28</v>
      </c>
      <c r="E2" s="4" t="s">
        <v>618</v>
      </c>
      <c r="F2" s="5">
        <v>43568</v>
      </c>
      <c r="G2" s="4">
        <v>7</v>
      </c>
    </row>
    <row r="3" spans="1:7">
      <c r="A3" s="4" t="s">
        <v>914</v>
      </c>
      <c r="B3" s="4" t="s">
        <v>915</v>
      </c>
      <c r="C3" s="4" t="s">
        <v>27</v>
      </c>
      <c r="D3" s="4" t="s">
        <v>28</v>
      </c>
      <c r="E3" s="4" t="s">
        <v>622</v>
      </c>
      <c r="F3" s="5">
        <v>44469</v>
      </c>
      <c r="G3" s="4">
        <v>5</v>
      </c>
    </row>
    <row r="4" spans="1:7">
      <c r="A4" s="4" t="s">
        <v>916</v>
      </c>
      <c r="B4" s="4" t="s">
        <v>917</v>
      </c>
      <c r="C4" s="4" t="s">
        <v>27</v>
      </c>
      <c r="D4" s="4" t="s">
        <v>28</v>
      </c>
      <c r="E4" s="4" t="s">
        <v>626</v>
      </c>
      <c r="F4" s="5">
        <v>43885</v>
      </c>
      <c r="G4" s="4">
        <v>6</v>
      </c>
    </row>
    <row r="5" spans="1:7">
      <c r="A5" s="4" t="s">
        <v>918</v>
      </c>
      <c r="B5" s="4" t="s">
        <v>262</v>
      </c>
      <c r="C5" s="4" t="s">
        <v>27</v>
      </c>
      <c r="D5" s="4" t="s">
        <v>28</v>
      </c>
      <c r="E5" s="4" t="s">
        <v>630</v>
      </c>
      <c r="F5" s="5">
        <v>43822</v>
      </c>
      <c r="G5" s="4">
        <v>7</v>
      </c>
    </row>
    <row r="6" spans="1:7">
      <c r="A6" s="4" t="s">
        <v>919</v>
      </c>
      <c r="B6" s="4" t="s">
        <v>396</v>
      </c>
      <c r="C6" s="4" t="s">
        <v>27</v>
      </c>
      <c r="D6" s="4" t="s">
        <v>28</v>
      </c>
      <c r="E6" s="4" t="s">
        <v>634</v>
      </c>
      <c r="F6" s="5">
        <v>43596</v>
      </c>
      <c r="G6" s="4">
        <v>7</v>
      </c>
    </row>
    <row r="7" spans="1:7">
      <c r="A7" s="4" t="s">
        <v>920</v>
      </c>
      <c r="B7" s="4" t="s">
        <v>921</v>
      </c>
      <c r="C7" s="4" t="s">
        <v>27</v>
      </c>
      <c r="D7" s="4" t="s">
        <v>28</v>
      </c>
      <c r="E7" s="4" t="s">
        <v>618</v>
      </c>
      <c r="F7" s="5">
        <v>44361</v>
      </c>
      <c r="G7" s="4">
        <v>5</v>
      </c>
    </row>
    <row r="8" spans="1:7">
      <c r="A8" s="4" t="s">
        <v>922</v>
      </c>
      <c r="B8" s="4" t="s">
        <v>923</v>
      </c>
      <c r="C8" s="4" t="s">
        <v>32</v>
      </c>
      <c r="D8" s="4" t="s">
        <v>33</v>
      </c>
      <c r="E8" s="4" t="s">
        <v>638</v>
      </c>
      <c r="F8" s="5">
        <v>43574</v>
      </c>
      <c r="G8" s="4">
        <v>7</v>
      </c>
    </row>
    <row r="9" spans="1:7">
      <c r="A9" s="4" t="s">
        <v>924</v>
      </c>
      <c r="B9" s="4" t="s">
        <v>925</v>
      </c>
      <c r="C9" s="4" t="s">
        <v>32</v>
      </c>
      <c r="D9" s="4" t="s">
        <v>33</v>
      </c>
      <c r="E9" s="4" t="s">
        <v>641</v>
      </c>
      <c r="F9" s="5">
        <v>45184</v>
      </c>
      <c r="G9" s="4">
        <v>3</v>
      </c>
    </row>
    <row r="10" spans="1:7">
      <c r="A10" s="4" t="s">
        <v>926</v>
      </c>
      <c r="B10" s="4" t="s">
        <v>591</v>
      </c>
      <c r="C10" s="4" t="s">
        <v>32</v>
      </c>
      <c r="D10" s="4" t="s">
        <v>33</v>
      </c>
      <c r="E10" s="4" t="s">
        <v>644</v>
      </c>
      <c r="F10" s="5">
        <v>44605</v>
      </c>
      <c r="G10" s="4">
        <v>4</v>
      </c>
    </row>
    <row r="11" spans="1:7">
      <c r="A11" s="4" t="s">
        <v>927</v>
      </c>
      <c r="B11" s="4" t="s">
        <v>928</v>
      </c>
      <c r="C11" s="4" t="s">
        <v>32</v>
      </c>
      <c r="D11" s="4" t="s">
        <v>33</v>
      </c>
      <c r="E11" s="4" t="s">
        <v>647</v>
      </c>
      <c r="F11" s="5">
        <v>44119</v>
      </c>
      <c r="G11" s="4">
        <v>6</v>
      </c>
    </row>
    <row r="12" spans="1:7">
      <c r="A12" s="4" t="s">
        <v>929</v>
      </c>
      <c r="B12" s="4" t="s">
        <v>930</v>
      </c>
      <c r="C12" s="4" t="s">
        <v>32</v>
      </c>
      <c r="D12" s="4" t="s">
        <v>33</v>
      </c>
      <c r="E12" s="4" t="s">
        <v>650</v>
      </c>
      <c r="F12" s="5">
        <v>44859</v>
      </c>
      <c r="G12" s="4">
        <v>4</v>
      </c>
    </row>
    <row r="13" spans="1:7">
      <c r="A13" s="4" t="s">
        <v>931</v>
      </c>
      <c r="B13" s="4" t="s">
        <v>128</v>
      </c>
      <c r="C13" s="4" t="s">
        <v>32</v>
      </c>
      <c r="D13" s="4" t="s">
        <v>33</v>
      </c>
      <c r="E13" s="4" t="s">
        <v>638</v>
      </c>
      <c r="F13" s="5">
        <v>44347</v>
      </c>
      <c r="G13" s="4">
        <v>5</v>
      </c>
    </row>
    <row r="14" spans="1:7">
      <c r="A14" s="4" t="s">
        <v>932</v>
      </c>
      <c r="B14" s="4" t="s">
        <v>933</v>
      </c>
      <c r="C14" s="4" t="s">
        <v>37</v>
      </c>
      <c r="D14" s="4" t="s">
        <v>38</v>
      </c>
      <c r="E14" s="4" t="s">
        <v>653</v>
      </c>
      <c r="F14" s="5">
        <v>43884</v>
      </c>
      <c r="G14" s="4">
        <v>6</v>
      </c>
    </row>
    <row r="15" spans="1:7">
      <c r="A15" s="4" t="s">
        <v>934</v>
      </c>
      <c r="B15" s="4" t="s">
        <v>935</v>
      </c>
      <c r="C15" s="4" t="s">
        <v>37</v>
      </c>
      <c r="D15" s="4" t="s">
        <v>38</v>
      </c>
      <c r="E15" s="4" t="s">
        <v>656</v>
      </c>
      <c r="F15" s="5">
        <v>43862</v>
      </c>
      <c r="G15" s="4">
        <v>6</v>
      </c>
    </row>
    <row r="16" spans="1:7">
      <c r="A16" s="4" t="s">
        <v>936</v>
      </c>
      <c r="B16" s="4" t="s">
        <v>937</v>
      </c>
      <c r="C16" s="4" t="s">
        <v>37</v>
      </c>
      <c r="D16" s="4" t="s">
        <v>38</v>
      </c>
      <c r="E16" s="4" t="s">
        <v>659</v>
      </c>
      <c r="F16" s="5">
        <v>44549</v>
      </c>
      <c r="G16" s="4">
        <v>5</v>
      </c>
    </row>
    <row r="17" spans="1:7">
      <c r="A17" s="4" t="s">
        <v>938</v>
      </c>
      <c r="B17" s="4" t="s">
        <v>364</v>
      </c>
      <c r="C17" s="4" t="s">
        <v>37</v>
      </c>
      <c r="D17" s="4" t="s">
        <v>38</v>
      </c>
      <c r="E17" s="4" t="s">
        <v>662</v>
      </c>
      <c r="F17" s="5">
        <v>43977</v>
      </c>
      <c r="G17" s="4">
        <v>6</v>
      </c>
    </row>
    <row r="18" spans="1:7">
      <c r="A18" s="4" t="s">
        <v>939</v>
      </c>
      <c r="B18" s="4" t="s">
        <v>940</v>
      </c>
      <c r="C18" s="4" t="s">
        <v>37</v>
      </c>
      <c r="D18" s="4" t="s">
        <v>38</v>
      </c>
      <c r="E18" s="4" t="s">
        <v>665</v>
      </c>
      <c r="F18" s="5">
        <v>43788</v>
      </c>
      <c r="G18" s="4">
        <v>7</v>
      </c>
    </row>
    <row r="19" spans="1:7">
      <c r="A19" s="4" t="s">
        <v>941</v>
      </c>
      <c r="B19" s="4" t="s">
        <v>942</v>
      </c>
      <c r="C19" s="4" t="s">
        <v>37</v>
      </c>
      <c r="D19" s="4" t="s">
        <v>38</v>
      </c>
      <c r="E19" s="4" t="s">
        <v>653</v>
      </c>
      <c r="F19" s="5">
        <v>44947</v>
      </c>
      <c r="G19" s="4">
        <v>3</v>
      </c>
    </row>
    <row r="20" spans="1:7">
      <c r="A20" s="4" t="s">
        <v>943</v>
      </c>
      <c r="B20" s="4" t="s">
        <v>318</v>
      </c>
      <c r="C20" s="4" t="s">
        <v>42</v>
      </c>
      <c r="D20" s="4" t="s">
        <v>43</v>
      </c>
      <c r="E20" s="4" t="s">
        <v>668</v>
      </c>
      <c r="F20" s="5">
        <v>43750</v>
      </c>
      <c r="G20" s="4">
        <v>7</v>
      </c>
    </row>
    <row r="21" spans="1:7">
      <c r="A21" s="4" t="s">
        <v>944</v>
      </c>
      <c r="B21" s="4" t="s">
        <v>218</v>
      </c>
      <c r="C21" s="4" t="s">
        <v>42</v>
      </c>
      <c r="D21" s="4" t="s">
        <v>43</v>
      </c>
      <c r="E21" s="4" t="s">
        <v>671</v>
      </c>
      <c r="F21" s="5">
        <v>44651</v>
      </c>
      <c r="G21" s="4">
        <v>4</v>
      </c>
    </row>
    <row r="22" spans="1:7">
      <c r="A22" s="4" t="s">
        <v>945</v>
      </c>
      <c r="B22" s="4" t="s">
        <v>946</v>
      </c>
      <c r="C22" s="4" t="s">
        <v>42</v>
      </c>
      <c r="D22" s="4" t="s">
        <v>43</v>
      </c>
      <c r="E22" s="4" t="s">
        <v>674</v>
      </c>
      <c r="F22" s="5">
        <v>43879</v>
      </c>
      <c r="G22" s="4">
        <v>6</v>
      </c>
    </row>
    <row r="23" spans="1:7">
      <c r="A23" s="4" t="s">
        <v>947</v>
      </c>
      <c r="B23" s="4" t="s">
        <v>948</v>
      </c>
      <c r="C23" s="4" t="s">
        <v>42</v>
      </c>
      <c r="D23" s="4" t="s">
        <v>43</v>
      </c>
      <c r="E23" s="4" t="s">
        <v>677</v>
      </c>
      <c r="F23" s="5">
        <v>45323</v>
      </c>
      <c r="G23" s="4">
        <v>2</v>
      </c>
    </row>
    <row r="24" spans="1:7">
      <c r="A24" s="4" t="s">
        <v>949</v>
      </c>
      <c r="B24" s="4" t="s">
        <v>373</v>
      </c>
      <c r="C24" s="4" t="s">
        <v>42</v>
      </c>
      <c r="D24" s="4" t="s">
        <v>43</v>
      </c>
      <c r="E24" s="4" t="s">
        <v>680</v>
      </c>
      <c r="F24" s="5">
        <v>44132</v>
      </c>
      <c r="G24" s="4">
        <v>6</v>
      </c>
    </row>
    <row r="25" spans="1:7">
      <c r="A25" s="4" t="s">
        <v>950</v>
      </c>
      <c r="B25" s="4" t="s">
        <v>951</v>
      </c>
      <c r="C25" s="4" t="s">
        <v>42</v>
      </c>
      <c r="D25" s="4" t="s">
        <v>43</v>
      </c>
      <c r="E25" s="4" t="s">
        <v>668</v>
      </c>
      <c r="F25" s="5">
        <v>43758</v>
      </c>
      <c r="G25" s="4">
        <v>7</v>
      </c>
    </row>
    <row r="26" spans="1:7">
      <c r="A26" s="4" t="s">
        <v>952</v>
      </c>
      <c r="B26" s="4" t="s">
        <v>549</v>
      </c>
      <c r="C26" s="4" t="s">
        <v>47</v>
      </c>
      <c r="D26" s="4" t="s">
        <v>48</v>
      </c>
      <c r="E26" s="4" t="s">
        <v>683</v>
      </c>
      <c r="F26" s="5">
        <v>44468</v>
      </c>
      <c r="G26" s="4">
        <v>5</v>
      </c>
    </row>
    <row r="27" spans="1:7">
      <c r="A27" s="4" t="s">
        <v>953</v>
      </c>
      <c r="B27" s="4" t="s">
        <v>594</v>
      </c>
      <c r="C27" s="4" t="s">
        <v>47</v>
      </c>
      <c r="D27" s="4" t="s">
        <v>48</v>
      </c>
      <c r="E27" s="4" t="s">
        <v>686</v>
      </c>
      <c r="F27" s="5">
        <v>45020</v>
      </c>
      <c r="G27" s="4">
        <v>3</v>
      </c>
    </row>
    <row r="28" spans="1:7">
      <c r="A28" s="4" t="s">
        <v>954</v>
      </c>
      <c r="B28" s="4" t="s">
        <v>208</v>
      </c>
      <c r="C28" s="4" t="s">
        <v>47</v>
      </c>
      <c r="D28" s="4" t="s">
        <v>48</v>
      </c>
      <c r="E28" s="4" t="s">
        <v>689</v>
      </c>
      <c r="F28" s="5">
        <v>44365</v>
      </c>
      <c r="G28" s="4">
        <v>5</v>
      </c>
    </row>
    <row r="29" spans="1:7">
      <c r="A29" s="4" t="s">
        <v>955</v>
      </c>
      <c r="B29" s="4" t="s">
        <v>80</v>
      </c>
      <c r="C29" s="4" t="s">
        <v>47</v>
      </c>
      <c r="D29" s="4" t="s">
        <v>48</v>
      </c>
      <c r="E29" s="4" t="s">
        <v>692</v>
      </c>
      <c r="F29" s="5">
        <v>43695</v>
      </c>
      <c r="G29" s="4">
        <v>7</v>
      </c>
    </row>
    <row r="30" spans="1:7">
      <c r="A30" s="4" t="s">
        <v>956</v>
      </c>
      <c r="B30" s="4" t="s">
        <v>957</v>
      </c>
      <c r="C30" s="4" t="s">
        <v>47</v>
      </c>
      <c r="D30" s="4" t="s">
        <v>48</v>
      </c>
      <c r="E30" s="4" t="s">
        <v>695</v>
      </c>
      <c r="F30" s="5">
        <v>44758</v>
      </c>
      <c r="G30" s="4">
        <v>4</v>
      </c>
    </row>
    <row r="31" spans="1:7">
      <c r="A31" s="4" t="s">
        <v>958</v>
      </c>
      <c r="B31" s="4" t="s">
        <v>959</v>
      </c>
      <c r="C31" s="4" t="s">
        <v>47</v>
      </c>
      <c r="D31" s="4" t="s">
        <v>48</v>
      </c>
      <c r="E31" s="4" t="s">
        <v>683</v>
      </c>
      <c r="F31" s="5">
        <v>44754</v>
      </c>
      <c r="G31" s="4">
        <v>4</v>
      </c>
    </row>
    <row r="32" spans="1:7">
      <c r="A32" s="4" t="s">
        <v>960</v>
      </c>
      <c r="B32" s="4" t="s">
        <v>169</v>
      </c>
      <c r="C32" s="4" t="s">
        <v>52</v>
      </c>
      <c r="D32" s="4" t="s">
        <v>53</v>
      </c>
      <c r="E32" s="4" t="s">
        <v>698</v>
      </c>
      <c r="F32" s="5">
        <v>45086</v>
      </c>
      <c r="G32" s="4">
        <v>3</v>
      </c>
    </row>
    <row r="33" spans="1:7">
      <c r="A33" s="4" t="s">
        <v>961</v>
      </c>
      <c r="B33" s="4" t="s">
        <v>962</v>
      </c>
      <c r="C33" s="4" t="s">
        <v>52</v>
      </c>
      <c r="D33" s="4" t="s">
        <v>53</v>
      </c>
      <c r="E33" s="4" t="s">
        <v>701</v>
      </c>
      <c r="F33" s="5">
        <v>44051</v>
      </c>
      <c r="G33" s="4">
        <v>6</v>
      </c>
    </row>
    <row r="34" spans="1:7">
      <c r="A34" s="4" t="s">
        <v>963</v>
      </c>
      <c r="B34" s="4" t="s">
        <v>178</v>
      </c>
      <c r="C34" s="4" t="s">
        <v>52</v>
      </c>
      <c r="D34" s="4" t="s">
        <v>53</v>
      </c>
      <c r="E34" s="4" t="s">
        <v>704</v>
      </c>
      <c r="F34" s="5">
        <v>45220</v>
      </c>
      <c r="G34" s="4">
        <v>3</v>
      </c>
    </row>
    <row r="35" spans="1:7">
      <c r="A35" s="4" t="s">
        <v>964</v>
      </c>
      <c r="B35" s="4" t="s">
        <v>271</v>
      </c>
      <c r="C35" s="4" t="s">
        <v>52</v>
      </c>
      <c r="D35" s="4" t="s">
        <v>53</v>
      </c>
      <c r="E35" s="4" t="s">
        <v>707</v>
      </c>
      <c r="F35" s="5">
        <v>45101</v>
      </c>
      <c r="G35" s="4">
        <v>3</v>
      </c>
    </row>
    <row r="36" spans="1:7">
      <c r="A36" s="4" t="s">
        <v>965</v>
      </c>
      <c r="B36" s="4" t="s">
        <v>166</v>
      </c>
      <c r="C36" s="4" t="s">
        <v>52</v>
      </c>
      <c r="D36" s="4" t="s">
        <v>53</v>
      </c>
      <c r="E36" s="4" t="s">
        <v>710</v>
      </c>
      <c r="F36" s="5">
        <v>44032</v>
      </c>
      <c r="G36" s="4">
        <v>6</v>
      </c>
    </row>
    <row r="37" spans="1:7">
      <c r="A37" s="4" t="s">
        <v>966</v>
      </c>
      <c r="B37" s="4" t="s">
        <v>967</v>
      </c>
      <c r="C37" s="4" t="s">
        <v>52</v>
      </c>
      <c r="D37" s="4" t="s">
        <v>53</v>
      </c>
      <c r="E37" s="4" t="s">
        <v>698</v>
      </c>
      <c r="F37" s="5">
        <v>43838</v>
      </c>
      <c r="G37" s="4">
        <v>6</v>
      </c>
    </row>
    <row r="38" spans="1:7">
      <c r="A38" s="4" t="s">
        <v>968</v>
      </c>
      <c r="B38" s="4" t="s">
        <v>969</v>
      </c>
      <c r="C38" s="4" t="s">
        <v>57</v>
      </c>
      <c r="D38" s="4" t="s">
        <v>58</v>
      </c>
      <c r="E38" s="4" t="s">
        <v>713</v>
      </c>
      <c r="F38" s="5">
        <v>43915</v>
      </c>
      <c r="G38" s="4">
        <v>6</v>
      </c>
    </row>
    <row r="39" spans="1:7">
      <c r="A39" s="4" t="s">
        <v>970</v>
      </c>
      <c r="B39" s="4" t="s">
        <v>971</v>
      </c>
      <c r="C39" s="4" t="s">
        <v>57</v>
      </c>
      <c r="D39" s="4" t="s">
        <v>58</v>
      </c>
      <c r="E39" s="4" t="s">
        <v>716</v>
      </c>
      <c r="F39" s="5">
        <v>45195</v>
      </c>
      <c r="G39" s="4">
        <v>3</v>
      </c>
    </row>
    <row r="40" spans="1:7">
      <c r="A40" s="4" t="s">
        <v>972</v>
      </c>
      <c r="B40" s="4" t="s">
        <v>973</v>
      </c>
      <c r="C40" s="4" t="s">
        <v>57</v>
      </c>
      <c r="D40" s="4" t="s">
        <v>58</v>
      </c>
      <c r="E40" s="4" t="s">
        <v>719</v>
      </c>
      <c r="F40" s="5">
        <v>45042</v>
      </c>
      <c r="G40" s="4">
        <v>3</v>
      </c>
    </row>
    <row r="41" spans="1:7">
      <c r="A41" s="4" t="s">
        <v>974</v>
      </c>
      <c r="B41" s="4" t="s">
        <v>975</v>
      </c>
      <c r="C41" s="4" t="s">
        <v>57</v>
      </c>
      <c r="D41" s="4" t="s">
        <v>58</v>
      </c>
      <c r="E41" s="4" t="s">
        <v>722</v>
      </c>
      <c r="F41" s="5">
        <v>45383</v>
      </c>
      <c r="G41" s="4">
        <v>2</v>
      </c>
    </row>
    <row r="42" spans="1:7">
      <c r="A42" s="4" t="s">
        <v>976</v>
      </c>
      <c r="B42" s="4" t="s">
        <v>36</v>
      </c>
      <c r="C42" s="4" t="s">
        <v>57</v>
      </c>
      <c r="D42" s="4" t="s">
        <v>58</v>
      </c>
      <c r="E42" s="4" t="s">
        <v>725</v>
      </c>
      <c r="F42" s="5">
        <v>43513</v>
      </c>
      <c r="G42" s="4">
        <v>7</v>
      </c>
    </row>
    <row r="43" spans="1:7">
      <c r="A43" s="4" t="s">
        <v>977</v>
      </c>
      <c r="B43" s="4" t="s">
        <v>90</v>
      </c>
      <c r="C43" s="4" t="s">
        <v>57</v>
      </c>
      <c r="D43" s="4" t="s">
        <v>58</v>
      </c>
      <c r="E43" s="4" t="s">
        <v>713</v>
      </c>
      <c r="F43" s="5">
        <v>44558</v>
      </c>
      <c r="G43" s="4">
        <v>5</v>
      </c>
    </row>
    <row r="44" spans="1:7">
      <c r="A44" s="4" t="s">
        <v>978</v>
      </c>
      <c r="B44" s="4" t="s">
        <v>402</v>
      </c>
      <c r="C44" s="4" t="s">
        <v>62</v>
      </c>
      <c r="D44" s="4" t="s">
        <v>63</v>
      </c>
      <c r="E44" s="4" t="s">
        <v>728</v>
      </c>
      <c r="F44" s="5">
        <v>45246</v>
      </c>
      <c r="G44" s="4">
        <v>3</v>
      </c>
    </row>
    <row r="45" spans="1:7">
      <c r="A45" s="4" t="s">
        <v>979</v>
      </c>
      <c r="B45" s="4" t="s">
        <v>980</v>
      </c>
      <c r="C45" s="4" t="s">
        <v>62</v>
      </c>
      <c r="D45" s="4" t="s">
        <v>63</v>
      </c>
      <c r="E45" s="4" t="s">
        <v>731</v>
      </c>
      <c r="F45" s="5">
        <v>45516</v>
      </c>
      <c r="G45" s="4">
        <v>2</v>
      </c>
    </row>
    <row r="46" spans="1:7">
      <c r="A46" s="4" t="s">
        <v>981</v>
      </c>
      <c r="B46" s="4" t="s">
        <v>982</v>
      </c>
      <c r="C46" s="4" t="s">
        <v>62</v>
      </c>
      <c r="D46" s="4" t="s">
        <v>63</v>
      </c>
      <c r="E46" s="4" t="s">
        <v>734</v>
      </c>
      <c r="F46" s="5">
        <v>45545</v>
      </c>
      <c r="G46" s="4">
        <v>2</v>
      </c>
    </row>
    <row r="47" spans="1:7">
      <c r="A47" s="4" t="s">
        <v>983</v>
      </c>
      <c r="B47" s="4" t="s">
        <v>984</v>
      </c>
      <c r="C47" s="4" t="s">
        <v>62</v>
      </c>
      <c r="D47" s="4" t="s">
        <v>63</v>
      </c>
      <c r="E47" s="4" t="s">
        <v>737</v>
      </c>
      <c r="F47" s="5">
        <v>44688</v>
      </c>
      <c r="G47" s="4">
        <v>4</v>
      </c>
    </row>
    <row r="48" spans="1:7">
      <c r="A48" s="4" t="s">
        <v>985</v>
      </c>
      <c r="B48" s="4" t="s">
        <v>986</v>
      </c>
      <c r="C48" s="4" t="s">
        <v>62</v>
      </c>
      <c r="D48" s="4" t="s">
        <v>63</v>
      </c>
      <c r="E48" s="4" t="s">
        <v>740</v>
      </c>
      <c r="F48" s="5">
        <v>44280</v>
      </c>
      <c r="G48" s="4">
        <v>5</v>
      </c>
    </row>
    <row r="49" spans="1:7">
      <c r="A49" s="4" t="s">
        <v>987</v>
      </c>
      <c r="B49" s="4" t="s">
        <v>988</v>
      </c>
      <c r="C49" s="4" t="s">
        <v>62</v>
      </c>
      <c r="D49" s="4" t="s">
        <v>63</v>
      </c>
      <c r="E49" s="4" t="s">
        <v>728</v>
      </c>
      <c r="F49" s="5">
        <v>44127</v>
      </c>
      <c r="G49" s="4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1001"/>
  <sheetViews>
    <sheetView topLeftCell="B1" zoomScale="50" zoomScaleNormal="50" workbookViewId="0">
      <selection activeCell="F18" sqref="F18"/>
    </sheetView>
  </sheetViews>
  <sheetFormatPr defaultColWidth="16.796875" defaultRowHeight="13.8"/>
  <cols>
    <col min="1" max="1" width="13.296875" bestFit="1" customWidth="1"/>
    <col min="2" max="2" width="15.5" bestFit="1" customWidth="1"/>
    <col min="4" max="4" width="14.296875" bestFit="1" customWidth="1"/>
    <col min="5" max="5" width="13" bestFit="1" customWidth="1"/>
    <col min="6" max="6" width="19.09765625" bestFit="1" customWidth="1"/>
    <col min="7" max="7" width="15.19921875" bestFit="1" customWidth="1"/>
    <col min="8" max="8" width="17.8984375" bestFit="1" customWidth="1"/>
    <col min="9" max="9" width="13.19921875" bestFit="1" customWidth="1"/>
    <col min="11" max="11" width="17.8984375" bestFit="1" customWidth="1"/>
    <col min="12" max="12" width="20.796875" bestFit="1" customWidth="1"/>
    <col min="13" max="13" width="19.09765625" bestFit="1" customWidth="1"/>
    <col min="14" max="14" width="20.8984375" bestFit="1" customWidth="1"/>
    <col min="15" max="15" width="14.3984375" bestFit="1" customWidth="1"/>
    <col min="16" max="16" width="14.09765625" bestFit="1" customWidth="1"/>
    <col min="17" max="17" width="18" bestFit="1" customWidth="1"/>
    <col min="18" max="18" width="14.8984375" bestFit="1" customWidth="1"/>
    <col min="19" max="19" width="10.19921875" bestFit="1" customWidth="1"/>
    <col min="20" max="20" width="19.5" customWidth="1"/>
    <col min="21" max="21" width="18" bestFit="1" customWidth="1"/>
    <col min="22" max="22" width="11.5" customWidth="1"/>
    <col min="23" max="23" width="27.19921875" bestFit="1" customWidth="1"/>
    <col min="24" max="24" width="9.296875" bestFit="1" customWidth="1"/>
    <col min="25" max="25" width="13.3984375" bestFit="1" customWidth="1"/>
  </cols>
  <sheetData>
    <row r="1" spans="1:23" ht="30" customHeight="1">
      <c r="A1" s="18" t="s">
        <v>989</v>
      </c>
      <c r="B1" s="18" t="s">
        <v>990</v>
      </c>
      <c r="C1" s="18" t="s">
        <v>67</v>
      </c>
      <c r="D1" s="18" t="s">
        <v>21</v>
      </c>
      <c r="E1" s="18" t="s">
        <v>614</v>
      </c>
      <c r="F1" s="18" t="s">
        <v>907</v>
      </c>
      <c r="G1" s="18" t="s">
        <v>743</v>
      </c>
      <c r="H1" s="18" t="s">
        <v>991</v>
      </c>
      <c r="I1" s="18" t="s">
        <v>992</v>
      </c>
      <c r="J1" s="18" t="s">
        <v>994</v>
      </c>
      <c r="K1" s="18" t="s">
        <v>996</v>
      </c>
      <c r="L1" s="18" t="s">
        <v>997</v>
      </c>
      <c r="M1" s="19" t="s">
        <v>744</v>
      </c>
      <c r="N1" s="19" t="s">
        <v>745</v>
      </c>
      <c r="O1" s="19" t="s">
        <v>748</v>
      </c>
      <c r="P1" s="21" t="s">
        <v>749</v>
      </c>
      <c r="Q1" s="19" t="s">
        <v>993</v>
      </c>
      <c r="R1" s="21" t="s">
        <v>2074</v>
      </c>
      <c r="S1" s="19" t="s">
        <v>995</v>
      </c>
      <c r="T1" s="21" t="s">
        <v>2075</v>
      </c>
      <c r="U1" s="21" t="s">
        <v>2076</v>
      </c>
      <c r="V1" s="21" t="s">
        <v>2077</v>
      </c>
      <c r="W1" s="21" t="s">
        <v>2078</v>
      </c>
    </row>
    <row r="2" spans="1:23">
      <c r="A2" s="4" t="s">
        <v>998</v>
      </c>
      <c r="B2" s="5">
        <v>45836</v>
      </c>
      <c r="C2" s="4" t="s">
        <v>528</v>
      </c>
      <c r="D2" s="4" t="s">
        <v>57</v>
      </c>
      <c r="E2" s="4" t="s">
        <v>713</v>
      </c>
      <c r="F2" s="4" t="s">
        <v>977</v>
      </c>
      <c r="G2" s="4" t="s">
        <v>768</v>
      </c>
      <c r="H2" s="4">
        <v>1</v>
      </c>
      <c r="I2" s="7">
        <v>0.15</v>
      </c>
      <c r="J2" s="6">
        <v>8280</v>
      </c>
      <c r="K2" s="4">
        <v>9</v>
      </c>
      <c r="L2" s="8">
        <f t="shared" ref="L2:L65" si="0">MAX(1,MIN(5,ROUND(5.2-(K2*0.32)-(I2*2.2),1)))</f>
        <v>2</v>
      </c>
      <c r="M2" s="6" t="str">
        <f>_xlfn.XLOOKUP(FactSales[[#This Row],[Product_ID]],DimProduct[Product_ID],DimProduct[Product_Name])</f>
        <v>Electric Kettle</v>
      </c>
      <c r="N2" s="6" t="str">
        <f>_xlfn.XLOOKUP(FactSales[[#This Row],[Product_ID]],DimProduct[Product_ID],DimProduct[Category])</f>
        <v>Home Appliance</v>
      </c>
      <c r="O2" s="6">
        <f>_xlfn.XLOOKUP(FactSales[[#This Row],[Product_ID]],DimProduct[Product_ID],DimProduct[Unit_Price])</f>
        <v>7200</v>
      </c>
      <c r="P2" s="6">
        <f>_xlfn.XLOOKUP(FactSales[[#This Row],[Product_ID]],DimProduct[Product_ID],DimProduct[Unit_Cost])</f>
        <v>5040</v>
      </c>
      <c r="Q2" s="6">
        <f>FactSales[[#This Row],[Unit_Price]]*FactSales[[#This Row],[Quantity_Sold]]</f>
        <v>7200</v>
      </c>
      <c r="R2" s="6">
        <f>FactSales[[#This Row],[Unit_Cost]]*FactSales[[#This Row],[Quantity_Sold]]</f>
        <v>5040</v>
      </c>
      <c r="S2" s="6">
        <f>FactSales[[#This Row],[Sales_Amount]]-FactSales[[#This Row],[Total_Cost]]</f>
        <v>2160</v>
      </c>
      <c r="T2" s="6" t="str">
        <f>_xlfn.XLOOKUP(FactSales[[#This Row],[Customer_ID]],DimCustomer[Customer_ID],DimCustomer[Customer_Name])</f>
        <v>Tamanna Mia</v>
      </c>
      <c r="U2" s="6" t="str">
        <f>_xlfn.XLOOKUP(FactSales[[#This Row],[Salesperson_ID]],DimSalesman[Salesperson_ID],DimSalesman[Salesperson_Name])</f>
        <v>Tania Hossain</v>
      </c>
      <c r="V2" s="6" t="str">
        <f>_xlfn.XLOOKUP(FactSales[[#This Row],[Region_ID]],DimRegion[Region_ID],DimRegion[Region_Name])</f>
        <v>Rangpur</v>
      </c>
      <c r="W2" s="6" t="str">
        <f>_xlfn.XLOOKUP(FactSales[[#This Row],[Store_ID]],DimStore[Store_ID],DimStore[Store_Name])</f>
        <v>Rangpur Jahaj Company Store</v>
      </c>
    </row>
    <row r="3" spans="1:23">
      <c r="A3" s="4" t="s">
        <v>999</v>
      </c>
      <c r="B3" s="5">
        <v>45801</v>
      </c>
      <c r="C3" s="4" t="s">
        <v>295</v>
      </c>
      <c r="D3" s="4" t="s">
        <v>42</v>
      </c>
      <c r="E3" s="4" t="s">
        <v>677</v>
      </c>
      <c r="F3" s="4" t="s">
        <v>943</v>
      </c>
      <c r="G3" s="4" t="s">
        <v>864</v>
      </c>
      <c r="H3" s="4">
        <v>1</v>
      </c>
      <c r="I3" s="7">
        <v>0</v>
      </c>
      <c r="J3" s="6">
        <v>432</v>
      </c>
      <c r="K3" s="4">
        <v>2</v>
      </c>
      <c r="L3" s="8">
        <f t="shared" si="0"/>
        <v>4.5999999999999996</v>
      </c>
      <c r="M3" s="6" t="str">
        <f>_xlfn.XLOOKUP(FactSales[[#This Row],[Product_ID]],DimProduct[Product_ID],DimProduct[Product_Name])</f>
        <v>Notebook Pack</v>
      </c>
      <c r="N3" s="6" t="str">
        <f>_xlfn.XLOOKUP(FactSales[[#This Row],[Product_ID]],DimProduct[Product_ID],DimProduct[Category])</f>
        <v>Stationery</v>
      </c>
      <c r="O3" s="6">
        <f>_xlfn.XLOOKUP(FactSales[[#This Row],[Product_ID]],DimProduct[Product_ID],DimProduct[Unit_Price])</f>
        <v>400</v>
      </c>
      <c r="P3" s="6">
        <f>_xlfn.XLOOKUP(FactSales[[#This Row],[Product_ID]],DimProduct[Product_ID],DimProduct[Unit_Cost])</f>
        <v>200</v>
      </c>
      <c r="Q3" s="6">
        <f>FactSales[[#This Row],[Unit_Price]]*FactSales[[#This Row],[Quantity_Sold]]</f>
        <v>400</v>
      </c>
      <c r="R3" s="6">
        <f>FactSales[[#This Row],[Unit_Cost]]*FactSales[[#This Row],[Quantity_Sold]]</f>
        <v>200</v>
      </c>
      <c r="S3" s="6">
        <f>FactSales[[#This Row],[Sales_Amount]]-FactSales[[#This Row],[Total_Cost]]</f>
        <v>200</v>
      </c>
      <c r="T3" s="6" t="str">
        <f>_xlfn.XLOOKUP(FactSales[[#This Row],[Customer_ID]],DimCustomer[Customer_ID],DimCustomer[Customer_Name])</f>
        <v>Jannat Islam</v>
      </c>
      <c r="U3" s="6" t="str">
        <f>_xlfn.XLOOKUP(FactSales[[#This Row],[Salesperson_ID]],DimSalesman[Salesperson_ID],DimSalesman[Salesperson_Name])</f>
        <v>Imran Khan</v>
      </c>
      <c r="V3" s="6" t="str">
        <f>_xlfn.XLOOKUP(FactSales[[#This Row],[Region_ID]],DimRegion[Region_ID],DimRegion[Region_Name])</f>
        <v>Rajshahi</v>
      </c>
      <c r="W3" s="6" t="str">
        <f>_xlfn.XLOOKUP(FactSales[[#This Row],[Store_ID]],DimStore[Store_ID],DimStore[Store_Name])</f>
        <v>Rajshahi Railgate Store</v>
      </c>
    </row>
    <row r="4" spans="1:23">
      <c r="A4" s="4" t="s">
        <v>1000</v>
      </c>
      <c r="B4" s="5">
        <v>45744</v>
      </c>
      <c r="C4" s="4" t="s">
        <v>297</v>
      </c>
      <c r="D4" s="4" t="s">
        <v>42</v>
      </c>
      <c r="E4" s="4" t="s">
        <v>671</v>
      </c>
      <c r="F4" s="4" t="s">
        <v>947</v>
      </c>
      <c r="G4" s="4" t="s">
        <v>778</v>
      </c>
      <c r="H4" s="4">
        <v>4</v>
      </c>
      <c r="I4" s="7">
        <v>0.08</v>
      </c>
      <c r="J4" s="6">
        <v>19699</v>
      </c>
      <c r="K4" s="4">
        <v>7</v>
      </c>
      <c r="L4" s="8">
        <f t="shared" si="0"/>
        <v>2.8</v>
      </c>
      <c r="M4" s="6" t="str">
        <f>_xlfn.XLOOKUP(FactSales[[#This Row],[Product_ID]],DimProduct[Product_ID],DimProduct[Product_Name])</f>
        <v>Steam Iron</v>
      </c>
      <c r="N4" s="6" t="str">
        <f>_xlfn.XLOOKUP(FactSales[[#This Row],[Product_ID]],DimProduct[Product_ID],DimProduct[Category])</f>
        <v>Home Appliance</v>
      </c>
      <c r="O4" s="6">
        <f>_xlfn.XLOOKUP(FactSales[[#This Row],[Product_ID]],DimProduct[Product_ID],DimProduct[Unit_Price])</f>
        <v>4560</v>
      </c>
      <c r="P4" s="6">
        <f>_xlfn.XLOOKUP(FactSales[[#This Row],[Product_ID]],DimProduct[Product_ID],DimProduct[Unit_Cost])</f>
        <v>3190</v>
      </c>
      <c r="Q4" s="6">
        <f>FactSales[[#This Row],[Unit_Price]]*FactSales[[#This Row],[Quantity_Sold]]</f>
        <v>18240</v>
      </c>
      <c r="R4" s="6">
        <f>FactSales[[#This Row],[Unit_Cost]]*FactSales[[#This Row],[Quantity_Sold]]</f>
        <v>12760</v>
      </c>
      <c r="S4" s="6">
        <f>FactSales[[#This Row],[Sales_Amount]]-FactSales[[#This Row],[Total_Cost]]</f>
        <v>5480</v>
      </c>
      <c r="T4" s="6" t="str">
        <f>_xlfn.XLOOKUP(FactSales[[#This Row],[Customer_ID]],DimCustomer[Customer_ID],DimCustomer[Customer_Name])</f>
        <v>Tanjim Akter</v>
      </c>
      <c r="U4" s="6" t="str">
        <f>_xlfn.XLOOKUP(FactSales[[#This Row],[Salesperson_ID]],DimSalesman[Salesperson_ID],DimSalesman[Salesperson_Name])</f>
        <v>Farhana Rahman</v>
      </c>
      <c r="V4" s="6" t="str">
        <f>_xlfn.XLOOKUP(FactSales[[#This Row],[Region_ID]],DimRegion[Region_ID],DimRegion[Region_Name])</f>
        <v>Rajshahi</v>
      </c>
      <c r="W4" s="6" t="str">
        <f>_xlfn.XLOOKUP(FactSales[[#This Row],[Store_ID]],DimStore[Store_ID],DimStore[Store_Name])</f>
        <v>Rajshahi Kazla Store</v>
      </c>
    </row>
    <row r="5" spans="1:23">
      <c r="A5" s="4" t="s">
        <v>1001</v>
      </c>
      <c r="B5" s="5">
        <v>46130</v>
      </c>
      <c r="C5" s="4" t="s">
        <v>562</v>
      </c>
      <c r="D5" s="4" t="s">
        <v>62</v>
      </c>
      <c r="E5" s="4" t="s">
        <v>728</v>
      </c>
      <c r="F5" s="4" t="s">
        <v>981</v>
      </c>
      <c r="G5" s="4" t="s">
        <v>758</v>
      </c>
      <c r="H5" s="4">
        <v>3</v>
      </c>
      <c r="I5" s="7">
        <v>0.15</v>
      </c>
      <c r="J5" s="6">
        <v>9202</v>
      </c>
      <c r="K5" s="4">
        <v>4</v>
      </c>
      <c r="L5" s="8">
        <f t="shared" si="0"/>
        <v>3.6</v>
      </c>
      <c r="M5" s="6" t="str">
        <f>_xlfn.XLOOKUP(FactSales[[#This Row],[Product_ID]],DimProduct[Product_ID],DimProduct[Product_Name])</f>
        <v>Power Bank</v>
      </c>
      <c r="N5" s="6" t="str">
        <f>_xlfn.XLOOKUP(FactSales[[#This Row],[Product_ID]],DimProduct[Product_ID],DimProduct[Category])</f>
        <v>Electronics</v>
      </c>
      <c r="O5" s="6">
        <f>_xlfn.XLOOKUP(FactSales[[#This Row],[Product_ID]],DimProduct[Product_ID],DimProduct[Unit_Price])</f>
        <v>2840</v>
      </c>
      <c r="P5" s="6">
        <f>_xlfn.XLOOKUP(FactSales[[#This Row],[Product_ID]],DimProduct[Product_ID],DimProduct[Unit_Cost])</f>
        <v>1930</v>
      </c>
      <c r="Q5" s="6">
        <f>FactSales[[#This Row],[Unit_Price]]*FactSales[[#This Row],[Quantity_Sold]]</f>
        <v>8520</v>
      </c>
      <c r="R5" s="6">
        <f>FactSales[[#This Row],[Unit_Cost]]*FactSales[[#This Row],[Quantity_Sold]]</f>
        <v>5790</v>
      </c>
      <c r="S5" s="6">
        <f>FactSales[[#This Row],[Sales_Amount]]-FactSales[[#This Row],[Total_Cost]]</f>
        <v>2730</v>
      </c>
      <c r="T5" s="6" t="str">
        <f>_xlfn.XLOOKUP(FactSales[[#This Row],[Customer_ID]],DimCustomer[Customer_ID],DimCustomer[Customer_Name])</f>
        <v>Shamim Hossain</v>
      </c>
      <c r="U5" s="6" t="str">
        <f>_xlfn.XLOOKUP(FactSales[[#This Row],[Salesperson_ID]],DimSalesman[Salesperson_ID],DimSalesman[Salesperson_Name])</f>
        <v>Morshed Islam</v>
      </c>
      <c r="V5" s="6" t="str">
        <f>_xlfn.XLOOKUP(FactSales[[#This Row],[Region_ID]],DimRegion[Region_ID],DimRegion[Region_Name])</f>
        <v>Mymensingh</v>
      </c>
      <c r="W5" s="6" t="str">
        <f>_xlfn.XLOOKUP(FactSales[[#This Row],[Store_ID]],DimStore[Store_ID],DimStore[Store_Name])</f>
        <v>Mymensingh Ganginarpar Store</v>
      </c>
    </row>
    <row r="6" spans="1:23">
      <c r="A6" s="4" t="s">
        <v>1002</v>
      </c>
      <c r="B6" s="5">
        <v>45834</v>
      </c>
      <c r="C6" s="4" t="s">
        <v>525</v>
      </c>
      <c r="D6" s="4" t="s">
        <v>57</v>
      </c>
      <c r="E6" s="4" t="s">
        <v>713</v>
      </c>
      <c r="F6" s="4" t="s">
        <v>974</v>
      </c>
      <c r="G6" s="4" t="s">
        <v>841</v>
      </c>
      <c r="H6" s="4">
        <v>2</v>
      </c>
      <c r="I6" s="7">
        <v>0.05</v>
      </c>
      <c r="J6" s="6">
        <v>7406</v>
      </c>
      <c r="K6" s="4">
        <v>6</v>
      </c>
      <c r="L6" s="8">
        <f t="shared" si="0"/>
        <v>3.2</v>
      </c>
      <c r="M6" s="6" t="str">
        <f>_xlfn.XLOOKUP(FactSales[[#This Row],[Product_ID]],DimProduct[Product_ID],DimProduct[Product_Name])</f>
        <v>Ladies Sandal</v>
      </c>
      <c r="N6" s="6" t="str">
        <f>_xlfn.XLOOKUP(FactSales[[#This Row],[Product_ID]],DimProduct[Product_ID],DimProduct[Category])</f>
        <v>Footwear</v>
      </c>
      <c r="O6" s="6">
        <f>_xlfn.XLOOKUP(FactSales[[#This Row],[Product_ID]],DimProduct[Product_ID],DimProduct[Unit_Price])</f>
        <v>3220</v>
      </c>
      <c r="P6" s="6">
        <f>_xlfn.XLOOKUP(FactSales[[#This Row],[Product_ID]],DimProduct[Product_ID],DimProduct[Unit_Cost])</f>
        <v>1930</v>
      </c>
      <c r="Q6" s="6">
        <f>FactSales[[#This Row],[Unit_Price]]*FactSales[[#This Row],[Quantity_Sold]]</f>
        <v>6440</v>
      </c>
      <c r="R6" s="6">
        <f>FactSales[[#This Row],[Unit_Cost]]*FactSales[[#This Row],[Quantity_Sold]]</f>
        <v>3860</v>
      </c>
      <c r="S6" s="6">
        <f>FactSales[[#This Row],[Sales_Amount]]-FactSales[[#This Row],[Total_Cost]]</f>
        <v>2580</v>
      </c>
      <c r="T6" s="6" t="str">
        <f>_xlfn.XLOOKUP(FactSales[[#This Row],[Customer_ID]],DimCustomer[Customer_ID],DimCustomer[Customer_Name])</f>
        <v>Tamanna Mia</v>
      </c>
      <c r="U6" s="6" t="str">
        <f>_xlfn.XLOOKUP(FactSales[[#This Row],[Salesperson_ID]],DimSalesman[Salesperson_ID],DimSalesman[Salesperson_Name])</f>
        <v>Farhana Uddin</v>
      </c>
      <c r="V6" s="6" t="str">
        <f>_xlfn.XLOOKUP(FactSales[[#This Row],[Region_ID]],DimRegion[Region_ID],DimRegion[Region_Name])</f>
        <v>Rangpur</v>
      </c>
      <c r="W6" s="6" t="str">
        <f>_xlfn.XLOOKUP(FactSales[[#This Row],[Store_ID]],DimStore[Store_ID],DimStore[Store_Name])</f>
        <v>Rangpur Jahaj Company Store</v>
      </c>
    </row>
    <row r="7" spans="1:23">
      <c r="A7" s="4" t="s">
        <v>1003</v>
      </c>
      <c r="B7" s="5">
        <v>45960</v>
      </c>
      <c r="C7" s="4" t="s">
        <v>220</v>
      </c>
      <c r="D7" s="4" t="s">
        <v>37</v>
      </c>
      <c r="E7" s="4" t="s">
        <v>665</v>
      </c>
      <c r="F7" s="4" t="s">
        <v>939</v>
      </c>
      <c r="G7" s="4" t="s">
        <v>825</v>
      </c>
      <c r="H7" s="4">
        <v>2</v>
      </c>
      <c r="I7" s="7">
        <v>0.12</v>
      </c>
      <c r="J7" s="6">
        <v>2482</v>
      </c>
      <c r="K7" s="4">
        <v>5</v>
      </c>
      <c r="L7" s="8">
        <f t="shared" si="0"/>
        <v>3.3</v>
      </c>
      <c r="M7" s="6" t="str">
        <f>_xlfn.XLOOKUP(FactSales[[#This Row],[Product_ID]],DimProduct[Product_ID],DimProduct[Product_Name])</f>
        <v>Body Lotion</v>
      </c>
      <c r="N7" s="6" t="str">
        <f>_xlfn.XLOOKUP(FactSales[[#This Row],[Product_ID]],DimProduct[Product_ID],DimProduct[Category])</f>
        <v>Beauty &amp; Personal Care</v>
      </c>
      <c r="O7" s="6">
        <f>_xlfn.XLOOKUP(FactSales[[#This Row],[Product_ID]],DimProduct[Product_ID],DimProduct[Unit_Price])</f>
        <v>1160</v>
      </c>
      <c r="P7" s="6">
        <f>_xlfn.XLOOKUP(FactSales[[#This Row],[Product_ID]],DimProduct[Product_ID],DimProduct[Unit_Cost])</f>
        <v>670</v>
      </c>
      <c r="Q7" s="6">
        <f>FactSales[[#This Row],[Unit_Price]]*FactSales[[#This Row],[Quantity_Sold]]</f>
        <v>2320</v>
      </c>
      <c r="R7" s="6">
        <f>FactSales[[#This Row],[Unit_Cost]]*FactSales[[#This Row],[Quantity_Sold]]</f>
        <v>1340</v>
      </c>
      <c r="S7" s="6">
        <f>FactSales[[#This Row],[Sales_Amount]]-FactSales[[#This Row],[Total_Cost]]</f>
        <v>980</v>
      </c>
      <c r="T7" s="6" t="str">
        <f>_xlfn.XLOOKUP(FactSales[[#This Row],[Customer_ID]],DimCustomer[Customer_ID],DimCustomer[Customer_Name])</f>
        <v>Rafi Hossain</v>
      </c>
      <c r="U7" s="6" t="str">
        <f>_xlfn.XLOOKUP(FactSales[[#This Row],[Salesperson_ID]],DimSalesman[Salesperson_ID],DimSalesman[Salesperson_Name])</f>
        <v>Fahim Mia</v>
      </c>
      <c r="V7" s="6" t="str">
        <f>_xlfn.XLOOKUP(FactSales[[#This Row],[Region_ID]],DimRegion[Region_ID],DimRegion[Region_Name])</f>
        <v>Sylhet</v>
      </c>
      <c r="W7" s="6" t="str">
        <f>_xlfn.XLOOKUP(FactSales[[#This Row],[Store_ID]],DimStore[Store_ID],DimStore[Store_Name])</f>
        <v>Sylhet Upashahar Store</v>
      </c>
    </row>
    <row r="8" spans="1:23">
      <c r="A8" s="4" t="s">
        <v>1004</v>
      </c>
      <c r="B8" s="5">
        <v>46087</v>
      </c>
      <c r="C8" s="4" t="s">
        <v>553</v>
      </c>
      <c r="D8" s="4" t="s">
        <v>62</v>
      </c>
      <c r="E8" s="4" t="s">
        <v>728</v>
      </c>
      <c r="F8" s="4" t="s">
        <v>981</v>
      </c>
      <c r="G8" s="4" t="s">
        <v>778</v>
      </c>
      <c r="H8" s="4">
        <v>3</v>
      </c>
      <c r="I8" s="7">
        <v>0.1</v>
      </c>
      <c r="J8" s="6">
        <v>14774</v>
      </c>
      <c r="K8" s="4">
        <v>4</v>
      </c>
      <c r="L8" s="8">
        <f t="shared" si="0"/>
        <v>3.7</v>
      </c>
      <c r="M8" s="6" t="str">
        <f>_xlfn.XLOOKUP(FactSales[[#This Row],[Product_ID]],DimProduct[Product_ID],DimProduct[Product_Name])</f>
        <v>Steam Iron</v>
      </c>
      <c r="N8" s="6" t="str">
        <f>_xlfn.XLOOKUP(FactSales[[#This Row],[Product_ID]],DimProduct[Product_ID],DimProduct[Category])</f>
        <v>Home Appliance</v>
      </c>
      <c r="O8" s="6">
        <f>_xlfn.XLOOKUP(FactSales[[#This Row],[Product_ID]],DimProduct[Product_ID],DimProduct[Unit_Price])</f>
        <v>4560</v>
      </c>
      <c r="P8" s="6">
        <f>_xlfn.XLOOKUP(FactSales[[#This Row],[Product_ID]],DimProduct[Product_ID],DimProduct[Unit_Cost])</f>
        <v>3190</v>
      </c>
      <c r="Q8" s="6">
        <f>FactSales[[#This Row],[Unit_Price]]*FactSales[[#This Row],[Quantity_Sold]]</f>
        <v>13680</v>
      </c>
      <c r="R8" s="6">
        <f>FactSales[[#This Row],[Unit_Cost]]*FactSales[[#This Row],[Quantity_Sold]]</f>
        <v>9570</v>
      </c>
      <c r="S8" s="6">
        <f>FactSales[[#This Row],[Sales_Amount]]-FactSales[[#This Row],[Total_Cost]]</f>
        <v>4110</v>
      </c>
      <c r="T8" s="6" t="str">
        <f>_xlfn.XLOOKUP(FactSales[[#This Row],[Customer_ID]],DimCustomer[Customer_ID],DimCustomer[Customer_Name])</f>
        <v>Karim Chowdhury</v>
      </c>
      <c r="U8" s="6" t="str">
        <f>_xlfn.XLOOKUP(FactSales[[#This Row],[Salesperson_ID]],DimSalesman[Salesperson_ID],DimSalesman[Salesperson_Name])</f>
        <v>Morshed Islam</v>
      </c>
      <c r="V8" s="6" t="str">
        <f>_xlfn.XLOOKUP(FactSales[[#This Row],[Region_ID]],DimRegion[Region_ID],DimRegion[Region_Name])</f>
        <v>Mymensingh</v>
      </c>
      <c r="W8" s="6" t="str">
        <f>_xlfn.XLOOKUP(FactSales[[#This Row],[Store_ID]],DimStore[Store_ID],DimStore[Store_Name])</f>
        <v>Mymensingh Ganginarpar Store</v>
      </c>
    </row>
    <row r="9" spans="1:23">
      <c r="A9" s="4" t="s">
        <v>1005</v>
      </c>
      <c r="B9" s="5">
        <v>46154</v>
      </c>
      <c r="C9" s="4" t="s">
        <v>109</v>
      </c>
      <c r="D9" s="4" t="s">
        <v>27</v>
      </c>
      <c r="E9" s="4" t="s">
        <v>626</v>
      </c>
      <c r="F9" s="4" t="s">
        <v>918</v>
      </c>
      <c r="G9" s="4" t="s">
        <v>808</v>
      </c>
      <c r="H9" s="4">
        <v>2</v>
      </c>
      <c r="I9" s="7">
        <v>0.03</v>
      </c>
      <c r="J9" s="6">
        <v>3625</v>
      </c>
      <c r="K9" s="4">
        <v>1</v>
      </c>
      <c r="L9" s="8">
        <f t="shared" si="0"/>
        <v>4.8</v>
      </c>
      <c r="M9" s="6" t="str">
        <f>_xlfn.XLOOKUP(FactSales[[#This Row],[Product_ID]],DimProduct[Product_ID],DimProduct[Product_Name])</f>
        <v>Lentil 1kg</v>
      </c>
      <c r="N9" s="6" t="str">
        <f>_xlfn.XLOOKUP(FactSales[[#This Row],[Product_ID]],DimProduct[Product_ID],DimProduct[Category])</f>
        <v>Grocery</v>
      </c>
      <c r="O9" s="6">
        <f>_xlfn.XLOOKUP(FactSales[[#This Row],[Product_ID]],DimProduct[Product_ID],DimProduct[Unit_Price])</f>
        <v>1710</v>
      </c>
      <c r="P9" s="6">
        <f>_xlfn.XLOOKUP(FactSales[[#This Row],[Product_ID]],DimProduct[Product_ID],DimProduct[Unit_Cost])</f>
        <v>1330</v>
      </c>
      <c r="Q9" s="6">
        <f>FactSales[[#This Row],[Unit_Price]]*FactSales[[#This Row],[Quantity_Sold]]</f>
        <v>3420</v>
      </c>
      <c r="R9" s="6">
        <f>FactSales[[#This Row],[Unit_Cost]]*FactSales[[#This Row],[Quantity_Sold]]</f>
        <v>2660</v>
      </c>
      <c r="S9" s="6">
        <f>FactSales[[#This Row],[Sales_Amount]]-FactSales[[#This Row],[Total_Cost]]</f>
        <v>760</v>
      </c>
      <c r="T9" s="6" t="str">
        <f>_xlfn.XLOOKUP(FactSales[[#This Row],[Customer_ID]],DimCustomer[Customer_ID],DimCustomer[Customer_Name])</f>
        <v>Arif Hossain</v>
      </c>
      <c r="U9" s="6" t="str">
        <f>_xlfn.XLOOKUP(FactSales[[#This Row],[Salesperson_ID]],DimSalesman[Salesperson_ID],DimSalesman[Salesperson_Name])</f>
        <v>Tania Sultana</v>
      </c>
      <c r="V9" s="6" t="str">
        <f>_xlfn.XLOOKUP(FactSales[[#This Row],[Region_ID]],DimRegion[Region_ID],DimRegion[Region_Name])</f>
        <v>Dhaka</v>
      </c>
      <c r="W9" s="6" t="str">
        <f>_xlfn.XLOOKUP(FactSales[[#This Row],[Store_ID]],DimStore[Store_ID],DimStore[Store_Name])</f>
        <v>Dhaka Mirpur Store</v>
      </c>
    </row>
    <row r="10" spans="1:23">
      <c r="A10" s="4" t="s">
        <v>1006</v>
      </c>
      <c r="B10" s="5">
        <v>45882</v>
      </c>
      <c r="C10" s="4" t="s">
        <v>507</v>
      </c>
      <c r="D10" s="4" t="s">
        <v>57</v>
      </c>
      <c r="E10" s="4" t="s">
        <v>716</v>
      </c>
      <c r="F10" s="4" t="s">
        <v>968</v>
      </c>
      <c r="G10" s="4" t="s">
        <v>773</v>
      </c>
      <c r="H10" s="4">
        <v>1</v>
      </c>
      <c r="I10" s="7">
        <v>0.12</v>
      </c>
      <c r="J10" s="6">
        <v>8544</v>
      </c>
      <c r="K10" s="4">
        <v>13</v>
      </c>
      <c r="L10" s="8">
        <f t="shared" si="0"/>
        <v>1</v>
      </c>
      <c r="M10" s="6" t="str">
        <f>_xlfn.XLOOKUP(FactSales[[#This Row],[Product_ID]],DimProduct[Product_ID],DimProduct[Product_Name])</f>
        <v>Rice Cooker</v>
      </c>
      <c r="N10" s="6" t="str">
        <f>_xlfn.XLOOKUP(FactSales[[#This Row],[Product_ID]],DimProduct[Product_ID],DimProduct[Category])</f>
        <v>Home Appliance</v>
      </c>
      <c r="O10" s="6">
        <f>_xlfn.XLOOKUP(FactSales[[#This Row],[Product_ID]],DimProduct[Product_ID],DimProduct[Unit_Price])</f>
        <v>7430</v>
      </c>
      <c r="P10" s="6">
        <f>_xlfn.XLOOKUP(FactSales[[#This Row],[Product_ID]],DimProduct[Product_ID],DimProduct[Unit_Cost])</f>
        <v>5200</v>
      </c>
      <c r="Q10" s="6">
        <f>FactSales[[#This Row],[Unit_Price]]*FactSales[[#This Row],[Quantity_Sold]]</f>
        <v>7430</v>
      </c>
      <c r="R10" s="6">
        <f>FactSales[[#This Row],[Unit_Cost]]*FactSales[[#This Row],[Quantity_Sold]]</f>
        <v>5200</v>
      </c>
      <c r="S10" s="6">
        <f>FactSales[[#This Row],[Sales_Amount]]-FactSales[[#This Row],[Total_Cost]]</f>
        <v>2230</v>
      </c>
      <c r="T10" s="6" t="str">
        <f>_xlfn.XLOOKUP(FactSales[[#This Row],[Customer_ID]],DimCustomer[Customer_ID],DimCustomer[Customer_Name])</f>
        <v>Samiha Uddin</v>
      </c>
      <c r="U10" s="6" t="str">
        <f>_xlfn.XLOOKUP(FactSales[[#This Row],[Salesperson_ID]],DimSalesman[Salesperson_ID],DimSalesman[Salesperson_Name])</f>
        <v>Morshed Ahmed</v>
      </c>
      <c r="V10" s="6" t="str">
        <f>_xlfn.XLOOKUP(FactSales[[#This Row],[Region_ID]],DimRegion[Region_ID],DimRegion[Region_Name])</f>
        <v>Rangpur</v>
      </c>
      <c r="W10" s="6" t="str">
        <f>_xlfn.XLOOKUP(FactSales[[#This Row],[Store_ID]],DimStore[Store_ID],DimStore[Store_Name])</f>
        <v>Rangpur Shapla Chattar Store</v>
      </c>
    </row>
    <row r="11" spans="1:23">
      <c r="A11" s="4" t="s">
        <v>1007</v>
      </c>
      <c r="B11" s="5">
        <v>45760</v>
      </c>
      <c r="C11" s="4" t="s">
        <v>486</v>
      </c>
      <c r="D11" s="4" t="s">
        <v>52</v>
      </c>
      <c r="E11" s="4" t="s">
        <v>710</v>
      </c>
      <c r="F11" s="4" t="s">
        <v>961</v>
      </c>
      <c r="G11" s="4" t="s">
        <v>903</v>
      </c>
      <c r="H11" s="4">
        <v>1</v>
      </c>
      <c r="I11" s="7">
        <v>7.0000000000000007E-2</v>
      </c>
      <c r="J11" s="6">
        <v>4738</v>
      </c>
      <c r="K11" s="4">
        <v>9</v>
      </c>
      <c r="L11" s="8">
        <f t="shared" si="0"/>
        <v>2.2000000000000002</v>
      </c>
      <c r="M11" s="6" t="str">
        <f>_xlfn.XLOOKUP(FactSales[[#This Row],[Product_ID]],DimProduct[Product_ID],DimProduct[Product_Name])</f>
        <v>Bookshelf</v>
      </c>
      <c r="N11" s="6" t="str">
        <f>_xlfn.XLOOKUP(FactSales[[#This Row],[Product_ID]],DimProduct[Product_ID],DimProduct[Category])</f>
        <v>Furniture</v>
      </c>
      <c r="O11" s="6">
        <f>_xlfn.XLOOKUP(FactSales[[#This Row],[Product_ID]],DimProduct[Product_ID],DimProduct[Unit_Price])</f>
        <v>4230</v>
      </c>
      <c r="P11" s="6">
        <f>_xlfn.XLOOKUP(FactSales[[#This Row],[Product_ID]],DimProduct[Product_ID],DimProduct[Unit_Cost])</f>
        <v>3050</v>
      </c>
      <c r="Q11" s="6">
        <f>FactSales[[#This Row],[Unit_Price]]*FactSales[[#This Row],[Quantity_Sold]]</f>
        <v>4230</v>
      </c>
      <c r="R11" s="6">
        <f>FactSales[[#This Row],[Unit_Cost]]*FactSales[[#This Row],[Quantity_Sold]]</f>
        <v>3050</v>
      </c>
      <c r="S11" s="6">
        <f>FactSales[[#This Row],[Sales_Amount]]-FactSales[[#This Row],[Total_Cost]]</f>
        <v>1180</v>
      </c>
      <c r="T11" s="6" t="str">
        <f>_xlfn.XLOOKUP(FactSales[[#This Row],[Customer_ID]],DimCustomer[Customer_ID],DimCustomer[Customer_Name])</f>
        <v>Fahim Khan</v>
      </c>
      <c r="U11" s="6" t="str">
        <f>_xlfn.XLOOKUP(FactSales[[#This Row],[Salesperson_ID]],DimSalesman[Salesperson_ID],DimSalesman[Salesperson_Name])</f>
        <v>Shaila Akter</v>
      </c>
      <c r="V11" s="6" t="str">
        <f>_xlfn.XLOOKUP(FactSales[[#This Row],[Region_ID]],DimRegion[Region_ID],DimRegion[Region_Name])</f>
        <v>Barishal</v>
      </c>
      <c r="W11" s="6" t="str">
        <f>_xlfn.XLOOKUP(FactSales[[#This Row],[Store_ID]],DimStore[Store_ID],DimStore[Store_Name])</f>
        <v>Barishal Kawnia Store</v>
      </c>
    </row>
    <row r="12" spans="1:23">
      <c r="A12" s="4" t="s">
        <v>1008</v>
      </c>
      <c r="B12" s="5">
        <v>46055</v>
      </c>
      <c r="C12" s="4" t="s">
        <v>145</v>
      </c>
      <c r="D12" s="4" t="s">
        <v>27</v>
      </c>
      <c r="E12" s="4" t="s">
        <v>622</v>
      </c>
      <c r="F12" s="4" t="s">
        <v>919</v>
      </c>
      <c r="G12" s="4" t="s">
        <v>874</v>
      </c>
      <c r="H12" s="4">
        <v>2</v>
      </c>
      <c r="I12" s="7">
        <v>0.02</v>
      </c>
      <c r="J12" s="6">
        <v>2205</v>
      </c>
      <c r="K12" s="4">
        <v>3</v>
      </c>
      <c r="L12" s="8">
        <f t="shared" si="0"/>
        <v>4.2</v>
      </c>
      <c r="M12" s="6" t="str">
        <f>_xlfn.XLOOKUP(FactSales[[#This Row],[Product_ID]],DimProduct[Product_ID],DimProduct[Product_Name])</f>
        <v>Marker Set</v>
      </c>
      <c r="N12" s="6" t="str">
        <f>_xlfn.XLOOKUP(FactSales[[#This Row],[Product_ID]],DimProduct[Product_ID],DimProduct[Category])</f>
        <v>Stationery</v>
      </c>
      <c r="O12" s="6">
        <f>_xlfn.XLOOKUP(FactSales[[#This Row],[Product_ID]],DimProduct[Product_ID],DimProduct[Unit_Price])</f>
        <v>1040</v>
      </c>
      <c r="P12" s="6">
        <f>_xlfn.XLOOKUP(FactSales[[#This Row],[Product_ID]],DimProduct[Product_ID],DimProduct[Unit_Cost])</f>
        <v>520</v>
      </c>
      <c r="Q12" s="6">
        <f>FactSales[[#This Row],[Unit_Price]]*FactSales[[#This Row],[Quantity_Sold]]</f>
        <v>2080</v>
      </c>
      <c r="R12" s="6">
        <f>FactSales[[#This Row],[Unit_Cost]]*FactSales[[#This Row],[Quantity_Sold]]</f>
        <v>1040</v>
      </c>
      <c r="S12" s="6">
        <f>FactSales[[#This Row],[Sales_Amount]]-FactSales[[#This Row],[Total_Cost]]</f>
        <v>1040</v>
      </c>
      <c r="T12" s="6" t="str">
        <f>_xlfn.XLOOKUP(FactSales[[#This Row],[Customer_ID]],DimCustomer[Customer_ID],DimCustomer[Customer_Name])</f>
        <v>Nabila Sultana</v>
      </c>
      <c r="U12" s="6" t="str">
        <f>_xlfn.XLOOKUP(FactSales[[#This Row],[Salesperson_ID]],DimSalesman[Salesperson_ID],DimSalesman[Salesperson_Name])</f>
        <v>Imran Mia</v>
      </c>
      <c r="V12" s="6" t="str">
        <f>_xlfn.XLOOKUP(FactSales[[#This Row],[Region_ID]],DimRegion[Region_ID],DimRegion[Region_Name])</f>
        <v>Dhaka</v>
      </c>
      <c r="W12" s="6" t="str">
        <f>_xlfn.XLOOKUP(FactSales[[#This Row],[Store_ID]],DimStore[Store_ID],DimStore[Store_Name])</f>
        <v>Dhaka Dhanmondi Store</v>
      </c>
    </row>
    <row r="13" spans="1:23">
      <c r="A13" s="4" t="s">
        <v>1009</v>
      </c>
      <c r="B13" s="5">
        <v>45803</v>
      </c>
      <c r="C13" s="4" t="s">
        <v>470</v>
      </c>
      <c r="D13" s="4" t="s">
        <v>52</v>
      </c>
      <c r="E13" s="4" t="s">
        <v>698</v>
      </c>
      <c r="F13" s="4" t="s">
        <v>966</v>
      </c>
      <c r="G13" s="4" t="s">
        <v>844</v>
      </c>
      <c r="H13" s="4">
        <v>3</v>
      </c>
      <c r="I13" s="7">
        <v>0.05</v>
      </c>
      <c r="J13" s="6">
        <v>9005</v>
      </c>
      <c r="K13" s="4">
        <v>7</v>
      </c>
      <c r="L13" s="8">
        <f t="shared" si="0"/>
        <v>2.9</v>
      </c>
      <c r="M13" s="6" t="str">
        <f>_xlfn.XLOOKUP(FactSales[[#This Row],[Product_ID]],DimProduct[Product_ID],DimProduct[Product_Name])</f>
        <v>Kids Sneaker</v>
      </c>
      <c r="N13" s="6" t="str">
        <f>_xlfn.XLOOKUP(FactSales[[#This Row],[Product_ID]],DimProduct[Product_ID],DimProduct[Category])</f>
        <v>Footwear</v>
      </c>
      <c r="O13" s="6">
        <f>_xlfn.XLOOKUP(FactSales[[#This Row],[Product_ID]],DimProduct[Product_ID],DimProduct[Unit_Price])</f>
        <v>2680</v>
      </c>
      <c r="P13" s="6">
        <f>_xlfn.XLOOKUP(FactSales[[#This Row],[Product_ID]],DimProduct[Product_ID],DimProduct[Unit_Cost])</f>
        <v>1610</v>
      </c>
      <c r="Q13" s="6">
        <f>FactSales[[#This Row],[Unit_Price]]*FactSales[[#This Row],[Quantity_Sold]]</f>
        <v>8040</v>
      </c>
      <c r="R13" s="6">
        <f>FactSales[[#This Row],[Unit_Cost]]*FactSales[[#This Row],[Quantity_Sold]]</f>
        <v>4830</v>
      </c>
      <c r="S13" s="6">
        <f>FactSales[[#This Row],[Sales_Amount]]-FactSales[[#This Row],[Total_Cost]]</f>
        <v>3210</v>
      </c>
      <c r="T13" s="6" t="str">
        <f>_xlfn.XLOOKUP(FactSales[[#This Row],[Customer_ID]],DimCustomer[Customer_ID],DimCustomer[Customer_Name])</f>
        <v>Imran Chowdhury</v>
      </c>
      <c r="U13" s="6" t="str">
        <f>_xlfn.XLOOKUP(FactSales[[#This Row],[Salesperson_ID]],DimSalesman[Salesperson_ID],DimSalesman[Salesperson_Name])</f>
        <v>Nayeem Akter</v>
      </c>
      <c r="V13" s="6" t="str">
        <f>_xlfn.XLOOKUP(FactSales[[#This Row],[Region_ID]],DimRegion[Region_ID],DimRegion[Region_Name])</f>
        <v>Barishal</v>
      </c>
      <c r="W13" s="6" t="str">
        <f>_xlfn.XLOOKUP(FactSales[[#This Row],[Store_ID]],DimStore[Store_ID],DimStore[Store_Name])</f>
        <v>Barishal Nathullabad Store</v>
      </c>
    </row>
    <row r="14" spans="1:23">
      <c r="A14" s="4" t="s">
        <v>1010</v>
      </c>
      <c r="B14" s="5">
        <v>45750</v>
      </c>
      <c r="C14" s="4" t="s">
        <v>593</v>
      </c>
      <c r="D14" s="4" t="s">
        <v>62</v>
      </c>
      <c r="E14" s="4" t="s">
        <v>734</v>
      </c>
      <c r="F14" s="4" t="s">
        <v>979</v>
      </c>
      <c r="G14" s="4" t="s">
        <v>794</v>
      </c>
      <c r="H14" s="4">
        <v>3</v>
      </c>
      <c r="I14" s="7">
        <v>0.05</v>
      </c>
      <c r="J14" s="6">
        <v>2851</v>
      </c>
      <c r="K14" s="4">
        <v>6</v>
      </c>
      <c r="L14" s="8">
        <f t="shared" si="0"/>
        <v>3.2</v>
      </c>
      <c r="M14" s="6" t="str">
        <f>_xlfn.XLOOKUP(FactSales[[#This Row],[Product_ID]],DimProduct[Product_ID],DimProduct[Product_Name])</f>
        <v>Denim Jeans</v>
      </c>
      <c r="N14" s="6" t="str">
        <f>_xlfn.XLOOKUP(FactSales[[#This Row],[Product_ID]],DimProduct[Product_ID],DimProduct[Category])</f>
        <v>Fashion</v>
      </c>
      <c r="O14" s="6">
        <f>_xlfn.XLOOKUP(FactSales[[#This Row],[Product_ID]],DimProduct[Product_ID],DimProduct[Unit_Price])</f>
        <v>880</v>
      </c>
      <c r="P14" s="6">
        <f>_xlfn.XLOOKUP(FactSales[[#This Row],[Product_ID]],DimProduct[Product_ID],DimProduct[Unit_Cost])</f>
        <v>480</v>
      </c>
      <c r="Q14" s="6">
        <f>FactSales[[#This Row],[Unit_Price]]*FactSales[[#This Row],[Quantity_Sold]]</f>
        <v>2640</v>
      </c>
      <c r="R14" s="6">
        <f>FactSales[[#This Row],[Unit_Cost]]*FactSales[[#This Row],[Quantity_Sold]]</f>
        <v>1440</v>
      </c>
      <c r="S14" s="6">
        <f>FactSales[[#This Row],[Sales_Amount]]-FactSales[[#This Row],[Total_Cost]]</f>
        <v>1200</v>
      </c>
      <c r="T14" s="6" t="str">
        <f>_xlfn.XLOOKUP(FactSales[[#This Row],[Customer_ID]],DimCustomer[Customer_ID],DimCustomer[Customer_Name])</f>
        <v>Nusrat Akter</v>
      </c>
      <c r="U14" s="6" t="str">
        <f>_xlfn.XLOOKUP(FactSales[[#This Row],[Salesperson_ID]],DimSalesman[Salesperson_ID],DimSalesman[Salesperson_Name])</f>
        <v>Rahim Rahman</v>
      </c>
      <c r="V14" s="6" t="str">
        <f>_xlfn.XLOOKUP(FactSales[[#This Row],[Region_ID]],DimRegion[Region_ID],DimRegion[Region_Name])</f>
        <v>Mymensingh</v>
      </c>
      <c r="W14" s="6" t="str">
        <f>_xlfn.XLOOKUP(FactSales[[#This Row],[Store_ID]],DimStore[Store_ID],DimStore[Store_Name])</f>
        <v>Mymensingh Charpara Store</v>
      </c>
    </row>
    <row r="15" spans="1:23">
      <c r="A15" s="4" t="s">
        <v>1011</v>
      </c>
      <c r="B15" s="5">
        <v>45839</v>
      </c>
      <c r="C15" s="4" t="s">
        <v>472</v>
      </c>
      <c r="D15" s="4" t="s">
        <v>52</v>
      </c>
      <c r="E15" s="4" t="s">
        <v>701</v>
      </c>
      <c r="F15" s="4" t="s">
        <v>961</v>
      </c>
      <c r="G15" s="4" t="s">
        <v>775</v>
      </c>
      <c r="H15" s="4">
        <v>6</v>
      </c>
      <c r="I15" s="7">
        <v>0.12</v>
      </c>
      <c r="J15" s="6">
        <v>16330</v>
      </c>
      <c r="K15" s="4">
        <v>7</v>
      </c>
      <c r="L15" s="8">
        <f t="shared" si="0"/>
        <v>2.7</v>
      </c>
      <c r="M15" s="6" t="str">
        <f>_xlfn.XLOOKUP(FactSales[[#This Row],[Product_ID]],DimProduct[Product_ID],DimProduct[Product_Name])</f>
        <v>Blender Machine</v>
      </c>
      <c r="N15" s="6" t="str">
        <f>_xlfn.XLOOKUP(FactSales[[#This Row],[Product_ID]],DimProduct[Product_ID],DimProduct[Category])</f>
        <v>Home Appliance</v>
      </c>
      <c r="O15" s="6">
        <f>_xlfn.XLOOKUP(FactSales[[#This Row],[Product_ID]],DimProduct[Product_ID],DimProduct[Unit_Price])</f>
        <v>2430</v>
      </c>
      <c r="P15" s="6">
        <f>_xlfn.XLOOKUP(FactSales[[#This Row],[Product_ID]],DimProduct[Product_ID],DimProduct[Unit_Cost])</f>
        <v>1700</v>
      </c>
      <c r="Q15" s="6">
        <f>FactSales[[#This Row],[Unit_Price]]*FactSales[[#This Row],[Quantity_Sold]]</f>
        <v>14580</v>
      </c>
      <c r="R15" s="6">
        <f>FactSales[[#This Row],[Unit_Cost]]*FactSales[[#This Row],[Quantity_Sold]]</f>
        <v>10200</v>
      </c>
      <c r="S15" s="6">
        <f>FactSales[[#This Row],[Sales_Amount]]-FactSales[[#This Row],[Total_Cost]]</f>
        <v>4380</v>
      </c>
      <c r="T15" s="6" t="str">
        <f>_xlfn.XLOOKUP(FactSales[[#This Row],[Customer_ID]],DimCustomer[Customer_ID],DimCustomer[Customer_Name])</f>
        <v>Rumana Akter</v>
      </c>
      <c r="U15" s="6" t="str">
        <f>_xlfn.XLOOKUP(FactSales[[#This Row],[Salesperson_ID]],DimSalesman[Salesperson_ID],DimSalesman[Salesperson_Name])</f>
        <v>Shaila Akter</v>
      </c>
      <c r="V15" s="6" t="str">
        <f>_xlfn.XLOOKUP(FactSales[[#This Row],[Region_ID]],DimRegion[Region_ID],DimRegion[Region_Name])</f>
        <v>Barishal</v>
      </c>
      <c r="W15" s="6" t="str">
        <f>_xlfn.XLOOKUP(FactSales[[#This Row],[Store_ID]],DimStore[Store_ID],DimStore[Store_Name])</f>
        <v>Barishal Sadar Road Store</v>
      </c>
    </row>
    <row r="16" spans="1:23">
      <c r="A16" s="4" t="s">
        <v>1012</v>
      </c>
      <c r="B16" s="5">
        <v>45803</v>
      </c>
      <c r="C16" s="4" t="s">
        <v>73</v>
      </c>
      <c r="D16" s="4" t="s">
        <v>27</v>
      </c>
      <c r="E16" s="4" t="s">
        <v>622</v>
      </c>
      <c r="F16" s="4" t="s">
        <v>919</v>
      </c>
      <c r="G16" s="4" t="s">
        <v>844</v>
      </c>
      <c r="H16" s="4">
        <v>4</v>
      </c>
      <c r="I16" s="7">
        <v>0.12</v>
      </c>
      <c r="J16" s="6">
        <v>11363</v>
      </c>
      <c r="K16" s="4">
        <v>5</v>
      </c>
      <c r="L16" s="8">
        <f t="shared" si="0"/>
        <v>3.3</v>
      </c>
      <c r="M16" s="6" t="str">
        <f>_xlfn.XLOOKUP(FactSales[[#This Row],[Product_ID]],DimProduct[Product_ID],DimProduct[Product_Name])</f>
        <v>Kids Sneaker</v>
      </c>
      <c r="N16" s="6" t="str">
        <f>_xlfn.XLOOKUP(FactSales[[#This Row],[Product_ID]],DimProduct[Product_ID],DimProduct[Category])</f>
        <v>Footwear</v>
      </c>
      <c r="O16" s="6">
        <f>_xlfn.XLOOKUP(FactSales[[#This Row],[Product_ID]],DimProduct[Product_ID],DimProduct[Unit_Price])</f>
        <v>2680</v>
      </c>
      <c r="P16" s="6">
        <f>_xlfn.XLOOKUP(FactSales[[#This Row],[Product_ID]],DimProduct[Product_ID],DimProduct[Unit_Cost])</f>
        <v>1610</v>
      </c>
      <c r="Q16" s="6">
        <f>FactSales[[#This Row],[Unit_Price]]*FactSales[[#This Row],[Quantity_Sold]]</f>
        <v>10720</v>
      </c>
      <c r="R16" s="6">
        <f>FactSales[[#This Row],[Unit_Cost]]*FactSales[[#This Row],[Quantity_Sold]]</f>
        <v>6440</v>
      </c>
      <c r="S16" s="6">
        <f>FactSales[[#This Row],[Sales_Amount]]-FactSales[[#This Row],[Total_Cost]]</f>
        <v>4280</v>
      </c>
      <c r="T16" s="6" t="str">
        <f>_xlfn.XLOOKUP(FactSales[[#This Row],[Customer_ID]],DimCustomer[Customer_ID],DimCustomer[Customer_Name])</f>
        <v>Rumana Sultana</v>
      </c>
      <c r="U16" s="6" t="str">
        <f>_xlfn.XLOOKUP(FactSales[[#This Row],[Salesperson_ID]],DimSalesman[Salesperson_ID],DimSalesman[Salesperson_Name])</f>
        <v>Imran Mia</v>
      </c>
      <c r="V16" s="6" t="str">
        <f>_xlfn.XLOOKUP(FactSales[[#This Row],[Region_ID]],DimRegion[Region_ID],DimRegion[Region_Name])</f>
        <v>Dhaka</v>
      </c>
      <c r="W16" s="6" t="str">
        <f>_xlfn.XLOOKUP(FactSales[[#This Row],[Store_ID]],DimStore[Store_ID],DimStore[Store_Name])</f>
        <v>Dhaka Dhanmondi Store</v>
      </c>
    </row>
    <row r="17" spans="1:23">
      <c r="A17" s="4" t="s">
        <v>1013</v>
      </c>
      <c r="B17" s="5">
        <v>45967</v>
      </c>
      <c r="C17" s="4" t="s">
        <v>480</v>
      </c>
      <c r="D17" s="4" t="s">
        <v>52</v>
      </c>
      <c r="E17" s="4" t="s">
        <v>707</v>
      </c>
      <c r="F17" s="4" t="s">
        <v>965</v>
      </c>
      <c r="G17" s="4" t="s">
        <v>755</v>
      </c>
      <c r="H17" s="4">
        <v>2</v>
      </c>
      <c r="I17" s="7">
        <v>0.1</v>
      </c>
      <c r="J17" s="6">
        <v>7482</v>
      </c>
      <c r="K17" s="4">
        <v>1</v>
      </c>
      <c r="L17" s="8">
        <f t="shared" si="0"/>
        <v>4.7</v>
      </c>
      <c r="M17" s="6" t="str">
        <f>_xlfn.XLOOKUP(FactSales[[#This Row],[Product_ID]],DimProduct[Product_ID],DimProduct[Product_Name])</f>
        <v>Wireless Mouse</v>
      </c>
      <c r="N17" s="6" t="str">
        <f>_xlfn.XLOOKUP(FactSales[[#This Row],[Product_ID]],DimProduct[Product_ID],DimProduct[Category])</f>
        <v>Electronics</v>
      </c>
      <c r="O17" s="6">
        <f>_xlfn.XLOOKUP(FactSales[[#This Row],[Product_ID]],DimProduct[Product_ID],DimProduct[Unit_Price])</f>
        <v>3340</v>
      </c>
      <c r="P17" s="6">
        <f>_xlfn.XLOOKUP(FactSales[[#This Row],[Product_ID]],DimProduct[Product_ID],DimProduct[Unit_Cost])</f>
        <v>2270</v>
      </c>
      <c r="Q17" s="6">
        <f>FactSales[[#This Row],[Unit_Price]]*FactSales[[#This Row],[Quantity_Sold]]</f>
        <v>6680</v>
      </c>
      <c r="R17" s="6">
        <f>FactSales[[#This Row],[Unit_Cost]]*FactSales[[#This Row],[Quantity_Sold]]</f>
        <v>4540</v>
      </c>
      <c r="S17" s="6">
        <f>FactSales[[#This Row],[Sales_Amount]]-FactSales[[#This Row],[Total_Cost]]</f>
        <v>2140</v>
      </c>
      <c r="T17" s="6" t="str">
        <f>_xlfn.XLOOKUP(FactSales[[#This Row],[Customer_ID]],DimCustomer[Customer_ID],DimCustomer[Customer_Name])</f>
        <v>Rasel Sultana</v>
      </c>
      <c r="U17" s="6" t="str">
        <f>_xlfn.XLOOKUP(FactSales[[#This Row],[Salesperson_ID]],DimSalesman[Salesperson_ID],DimSalesman[Salesperson_Name])</f>
        <v>Mehedi Khan</v>
      </c>
      <c r="V17" s="6" t="str">
        <f>_xlfn.XLOOKUP(FactSales[[#This Row],[Region_ID]],DimRegion[Region_ID],DimRegion[Region_Name])</f>
        <v>Barishal</v>
      </c>
      <c r="W17" s="6" t="str">
        <f>_xlfn.XLOOKUP(FactSales[[#This Row],[Store_ID]],DimStore[Store_ID],DimStore[Store_Name])</f>
        <v>Barishal Chowmatha Store</v>
      </c>
    </row>
    <row r="18" spans="1:23">
      <c r="A18" s="4" t="s">
        <v>1014</v>
      </c>
      <c r="B18" s="5">
        <v>46023</v>
      </c>
      <c r="C18" s="4" t="s">
        <v>537</v>
      </c>
      <c r="D18" s="4" t="s">
        <v>57</v>
      </c>
      <c r="E18" s="4" t="s">
        <v>722</v>
      </c>
      <c r="F18" s="4" t="s">
        <v>977</v>
      </c>
      <c r="G18" s="4" t="s">
        <v>773</v>
      </c>
      <c r="H18" s="4">
        <v>1</v>
      </c>
      <c r="I18" s="7">
        <v>0.18</v>
      </c>
      <c r="J18" s="6">
        <v>8544</v>
      </c>
      <c r="K18" s="4">
        <v>9</v>
      </c>
      <c r="L18" s="8">
        <f t="shared" si="0"/>
        <v>1.9</v>
      </c>
      <c r="M18" s="6" t="str">
        <f>_xlfn.XLOOKUP(FactSales[[#This Row],[Product_ID]],DimProduct[Product_ID],DimProduct[Product_Name])</f>
        <v>Rice Cooker</v>
      </c>
      <c r="N18" s="6" t="str">
        <f>_xlfn.XLOOKUP(FactSales[[#This Row],[Product_ID]],DimProduct[Product_ID],DimProduct[Category])</f>
        <v>Home Appliance</v>
      </c>
      <c r="O18" s="6">
        <f>_xlfn.XLOOKUP(FactSales[[#This Row],[Product_ID]],DimProduct[Product_ID],DimProduct[Unit_Price])</f>
        <v>7430</v>
      </c>
      <c r="P18" s="6">
        <f>_xlfn.XLOOKUP(FactSales[[#This Row],[Product_ID]],DimProduct[Product_ID],DimProduct[Unit_Cost])</f>
        <v>5200</v>
      </c>
      <c r="Q18" s="6">
        <f>FactSales[[#This Row],[Unit_Price]]*FactSales[[#This Row],[Quantity_Sold]]</f>
        <v>7430</v>
      </c>
      <c r="R18" s="6">
        <f>FactSales[[#This Row],[Unit_Cost]]*FactSales[[#This Row],[Quantity_Sold]]</f>
        <v>5200</v>
      </c>
      <c r="S18" s="6">
        <f>FactSales[[#This Row],[Sales_Amount]]-FactSales[[#This Row],[Total_Cost]]</f>
        <v>2230</v>
      </c>
      <c r="T18" s="6" t="str">
        <f>_xlfn.XLOOKUP(FactSales[[#This Row],[Customer_ID]],DimCustomer[Customer_ID],DimCustomer[Customer_Name])</f>
        <v>Mim Sultana</v>
      </c>
      <c r="U18" s="6" t="str">
        <f>_xlfn.XLOOKUP(FactSales[[#This Row],[Salesperson_ID]],DimSalesman[Salesperson_ID],DimSalesman[Salesperson_Name])</f>
        <v>Tania Hossain</v>
      </c>
      <c r="V18" s="6" t="str">
        <f>_xlfn.XLOOKUP(FactSales[[#This Row],[Region_ID]],DimRegion[Region_ID],DimRegion[Region_Name])</f>
        <v>Rangpur</v>
      </c>
      <c r="W18" s="6" t="str">
        <f>_xlfn.XLOOKUP(FactSales[[#This Row],[Store_ID]],DimStore[Store_ID],DimStore[Store_Name])</f>
        <v>Rangpur Dhap Store</v>
      </c>
    </row>
    <row r="19" spans="1:23">
      <c r="A19" s="4" t="s">
        <v>1015</v>
      </c>
      <c r="B19" s="5">
        <v>46058</v>
      </c>
      <c r="C19" s="4" t="s">
        <v>366</v>
      </c>
      <c r="D19" s="4" t="s">
        <v>47</v>
      </c>
      <c r="E19" s="4" t="s">
        <v>686</v>
      </c>
      <c r="F19" s="4" t="s">
        <v>958</v>
      </c>
      <c r="G19" s="4" t="s">
        <v>750</v>
      </c>
      <c r="H19" s="4">
        <v>5</v>
      </c>
      <c r="I19" s="7">
        <v>0.18</v>
      </c>
      <c r="J19" s="6">
        <v>17658</v>
      </c>
      <c r="K19" s="4">
        <v>1</v>
      </c>
      <c r="L19" s="8">
        <f t="shared" si="0"/>
        <v>4.5</v>
      </c>
      <c r="M19" s="6" t="str">
        <f>_xlfn.XLOOKUP(FactSales[[#This Row],[Product_ID]],DimProduct[Product_ID],DimProduct[Product_Name])</f>
        <v>Bluetooth Speaker</v>
      </c>
      <c r="N19" s="6" t="str">
        <f>_xlfn.XLOOKUP(FactSales[[#This Row],[Product_ID]],DimProduct[Product_ID],DimProduct[Category])</f>
        <v>Electronics</v>
      </c>
      <c r="O19" s="6">
        <f>_xlfn.XLOOKUP(FactSales[[#This Row],[Product_ID]],DimProduct[Product_ID],DimProduct[Unit_Price])</f>
        <v>3240</v>
      </c>
      <c r="P19" s="6">
        <f>_xlfn.XLOOKUP(FactSales[[#This Row],[Product_ID]],DimProduct[Product_ID],DimProduct[Unit_Cost])</f>
        <v>2200</v>
      </c>
      <c r="Q19" s="6">
        <f>FactSales[[#This Row],[Unit_Price]]*FactSales[[#This Row],[Quantity_Sold]]</f>
        <v>16200</v>
      </c>
      <c r="R19" s="6">
        <f>FactSales[[#This Row],[Unit_Cost]]*FactSales[[#This Row],[Quantity_Sold]]</f>
        <v>11000</v>
      </c>
      <c r="S19" s="6">
        <f>FactSales[[#This Row],[Sales_Amount]]-FactSales[[#This Row],[Total_Cost]]</f>
        <v>5200</v>
      </c>
      <c r="T19" s="6" t="str">
        <f>_xlfn.XLOOKUP(FactSales[[#This Row],[Customer_ID]],DimCustomer[Customer_ID],DimCustomer[Customer_Name])</f>
        <v>Sajib Hossain</v>
      </c>
      <c r="U19" s="6" t="str">
        <f>_xlfn.XLOOKUP(FactSales[[#This Row],[Salesperson_ID]],DimSalesman[Salesperson_ID],DimSalesman[Salesperson_Name])</f>
        <v>Fahim Uddin</v>
      </c>
      <c r="V19" s="6" t="str">
        <f>_xlfn.XLOOKUP(FactSales[[#This Row],[Region_ID]],DimRegion[Region_ID],DimRegion[Region_Name])</f>
        <v>Khulna</v>
      </c>
      <c r="W19" s="6" t="str">
        <f>_xlfn.XLOOKUP(FactSales[[#This Row],[Store_ID]],DimStore[Store_ID],DimStore[Store_Name])</f>
        <v>Khulna Khalishpur Store</v>
      </c>
    </row>
    <row r="20" spans="1:23">
      <c r="A20" s="4" t="s">
        <v>1016</v>
      </c>
      <c r="B20" s="5">
        <v>45884</v>
      </c>
      <c r="C20" s="4" t="s">
        <v>89</v>
      </c>
      <c r="D20" s="4" t="s">
        <v>27</v>
      </c>
      <c r="E20" s="4" t="s">
        <v>634</v>
      </c>
      <c r="F20" s="4" t="s">
        <v>916</v>
      </c>
      <c r="G20" s="4" t="s">
        <v>890</v>
      </c>
      <c r="H20" s="4">
        <v>3</v>
      </c>
      <c r="I20" s="7">
        <v>0.03</v>
      </c>
      <c r="J20" s="6">
        <v>2671</v>
      </c>
      <c r="K20" s="4">
        <v>3</v>
      </c>
      <c r="L20" s="8">
        <f t="shared" si="0"/>
        <v>4.2</v>
      </c>
      <c r="M20" s="6" t="str">
        <f>_xlfn.XLOOKUP(FactSales[[#This Row],[Product_ID]],DimProduct[Product_ID],DimProduct[Product_Name])</f>
        <v>Kids Story Book</v>
      </c>
      <c r="N20" s="6" t="str">
        <f>_xlfn.XLOOKUP(FactSales[[#This Row],[Product_ID]],DimProduct[Product_ID],DimProduct[Category])</f>
        <v>Kids &amp; Toys</v>
      </c>
      <c r="O20" s="6">
        <f>_xlfn.XLOOKUP(FactSales[[#This Row],[Product_ID]],DimProduct[Product_ID],DimProduct[Unit_Price])</f>
        <v>840</v>
      </c>
      <c r="P20" s="6">
        <f>_xlfn.XLOOKUP(FactSales[[#This Row],[Product_ID]],DimProduct[Product_ID],DimProduct[Unit_Cost])</f>
        <v>460</v>
      </c>
      <c r="Q20" s="6">
        <f>FactSales[[#This Row],[Unit_Price]]*FactSales[[#This Row],[Quantity_Sold]]</f>
        <v>2520</v>
      </c>
      <c r="R20" s="6">
        <f>FactSales[[#This Row],[Unit_Cost]]*FactSales[[#This Row],[Quantity_Sold]]</f>
        <v>1380</v>
      </c>
      <c r="S20" s="6">
        <f>FactSales[[#This Row],[Sales_Amount]]-FactSales[[#This Row],[Total_Cost]]</f>
        <v>1140</v>
      </c>
      <c r="T20" s="6" t="str">
        <f>_xlfn.XLOOKUP(FactSales[[#This Row],[Customer_ID]],DimCustomer[Customer_ID],DimCustomer[Customer_Name])</f>
        <v>Tania Hossain</v>
      </c>
      <c r="U20" s="6" t="str">
        <f>_xlfn.XLOOKUP(FactSales[[#This Row],[Salesperson_ID]],DimSalesman[Salesperson_ID],DimSalesman[Salesperson_Name])</f>
        <v>Rafi Islam</v>
      </c>
      <c r="V20" s="6" t="str">
        <f>_xlfn.XLOOKUP(FactSales[[#This Row],[Region_ID]],DimRegion[Region_ID],DimRegion[Region_Name])</f>
        <v>Dhaka</v>
      </c>
      <c r="W20" s="6" t="str">
        <f>_xlfn.XLOOKUP(FactSales[[#This Row],[Store_ID]],DimStore[Store_ID],DimStore[Store_Name])</f>
        <v>Dhaka Motijheel Store</v>
      </c>
    </row>
    <row r="21" spans="1:23">
      <c r="A21" s="4" t="s">
        <v>1017</v>
      </c>
      <c r="B21" s="5">
        <v>45748</v>
      </c>
      <c r="C21" s="4" t="s">
        <v>168</v>
      </c>
      <c r="D21" s="4" t="s">
        <v>32</v>
      </c>
      <c r="E21" s="4" t="s">
        <v>644</v>
      </c>
      <c r="F21" s="4" t="s">
        <v>926</v>
      </c>
      <c r="G21" s="4" t="s">
        <v>762</v>
      </c>
      <c r="H21" s="4">
        <v>7</v>
      </c>
      <c r="I21" s="7">
        <v>0.12</v>
      </c>
      <c r="J21" s="6">
        <v>30883</v>
      </c>
      <c r="K21" s="4">
        <v>5</v>
      </c>
      <c r="L21" s="8">
        <f t="shared" si="0"/>
        <v>3.3</v>
      </c>
      <c r="M21" s="6" t="str">
        <f>_xlfn.XLOOKUP(FactSales[[#This Row],[Product_ID]],DimProduct[Product_ID],DimProduct[Product_Name])</f>
        <v>Smart Watch</v>
      </c>
      <c r="N21" s="6" t="str">
        <f>_xlfn.XLOOKUP(FactSales[[#This Row],[Product_ID]],DimProduct[Product_ID],DimProduct[Category])</f>
        <v>Electronics</v>
      </c>
      <c r="O21" s="6">
        <f>_xlfn.XLOOKUP(FactSales[[#This Row],[Product_ID]],DimProduct[Product_ID],DimProduct[Unit_Price])</f>
        <v>3870</v>
      </c>
      <c r="P21" s="6">
        <f>_xlfn.XLOOKUP(FactSales[[#This Row],[Product_ID]],DimProduct[Product_ID],DimProduct[Unit_Cost])</f>
        <v>2630</v>
      </c>
      <c r="Q21" s="6">
        <f>FactSales[[#This Row],[Unit_Price]]*FactSales[[#This Row],[Quantity_Sold]]</f>
        <v>27090</v>
      </c>
      <c r="R21" s="6">
        <f>FactSales[[#This Row],[Unit_Cost]]*FactSales[[#This Row],[Quantity_Sold]]</f>
        <v>18410</v>
      </c>
      <c r="S21" s="6">
        <f>FactSales[[#This Row],[Sales_Amount]]-FactSales[[#This Row],[Total_Cost]]</f>
        <v>8680</v>
      </c>
      <c r="T21" s="6" t="str">
        <f>_xlfn.XLOOKUP(FactSales[[#This Row],[Customer_ID]],DimCustomer[Customer_ID],DimCustomer[Customer_Name])</f>
        <v>Mim Akter</v>
      </c>
      <c r="U21" s="6" t="str">
        <f>_xlfn.XLOOKUP(FactSales[[#This Row],[Salesperson_ID]],DimSalesman[Salesperson_ID],DimSalesman[Salesperson_Name])</f>
        <v>Rafi Akter</v>
      </c>
      <c r="V21" s="6" t="str">
        <f>_xlfn.XLOOKUP(FactSales[[#This Row],[Region_ID]],DimRegion[Region_ID],DimRegion[Region_Name])</f>
        <v>Chattogram</v>
      </c>
      <c r="W21" s="6" t="str">
        <f>_xlfn.XLOOKUP(FactSales[[#This Row],[Store_ID]],DimStore[Store_ID],DimStore[Store_Name])</f>
        <v>Chattogram Panchlaish Store</v>
      </c>
    </row>
    <row r="22" spans="1:23">
      <c r="A22" s="4" t="s">
        <v>1018</v>
      </c>
      <c r="B22" s="5">
        <v>45727</v>
      </c>
      <c r="C22" s="4" t="s">
        <v>551</v>
      </c>
      <c r="D22" s="4" t="s">
        <v>62</v>
      </c>
      <c r="E22" s="4" t="s">
        <v>734</v>
      </c>
      <c r="F22" s="4" t="s">
        <v>979</v>
      </c>
      <c r="G22" s="4" t="s">
        <v>765</v>
      </c>
      <c r="H22" s="4">
        <v>2</v>
      </c>
      <c r="I22" s="7">
        <v>0.08</v>
      </c>
      <c r="J22" s="6">
        <v>10562</v>
      </c>
      <c r="K22" s="4">
        <v>6</v>
      </c>
      <c r="L22" s="8">
        <f t="shared" si="0"/>
        <v>3.1</v>
      </c>
      <c r="M22" s="6" t="str">
        <f>_xlfn.XLOOKUP(FactSales[[#This Row],[Product_ID]],DimProduct[Product_ID],DimProduct[Product_Name])</f>
        <v>USB-C Hub</v>
      </c>
      <c r="N22" s="6" t="str">
        <f>_xlfn.XLOOKUP(FactSales[[#This Row],[Product_ID]],DimProduct[Product_ID],DimProduct[Category])</f>
        <v>Electronics</v>
      </c>
      <c r="O22" s="6">
        <f>_xlfn.XLOOKUP(FactSales[[#This Row],[Product_ID]],DimProduct[Product_ID],DimProduct[Unit_Price])</f>
        <v>4890</v>
      </c>
      <c r="P22" s="6">
        <f>_xlfn.XLOOKUP(FactSales[[#This Row],[Product_ID]],DimProduct[Product_ID],DimProduct[Unit_Cost])</f>
        <v>3330</v>
      </c>
      <c r="Q22" s="6">
        <f>FactSales[[#This Row],[Unit_Price]]*FactSales[[#This Row],[Quantity_Sold]]</f>
        <v>9780</v>
      </c>
      <c r="R22" s="6">
        <f>FactSales[[#This Row],[Unit_Cost]]*FactSales[[#This Row],[Quantity_Sold]]</f>
        <v>6660</v>
      </c>
      <c r="S22" s="6">
        <f>FactSales[[#This Row],[Sales_Amount]]-FactSales[[#This Row],[Total_Cost]]</f>
        <v>3120</v>
      </c>
      <c r="T22" s="6" t="str">
        <f>_xlfn.XLOOKUP(FactSales[[#This Row],[Customer_ID]],DimCustomer[Customer_ID],DimCustomer[Customer_Name])</f>
        <v>Samiha Islam</v>
      </c>
      <c r="U22" s="6" t="str">
        <f>_xlfn.XLOOKUP(FactSales[[#This Row],[Salesperson_ID]],DimSalesman[Salesperson_ID],DimSalesman[Salesperson_Name])</f>
        <v>Rahim Rahman</v>
      </c>
      <c r="V22" s="6" t="str">
        <f>_xlfn.XLOOKUP(FactSales[[#This Row],[Region_ID]],DimRegion[Region_ID],DimRegion[Region_Name])</f>
        <v>Mymensingh</v>
      </c>
      <c r="W22" s="6" t="str">
        <f>_xlfn.XLOOKUP(FactSales[[#This Row],[Store_ID]],DimStore[Store_ID],DimStore[Store_Name])</f>
        <v>Mymensingh Charpara Store</v>
      </c>
    </row>
    <row r="23" spans="1:23">
      <c r="A23" s="4" t="s">
        <v>1019</v>
      </c>
      <c r="B23" s="5">
        <v>46017</v>
      </c>
      <c r="C23" s="4" t="s">
        <v>500</v>
      </c>
      <c r="D23" s="4" t="s">
        <v>57</v>
      </c>
      <c r="E23" s="4" t="s">
        <v>722</v>
      </c>
      <c r="F23" s="4" t="s">
        <v>974</v>
      </c>
      <c r="G23" s="4" t="s">
        <v>882</v>
      </c>
      <c r="H23" s="4">
        <v>3</v>
      </c>
      <c r="I23" s="7">
        <v>0.1</v>
      </c>
      <c r="J23" s="6">
        <v>6279</v>
      </c>
      <c r="K23" s="4">
        <v>7</v>
      </c>
      <c r="L23" s="8">
        <f t="shared" si="0"/>
        <v>2.7</v>
      </c>
      <c r="M23" s="6" t="str">
        <f>_xlfn.XLOOKUP(FactSales[[#This Row],[Product_ID]],DimProduct[Product_ID],DimProduct[Product_Name])</f>
        <v>Toy Car Set</v>
      </c>
      <c r="N23" s="6" t="str">
        <f>_xlfn.XLOOKUP(FactSales[[#This Row],[Product_ID]],DimProduct[Product_ID],DimProduct[Category])</f>
        <v>Kids &amp; Toys</v>
      </c>
      <c r="O23" s="6">
        <f>_xlfn.XLOOKUP(FactSales[[#This Row],[Product_ID]],DimProduct[Product_ID],DimProduct[Unit_Price])</f>
        <v>1820</v>
      </c>
      <c r="P23" s="6">
        <f>_xlfn.XLOOKUP(FactSales[[#This Row],[Product_ID]],DimProduct[Product_ID],DimProduct[Unit_Cost])</f>
        <v>1000</v>
      </c>
      <c r="Q23" s="6">
        <f>FactSales[[#This Row],[Unit_Price]]*FactSales[[#This Row],[Quantity_Sold]]</f>
        <v>5460</v>
      </c>
      <c r="R23" s="6">
        <f>FactSales[[#This Row],[Unit_Cost]]*FactSales[[#This Row],[Quantity_Sold]]</f>
        <v>3000</v>
      </c>
      <c r="S23" s="6">
        <f>FactSales[[#This Row],[Sales_Amount]]-FactSales[[#This Row],[Total_Cost]]</f>
        <v>2460</v>
      </c>
      <c r="T23" s="6" t="str">
        <f>_xlfn.XLOOKUP(FactSales[[#This Row],[Customer_ID]],DimCustomer[Customer_ID],DimCustomer[Customer_Name])</f>
        <v>Karim Ahmed</v>
      </c>
      <c r="U23" s="6" t="str">
        <f>_xlfn.XLOOKUP(FactSales[[#This Row],[Salesperson_ID]],DimSalesman[Salesperson_ID],DimSalesman[Salesperson_Name])</f>
        <v>Farhana Uddin</v>
      </c>
      <c r="V23" s="6" t="str">
        <f>_xlfn.XLOOKUP(FactSales[[#This Row],[Region_ID]],DimRegion[Region_ID],DimRegion[Region_Name])</f>
        <v>Rangpur</v>
      </c>
      <c r="W23" s="6" t="str">
        <f>_xlfn.XLOOKUP(FactSales[[#This Row],[Store_ID]],DimStore[Store_ID],DimStore[Store_Name])</f>
        <v>Rangpur Dhap Store</v>
      </c>
    </row>
    <row r="24" spans="1:23">
      <c r="A24" s="4" t="s">
        <v>1020</v>
      </c>
      <c r="B24" s="5">
        <v>45692</v>
      </c>
      <c r="C24" s="4" t="s">
        <v>299</v>
      </c>
      <c r="D24" s="4" t="s">
        <v>42</v>
      </c>
      <c r="E24" s="4" t="s">
        <v>677</v>
      </c>
      <c r="F24" s="4" t="s">
        <v>943</v>
      </c>
      <c r="G24" s="4" t="s">
        <v>864</v>
      </c>
      <c r="H24" s="4">
        <v>2</v>
      </c>
      <c r="I24" s="7">
        <v>0.03</v>
      </c>
      <c r="J24" s="6">
        <v>864</v>
      </c>
      <c r="K24" s="4">
        <v>4</v>
      </c>
      <c r="L24" s="8">
        <f t="shared" si="0"/>
        <v>3.9</v>
      </c>
      <c r="M24" s="6" t="str">
        <f>_xlfn.XLOOKUP(FactSales[[#This Row],[Product_ID]],DimProduct[Product_ID],DimProduct[Product_Name])</f>
        <v>Notebook Pack</v>
      </c>
      <c r="N24" s="6" t="str">
        <f>_xlfn.XLOOKUP(FactSales[[#This Row],[Product_ID]],DimProduct[Product_ID],DimProduct[Category])</f>
        <v>Stationery</v>
      </c>
      <c r="O24" s="6">
        <f>_xlfn.XLOOKUP(FactSales[[#This Row],[Product_ID]],DimProduct[Product_ID],DimProduct[Unit_Price])</f>
        <v>400</v>
      </c>
      <c r="P24" s="6">
        <f>_xlfn.XLOOKUP(FactSales[[#This Row],[Product_ID]],DimProduct[Product_ID],DimProduct[Unit_Cost])</f>
        <v>200</v>
      </c>
      <c r="Q24" s="6">
        <f>FactSales[[#This Row],[Unit_Price]]*FactSales[[#This Row],[Quantity_Sold]]</f>
        <v>800</v>
      </c>
      <c r="R24" s="6">
        <f>FactSales[[#This Row],[Unit_Cost]]*FactSales[[#This Row],[Quantity_Sold]]</f>
        <v>400</v>
      </c>
      <c r="S24" s="6">
        <f>FactSales[[#This Row],[Sales_Amount]]-FactSales[[#This Row],[Total_Cost]]</f>
        <v>400</v>
      </c>
      <c r="T24" s="6" t="str">
        <f>_xlfn.XLOOKUP(FactSales[[#This Row],[Customer_ID]],DimCustomer[Customer_ID],DimCustomer[Customer_Name])</f>
        <v>Samiha Ahmed</v>
      </c>
      <c r="U24" s="6" t="str">
        <f>_xlfn.XLOOKUP(FactSales[[#This Row],[Salesperson_ID]],DimSalesman[Salesperson_ID],DimSalesman[Salesperson_Name])</f>
        <v>Imran Khan</v>
      </c>
      <c r="V24" s="6" t="str">
        <f>_xlfn.XLOOKUP(FactSales[[#This Row],[Region_ID]],DimRegion[Region_ID],DimRegion[Region_Name])</f>
        <v>Rajshahi</v>
      </c>
      <c r="W24" s="6" t="str">
        <f>_xlfn.XLOOKUP(FactSales[[#This Row],[Store_ID]],DimStore[Store_ID],DimStore[Store_Name])</f>
        <v>Rajshahi Railgate Store</v>
      </c>
    </row>
    <row r="25" spans="1:23">
      <c r="A25" s="4" t="s">
        <v>1021</v>
      </c>
      <c r="B25" s="5">
        <v>45753</v>
      </c>
      <c r="C25" s="4" t="s">
        <v>436</v>
      </c>
      <c r="D25" s="4" t="s">
        <v>52</v>
      </c>
      <c r="E25" s="4" t="s">
        <v>707</v>
      </c>
      <c r="F25" s="4" t="s">
        <v>961</v>
      </c>
      <c r="G25" s="4" t="s">
        <v>850</v>
      </c>
      <c r="H25" s="4">
        <v>4</v>
      </c>
      <c r="I25" s="7">
        <v>0.1</v>
      </c>
      <c r="J25" s="6">
        <v>11827</v>
      </c>
      <c r="K25" s="4">
        <v>6</v>
      </c>
      <c r="L25" s="8">
        <f t="shared" si="0"/>
        <v>3.1</v>
      </c>
      <c r="M25" s="6" t="str">
        <f>_xlfn.XLOOKUP(FactSales[[#This Row],[Product_ID]],DimProduct[Product_ID],DimProduct[Product_Name])</f>
        <v>Cricket Bat</v>
      </c>
      <c r="N25" s="6" t="str">
        <f>_xlfn.XLOOKUP(FactSales[[#This Row],[Product_ID]],DimProduct[Product_ID],DimProduct[Category])</f>
        <v>Sports</v>
      </c>
      <c r="O25" s="6">
        <f>_xlfn.XLOOKUP(FactSales[[#This Row],[Product_ID]],DimProduct[Product_ID],DimProduct[Unit_Price])</f>
        <v>2640</v>
      </c>
      <c r="P25" s="6">
        <f>_xlfn.XLOOKUP(FactSales[[#This Row],[Product_ID]],DimProduct[Product_ID],DimProduct[Unit_Cost])</f>
        <v>1640</v>
      </c>
      <c r="Q25" s="6">
        <f>FactSales[[#This Row],[Unit_Price]]*FactSales[[#This Row],[Quantity_Sold]]</f>
        <v>10560</v>
      </c>
      <c r="R25" s="6">
        <f>FactSales[[#This Row],[Unit_Cost]]*FactSales[[#This Row],[Quantity_Sold]]</f>
        <v>6560</v>
      </c>
      <c r="S25" s="6">
        <f>FactSales[[#This Row],[Sales_Amount]]-FactSales[[#This Row],[Total_Cost]]</f>
        <v>4000</v>
      </c>
      <c r="T25" s="6" t="str">
        <f>_xlfn.XLOOKUP(FactSales[[#This Row],[Customer_ID]],DimCustomer[Customer_ID],DimCustomer[Customer_Name])</f>
        <v>Shamim Ahmed</v>
      </c>
      <c r="U25" s="6" t="str">
        <f>_xlfn.XLOOKUP(FactSales[[#This Row],[Salesperson_ID]],DimSalesman[Salesperson_ID],DimSalesman[Salesperson_Name])</f>
        <v>Shaila Akter</v>
      </c>
      <c r="V25" s="6" t="str">
        <f>_xlfn.XLOOKUP(FactSales[[#This Row],[Region_ID]],DimRegion[Region_ID],DimRegion[Region_Name])</f>
        <v>Barishal</v>
      </c>
      <c r="W25" s="6" t="str">
        <f>_xlfn.XLOOKUP(FactSales[[#This Row],[Store_ID]],DimStore[Store_ID],DimStore[Store_Name])</f>
        <v>Barishal Chowmatha Store</v>
      </c>
    </row>
    <row r="26" spans="1:23">
      <c r="A26" s="4" t="s">
        <v>1022</v>
      </c>
      <c r="B26" s="5">
        <v>45818</v>
      </c>
      <c r="C26" s="4" t="s">
        <v>112</v>
      </c>
      <c r="D26" s="4" t="s">
        <v>27</v>
      </c>
      <c r="E26" s="4" t="s">
        <v>622</v>
      </c>
      <c r="F26" s="4" t="s">
        <v>919</v>
      </c>
      <c r="G26" s="4" t="s">
        <v>885</v>
      </c>
      <c r="H26" s="4">
        <v>1</v>
      </c>
      <c r="I26" s="7">
        <v>7.0000000000000007E-2</v>
      </c>
      <c r="J26" s="6">
        <v>2332</v>
      </c>
      <c r="K26" s="4">
        <v>2</v>
      </c>
      <c r="L26" s="8">
        <f t="shared" si="0"/>
        <v>4.4000000000000004</v>
      </c>
      <c r="M26" s="6" t="str">
        <f>_xlfn.XLOOKUP(FactSales[[#This Row],[Product_ID]],DimProduct[Product_ID],DimProduct[Product_Name])</f>
        <v>Puzzle Board</v>
      </c>
      <c r="N26" s="6" t="str">
        <f>_xlfn.XLOOKUP(FactSales[[#This Row],[Product_ID]],DimProduct[Product_ID],DimProduct[Category])</f>
        <v>Kids &amp; Toys</v>
      </c>
      <c r="O26" s="6">
        <f>_xlfn.XLOOKUP(FactSales[[#This Row],[Product_ID]],DimProduct[Product_ID],DimProduct[Unit_Price])</f>
        <v>2200</v>
      </c>
      <c r="P26" s="6">
        <f>_xlfn.XLOOKUP(FactSales[[#This Row],[Product_ID]],DimProduct[Product_ID],DimProduct[Unit_Cost])</f>
        <v>1210</v>
      </c>
      <c r="Q26" s="6">
        <f>FactSales[[#This Row],[Unit_Price]]*FactSales[[#This Row],[Quantity_Sold]]</f>
        <v>2200</v>
      </c>
      <c r="R26" s="6">
        <f>FactSales[[#This Row],[Unit_Cost]]*FactSales[[#This Row],[Quantity_Sold]]</f>
        <v>1210</v>
      </c>
      <c r="S26" s="6">
        <f>FactSales[[#This Row],[Sales_Amount]]-FactSales[[#This Row],[Total_Cost]]</f>
        <v>990</v>
      </c>
      <c r="T26" s="6" t="str">
        <f>_xlfn.XLOOKUP(FactSales[[#This Row],[Customer_ID]],DimCustomer[Customer_ID],DimCustomer[Customer_Name])</f>
        <v>Shaila Ahmed</v>
      </c>
      <c r="U26" s="6" t="str">
        <f>_xlfn.XLOOKUP(FactSales[[#This Row],[Salesperson_ID]],DimSalesman[Salesperson_ID],DimSalesman[Salesperson_Name])</f>
        <v>Imran Mia</v>
      </c>
      <c r="V26" s="6" t="str">
        <f>_xlfn.XLOOKUP(FactSales[[#This Row],[Region_ID]],DimRegion[Region_ID],DimRegion[Region_Name])</f>
        <v>Dhaka</v>
      </c>
      <c r="W26" s="6" t="str">
        <f>_xlfn.XLOOKUP(FactSales[[#This Row],[Store_ID]],DimStore[Store_ID],DimStore[Store_Name])</f>
        <v>Dhaka Dhanmondi Store</v>
      </c>
    </row>
    <row r="27" spans="1:23">
      <c r="A27" s="4" t="s">
        <v>1023</v>
      </c>
      <c r="B27" s="5">
        <v>45708</v>
      </c>
      <c r="C27" s="4" t="s">
        <v>413</v>
      </c>
      <c r="D27" s="4" t="s">
        <v>47</v>
      </c>
      <c r="E27" s="4" t="s">
        <v>689</v>
      </c>
      <c r="F27" s="4" t="s">
        <v>954</v>
      </c>
      <c r="G27" s="4" t="s">
        <v>765</v>
      </c>
      <c r="H27" s="4">
        <v>2</v>
      </c>
      <c r="I27" s="7">
        <v>0.18</v>
      </c>
      <c r="J27" s="6">
        <v>10660</v>
      </c>
      <c r="K27" s="4">
        <v>4</v>
      </c>
      <c r="L27" s="8">
        <f t="shared" si="0"/>
        <v>3.5</v>
      </c>
      <c r="M27" s="6" t="str">
        <f>_xlfn.XLOOKUP(FactSales[[#This Row],[Product_ID]],DimProduct[Product_ID],DimProduct[Product_Name])</f>
        <v>USB-C Hub</v>
      </c>
      <c r="N27" s="6" t="str">
        <f>_xlfn.XLOOKUP(FactSales[[#This Row],[Product_ID]],DimProduct[Product_ID],DimProduct[Category])</f>
        <v>Electronics</v>
      </c>
      <c r="O27" s="6">
        <f>_xlfn.XLOOKUP(FactSales[[#This Row],[Product_ID]],DimProduct[Product_ID],DimProduct[Unit_Price])</f>
        <v>4890</v>
      </c>
      <c r="P27" s="6">
        <f>_xlfn.XLOOKUP(FactSales[[#This Row],[Product_ID]],DimProduct[Product_ID],DimProduct[Unit_Cost])</f>
        <v>3330</v>
      </c>
      <c r="Q27" s="6">
        <f>FactSales[[#This Row],[Unit_Price]]*FactSales[[#This Row],[Quantity_Sold]]</f>
        <v>9780</v>
      </c>
      <c r="R27" s="6">
        <f>FactSales[[#This Row],[Unit_Cost]]*FactSales[[#This Row],[Quantity_Sold]]</f>
        <v>6660</v>
      </c>
      <c r="S27" s="6">
        <f>FactSales[[#This Row],[Sales_Amount]]-FactSales[[#This Row],[Total_Cost]]</f>
        <v>3120</v>
      </c>
      <c r="T27" s="6" t="str">
        <f>_xlfn.XLOOKUP(FactSales[[#This Row],[Customer_ID]],DimCustomer[Customer_ID],DimCustomer[Customer_Name])</f>
        <v>Samiha Sultana</v>
      </c>
      <c r="U27" s="6" t="str">
        <f>_xlfn.XLOOKUP(FactSales[[#This Row],[Salesperson_ID]],DimSalesman[Salesperson_ID],DimSalesman[Salesperson_Name])</f>
        <v>Sadia Sultana</v>
      </c>
      <c r="V27" s="6" t="str">
        <f>_xlfn.XLOOKUP(FactSales[[#This Row],[Region_ID]],DimRegion[Region_ID],DimRegion[Region_Name])</f>
        <v>Khulna</v>
      </c>
      <c r="W27" s="6" t="str">
        <f>_xlfn.XLOOKUP(FactSales[[#This Row],[Store_ID]],DimStore[Store_ID],DimStore[Store_Name])</f>
        <v>Khulna Daulatpur Store</v>
      </c>
    </row>
    <row r="28" spans="1:23">
      <c r="A28" s="4" t="s">
        <v>1024</v>
      </c>
      <c r="B28" s="5">
        <v>45747</v>
      </c>
      <c r="C28" s="4" t="s">
        <v>562</v>
      </c>
      <c r="D28" s="4" t="s">
        <v>62</v>
      </c>
      <c r="E28" s="4" t="s">
        <v>728</v>
      </c>
      <c r="F28" s="4" t="s">
        <v>981</v>
      </c>
      <c r="G28" s="4" t="s">
        <v>750</v>
      </c>
      <c r="H28" s="4">
        <v>4</v>
      </c>
      <c r="I28" s="7">
        <v>0.18</v>
      </c>
      <c r="J28" s="6">
        <v>13997</v>
      </c>
      <c r="K28" s="4">
        <v>3</v>
      </c>
      <c r="L28" s="8">
        <f t="shared" si="0"/>
        <v>3.8</v>
      </c>
      <c r="M28" s="6" t="str">
        <f>_xlfn.XLOOKUP(FactSales[[#This Row],[Product_ID]],DimProduct[Product_ID],DimProduct[Product_Name])</f>
        <v>Bluetooth Speaker</v>
      </c>
      <c r="N28" s="6" t="str">
        <f>_xlfn.XLOOKUP(FactSales[[#This Row],[Product_ID]],DimProduct[Product_ID],DimProduct[Category])</f>
        <v>Electronics</v>
      </c>
      <c r="O28" s="6">
        <f>_xlfn.XLOOKUP(FactSales[[#This Row],[Product_ID]],DimProduct[Product_ID],DimProduct[Unit_Price])</f>
        <v>3240</v>
      </c>
      <c r="P28" s="6">
        <f>_xlfn.XLOOKUP(FactSales[[#This Row],[Product_ID]],DimProduct[Product_ID],DimProduct[Unit_Cost])</f>
        <v>2200</v>
      </c>
      <c r="Q28" s="6">
        <f>FactSales[[#This Row],[Unit_Price]]*FactSales[[#This Row],[Quantity_Sold]]</f>
        <v>12960</v>
      </c>
      <c r="R28" s="6">
        <f>FactSales[[#This Row],[Unit_Cost]]*FactSales[[#This Row],[Quantity_Sold]]</f>
        <v>8800</v>
      </c>
      <c r="S28" s="6">
        <f>FactSales[[#This Row],[Sales_Amount]]-FactSales[[#This Row],[Total_Cost]]</f>
        <v>4160</v>
      </c>
      <c r="T28" s="6" t="str">
        <f>_xlfn.XLOOKUP(FactSales[[#This Row],[Customer_ID]],DimCustomer[Customer_ID],DimCustomer[Customer_Name])</f>
        <v>Shamim Hossain</v>
      </c>
      <c r="U28" s="6" t="str">
        <f>_xlfn.XLOOKUP(FactSales[[#This Row],[Salesperson_ID]],DimSalesman[Salesperson_ID],DimSalesman[Salesperson_Name])</f>
        <v>Morshed Islam</v>
      </c>
      <c r="V28" s="6" t="str">
        <f>_xlfn.XLOOKUP(FactSales[[#This Row],[Region_ID]],DimRegion[Region_ID],DimRegion[Region_Name])</f>
        <v>Mymensingh</v>
      </c>
      <c r="W28" s="6" t="str">
        <f>_xlfn.XLOOKUP(FactSales[[#This Row],[Store_ID]],DimStore[Store_ID],DimStore[Store_Name])</f>
        <v>Mymensingh Ganginarpar Store</v>
      </c>
    </row>
    <row r="29" spans="1:23">
      <c r="A29" s="4" t="s">
        <v>1025</v>
      </c>
      <c r="B29" s="5">
        <v>45776</v>
      </c>
      <c r="C29" s="4" t="s">
        <v>299</v>
      </c>
      <c r="D29" s="4" t="s">
        <v>42</v>
      </c>
      <c r="E29" s="4" t="s">
        <v>674</v>
      </c>
      <c r="F29" s="4" t="s">
        <v>943</v>
      </c>
      <c r="G29" s="4" t="s">
        <v>790</v>
      </c>
      <c r="H29" s="4">
        <v>3</v>
      </c>
      <c r="I29" s="7">
        <v>0.1</v>
      </c>
      <c r="J29" s="6">
        <v>6448</v>
      </c>
      <c r="K29" s="4">
        <v>4</v>
      </c>
      <c r="L29" s="8">
        <f t="shared" si="0"/>
        <v>3.7</v>
      </c>
      <c r="M29" s="6" t="str">
        <f>_xlfn.XLOOKUP(FactSales[[#This Row],[Product_ID]],DimProduct[Product_ID],DimProduct[Product_Name])</f>
        <v>Women Kurti</v>
      </c>
      <c r="N29" s="6" t="str">
        <f>_xlfn.XLOOKUP(FactSales[[#This Row],[Product_ID]],DimProduct[Product_ID],DimProduct[Category])</f>
        <v>Fashion</v>
      </c>
      <c r="O29" s="6">
        <f>_xlfn.XLOOKUP(FactSales[[#This Row],[Product_ID]],DimProduct[Product_ID],DimProduct[Unit_Price])</f>
        <v>1990</v>
      </c>
      <c r="P29" s="6">
        <f>_xlfn.XLOOKUP(FactSales[[#This Row],[Product_ID]],DimProduct[Product_ID],DimProduct[Unit_Cost])</f>
        <v>1090</v>
      </c>
      <c r="Q29" s="6">
        <f>FactSales[[#This Row],[Unit_Price]]*FactSales[[#This Row],[Quantity_Sold]]</f>
        <v>5970</v>
      </c>
      <c r="R29" s="6">
        <f>FactSales[[#This Row],[Unit_Cost]]*FactSales[[#This Row],[Quantity_Sold]]</f>
        <v>3270</v>
      </c>
      <c r="S29" s="6">
        <f>FactSales[[#This Row],[Sales_Amount]]-FactSales[[#This Row],[Total_Cost]]</f>
        <v>2700</v>
      </c>
      <c r="T29" s="6" t="str">
        <f>_xlfn.XLOOKUP(FactSales[[#This Row],[Customer_ID]],DimCustomer[Customer_ID],DimCustomer[Customer_Name])</f>
        <v>Samiha Ahmed</v>
      </c>
      <c r="U29" s="6" t="str">
        <f>_xlfn.XLOOKUP(FactSales[[#This Row],[Salesperson_ID]],DimSalesman[Salesperson_ID],DimSalesman[Salesperson_Name])</f>
        <v>Imran Khan</v>
      </c>
      <c r="V29" s="6" t="str">
        <f>_xlfn.XLOOKUP(FactSales[[#This Row],[Region_ID]],DimRegion[Region_ID],DimRegion[Region_Name])</f>
        <v>Rajshahi</v>
      </c>
      <c r="W29" s="6" t="str">
        <f>_xlfn.XLOOKUP(FactSales[[#This Row],[Store_ID]],DimStore[Store_ID],DimStore[Store_Name])</f>
        <v>Rajshahi Uposhohor Store</v>
      </c>
    </row>
    <row r="30" spans="1:23">
      <c r="A30" s="4" t="s">
        <v>1026</v>
      </c>
      <c r="B30" s="5">
        <v>46054</v>
      </c>
      <c r="C30" s="4" t="s">
        <v>604</v>
      </c>
      <c r="D30" s="4" t="s">
        <v>62</v>
      </c>
      <c r="E30" s="4" t="s">
        <v>734</v>
      </c>
      <c r="F30" s="4" t="s">
        <v>978</v>
      </c>
      <c r="G30" s="4" t="s">
        <v>831</v>
      </c>
      <c r="H30" s="4">
        <v>1</v>
      </c>
      <c r="I30" s="7">
        <v>0.1</v>
      </c>
      <c r="J30" s="6">
        <v>1361</v>
      </c>
      <c r="K30" s="4">
        <v>3</v>
      </c>
      <c r="L30" s="8">
        <f t="shared" si="0"/>
        <v>4</v>
      </c>
      <c r="M30" s="6" t="str">
        <f>_xlfn.XLOOKUP(FactSales[[#This Row],[Product_ID]],DimProduct[Product_ID],DimProduct[Product_Name])</f>
        <v>Perfume Spray</v>
      </c>
      <c r="N30" s="6" t="str">
        <f>_xlfn.XLOOKUP(FactSales[[#This Row],[Product_ID]],DimProduct[Product_ID],DimProduct[Category])</f>
        <v>Beauty &amp; Personal Care</v>
      </c>
      <c r="O30" s="6">
        <f>_xlfn.XLOOKUP(FactSales[[#This Row],[Product_ID]],DimProduct[Product_ID],DimProduct[Unit_Price])</f>
        <v>1260</v>
      </c>
      <c r="P30" s="6">
        <f>_xlfn.XLOOKUP(FactSales[[#This Row],[Product_ID]],DimProduct[Product_ID],DimProduct[Unit_Cost])</f>
        <v>730</v>
      </c>
      <c r="Q30" s="6">
        <f>FactSales[[#This Row],[Unit_Price]]*FactSales[[#This Row],[Quantity_Sold]]</f>
        <v>1260</v>
      </c>
      <c r="R30" s="6">
        <f>FactSales[[#This Row],[Unit_Cost]]*FactSales[[#This Row],[Quantity_Sold]]</f>
        <v>730</v>
      </c>
      <c r="S30" s="6">
        <f>FactSales[[#This Row],[Sales_Amount]]-FactSales[[#This Row],[Total_Cost]]</f>
        <v>530</v>
      </c>
      <c r="T30" s="6" t="str">
        <f>_xlfn.XLOOKUP(FactSales[[#This Row],[Customer_ID]],DimCustomer[Customer_ID],DimCustomer[Customer_Name])</f>
        <v>Shamim Rahman</v>
      </c>
      <c r="U30" s="6" t="str">
        <f>_xlfn.XLOOKUP(FactSales[[#This Row],[Salesperson_ID]],DimSalesman[Salesperson_ID],DimSalesman[Salesperson_Name])</f>
        <v>Sajib Rahman</v>
      </c>
      <c r="V30" s="6" t="str">
        <f>_xlfn.XLOOKUP(FactSales[[#This Row],[Region_ID]],DimRegion[Region_ID],DimRegion[Region_Name])</f>
        <v>Mymensingh</v>
      </c>
      <c r="W30" s="6" t="str">
        <f>_xlfn.XLOOKUP(FactSales[[#This Row],[Store_ID]],DimStore[Store_ID],DimStore[Store_Name])</f>
        <v>Mymensingh Charpara Store</v>
      </c>
    </row>
    <row r="31" spans="1:23">
      <c r="A31" s="4" t="s">
        <v>1027</v>
      </c>
      <c r="B31" s="5">
        <v>45933</v>
      </c>
      <c r="C31" s="4" t="s">
        <v>395</v>
      </c>
      <c r="D31" s="4" t="s">
        <v>47</v>
      </c>
      <c r="E31" s="4" t="s">
        <v>692</v>
      </c>
      <c r="F31" s="4" t="s">
        <v>954</v>
      </c>
      <c r="G31" s="4" t="s">
        <v>765</v>
      </c>
      <c r="H31" s="4">
        <v>3</v>
      </c>
      <c r="I31" s="7">
        <v>0.1</v>
      </c>
      <c r="J31" s="6">
        <v>15990</v>
      </c>
      <c r="K31" s="4">
        <v>4</v>
      </c>
      <c r="L31" s="8">
        <f t="shared" si="0"/>
        <v>3.7</v>
      </c>
      <c r="M31" s="6" t="str">
        <f>_xlfn.XLOOKUP(FactSales[[#This Row],[Product_ID]],DimProduct[Product_ID],DimProduct[Product_Name])</f>
        <v>USB-C Hub</v>
      </c>
      <c r="N31" s="6" t="str">
        <f>_xlfn.XLOOKUP(FactSales[[#This Row],[Product_ID]],DimProduct[Product_ID],DimProduct[Category])</f>
        <v>Electronics</v>
      </c>
      <c r="O31" s="6">
        <f>_xlfn.XLOOKUP(FactSales[[#This Row],[Product_ID]],DimProduct[Product_ID],DimProduct[Unit_Price])</f>
        <v>4890</v>
      </c>
      <c r="P31" s="6">
        <f>_xlfn.XLOOKUP(FactSales[[#This Row],[Product_ID]],DimProduct[Product_ID],DimProduct[Unit_Cost])</f>
        <v>3330</v>
      </c>
      <c r="Q31" s="6">
        <f>FactSales[[#This Row],[Unit_Price]]*FactSales[[#This Row],[Quantity_Sold]]</f>
        <v>14670</v>
      </c>
      <c r="R31" s="6">
        <f>FactSales[[#This Row],[Unit_Cost]]*FactSales[[#This Row],[Quantity_Sold]]</f>
        <v>9990</v>
      </c>
      <c r="S31" s="6">
        <f>FactSales[[#This Row],[Sales_Amount]]-FactSales[[#This Row],[Total_Cost]]</f>
        <v>4680</v>
      </c>
      <c r="T31" s="6" t="str">
        <f>_xlfn.XLOOKUP(FactSales[[#This Row],[Customer_ID]],DimCustomer[Customer_ID],DimCustomer[Customer_Name])</f>
        <v>Imran Mia</v>
      </c>
      <c r="U31" s="6" t="str">
        <f>_xlfn.XLOOKUP(FactSales[[#This Row],[Salesperson_ID]],DimSalesman[Salesperson_ID],DimSalesman[Salesperson_Name])</f>
        <v>Sadia Sultana</v>
      </c>
      <c r="V31" s="6" t="str">
        <f>_xlfn.XLOOKUP(FactSales[[#This Row],[Region_ID]],DimRegion[Region_ID],DimRegion[Region_Name])</f>
        <v>Khulna</v>
      </c>
      <c r="W31" s="6" t="str">
        <f>_xlfn.XLOOKUP(FactSales[[#This Row],[Store_ID]],DimStore[Store_ID],DimStore[Store_Name])</f>
        <v>Khulna Boyra Store</v>
      </c>
    </row>
    <row r="32" spans="1:23">
      <c r="A32" s="4" t="s">
        <v>1028</v>
      </c>
      <c r="B32" s="5">
        <v>45890</v>
      </c>
      <c r="C32" s="4" t="s">
        <v>153</v>
      </c>
      <c r="D32" s="4" t="s">
        <v>32</v>
      </c>
      <c r="E32" s="4" t="s">
        <v>644</v>
      </c>
      <c r="F32" s="4" t="s">
        <v>929</v>
      </c>
      <c r="G32" s="4" t="s">
        <v>781</v>
      </c>
      <c r="H32" s="4">
        <v>3</v>
      </c>
      <c r="I32" s="7">
        <v>0.15</v>
      </c>
      <c r="J32" s="6">
        <v>10636</v>
      </c>
      <c r="K32" s="4">
        <v>8</v>
      </c>
      <c r="L32" s="8">
        <f t="shared" si="0"/>
        <v>2.2999999999999998</v>
      </c>
      <c r="M32" s="6" t="str">
        <f>_xlfn.XLOOKUP(FactSales[[#This Row],[Product_ID]],DimProduct[Product_ID],DimProduct[Product_Name])</f>
        <v>Table Fan</v>
      </c>
      <c r="N32" s="6" t="str">
        <f>_xlfn.XLOOKUP(FactSales[[#This Row],[Product_ID]],DimProduct[Product_ID],DimProduct[Category])</f>
        <v>Home Appliance</v>
      </c>
      <c r="O32" s="6">
        <f>_xlfn.XLOOKUP(FactSales[[#This Row],[Product_ID]],DimProduct[Product_ID],DimProduct[Unit_Price])</f>
        <v>3110</v>
      </c>
      <c r="P32" s="6">
        <f>_xlfn.XLOOKUP(FactSales[[#This Row],[Product_ID]],DimProduct[Product_ID],DimProduct[Unit_Cost])</f>
        <v>2180</v>
      </c>
      <c r="Q32" s="6">
        <f>FactSales[[#This Row],[Unit_Price]]*FactSales[[#This Row],[Quantity_Sold]]</f>
        <v>9330</v>
      </c>
      <c r="R32" s="6">
        <f>FactSales[[#This Row],[Unit_Cost]]*FactSales[[#This Row],[Quantity_Sold]]</f>
        <v>6540</v>
      </c>
      <c r="S32" s="6">
        <f>FactSales[[#This Row],[Sales_Amount]]-FactSales[[#This Row],[Total_Cost]]</f>
        <v>2790</v>
      </c>
      <c r="T32" s="6" t="str">
        <f>_xlfn.XLOOKUP(FactSales[[#This Row],[Customer_ID]],DimCustomer[Customer_ID],DimCustomer[Customer_Name])</f>
        <v>Shuvo Mia</v>
      </c>
      <c r="U32" s="6" t="str">
        <f>_xlfn.XLOOKUP(FactSales[[#This Row],[Salesperson_ID]],DimSalesman[Salesperson_ID],DimSalesman[Salesperson_Name])</f>
        <v>Nabila Mia</v>
      </c>
      <c r="V32" s="6" t="str">
        <f>_xlfn.XLOOKUP(FactSales[[#This Row],[Region_ID]],DimRegion[Region_ID],DimRegion[Region_Name])</f>
        <v>Chattogram</v>
      </c>
      <c r="W32" s="6" t="str">
        <f>_xlfn.XLOOKUP(FactSales[[#This Row],[Store_ID]],DimStore[Store_ID],DimStore[Store_Name])</f>
        <v>Chattogram Panchlaish Store</v>
      </c>
    </row>
    <row r="33" spans="1:23">
      <c r="A33" s="4" t="s">
        <v>1029</v>
      </c>
      <c r="B33" s="5">
        <v>46062</v>
      </c>
      <c r="C33" s="4" t="s">
        <v>596</v>
      </c>
      <c r="D33" s="4" t="s">
        <v>62</v>
      </c>
      <c r="E33" s="4" t="s">
        <v>731</v>
      </c>
      <c r="F33" s="4" t="s">
        <v>983</v>
      </c>
      <c r="G33" s="4" t="s">
        <v>768</v>
      </c>
      <c r="H33" s="4">
        <v>6</v>
      </c>
      <c r="I33" s="7">
        <v>0.08</v>
      </c>
      <c r="J33" s="6">
        <v>46656</v>
      </c>
      <c r="K33" s="4">
        <v>4</v>
      </c>
      <c r="L33" s="8">
        <f t="shared" si="0"/>
        <v>3.7</v>
      </c>
      <c r="M33" s="6" t="str">
        <f>_xlfn.XLOOKUP(FactSales[[#This Row],[Product_ID]],DimProduct[Product_ID],DimProduct[Product_Name])</f>
        <v>Electric Kettle</v>
      </c>
      <c r="N33" s="6" t="str">
        <f>_xlfn.XLOOKUP(FactSales[[#This Row],[Product_ID]],DimProduct[Product_ID],DimProduct[Category])</f>
        <v>Home Appliance</v>
      </c>
      <c r="O33" s="6">
        <f>_xlfn.XLOOKUP(FactSales[[#This Row],[Product_ID]],DimProduct[Product_ID],DimProduct[Unit_Price])</f>
        <v>7200</v>
      </c>
      <c r="P33" s="6">
        <f>_xlfn.XLOOKUP(FactSales[[#This Row],[Product_ID]],DimProduct[Product_ID],DimProduct[Unit_Cost])</f>
        <v>5040</v>
      </c>
      <c r="Q33" s="6">
        <f>FactSales[[#This Row],[Unit_Price]]*FactSales[[#This Row],[Quantity_Sold]]</f>
        <v>43200</v>
      </c>
      <c r="R33" s="6">
        <f>FactSales[[#This Row],[Unit_Cost]]*FactSales[[#This Row],[Quantity_Sold]]</f>
        <v>30240</v>
      </c>
      <c r="S33" s="6">
        <f>FactSales[[#This Row],[Sales_Amount]]-FactSales[[#This Row],[Total_Cost]]</f>
        <v>12960</v>
      </c>
      <c r="T33" s="6" t="str">
        <f>_xlfn.XLOOKUP(FactSales[[#This Row],[Customer_ID]],DimCustomer[Customer_ID],DimCustomer[Customer_Name])</f>
        <v>Hasan Sultana</v>
      </c>
      <c r="U33" s="6" t="str">
        <f>_xlfn.XLOOKUP(FactSales[[#This Row],[Salesperson_ID]],DimSalesman[Salesperson_ID],DimSalesman[Salesperson_Name])</f>
        <v>Fahim Hossain</v>
      </c>
      <c r="V33" s="6" t="str">
        <f>_xlfn.XLOOKUP(FactSales[[#This Row],[Region_ID]],DimRegion[Region_ID],DimRegion[Region_Name])</f>
        <v>Mymensingh</v>
      </c>
      <c r="W33" s="6" t="str">
        <f>_xlfn.XLOOKUP(FactSales[[#This Row],[Store_ID]],DimStore[Store_ID],DimStore[Store_Name])</f>
        <v>Mymensingh Town Hall Store</v>
      </c>
    </row>
    <row r="34" spans="1:23">
      <c r="A34" s="4" t="s">
        <v>1030</v>
      </c>
      <c r="B34" s="5">
        <v>45829</v>
      </c>
      <c r="C34" s="4" t="s">
        <v>225</v>
      </c>
      <c r="D34" s="4" t="s">
        <v>37</v>
      </c>
      <c r="E34" s="4" t="s">
        <v>662</v>
      </c>
      <c r="F34" s="4" t="s">
        <v>934</v>
      </c>
      <c r="G34" s="4" t="s">
        <v>897</v>
      </c>
      <c r="H34" s="4">
        <v>8</v>
      </c>
      <c r="I34" s="7">
        <v>0.05</v>
      </c>
      <c r="J34" s="6">
        <v>99981</v>
      </c>
      <c r="K34" s="4">
        <v>6</v>
      </c>
      <c r="L34" s="8">
        <f t="shared" si="0"/>
        <v>3.2</v>
      </c>
      <c r="M34" s="6" t="str">
        <f>_xlfn.XLOOKUP(FactSales[[#This Row],[Product_ID]],DimProduct[Product_ID],DimProduct[Product_Name])</f>
        <v>Study Table</v>
      </c>
      <c r="N34" s="6" t="str">
        <f>_xlfn.XLOOKUP(FactSales[[#This Row],[Product_ID]],DimProduct[Product_ID],DimProduct[Category])</f>
        <v>Furniture</v>
      </c>
      <c r="O34" s="6">
        <f>_xlfn.XLOOKUP(FactSales[[#This Row],[Product_ID]],DimProduct[Product_ID],DimProduct[Unit_Price])</f>
        <v>11680</v>
      </c>
      <c r="P34" s="6">
        <f>_xlfn.XLOOKUP(FactSales[[#This Row],[Product_ID]],DimProduct[Product_ID],DimProduct[Unit_Cost])</f>
        <v>8410</v>
      </c>
      <c r="Q34" s="6">
        <f>FactSales[[#This Row],[Unit_Price]]*FactSales[[#This Row],[Quantity_Sold]]</f>
        <v>93440</v>
      </c>
      <c r="R34" s="6">
        <f>FactSales[[#This Row],[Unit_Cost]]*FactSales[[#This Row],[Quantity_Sold]]</f>
        <v>67280</v>
      </c>
      <c r="S34" s="6">
        <f>FactSales[[#This Row],[Sales_Amount]]-FactSales[[#This Row],[Total_Cost]]</f>
        <v>26160</v>
      </c>
      <c r="T34" s="6" t="str">
        <f>_xlfn.XLOOKUP(FactSales[[#This Row],[Customer_ID]],DimCustomer[Customer_ID],DimCustomer[Customer_Name])</f>
        <v>Tania Akter</v>
      </c>
      <c r="U34" s="6" t="str">
        <f>_xlfn.XLOOKUP(FactSales[[#This Row],[Salesperson_ID]],DimSalesman[Salesperson_ID],DimSalesman[Salesperson_Name])</f>
        <v>Hasan Mia</v>
      </c>
      <c r="V34" s="6" t="str">
        <f>_xlfn.XLOOKUP(FactSales[[#This Row],[Region_ID]],DimRegion[Region_ID],DimRegion[Region_Name])</f>
        <v>Sylhet</v>
      </c>
      <c r="W34" s="6" t="str">
        <f>_xlfn.XLOOKUP(FactSales[[#This Row],[Store_ID]],DimStore[Store_ID],DimStore[Store_Name])</f>
        <v>Sylhet Subidbazar Store</v>
      </c>
    </row>
    <row r="35" spans="1:23">
      <c r="A35" s="4" t="s">
        <v>1031</v>
      </c>
      <c r="B35" s="5">
        <v>45726</v>
      </c>
      <c r="C35" s="4" t="s">
        <v>503</v>
      </c>
      <c r="D35" s="4" t="s">
        <v>57</v>
      </c>
      <c r="E35" s="4" t="s">
        <v>716</v>
      </c>
      <c r="F35" s="4" t="s">
        <v>976</v>
      </c>
      <c r="G35" s="4" t="s">
        <v>765</v>
      </c>
      <c r="H35" s="4">
        <v>3</v>
      </c>
      <c r="I35" s="7">
        <v>0.15</v>
      </c>
      <c r="J35" s="6">
        <v>16870</v>
      </c>
      <c r="K35" s="4">
        <v>7</v>
      </c>
      <c r="L35" s="8">
        <f t="shared" si="0"/>
        <v>2.6</v>
      </c>
      <c r="M35" s="6" t="str">
        <f>_xlfn.XLOOKUP(FactSales[[#This Row],[Product_ID]],DimProduct[Product_ID],DimProduct[Product_Name])</f>
        <v>USB-C Hub</v>
      </c>
      <c r="N35" s="6" t="str">
        <f>_xlfn.XLOOKUP(FactSales[[#This Row],[Product_ID]],DimProduct[Product_ID],DimProduct[Category])</f>
        <v>Electronics</v>
      </c>
      <c r="O35" s="6">
        <f>_xlfn.XLOOKUP(FactSales[[#This Row],[Product_ID]],DimProduct[Product_ID],DimProduct[Unit_Price])</f>
        <v>4890</v>
      </c>
      <c r="P35" s="6">
        <f>_xlfn.XLOOKUP(FactSales[[#This Row],[Product_ID]],DimProduct[Product_ID],DimProduct[Unit_Cost])</f>
        <v>3330</v>
      </c>
      <c r="Q35" s="6">
        <f>FactSales[[#This Row],[Unit_Price]]*FactSales[[#This Row],[Quantity_Sold]]</f>
        <v>14670</v>
      </c>
      <c r="R35" s="6">
        <f>FactSales[[#This Row],[Unit_Cost]]*FactSales[[#This Row],[Quantity_Sold]]</f>
        <v>9990</v>
      </c>
      <c r="S35" s="6">
        <f>FactSales[[#This Row],[Sales_Amount]]-FactSales[[#This Row],[Total_Cost]]</f>
        <v>4680</v>
      </c>
      <c r="T35" s="6" t="str">
        <f>_xlfn.XLOOKUP(FactSales[[#This Row],[Customer_ID]],DimCustomer[Customer_ID],DimCustomer[Customer_Name])</f>
        <v>Hasan Rahman</v>
      </c>
      <c r="U35" s="6" t="str">
        <f>_xlfn.XLOOKUP(FactSales[[#This Row],[Salesperson_ID]],DimSalesman[Salesperson_ID],DimSalesman[Salesperson_Name])</f>
        <v>Nayeem Rahman</v>
      </c>
      <c r="V35" s="6" t="str">
        <f>_xlfn.XLOOKUP(FactSales[[#This Row],[Region_ID]],DimRegion[Region_ID],DimRegion[Region_Name])</f>
        <v>Rangpur</v>
      </c>
      <c r="W35" s="6" t="str">
        <f>_xlfn.XLOOKUP(FactSales[[#This Row],[Store_ID]],DimStore[Store_ID],DimStore[Store_Name])</f>
        <v>Rangpur Shapla Chattar Store</v>
      </c>
    </row>
    <row r="36" spans="1:23">
      <c r="A36" s="4" t="s">
        <v>1032</v>
      </c>
      <c r="B36" s="5">
        <v>45670</v>
      </c>
      <c r="C36" s="4" t="s">
        <v>445</v>
      </c>
      <c r="D36" s="4" t="s">
        <v>52</v>
      </c>
      <c r="E36" s="4" t="s">
        <v>710</v>
      </c>
      <c r="F36" s="4" t="s">
        <v>964</v>
      </c>
      <c r="G36" s="4" t="s">
        <v>890</v>
      </c>
      <c r="H36" s="4">
        <v>4</v>
      </c>
      <c r="I36" s="7">
        <v>0.12</v>
      </c>
      <c r="J36" s="6">
        <v>3763</v>
      </c>
      <c r="K36" s="4">
        <v>2</v>
      </c>
      <c r="L36" s="8">
        <f t="shared" si="0"/>
        <v>4.3</v>
      </c>
      <c r="M36" s="6" t="str">
        <f>_xlfn.XLOOKUP(FactSales[[#This Row],[Product_ID]],DimProduct[Product_ID],DimProduct[Product_Name])</f>
        <v>Kids Story Book</v>
      </c>
      <c r="N36" s="6" t="str">
        <f>_xlfn.XLOOKUP(FactSales[[#This Row],[Product_ID]],DimProduct[Product_ID],DimProduct[Category])</f>
        <v>Kids &amp; Toys</v>
      </c>
      <c r="O36" s="6">
        <f>_xlfn.XLOOKUP(FactSales[[#This Row],[Product_ID]],DimProduct[Product_ID],DimProduct[Unit_Price])</f>
        <v>840</v>
      </c>
      <c r="P36" s="6">
        <f>_xlfn.XLOOKUP(FactSales[[#This Row],[Product_ID]],DimProduct[Product_ID],DimProduct[Unit_Cost])</f>
        <v>460</v>
      </c>
      <c r="Q36" s="6">
        <f>FactSales[[#This Row],[Unit_Price]]*FactSales[[#This Row],[Quantity_Sold]]</f>
        <v>3360</v>
      </c>
      <c r="R36" s="6">
        <f>FactSales[[#This Row],[Unit_Cost]]*FactSales[[#This Row],[Quantity_Sold]]</f>
        <v>1840</v>
      </c>
      <c r="S36" s="6">
        <f>FactSales[[#This Row],[Sales_Amount]]-FactSales[[#This Row],[Total_Cost]]</f>
        <v>1520</v>
      </c>
      <c r="T36" s="6" t="str">
        <f>_xlfn.XLOOKUP(FactSales[[#This Row],[Customer_ID]],DimCustomer[Customer_ID],DimCustomer[Customer_Name])</f>
        <v>Tanvir Akter</v>
      </c>
      <c r="U36" s="6" t="str">
        <f>_xlfn.XLOOKUP(FactSales[[#This Row],[Salesperson_ID]],DimSalesman[Salesperson_ID],DimSalesman[Salesperson_Name])</f>
        <v>Shaila Uddin</v>
      </c>
      <c r="V36" s="6" t="str">
        <f>_xlfn.XLOOKUP(FactSales[[#This Row],[Region_ID]],DimRegion[Region_ID],DimRegion[Region_Name])</f>
        <v>Barishal</v>
      </c>
      <c r="W36" s="6" t="str">
        <f>_xlfn.XLOOKUP(FactSales[[#This Row],[Store_ID]],DimStore[Store_ID],DimStore[Store_Name])</f>
        <v>Barishal Kawnia Store</v>
      </c>
    </row>
    <row r="37" spans="1:23">
      <c r="A37" s="4" t="s">
        <v>1033</v>
      </c>
      <c r="B37" s="5">
        <v>45760</v>
      </c>
      <c r="C37" s="4" t="s">
        <v>186</v>
      </c>
      <c r="D37" s="4" t="s">
        <v>32</v>
      </c>
      <c r="E37" s="4" t="s">
        <v>641</v>
      </c>
      <c r="F37" s="4" t="s">
        <v>924</v>
      </c>
      <c r="G37" s="4" t="s">
        <v>810</v>
      </c>
      <c r="H37" s="4">
        <v>8</v>
      </c>
      <c r="I37" s="7">
        <v>0</v>
      </c>
      <c r="J37" s="6">
        <v>4013</v>
      </c>
      <c r="K37" s="4">
        <v>3</v>
      </c>
      <c r="L37" s="8">
        <f t="shared" si="0"/>
        <v>4.2</v>
      </c>
      <c r="M37" s="6" t="str">
        <f>_xlfn.XLOOKUP(FactSales[[#This Row],[Product_ID]],DimProduct[Product_ID],DimProduct[Product_Name])</f>
        <v>Flour 2kg</v>
      </c>
      <c r="N37" s="6" t="str">
        <f>_xlfn.XLOOKUP(FactSales[[#This Row],[Product_ID]],DimProduct[Product_ID],DimProduct[Category])</f>
        <v>Grocery</v>
      </c>
      <c r="O37" s="6">
        <f>_xlfn.XLOOKUP(FactSales[[#This Row],[Product_ID]],DimProduct[Product_ID],DimProduct[Unit_Price])</f>
        <v>440</v>
      </c>
      <c r="P37" s="6">
        <f>_xlfn.XLOOKUP(FactSales[[#This Row],[Product_ID]],DimProduct[Product_ID],DimProduct[Unit_Cost])</f>
        <v>340</v>
      </c>
      <c r="Q37" s="6">
        <f>FactSales[[#This Row],[Unit_Price]]*FactSales[[#This Row],[Quantity_Sold]]</f>
        <v>3520</v>
      </c>
      <c r="R37" s="6">
        <f>FactSales[[#This Row],[Unit_Cost]]*FactSales[[#This Row],[Quantity_Sold]]</f>
        <v>2720</v>
      </c>
      <c r="S37" s="6">
        <f>FactSales[[#This Row],[Sales_Amount]]-FactSales[[#This Row],[Total_Cost]]</f>
        <v>800</v>
      </c>
      <c r="T37" s="6" t="str">
        <f>_xlfn.XLOOKUP(FactSales[[#This Row],[Customer_ID]],DimCustomer[Customer_ID],DimCustomer[Customer_Name])</f>
        <v>Ayesha Sultana</v>
      </c>
      <c r="U37" s="6" t="str">
        <f>_xlfn.XLOOKUP(FactSales[[#This Row],[Salesperson_ID]],DimSalesman[Salesperson_ID],DimSalesman[Salesperson_Name])</f>
        <v>Rumana Khan</v>
      </c>
      <c r="V37" s="6" t="str">
        <f>_xlfn.XLOOKUP(FactSales[[#This Row],[Region_ID]],DimRegion[Region_ID],DimRegion[Region_Name])</f>
        <v>Chattogram</v>
      </c>
      <c r="W37" s="6" t="str">
        <f>_xlfn.XLOOKUP(FactSales[[#This Row],[Store_ID]],DimStore[Store_ID],DimStore[Store_Name])</f>
        <v>Chattogram GEC Store</v>
      </c>
    </row>
    <row r="38" spans="1:23">
      <c r="A38" s="4" t="s">
        <v>1034</v>
      </c>
      <c r="B38" s="5">
        <v>46155</v>
      </c>
      <c r="C38" s="4" t="s">
        <v>404</v>
      </c>
      <c r="D38" s="4" t="s">
        <v>47</v>
      </c>
      <c r="E38" s="4" t="s">
        <v>689</v>
      </c>
      <c r="F38" s="4" t="s">
        <v>955</v>
      </c>
      <c r="G38" s="4" t="s">
        <v>765</v>
      </c>
      <c r="H38" s="4">
        <v>3</v>
      </c>
      <c r="I38" s="7">
        <v>0.15</v>
      </c>
      <c r="J38" s="6">
        <v>15990</v>
      </c>
      <c r="K38" s="4">
        <v>4</v>
      </c>
      <c r="L38" s="8">
        <f t="shared" si="0"/>
        <v>3.6</v>
      </c>
      <c r="M38" s="6" t="str">
        <f>_xlfn.XLOOKUP(FactSales[[#This Row],[Product_ID]],DimProduct[Product_ID],DimProduct[Product_Name])</f>
        <v>USB-C Hub</v>
      </c>
      <c r="N38" s="6" t="str">
        <f>_xlfn.XLOOKUP(FactSales[[#This Row],[Product_ID]],DimProduct[Product_ID],DimProduct[Category])</f>
        <v>Electronics</v>
      </c>
      <c r="O38" s="6">
        <f>_xlfn.XLOOKUP(FactSales[[#This Row],[Product_ID]],DimProduct[Product_ID],DimProduct[Unit_Price])</f>
        <v>4890</v>
      </c>
      <c r="P38" s="6">
        <f>_xlfn.XLOOKUP(FactSales[[#This Row],[Product_ID]],DimProduct[Product_ID],DimProduct[Unit_Cost])</f>
        <v>3330</v>
      </c>
      <c r="Q38" s="6">
        <f>FactSales[[#This Row],[Unit_Price]]*FactSales[[#This Row],[Quantity_Sold]]</f>
        <v>14670</v>
      </c>
      <c r="R38" s="6">
        <f>FactSales[[#This Row],[Unit_Cost]]*FactSales[[#This Row],[Quantity_Sold]]</f>
        <v>9990</v>
      </c>
      <c r="S38" s="6">
        <f>FactSales[[#This Row],[Sales_Amount]]-FactSales[[#This Row],[Total_Cost]]</f>
        <v>4680</v>
      </c>
      <c r="T38" s="6" t="str">
        <f>_xlfn.XLOOKUP(FactSales[[#This Row],[Customer_ID]],DimCustomer[Customer_ID],DimCustomer[Customer_Name])</f>
        <v>Ayesha Sultana</v>
      </c>
      <c r="U38" s="6" t="str">
        <f>_xlfn.XLOOKUP(FactSales[[#This Row],[Salesperson_ID]],DimSalesman[Salesperson_ID],DimSalesman[Salesperson_Name])</f>
        <v>Tania Chowdhury</v>
      </c>
      <c r="V38" s="6" t="str">
        <f>_xlfn.XLOOKUP(FactSales[[#This Row],[Region_ID]],DimRegion[Region_ID],DimRegion[Region_Name])</f>
        <v>Khulna</v>
      </c>
      <c r="W38" s="6" t="str">
        <f>_xlfn.XLOOKUP(FactSales[[#This Row],[Store_ID]],DimStore[Store_ID],DimStore[Store_Name])</f>
        <v>Khulna Daulatpur Store</v>
      </c>
    </row>
    <row r="39" spans="1:23">
      <c r="A39" s="4" t="s">
        <v>1035</v>
      </c>
      <c r="B39" s="5">
        <v>45697</v>
      </c>
      <c r="C39" s="4" t="s">
        <v>270</v>
      </c>
      <c r="D39" s="4" t="s">
        <v>37</v>
      </c>
      <c r="E39" s="4" t="s">
        <v>665</v>
      </c>
      <c r="F39" s="4" t="s">
        <v>941</v>
      </c>
      <c r="G39" s="4" t="s">
        <v>841</v>
      </c>
      <c r="H39" s="4">
        <v>2</v>
      </c>
      <c r="I39" s="7">
        <v>7.0000000000000007E-2</v>
      </c>
      <c r="J39" s="6">
        <v>6891</v>
      </c>
      <c r="K39" s="4">
        <v>3</v>
      </c>
      <c r="L39" s="8">
        <f t="shared" si="0"/>
        <v>4.0999999999999996</v>
      </c>
      <c r="M39" s="6" t="str">
        <f>_xlfn.XLOOKUP(FactSales[[#This Row],[Product_ID]],DimProduct[Product_ID],DimProduct[Product_Name])</f>
        <v>Ladies Sandal</v>
      </c>
      <c r="N39" s="6" t="str">
        <f>_xlfn.XLOOKUP(FactSales[[#This Row],[Product_ID]],DimProduct[Product_ID],DimProduct[Category])</f>
        <v>Footwear</v>
      </c>
      <c r="O39" s="6">
        <f>_xlfn.XLOOKUP(FactSales[[#This Row],[Product_ID]],DimProduct[Product_ID],DimProduct[Unit_Price])</f>
        <v>3220</v>
      </c>
      <c r="P39" s="6">
        <f>_xlfn.XLOOKUP(FactSales[[#This Row],[Product_ID]],DimProduct[Product_ID],DimProduct[Unit_Cost])</f>
        <v>1930</v>
      </c>
      <c r="Q39" s="6">
        <f>FactSales[[#This Row],[Unit_Price]]*FactSales[[#This Row],[Quantity_Sold]]</f>
        <v>6440</v>
      </c>
      <c r="R39" s="6">
        <f>FactSales[[#This Row],[Unit_Cost]]*FactSales[[#This Row],[Quantity_Sold]]</f>
        <v>3860</v>
      </c>
      <c r="S39" s="6">
        <f>FactSales[[#This Row],[Sales_Amount]]-FactSales[[#This Row],[Total_Cost]]</f>
        <v>2580</v>
      </c>
      <c r="T39" s="6" t="str">
        <f>_xlfn.XLOOKUP(FactSales[[#This Row],[Customer_ID]],DimCustomer[Customer_ID],DimCustomer[Customer_Name])</f>
        <v>Shaila Uddin</v>
      </c>
      <c r="U39" s="6" t="str">
        <f>_xlfn.XLOOKUP(FactSales[[#This Row],[Salesperson_ID]],DimSalesman[Salesperson_ID],DimSalesman[Salesperson_Name])</f>
        <v>Rumana Rahman</v>
      </c>
      <c r="V39" s="6" t="str">
        <f>_xlfn.XLOOKUP(FactSales[[#This Row],[Region_ID]],DimRegion[Region_ID],DimRegion[Region_Name])</f>
        <v>Sylhet</v>
      </c>
      <c r="W39" s="6" t="str">
        <f>_xlfn.XLOOKUP(FactSales[[#This Row],[Store_ID]],DimStore[Store_ID],DimStore[Store_Name])</f>
        <v>Sylhet Upashahar Store</v>
      </c>
    </row>
    <row r="40" spans="1:23">
      <c r="A40" s="4" t="s">
        <v>1036</v>
      </c>
      <c r="B40" s="5">
        <v>45678</v>
      </c>
      <c r="C40" s="4" t="s">
        <v>289</v>
      </c>
      <c r="D40" s="4" t="s">
        <v>42</v>
      </c>
      <c r="E40" s="4" t="s">
        <v>677</v>
      </c>
      <c r="F40" s="4" t="s">
        <v>945</v>
      </c>
      <c r="G40" s="4" t="s">
        <v>885</v>
      </c>
      <c r="H40" s="4">
        <v>2</v>
      </c>
      <c r="I40" s="7">
        <v>7.0000000000000007E-2</v>
      </c>
      <c r="J40" s="6">
        <v>4752</v>
      </c>
      <c r="K40" s="4">
        <v>3</v>
      </c>
      <c r="L40" s="8">
        <f t="shared" si="0"/>
        <v>4.0999999999999996</v>
      </c>
      <c r="M40" s="6" t="str">
        <f>_xlfn.XLOOKUP(FactSales[[#This Row],[Product_ID]],DimProduct[Product_ID],DimProduct[Product_Name])</f>
        <v>Puzzle Board</v>
      </c>
      <c r="N40" s="6" t="str">
        <f>_xlfn.XLOOKUP(FactSales[[#This Row],[Product_ID]],DimProduct[Product_ID],DimProduct[Category])</f>
        <v>Kids &amp; Toys</v>
      </c>
      <c r="O40" s="6">
        <f>_xlfn.XLOOKUP(FactSales[[#This Row],[Product_ID]],DimProduct[Product_ID],DimProduct[Unit_Price])</f>
        <v>2200</v>
      </c>
      <c r="P40" s="6">
        <f>_xlfn.XLOOKUP(FactSales[[#This Row],[Product_ID]],DimProduct[Product_ID],DimProduct[Unit_Cost])</f>
        <v>1210</v>
      </c>
      <c r="Q40" s="6">
        <f>FactSales[[#This Row],[Unit_Price]]*FactSales[[#This Row],[Quantity_Sold]]</f>
        <v>4400</v>
      </c>
      <c r="R40" s="6">
        <f>FactSales[[#This Row],[Unit_Cost]]*FactSales[[#This Row],[Quantity_Sold]]</f>
        <v>2420</v>
      </c>
      <c r="S40" s="6">
        <f>FactSales[[#This Row],[Sales_Amount]]-FactSales[[#This Row],[Total_Cost]]</f>
        <v>1980</v>
      </c>
      <c r="T40" s="6" t="str">
        <f>_xlfn.XLOOKUP(FactSales[[#This Row],[Customer_ID]],DimCustomer[Customer_ID],DimCustomer[Customer_Name])</f>
        <v>Mehedi Hossain</v>
      </c>
      <c r="U40" s="6" t="str">
        <f>_xlfn.XLOOKUP(FactSales[[#This Row],[Salesperson_ID]],DimSalesman[Salesperson_ID],DimSalesman[Salesperson_Name])</f>
        <v>Hasan Khan</v>
      </c>
      <c r="V40" s="6" t="str">
        <f>_xlfn.XLOOKUP(FactSales[[#This Row],[Region_ID]],DimRegion[Region_ID],DimRegion[Region_Name])</f>
        <v>Rajshahi</v>
      </c>
      <c r="W40" s="6" t="str">
        <f>_xlfn.XLOOKUP(FactSales[[#This Row],[Store_ID]],DimStore[Store_ID],DimStore[Store_Name])</f>
        <v>Rajshahi Railgate Store</v>
      </c>
    </row>
    <row r="41" spans="1:23">
      <c r="A41" s="4" t="s">
        <v>1037</v>
      </c>
      <c r="B41" s="5">
        <v>46111</v>
      </c>
      <c r="C41" s="4" t="s">
        <v>168</v>
      </c>
      <c r="D41" s="4" t="s">
        <v>32</v>
      </c>
      <c r="E41" s="4" t="s">
        <v>641</v>
      </c>
      <c r="F41" s="4" t="s">
        <v>926</v>
      </c>
      <c r="G41" s="4" t="s">
        <v>903</v>
      </c>
      <c r="H41" s="4">
        <v>5</v>
      </c>
      <c r="I41" s="7">
        <v>7.0000000000000007E-2</v>
      </c>
      <c r="J41" s="6">
        <v>24111</v>
      </c>
      <c r="K41" s="4">
        <v>10</v>
      </c>
      <c r="L41" s="8">
        <f t="shared" si="0"/>
        <v>1.8</v>
      </c>
      <c r="M41" s="6" t="str">
        <f>_xlfn.XLOOKUP(FactSales[[#This Row],[Product_ID]],DimProduct[Product_ID],DimProduct[Product_Name])</f>
        <v>Bookshelf</v>
      </c>
      <c r="N41" s="6" t="str">
        <f>_xlfn.XLOOKUP(FactSales[[#This Row],[Product_ID]],DimProduct[Product_ID],DimProduct[Category])</f>
        <v>Furniture</v>
      </c>
      <c r="O41" s="6">
        <f>_xlfn.XLOOKUP(FactSales[[#This Row],[Product_ID]],DimProduct[Product_ID],DimProduct[Unit_Price])</f>
        <v>4230</v>
      </c>
      <c r="P41" s="6">
        <f>_xlfn.XLOOKUP(FactSales[[#This Row],[Product_ID]],DimProduct[Product_ID],DimProduct[Unit_Cost])</f>
        <v>3050</v>
      </c>
      <c r="Q41" s="6">
        <f>FactSales[[#This Row],[Unit_Price]]*FactSales[[#This Row],[Quantity_Sold]]</f>
        <v>21150</v>
      </c>
      <c r="R41" s="6">
        <f>FactSales[[#This Row],[Unit_Cost]]*FactSales[[#This Row],[Quantity_Sold]]</f>
        <v>15250</v>
      </c>
      <c r="S41" s="6">
        <f>FactSales[[#This Row],[Sales_Amount]]-FactSales[[#This Row],[Total_Cost]]</f>
        <v>5900</v>
      </c>
      <c r="T41" s="6" t="str">
        <f>_xlfn.XLOOKUP(FactSales[[#This Row],[Customer_ID]],DimCustomer[Customer_ID],DimCustomer[Customer_Name])</f>
        <v>Mim Akter</v>
      </c>
      <c r="U41" s="6" t="str">
        <f>_xlfn.XLOOKUP(FactSales[[#This Row],[Salesperson_ID]],DimSalesman[Salesperson_ID],DimSalesman[Salesperson_Name])</f>
        <v>Rafi Akter</v>
      </c>
      <c r="V41" s="6" t="str">
        <f>_xlfn.XLOOKUP(FactSales[[#This Row],[Region_ID]],DimRegion[Region_ID],DimRegion[Region_Name])</f>
        <v>Chattogram</v>
      </c>
      <c r="W41" s="6" t="str">
        <f>_xlfn.XLOOKUP(FactSales[[#This Row],[Store_ID]],DimStore[Store_ID],DimStore[Store_Name])</f>
        <v>Chattogram GEC Store</v>
      </c>
    </row>
    <row r="42" spans="1:23">
      <c r="A42" s="4" t="s">
        <v>1038</v>
      </c>
      <c r="B42" s="5">
        <v>46074</v>
      </c>
      <c r="C42" s="4" t="s">
        <v>535</v>
      </c>
      <c r="D42" s="4" t="s">
        <v>57</v>
      </c>
      <c r="E42" s="4" t="s">
        <v>713</v>
      </c>
      <c r="F42" s="4" t="s">
        <v>970</v>
      </c>
      <c r="G42" s="4" t="s">
        <v>784</v>
      </c>
      <c r="H42" s="4">
        <v>4</v>
      </c>
      <c r="I42" s="7">
        <v>0.12</v>
      </c>
      <c r="J42" s="6">
        <v>8602</v>
      </c>
      <c r="K42" s="4">
        <v>8</v>
      </c>
      <c r="L42" s="8">
        <f t="shared" si="0"/>
        <v>2.4</v>
      </c>
      <c r="M42" s="6" t="str">
        <f>_xlfn.XLOOKUP(FactSales[[#This Row],[Product_ID]],DimProduct[Product_ID],DimProduct[Product_Name])</f>
        <v>Cotton T-Shirt</v>
      </c>
      <c r="N42" s="6" t="str">
        <f>_xlfn.XLOOKUP(FactSales[[#This Row],[Product_ID]],DimProduct[Product_ID],DimProduct[Category])</f>
        <v>Fashion</v>
      </c>
      <c r="O42" s="6">
        <f>_xlfn.XLOOKUP(FactSales[[#This Row],[Product_ID]],DimProduct[Product_ID],DimProduct[Unit_Price])</f>
        <v>1870</v>
      </c>
      <c r="P42" s="6">
        <f>_xlfn.XLOOKUP(FactSales[[#This Row],[Product_ID]],DimProduct[Product_ID],DimProduct[Unit_Cost])</f>
        <v>1030</v>
      </c>
      <c r="Q42" s="6">
        <f>FactSales[[#This Row],[Unit_Price]]*FactSales[[#This Row],[Quantity_Sold]]</f>
        <v>7480</v>
      </c>
      <c r="R42" s="6">
        <f>FactSales[[#This Row],[Unit_Cost]]*FactSales[[#This Row],[Quantity_Sold]]</f>
        <v>4120</v>
      </c>
      <c r="S42" s="6">
        <f>FactSales[[#This Row],[Sales_Amount]]-FactSales[[#This Row],[Total_Cost]]</f>
        <v>3360</v>
      </c>
      <c r="T42" s="6" t="str">
        <f>_xlfn.XLOOKUP(FactSales[[#This Row],[Customer_ID]],DimCustomer[Customer_ID],DimCustomer[Customer_Name])</f>
        <v>Shuvo Uddin</v>
      </c>
      <c r="U42" s="6" t="str">
        <f>_xlfn.XLOOKUP(FactSales[[#This Row],[Salesperson_ID]],DimSalesman[Salesperson_ID],DimSalesman[Salesperson_Name])</f>
        <v>Tanvir Islam</v>
      </c>
      <c r="V42" s="6" t="str">
        <f>_xlfn.XLOOKUP(FactSales[[#This Row],[Region_ID]],DimRegion[Region_ID],DimRegion[Region_Name])</f>
        <v>Rangpur</v>
      </c>
      <c r="W42" s="6" t="str">
        <f>_xlfn.XLOOKUP(FactSales[[#This Row],[Store_ID]],DimStore[Store_ID],DimStore[Store_Name])</f>
        <v>Rangpur Jahaj Company Store</v>
      </c>
    </row>
    <row r="43" spans="1:23">
      <c r="A43" s="4" t="s">
        <v>1039</v>
      </c>
      <c r="B43" s="5">
        <v>45796</v>
      </c>
      <c r="C43" s="4" t="s">
        <v>222</v>
      </c>
      <c r="D43" s="4" t="s">
        <v>37</v>
      </c>
      <c r="E43" s="4" t="s">
        <v>659</v>
      </c>
      <c r="F43" s="4" t="s">
        <v>941</v>
      </c>
      <c r="G43" s="4" t="s">
        <v>797</v>
      </c>
      <c r="H43" s="4">
        <v>4</v>
      </c>
      <c r="I43" s="7">
        <v>0.12</v>
      </c>
      <c r="J43" s="6">
        <v>11214</v>
      </c>
      <c r="K43" s="4">
        <v>1</v>
      </c>
      <c r="L43" s="8">
        <f t="shared" si="0"/>
        <v>4.5999999999999996</v>
      </c>
      <c r="M43" s="6" t="str">
        <f>_xlfn.XLOOKUP(FactSales[[#This Row],[Product_ID]],DimProduct[Product_ID],DimProduct[Product_Name])</f>
        <v>Leather Belt</v>
      </c>
      <c r="N43" s="6" t="str">
        <f>_xlfn.XLOOKUP(FactSales[[#This Row],[Product_ID]],DimProduct[Product_ID],DimProduct[Category])</f>
        <v>Fashion</v>
      </c>
      <c r="O43" s="6">
        <f>_xlfn.XLOOKUP(FactSales[[#This Row],[Product_ID]],DimProduct[Product_ID],DimProduct[Unit_Price])</f>
        <v>2620</v>
      </c>
      <c r="P43" s="6">
        <f>_xlfn.XLOOKUP(FactSales[[#This Row],[Product_ID]],DimProduct[Product_ID],DimProduct[Unit_Cost])</f>
        <v>1440</v>
      </c>
      <c r="Q43" s="6">
        <f>FactSales[[#This Row],[Unit_Price]]*FactSales[[#This Row],[Quantity_Sold]]</f>
        <v>10480</v>
      </c>
      <c r="R43" s="6">
        <f>FactSales[[#This Row],[Unit_Cost]]*FactSales[[#This Row],[Quantity_Sold]]</f>
        <v>5760</v>
      </c>
      <c r="S43" s="6">
        <f>FactSales[[#This Row],[Sales_Amount]]-FactSales[[#This Row],[Total_Cost]]</f>
        <v>4720</v>
      </c>
      <c r="T43" s="6" t="str">
        <f>_xlfn.XLOOKUP(FactSales[[#This Row],[Customer_ID]],DimCustomer[Customer_ID],DimCustomer[Customer_Name])</f>
        <v>Farhana Khan</v>
      </c>
      <c r="U43" s="6" t="str">
        <f>_xlfn.XLOOKUP(FactSales[[#This Row],[Salesperson_ID]],DimSalesman[Salesperson_ID],DimSalesman[Salesperson_Name])</f>
        <v>Rumana Rahman</v>
      </c>
      <c r="V43" s="6" t="str">
        <f>_xlfn.XLOOKUP(FactSales[[#This Row],[Region_ID]],DimRegion[Region_ID],DimRegion[Region_Name])</f>
        <v>Sylhet</v>
      </c>
      <c r="W43" s="6" t="str">
        <f>_xlfn.XLOOKUP(FactSales[[#This Row],[Store_ID]],DimStore[Store_ID],DimStore[Store_Name])</f>
        <v>Sylhet South Surma Store</v>
      </c>
    </row>
    <row r="44" spans="1:23">
      <c r="A44" s="4" t="s">
        <v>1040</v>
      </c>
      <c r="B44" s="5">
        <v>45913</v>
      </c>
      <c r="C44" s="4" t="s">
        <v>89</v>
      </c>
      <c r="D44" s="4" t="s">
        <v>27</v>
      </c>
      <c r="E44" s="4" t="s">
        <v>622</v>
      </c>
      <c r="F44" s="4" t="s">
        <v>914</v>
      </c>
      <c r="G44" s="4" t="s">
        <v>874</v>
      </c>
      <c r="H44" s="4">
        <v>1</v>
      </c>
      <c r="I44" s="7">
        <v>0</v>
      </c>
      <c r="J44" s="6">
        <v>1102</v>
      </c>
      <c r="K44" s="4">
        <v>4</v>
      </c>
      <c r="L44" s="8">
        <f t="shared" si="0"/>
        <v>3.9</v>
      </c>
      <c r="M44" s="6" t="str">
        <f>_xlfn.XLOOKUP(FactSales[[#This Row],[Product_ID]],DimProduct[Product_ID],DimProduct[Product_Name])</f>
        <v>Marker Set</v>
      </c>
      <c r="N44" s="6" t="str">
        <f>_xlfn.XLOOKUP(FactSales[[#This Row],[Product_ID]],DimProduct[Product_ID],DimProduct[Category])</f>
        <v>Stationery</v>
      </c>
      <c r="O44" s="6">
        <f>_xlfn.XLOOKUP(FactSales[[#This Row],[Product_ID]],DimProduct[Product_ID],DimProduct[Unit_Price])</f>
        <v>1040</v>
      </c>
      <c r="P44" s="6">
        <f>_xlfn.XLOOKUP(FactSales[[#This Row],[Product_ID]],DimProduct[Product_ID],DimProduct[Unit_Cost])</f>
        <v>520</v>
      </c>
      <c r="Q44" s="6">
        <f>FactSales[[#This Row],[Unit_Price]]*FactSales[[#This Row],[Quantity_Sold]]</f>
        <v>1040</v>
      </c>
      <c r="R44" s="6">
        <f>FactSales[[#This Row],[Unit_Cost]]*FactSales[[#This Row],[Quantity_Sold]]</f>
        <v>520</v>
      </c>
      <c r="S44" s="6">
        <f>FactSales[[#This Row],[Sales_Amount]]-FactSales[[#This Row],[Total_Cost]]</f>
        <v>520</v>
      </c>
      <c r="T44" s="6" t="str">
        <f>_xlfn.XLOOKUP(FactSales[[#This Row],[Customer_ID]],DimCustomer[Customer_ID],DimCustomer[Customer_Name])</f>
        <v>Tania Hossain</v>
      </c>
      <c r="U44" s="6" t="str">
        <f>_xlfn.XLOOKUP(FactSales[[#This Row],[Salesperson_ID]],DimSalesman[Salesperson_ID],DimSalesman[Salesperson_Name])</f>
        <v>Rasel Rahman</v>
      </c>
      <c r="V44" s="6" t="str">
        <f>_xlfn.XLOOKUP(FactSales[[#This Row],[Region_ID]],DimRegion[Region_ID],DimRegion[Region_Name])</f>
        <v>Dhaka</v>
      </c>
      <c r="W44" s="6" t="str">
        <f>_xlfn.XLOOKUP(FactSales[[#This Row],[Store_ID]],DimStore[Store_ID],DimStore[Store_Name])</f>
        <v>Dhaka Dhanmondi Store</v>
      </c>
    </row>
    <row r="45" spans="1:23">
      <c r="A45" s="4" t="s">
        <v>1041</v>
      </c>
      <c r="B45" s="5">
        <v>45784</v>
      </c>
      <c r="C45" s="4" t="s">
        <v>387</v>
      </c>
      <c r="D45" s="4" t="s">
        <v>47</v>
      </c>
      <c r="E45" s="4" t="s">
        <v>692</v>
      </c>
      <c r="F45" s="4" t="s">
        <v>956</v>
      </c>
      <c r="G45" s="4" t="s">
        <v>781</v>
      </c>
      <c r="H45" s="4">
        <v>4</v>
      </c>
      <c r="I45" s="7">
        <v>0.1</v>
      </c>
      <c r="J45" s="6">
        <v>13560</v>
      </c>
      <c r="K45" s="4">
        <v>4</v>
      </c>
      <c r="L45" s="8">
        <f t="shared" si="0"/>
        <v>3.7</v>
      </c>
      <c r="M45" s="6" t="str">
        <f>_xlfn.XLOOKUP(FactSales[[#This Row],[Product_ID]],DimProduct[Product_ID],DimProduct[Product_Name])</f>
        <v>Table Fan</v>
      </c>
      <c r="N45" s="6" t="str">
        <f>_xlfn.XLOOKUP(FactSales[[#This Row],[Product_ID]],DimProduct[Product_ID],DimProduct[Category])</f>
        <v>Home Appliance</v>
      </c>
      <c r="O45" s="6">
        <f>_xlfn.XLOOKUP(FactSales[[#This Row],[Product_ID]],DimProduct[Product_ID],DimProduct[Unit_Price])</f>
        <v>3110</v>
      </c>
      <c r="P45" s="6">
        <f>_xlfn.XLOOKUP(FactSales[[#This Row],[Product_ID]],DimProduct[Product_ID],DimProduct[Unit_Cost])</f>
        <v>2180</v>
      </c>
      <c r="Q45" s="6">
        <f>FactSales[[#This Row],[Unit_Price]]*FactSales[[#This Row],[Quantity_Sold]]</f>
        <v>12440</v>
      </c>
      <c r="R45" s="6">
        <f>FactSales[[#This Row],[Unit_Cost]]*FactSales[[#This Row],[Quantity_Sold]]</f>
        <v>8720</v>
      </c>
      <c r="S45" s="6">
        <f>FactSales[[#This Row],[Sales_Amount]]-FactSales[[#This Row],[Total_Cost]]</f>
        <v>3720</v>
      </c>
      <c r="T45" s="6" t="str">
        <f>_xlfn.XLOOKUP(FactSales[[#This Row],[Customer_ID]],DimCustomer[Customer_ID],DimCustomer[Customer_Name])</f>
        <v>Nayeem Chowdhury</v>
      </c>
      <c r="U45" s="6" t="str">
        <f>_xlfn.XLOOKUP(FactSales[[#This Row],[Salesperson_ID]],DimSalesman[Salesperson_ID],DimSalesman[Salesperson_Name])</f>
        <v>Rafi Ahmed</v>
      </c>
      <c r="V45" s="6" t="str">
        <f>_xlfn.XLOOKUP(FactSales[[#This Row],[Region_ID]],DimRegion[Region_ID],DimRegion[Region_Name])</f>
        <v>Khulna</v>
      </c>
      <c r="W45" s="6" t="str">
        <f>_xlfn.XLOOKUP(FactSales[[#This Row],[Store_ID]],DimStore[Store_ID],DimStore[Store_Name])</f>
        <v>Khulna Boyra Store</v>
      </c>
    </row>
    <row r="46" spans="1:23">
      <c r="A46" s="4" t="s">
        <v>1042</v>
      </c>
      <c r="B46" s="5">
        <v>46143</v>
      </c>
      <c r="C46" s="4" t="s">
        <v>462</v>
      </c>
      <c r="D46" s="4" t="s">
        <v>52</v>
      </c>
      <c r="E46" s="4" t="s">
        <v>710</v>
      </c>
      <c r="F46" s="4" t="s">
        <v>964</v>
      </c>
      <c r="G46" s="4" t="s">
        <v>762</v>
      </c>
      <c r="H46" s="4">
        <v>3</v>
      </c>
      <c r="I46" s="7">
        <v>0.12</v>
      </c>
      <c r="J46" s="6">
        <v>13003</v>
      </c>
      <c r="K46" s="4">
        <v>3</v>
      </c>
      <c r="L46" s="8">
        <f t="shared" si="0"/>
        <v>4</v>
      </c>
      <c r="M46" s="6" t="str">
        <f>_xlfn.XLOOKUP(FactSales[[#This Row],[Product_ID]],DimProduct[Product_ID],DimProduct[Product_Name])</f>
        <v>Smart Watch</v>
      </c>
      <c r="N46" s="6" t="str">
        <f>_xlfn.XLOOKUP(FactSales[[#This Row],[Product_ID]],DimProduct[Product_ID],DimProduct[Category])</f>
        <v>Electronics</v>
      </c>
      <c r="O46" s="6">
        <f>_xlfn.XLOOKUP(FactSales[[#This Row],[Product_ID]],DimProduct[Product_ID],DimProduct[Unit_Price])</f>
        <v>3870</v>
      </c>
      <c r="P46" s="6">
        <f>_xlfn.XLOOKUP(FactSales[[#This Row],[Product_ID]],DimProduct[Product_ID],DimProduct[Unit_Cost])</f>
        <v>2630</v>
      </c>
      <c r="Q46" s="6">
        <f>FactSales[[#This Row],[Unit_Price]]*FactSales[[#This Row],[Quantity_Sold]]</f>
        <v>11610</v>
      </c>
      <c r="R46" s="6">
        <f>FactSales[[#This Row],[Unit_Cost]]*FactSales[[#This Row],[Quantity_Sold]]</f>
        <v>7890</v>
      </c>
      <c r="S46" s="6">
        <f>FactSales[[#This Row],[Sales_Amount]]-FactSales[[#This Row],[Total_Cost]]</f>
        <v>3720</v>
      </c>
      <c r="T46" s="6" t="str">
        <f>_xlfn.XLOOKUP(FactSales[[#This Row],[Customer_ID]],DimCustomer[Customer_ID],DimCustomer[Customer_Name])</f>
        <v>Sajib Islam</v>
      </c>
      <c r="U46" s="6" t="str">
        <f>_xlfn.XLOOKUP(FactSales[[#This Row],[Salesperson_ID]],DimSalesman[Salesperson_ID],DimSalesman[Salesperson_Name])</f>
        <v>Shaila Uddin</v>
      </c>
      <c r="V46" s="6" t="str">
        <f>_xlfn.XLOOKUP(FactSales[[#This Row],[Region_ID]],DimRegion[Region_ID],DimRegion[Region_Name])</f>
        <v>Barishal</v>
      </c>
      <c r="W46" s="6" t="str">
        <f>_xlfn.XLOOKUP(FactSales[[#This Row],[Store_ID]],DimStore[Store_ID],DimStore[Store_Name])</f>
        <v>Barishal Kawnia Store</v>
      </c>
    </row>
    <row r="47" spans="1:23">
      <c r="A47" s="4" t="s">
        <v>1043</v>
      </c>
      <c r="B47" s="5">
        <v>45708</v>
      </c>
      <c r="C47" s="4" t="s">
        <v>419</v>
      </c>
      <c r="D47" s="4" t="s">
        <v>47</v>
      </c>
      <c r="E47" s="4" t="s">
        <v>683</v>
      </c>
      <c r="F47" s="4" t="s">
        <v>954</v>
      </c>
      <c r="G47" s="4" t="s">
        <v>750</v>
      </c>
      <c r="H47" s="4">
        <v>1</v>
      </c>
      <c r="I47" s="7">
        <v>0.18</v>
      </c>
      <c r="J47" s="6">
        <v>3532</v>
      </c>
      <c r="K47" s="4">
        <v>6</v>
      </c>
      <c r="L47" s="8">
        <f t="shared" si="0"/>
        <v>2.9</v>
      </c>
      <c r="M47" s="6" t="str">
        <f>_xlfn.XLOOKUP(FactSales[[#This Row],[Product_ID]],DimProduct[Product_ID],DimProduct[Product_Name])</f>
        <v>Bluetooth Speaker</v>
      </c>
      <c r="N47" s="6" t="str">
        <f>_xlfn.XLOOKUP(FactSales[[#This Row],[Product_ID]],DimProduct[Product_ID],DimProduct[Category])</f>
        <v>Electronics</v>
      </c>
      <c r="O47" s="6">
        <f>_xlfn.XLOOKUP(FactSales[[#This Row],[Product_ID]],DimProduct[Product_ID],DimProduct[Unit_Price])</f>
        <v>3240</v>
      </c>
      <c r="P47" s="6">
        <f>_xlfn.XLOOKUP(FactSales[[#This Row],[Product_ID]],DimProduct[Product_ID],DimProduct[Unit_Cost])</f>
        <v>2200</v>
      </c>
      <c r="Q47" s="6">
        <f>FactSales[[#This Row],[Unit_Price]]*FactSales[[#This Row],[Quantity_Sold]]</f>
        <v>3240</v>
      </c>
      <c r="R47" s="6">
        <f>FactSales[[#This Row],[Unit_Cost]]*FactSales[[#This Row],[Quantity_Sold]]</f>
        <v>2200</v>
      </c>
      <c r="S47" s="6">
        <f>FactSales[[#This Row],[Sales_Amount]]-FactSales[[#This Row],[Total_Cost]]</f>
        <v>1040</v>
      </c>
      <c r="T47" s="6" t="str">
        <f>_xlfn.XLOOKUP(FactSales[[#This Row],[Customer_ID]],DimCustomer[Customer_ID],DimCustomer[Customer_Name])</f>
        <v>Ayesha Islam</v>
      </c>
      <c r="U47" s="6" t="str">
        <f>_xlfn.XLOOKUP(FactSales[[#This Row],[Salesperson_ID]],DimSalesman[Salesperson_ID],DimSalesman[Salesperson_Name])</f>
        <v>Sadia Sultana</v>
      </c>
      <c r="V47" s="6" t="str">
        <f>_xlfn.XLOOKUP(FactSales[[#This Row],[Region_ID]],DimRegion[Region_ID],DimRegion[Region_Name])</f>
        <v>Khulna</v>
      </c>
      <c r="W47" s="6" t="str">
        <f>_xlfn.XLOOKUP(FactSales[[#This Row],[Store_ID]],DimStore[Store_ID],DimStore[Store_Name])</f>
        <v>Khulna Sonadanga Store</v>
      </c>
    </row>
    <row r="48" spans="1:23">
      <c r="A48" s="4" t="s">
        <v>1044</v>
      </c>
      <c r="B48" s="5">
        <v>46077</v>
      </c>
      <c r="C48" s="4" t="s">
        <v>304</v>
      </c>
      <c r="D48" s="4" t="s">
        <v>42</v>
      </c>
      <c r="E48" s="4" t="s">
        <v>671</v>
      </c>
      <c r="F48" s="4" t="s">
        <v>950</v>
      </c>
      <c r="G48" s="4" t="s">
        <v>762</v>
      </c>
      <c r="H48" s="4">
        <v>3</v>
      </c>
      <c r="I48" s="7">
        <v>0.08</v>
      </c>
      <c r="J48" s="6">
        <v>12539</v>
      </c>
      <c r="K48" s="4">
        <v>3</v>
      </c>
      <c r="L48" s="8">
        <f t="shared" si="0"/>
        <v>4.0999999999999996</v>
      </c>
      <c r="M48" s="6" t="str">
        <f>_xlfn.XLOOKUP(FactSales[[#This Row],[Product_ID]],DimProduct[Product_ID],DimProduct[Product_Name])</f>
        <v>Smart Watch</v>
      </c>
      <c r="N48" s="6" t="str">
        <f>_xlfn.XLOOKUP(FactSales[[#This Row],[Product_ID]],DimProduct[Product_ID],DimProduct[Category])</f>
        <v>Electronics</v>
      </c>
      <c r="O48" s="6">
        <f>_xlfn.XLOOKUP(FactSales[[#This Row],[Product_ID]],DimProduct[Product_ID],DimProduct[Unit_Price])</f>
        <v>3870</v>
      </c>
      <c r="P48" s="6">
        <f>_xlfn.XLOOKUP(FactSales[[#This Row],[Product_ID]],DimProduct[Product_ID],DimProduct[Unit_Cost])</f>
        <v>2630</v>
      </c>
      <c r="Q48" s="6">
        <f>FactSales[[#This Row],[Unit_Price]]*FactSales[[#This Row],[Quantity_Sold]]</f>
        <v>11610</v>
      </c>
      <c r="R48" s="6">
        <f>FactSales[[#This Row],[Unit_Cost]]*FactSales[[#This Row],[Quantity_Sold]]</f>
        <v>7890</v>
      </c>
      <c r="S48" s="6">
        <f>FactSales[[#This Row],[Sales_Amount]]-FactSales[[#This Row],[Total_Cost]]</f>
        <v>3720</v>
      </c>
      <c r="T48" s="6" t="str">
        <f>_xlfn.XLOOKUP(FactSales[[#This Row],[Customer_ID]],DimCustomer[Customer_ID],DimCustomer[Customer_Name])</f>
        <v>Farhana Mia</v>
      </c>
      <c r="U48" s="6" t="str">
        <f>_xlfn.XLOOKUP(FactSales[[#This Row],[Salesperson_ID]],DimSalesman[Salesperson_ID],DimSalesman[Salesperson_Name])</f>
        <v>Mim Rahman</v>
      </c>
      <c r="V48" s="6" t="str">
        <f>_xlfn.XLOOKUP(FactSales[[#This Row],[Region_ID]],DimRegion[Region_ID],DimRegion[Region_Name])</f>
        <v>Rajshahi</v>
      </c>
      <c r="W48" s="6" t="str">
        <f>_xlfn.XLOOKUP(FactSales[[#This Row],[Store_ID]],DimStore[Store_ID],DimStore[Store_Name])</f>
        <v>Rajshahi Kazla Store</v>
      </c>
    </row>
    <row r="49" spans="1:23">
      <c r="A49" s="4" t="s">
        <v>1045</v>
      </c>
      <c r="B49" s="5">
        <v>45970</v>
      </c>
      <c r="C49" s="4" t="s">
        <v>270</v>
      </c>
      <c r="D49" s="4" t="s">
        <v>37</v>
      </c>
      <c r="E49" s="4" t="s">
        <v>653</v>
      </c>
      <c r="F49" s="4" t="s">
        <v>934</v>
      </c>
      <c r="G49" s="4" t="s">
        <v>765</v>
      </c>
      <c r="H49" s="4">
        <v>4</v>
      </c>
      <c r="I49" s="7">
        <v>0.12</v>
      </c>
      <c r="J49" s="6">
        <v>20929</v>
      </c>
      <c r="K49" s="4">
        <v>3</v>
      </c>
      <c r="L49" s="8">
        <f t="shared" si="0"/>
        <v>4</v>
      </c>
      <c r="M49" s="6" t="str">
        <f>_xlfn.XLOOKUP(FactSales[[#This Row],[Product_ID]],DimProduct[Product_ID],DimProduct[Product_Name])</f>
        <v>USB-C Hub</v>
      </c>
      <c r="N49" s="6" t="str">
        <f>_xlfn.XLOOKUP(FactSales[[#This Row],[Product_ID]],DimProduct[Product_ID],DimProduct[Category])</f>
        <v>Electronics</v>
      </c>
      <c r="O49" s="6">
        <f>_xlfn.XLOOKUP(FactSales[[#This Row],[Product_ID]],DimProduct[Product_ID],DimProduct[Unit_Price])</f>
        <v>4890</v>
      </c>
      <c r="P49" s="6">
        <f>_xlfn.XLOOKUP(FactSales[[#This Row],[Product_ID]],DimProduct[Product_ID],DimProduct[Unit_Cost])</f>
        <v>3330</v>
      </c>
      <c r="Q49" s="6">
        <f>FactSales[[#This Row],[Unit_Price]]*FactSales[[#This Row],[Quantity_Sold]]</f>
        <v>19560</v>
      </c>
      <c r="R49" s="6">
        <f>FactSales[[#This Row],[Unit_Cost]]*FactSales[[#This Row],[Quantity_Sold]]</f>
        <v>13320</v>
      </c>
      <c r="S49" s="6">
        <f>FactSales[[#This Row],[Sales_Amount]]-FactSales[[#This Row],[Total_Cost]]</f>
        <v>6240</v>
      </c>
      <c r="T49" s="6" t="str">
        <f>_xlfn.XLOOKUP(FactSales[[#This Row],[Customer_ID]],DimCustomer[Customer_ID],DimCustomer[Customer_Name])</f>
        <v>Shaila Uddin</v>
      </c>
      <c r="U49" s="6" t="str">
        <f>_xlfn.XLOOKUP(FactSales[[#This Row],[Salesperson_ID]],DimSalesman[Salesperson_ID],DimSalesman[Salesperson_Name])</f>
        <v>Hasan Mia</v>
      </c>
      <c r="V49" s="6" t="str">
        <f>_xlfn.XLOOKUP(FactSales[[#This Row],[Region_ID]],DimRegion[Region_ID],DimRegion[Region_Name])</f>
        <v>Sylhet</v>
      </c>
      <c r="W49" s="6" t="str">
        <f>_xlfn.XLOOKUP(FactSales[[#This Row],[Store_ID]],DimStore[Store_ID],DimStore[Store_Name])</f>
        <v>Sylhet Zindabazar Store</v>
      </c>
    </row>
    <row r="50" spans="1:23">
      <c r="A50" s="4" t="s">
        <v>1046</v>
      </c>
      <c r="B50" s="5">
        <v>46135</v>
      </c>
      <c r="C50" s="4" t="s">
        <v>518</v>
      </c>
      <c r="D50" s="4" t="s">
        <v>57</v>
      </c>
      <c r="E50" s="4" t="s">
        <v>719</v>
      </c>
      <c r="F50" s="4" t="s">
        <v>974</v>
      </c>
      <c r="G50" s="4" t="s">
        <v>765</v>
      </c>
      <c r="H50" s="4">
        <v>4</v>
      </c>
      <c r="I50" s="7">
        <v>0.18</v>
      </c>
      <c r="J50" s="6">
        <v>22494</v>
      </c>
      <c r="K50" s="4">
        <v>5</v>
      </c>
      <c r="L50" s="8">
        <f t="shared" si="0"/>
        <v>3.2</v>
      </c>
      <c r="M50" s="6" t="str">
        <f>_xlfn.XLOOKUP(FactSales[[#This Row],[Product_ID]],DimProduct[Product_ID],DimProduct[Product_Name])</f>
        <v>USB-C Hub</v>
      </c>
      <c r="N50" s="6" t="str">
        <f>_xlfn.XLOOKUP(FactSales[[#This Row],[Product_ID]],DimProduct[Product_ID],DimProduct[Category])</f>
        <v>Electronics</v>
      </c>
      <c r="O50" s="6">
        <f>_xlfn.XLOOKUP(FactSales[[#This Row],[Product_ID]],DimProduct[Product_ID],DimProduct[Unit_Price])</f>
        <v>4890</v>
      </c>
      <c r="P50" s="6">
        <f>_xlfn.XLOOKUP(FactSales[[#This Row],[Product_ID]],DimProduct[Product_ID],DimProduct[Unit_Cost])</f>
        <v>3330</v>
      </c>
      <c r="Q50" s="6">
        <f>FactSales[[#This Row],[Unit_Price]]*FactSales[[#This Row],[Quantity_Sold]]</f>
        <v>19560</v>
      </c>
      <c r="R50" s="6">
        <f>FactSales[[#This Row],[Unit_Cost]]*FactSales[[#This Row],[Quantity_Sold]]</f>
        <v>13320</v>
      </c>
      <c r="S50" s="6">
        <f>FactSales[[#This Row],[Sales_Amount]]-FactSales[[#This Row],[Total_Cost]]</f>
        <v>6240</v>
      </c>
      <c r="T50" s="6" t="str">
        <f>_xlfn.XLOOKUP(FactSales[[#This Row],[Customer_ID]],DimCustomer[Customer_ID],DimCustomer[Customer_Name])</f>
        <v>Arif Rahman</v>
      </c>
      <c r="U50" s="6" t="str">
        <f>_xlfn.XLOOKUP(FactSales[[#This Row],[Salesperson_ID]],DimSalesman[Salesperson_ID],DimSalesman[Salesperson_Name])</f>
        <v>Farhana Uddin</v>
      </c>
      <c r="V50" s="6" t="str">
        <f>_xlfn.XLOOKUP(FactSales[[#This Row],[Region_ID]],DimRegion[Region_ID],DimRegion[Region_Name])</f>
        <v>Rangpur</v>
      </c>
      <c r="W50" s="6" t="str">
        <f>_xlfn.XLOOKUP(FactSales[[#This Row],[Store_ID]],DimStore[Store_ID],DimStore[Store_Name])</f>
        <v>Rangpur Modern More Store</v>
      </c>
    </row>
    <row r="51" spans="1:23">
      <c r="A51" s="4" t="s">
        <v>1047</v>
      </c>
      <c r="B51" s="5">
        <v>45768</v>
      </c>
      <c r="C51" s="4" t="s">
        <v>468</v>
      </c>
      <c r="D51" s="4" t="s">
        <v>52</v>
      </c>
      <c r="E51" s="4" t="s">
        <v>710</v>
      </c>
      <c r="F51" s="4" t="s">
        <v>965</v>
      </c>
      <c r="G51" s="4" t="s">
        <v>768</v>
      </c>
      <c r="H51" s="4">
        <v>3</v>
      </c>
      <c r="I51" s="7">
        <v>0.12</v>
      </c>
      <c r="J51" s="6">
        <v>24192</v>
      </c>
      <c r="K51" s="4">
        <v>8</v>
      </c>
      <c r="L51" s="8">
        <f t="shared" si="0"/>
        <v>2.4</v>
      </c>
      <c r="M51" s="6" t="str">
        <f>_xlfn.XLOOKUP(FactSales[[#This Row],[Product_ID]],DimProduct[Product_ID],DimProduct[Product_Name])</f>
        <v>Electric Kettle</v>
      </c>
      <c r="N51" s="6" t="str">
        <f>_xlfn.XLOOKUP(FactSales[[#This Row],[Product_ID]],DimProduct[Product_ID],DimProduct[Category])</f>
        <v>Home Appliance</v>
      </c>
      <c r="O51" s="6">
        <f>_xlfn.XLOOKUP(FactSales[[#This Row],[Product_ID]],DimProduct[Product_ID],DimProduct[Unit_Price])</f>
        <v>7200</v>
      </c>
      <c r="P51" s="6">
        <f>_xlfn.XLOOKUP(FactSales[[#This Row],[Product_ID]],DimProduct[Product_ID],DimProduct[Unit_Cost])</f>
        <v>5040</v>
      </c>
      <c r="Q51" s="6">
        <f>FactSales[[#This Row],[Unit_Price]]*FactSales[[#This Row],[Quantity_Sold]]</f>
        <v>21600</v>
      </c>
      <c r="R51" s="6">
        <f>FactSales[[#This Row],[Unit_Cost]]*FactSales[[#This Row],[Quantity_Sold]]</f>
        <v>15120</v>
      </c>
      <c r="S51" s="6">
        <f>FactSales[[#This Row],[Sales_Amount]]-FactSales[[#This Row],[Total_Cost]]</f>
        <v>6480</v>
      </c>
      <c r="T51" s="6" t="str">
        <f>_xlfn.XLOOKUP(FactSales[[#This Row],[Customer_ID]],DimCustomer[Customer_ID],DimCustomer[Customer_Name])</f>
        <v>Samiha Ahmed</v>
      </c>
      <c r="U51" s="6" t="str">
        <f>_xlfn.XLOOKUP(FactSales[[#This Row],[Salesperson_ID]],DimSalesman[Salesperson_ID],DimSalesman[Salesperson_Name])</f>
        <v>Mehedi Khan</v>
      </c>
      <c r="V51" s="6" t="str">
        <f>_xlfn.XLOOKUP(FactSales[[#This Row],[Region_ID]],DimRegion[Region_ID],DimRegion[Region_Name])</f>
        <v>Barishal</v>
      </c>
      <c r="W51" s="6" t="str">
        <f>_xlfn.XLOOKUP(FactSales[[#This Row],[Store_ID]],DimStore[Store_ID],DimStore[Store_Name])</f>
        <v>Barishal Kawnia Store</v>
      </c>
    </row>
    <row r="52" spans="1:23">
      <c r="A52" s="4" t="s">
        <v>1048</v>
      </c>
      <c r="B52" s="5">
        <v>45963</v>
      </c>
      <c r="C52" s="4" t="s">
        <v>445</v>
      </c>
      <c r="D52" s="4" t="s">
        <v>52</v>
      </c>
      <c r="E52" s="4" t="s">
        <v>704</v>
      </c>
      <c r="F52" s="4" t="s">
        <v>966</v>
      </c>
      <c r="G52" s="4" t="s">
        <v>847</v>
      </c>
      <c r="H52" s="4">
        <v>1</v>
      </c>
      <c r="I52" s="7">
        <v>0.12</v>
      </c>
      <c r="J52" s="6">
        <v>2094</v>
      </c>
      <c r="K52" s="4">
        <v>5</v>
      </c>
      <c r="L52" s="8">
        <f t="shared" si="0"/>
        <v>3.3</v>
      </c>
      <c r="M52" s="6" t="str">
        <f>_xlfn.XLOOKUP(FactSales[[#This Row],[Product_ID]],DimProduct[Product_ID],DimProduct[Product_Name])</f>
        <v>Casual Loafer</v>
      </c>
      <c r="N52" s="6" t="str">
        <f>_xlfn.XLOOKUP(FactSales[[#This Row],[Product_ID]],DimProduct[Product_ID],DimProduct[Category])</f>
        <v>Footwear</v>
      </c>
      <c r="O52" s="6">
        <f>_xlfn.XLOOKUP(FactSales[[#This Row],[Product_ID]],DimProduct[Product_ID],DimProduct[Unit_Price])</f>
        <v>1870</v>
      </c>
      <c r="P52" s="6">
        <f>_xlfn.XLOOKUP(FactSales[[#This Row],[Product_ID]],DimProduct[Product_ID],DimProduct[Unit_Cost])</f>
        <v>1120</v>
      </c>
      <c r="Q52" s="6">
        <f>FactSales[[#This Row],[Unit_Price]]*FactSales[[#This Row],[Quantity_Sold]]</f>
        <v>1870</v>
      </c>
      <c r="R52" s="6">
        <f>FactSales[[#This Row],[Unit_Cost]]*FactSales[[#This Row],[Quantity_Sold]]</f>
        <v>1120</v>
      </c>
      <c r="S52" s="6">
        <f>FactSales[[#This Row],[Sales_Amount]]-FactSales[[#This Row],[Total_Cost]]</f>
        <v>750</v>
      </c>
      <c r="T52" s="6" t="str">
        <f>_xlfn.XLOOKUP(FactSales[[#This Row],[Customer_ID]],DimCustomer[Customer_ID],DimCustomer[Customer_Name])</f>
        <v>Tanvir Akter</v>
      </c>
      <c r="U52" s="6" t="str">
        <f>_xlfn.XLOOKUP(FactSales[[#This Row],[Salesperson_ID]],DimSalesman[Salesperson_ID],DimSalesman[Salesperson_Name])</f>
        <v>Nayeem Akter</v>
      </c>
      <c r="V52" s="6" t="str">
        <f>_xlfn.XLOOKUP(FactSales[[#This Row],[Region_ID]],DimRegion[Region_ID],DimRegion[Region_Name])</f>
        <v>Barishal</v>
      </c>
      <c r="W52" s="6" t="str">
        <f>_xlfn.XLOOKUP(FactSales[[#This Row],[Store_ID]],DimStore[Store_ID],DimStore[Store_Name])</f>
        <v>Barishal Rupatali Store</v>
      </c>
    </row>
    <row r="53" spans="1:23">
      <c r="A53" s="4" t="s">
        <v>1049</v>
      </c>
      <c r="B53" s="5">
        <v>45684</v>
      </c>
      <c r="C53" s="4" t="s">
        <v>539</v>
      </c>
      <c r="D53" s="4" t="s">
        <v>57</v>
      </c>
      <c r="E53" s="4" t="s">
        <v>719</v>
      </c>
      <c r="F53" s="4" t="s">
        <v>977</v>
      </c>
      <c r="G53" s="4" t="s">
        <v>758</v>
      </c>
      <c r="H53" s="4">
        <v>3</v>
      </c>
      <c r="I53" s="7">
        <v>0.12</v>
      </c>
      <c r="J53" s="6">
        <v>9798</v>
      </c>
      <c r="K53" s="4">
        <v>2</v>
      </c>
      <c r="L53" s="8">
        <f t="shared" si="0"/>
        <v>4.3</v>
      </c>
      <c r="M53" s="6" t="str">
        <f>_xlfn.XLOOKUP(FactSales[[#This Row],[Product_ID]],DimProduct[Product_ID],DimProduct[Product_Name])</f>
        <v>Power Bank</v>
      </c>
      <c r="N53" s="6" t="str">
        <f>_xlfn.XLOOKUP(FactSales[[#This Row],[Product_ID]],DimProduct[Product_ID],DimProduct[Category])</f>
        <v>Electronics</v>
      </c>
      <c r="O53" s="6">
        <f>_xlfn.XLOOKUP(FactSales[[#This Row],[Product_ID]],DimProduct[Product_ID],DimProduct[Unit_Price])</f>
        <v>2840</v>
      </c>
      <c r="P53" s="6">
        <f>_xlfn.XLOOKUP(FactSales[[#This Row],[Product_ID]],DimProduct[Product_ID],DimProduct[Unit_Cost])</f>
        <v>1930</v>
      </c>
      <c r="Q53" s="6">
        <f>FactSales[[#This Row],[Unit_Price]]*FactSales[[#This Row],[Quantity_Sold]]</f>
        <v>8520</v>
      </c>
      <c r="R53" s="6">
        <f>FactSales[[#This Row],[Unit_Cost]]*FactSales[[#This Row],[Quantity_Sold]]</f>
        <v>5790</v>
      </c>
      <c r="S53" s="6">
        <f>FactSales[[#This Row],[Sales_Amount]]-FactSales[[#This Row],[Total_Cost]]</f>
        <v>2730</v>
      </c>
      <c r="T53" s="6" t="str">
        <f>_xlfn.XLOOKUP(FactSales[[#This Row],[Customer_ID]],DimCustomer[Customer_ID],DimCustomer[Customer_Name])</f>
        <v>Shakib Islam</v>
      </c>
      <c r="U53" s="6" t="str">
        <f>_xlfn.XLOOKUP(FactSales[[#This Row],[Salesperson_ID]],DimSalesman[Salesperson_ID],DimSalesman[Salesperson_Name])</f>
        <v>Tania Hossain</v>
      </c>
      <c r="V53" s="6" t="str">
        <f>_xlfn.XLOOKUP(FactSales[[#This Row],[Region_ID]],DimRegion[Region_ID],DimRegion[Region_Name])</f>
        <v>Rangpur</v>
      </c>
      <c r="W53" s="6" t="str">
        <f>_xlfn.XLOOKUP(FactSales[[#This Row],[Store_ID]],DimStore[Store_ID],DimStore[Store_Name])</f>
        <v>Rangpur Modern More Store</v>
      </c>
    </row>
    <row r="54" spans="1:23">
      <c r="A54" s="4" t="s">
        <v>1050</v>
      </c>
      <c r="B54" s="5">
        <v>45852</v>
      </c>
      <c r="C54" s="4" t="s">
        <v>393</v>
      </c>
      <c r="D54" s="4" t="s">
        <v>47</v>
      </c>
      <c r="E54" s="4" t="s">
        <v>692</v>
      </c>
      <c r="F54" s="4" t="s">
        <v>955</v>
      </c>
      <c r="G54" s="4" t="s">
        <v>854</v>
      </c>
      <c r="H54" s="4">
        <v>2</v>
      </c>
      <c r="I54" s="7">
        <v>0.05</v>
      </c>
      <c r="J54" s="6">
        <v>8110</v>
      </c>
      <c r="K54" s="4">
        <v>2</v>
      </c>
      <c r="L54" s="8">
        <f t="shared" si="0"/>
        <v>4.5</v>
      </c>
      <c r="M54" s="6" t="str">
        <f>_xlfn.XLOOKUP(FactSales[[#This Row],[Product_ID]],DimProduct[Product_ID],DimProduct[Product_Name])</f>
        <v>Football</v>
      </c>
      <c r="N54" s="6" t="str">
        <f>_xlfn.XLOOKUP(FactSales[[#This Row],[Product_ID]],DimProduct[Product_ID],DimProduct[Category])</f>
        <v>Sports</v>
      </c>
      <c r="O54" s="6">
        <f>_xlfn.XLOOKUP(FactSales[[#This Row],[Product_ID]],DimProduct[Product_ID],DimProduct[Unit_Price])</f>
        <v>3720</v>
      </c>
      <c r="P54" s="6">
        <f>_xlfn.XLOOKUP(FactSales[[#This Row],[Product_ID]],DimProduct[Product_ID],DimProduct[Unit_Cost])</f>
        <v>2310</v>
      </c>
      <c r="Q54" s="6">
        <f>FactSales[[#This Row],[Unit_Price]]*FactSales[[#This Row],[Quantity_Sold]]</f>
        <v>7440</v>
      </c>
      <c r="R54" s="6">
        <f>FactSales[[#This Row],[Unit_Cost]]*FactSales[[#This Row],[Quantity_Sold]]</f>
        <v>4620</v>
      </c>
      <c r="S54" s="6">
        <f>FactSales[[#This Row],[Sales_Amount]]-FactSales[[#This Row],[Total_Cost]]</f>
        <v>2820</v>
      </c>
      <c r="T54" s="6" t="str">
        <f>_xlfn.XLOOKUP(FactSales[[#This Row],[Customer_ID]],DimCustomer[Customer_ID],DimCustomer[Customer_Name])</f>
        <v>Imran Uddin</v>
      </c>
      <c r="U54" s="6" t="str">
        <f>_xlfn.XLOOKUP(FactSales[[#This Row],[Salesperson_ID]],DimSalesman[Salesperson_ID],DimSalesman[Salesperson_Name])</f>
        <v>Tania Chowdhury</v>
      </c>
      <c r="V54" s="6" t="str">
        <f>_xlfn.XLOOKUP(FactSales[[#This Row],[Region_ID]],DimRegion[Region_ID],DimRegion[Region_Name])</f>
        <v>Khulna</v>
      </c>
      <c r="W54" s="6" t="str">
        <f>_xlfn.XLOOKUP(FactSales[[#This Row],[Store_ID]],DimStore[Store_ID],DimStore[Store_Name])</f>
        <v>Khulna Boyra Store</v>
      </c>
    </row>
    <row r="55" spans="1:23">
      <c r="A55" s="4" t="s">
        <v>1051</v>
      </c>
      <c r="B55" s="5">
        <v>45832</v>
      </c>
      <c r="C55" s="4" t="s">
        <v>604</v>
      </c>
      <c r="D55" s="4" t="s">
        <v>62</v>
      </c>
      <c r="E55" s="4" t="s">
        <v>734</v>
      </c>
      <c r="F55" s="4" t="s">
        <v>985</v>
      </c>
      <c r="G55" s="4" t="s">
        <v>768</v>
      </c>
      <c r="H55" s="4">
        <v>5</v>
      </c>
      <c r="I55" s="7">
        <v>0.18</v>
      </c>
      <c r="J55" s="6">
        <v>38880</v>
      </c>
      <c r="K55" s="4">
        <v>4</v>
      </c>
      <c r="L55" s="8">
        <f t="shared" si="0"/>
        <v>3.5</v>
      </c>
      <c r="M55" s="6" t="str">
        <f>_xlfn.XLOOKUP(FactSales[[#This Row],[Product_ID]],DimProduct[Product_ID],DimProduct[Product_Name])</f>
        <v>Electric Kettle</v>
      </c>
      <c r="N55" s="6" t="str">
        <f>_xlfn.XLOOKUP(FactSales[[#This Row],[Product_ID]],DimProduct[Product_ID],DimProduct[Category])</f>
        <v>Home Appliance</v>
      </c>
      <c r="O55" s="6">
        <f>_xlfn.XLOOKUP(FactSales[[#This Row],[Product_ID]],DimProduct[Product_ID],DimProduct[Unit_Price])</f>
        <v>7200</v>
      </c>
      <c r="P55" s="6">
        <f>_xlfn.XLOOKUP(FactSales[[#This Row],[Product_ID]],DimProduct[Product_ID],DimProduct[Unit_Cost])</f>
        <v>5040</v>
      </c>
      <c r="Q55" s="6">
        <f>FactSales[[#This Row],[Unit_Price]]*FactSales[[#This Row],[Quantity_Sold]]</f>
        <v>36000</v>
      </c>
      <c r="R55" s="6">
        <f>FactSales[[#This Row],[Unit_Cost]]*FactSales[[#This Row],[Quantity_Sold]]</f>
        <v>25200</v>
      </c>
      <c r="S55" s="6">
        <f>FactSales[[#This Row],[Sales_Amount]]-FactSales[[#This Row],[Total_Cost]]</f>
        <v>10800</v>
      </c>
      <c r="T55" s="6" t="str">
        <f>_xlfn.XLOOKUP(FactSales[[#This Row],[Customer_ID]],DimCustomer[Customer_ID],DimCustomer[Customer_Name])</f>
        <v>Shamim Rahman</v>
      </c>
      <c r="U55" s="6" t="str">
        <f>_xlfn.XLOOKUP(FactSales[[#This Row],[Salesperson_ID]],DimSalesman[Salesperson_ID],DimSalesman[Salesperson_Name])</f>
        <v>Tamanna Sultana</v>
      </c>
      <c r="V55" s="6" t="str">
        <f>_xlfn.XLOOKUP(FactSales[[#This Row],[Region_ID]],DimRegion[Region_ID],DimRegion[Region_Name])</f>
        <v>Mymensingh</v>
      </c>
      <c r="W55" s="6" t="str">
        <f>_xlfn.XLOOKUP(FactSales[[#This Row],[Store_ID]],DimStore[Store_ID],DimStore[Store_Name])</f>
        <v>Mymensingh Charpara Store</v>
      </c>
    </row>
    <row r="56" spans="1:23">
      <c r="A56" s="4" t="s">
        <v>1052</v>
      </c>
      <c r="B56" s="5">
        <v>45922</v>
      </c>
      <c r="C56" s="4" t="s">
        <v>243</v>
      </c>
      <c r="D56" s="4" t="s">
        <v>37</v>
      </c>
      <c r="E56" s="4" t="s">
        <v>653</v>
      </c>
      <c r="F56" s="4" t="s">
        <v>938</v>
      </c>
      <c r="G56" s="4" t="s">
        <v>758</v>
      </c>
      <c r="H56" s="4">
        <v>4</v>
      </c>
      <c r="I56" s="7">
        <v>0.18</v>
      </c>
      <c r="J56" s="6">
        <v>12155</v>
      </c>
      <c r="K56" s="4">
        <v>3</v>
      </c>
      <c r="L56" s="8">
        <f t="shared" si="0"/>
        <v>3.8</v>
      </c>
      <c r="M56" s="6" t="str">
        <f>_xlfn.XLOOKUP(FactSales[[#This Row],[Product_ID]],DimProduct[Product_ID],DimProduct[Product_Name])</f>
        <v>Power Bank</v>
      </c>
      <c r="N56" s="6" t="str">
        <f>_xlfn.XLOOKUP(FactSales[[#This Row],[Product_ID]],DimProduct[Product_ID],DimProduct[Category])</f>
        <v>Electronics</v>
      </c>
      <c r="O56" s="6">
        <f>_xlfn.XLOOKUP(FactSales[[#This Row],[Product_ID]],DimProduct[Product_ID],DimProduct[Unit_Price])</f>
        <v>2840</v>
      </c>
      <c r="P56" s="6">
        <f>_xlfn.XLOOKUP(FactSales[[#This Row],[Product_ID]],DimProduct[Product_ID],DimProduct[Unit_Cost])</f>
        <v>1930</v>
      </c>
      <c r="Q56" s="6">
        <f>FactSales[[#This Row],[Unit_Price]]*FactSales[[#This Row],[Quantity_Sold]]</f>
        <v>11360</v>
      </c>
      <c r="R56" s="6">
        <f>FactSales[[#This Row],[Unit_Cost]]*FactSales[[#This Row],[Quantity_Sold]]</f>
        <v>7720</v>
      </c>
      <c r="S56" s="6">
        <f>FactSales[[#This Row],[Sales_Amount]]-FactSales[[#This Row],[Total_Cost]]</f>
        <v>3640</v>
      </c>
      <c r="T56" s="6" t="str">
        <f>_xlfn.XLOOKUP(FactSales[[#This Row],[Customer_ID]],DimCustomer[Customer_ID],DimCustomer[Customer_Name])</f>
        <v>Rahim Akter</v>
      </c>
      <c r="U56" s="6" t="str">
        <f>_xlfn.XLOOKUP(FactSales[[#This Row],[Salesperson_ID]],DimSalesman[Salesperson_ID],DimSalesman[Salesperson_Name])</f>
        <v>Rasel Akter</v>
      </c>
      <c r="V56" s="6" t="str">
        <f>_xlfn.XLOOKUP(FactSales[[#This Row],[Region_ID]],DimRegion[Region_ID],DimRegion[Region_Name])</f>
        <v>Sylhet</v>
      </c>
      <c r="W56" s="6" t="str">
        <f>_xlfn.XLOOKUP(FactSales[[#This Row],[Store_ID]],DimStore[Store_ID],DimStore[Store_Name])</f>
        <v>Sylhet Zindabazar Store</v>
      </c>
    </row>
    <row r="57" spans="1:23">
      <c r="A57" s="4" t="s">
        <v>1053</v>
      </c>
      <c r="B57" s="5">
        <v>45972</v>
      </c>
      <c r="C57" s="4" t="s">
        <v>475</v>
      </c>
      <c r="D57" s="4" t="s">
        <v>52</v>
      </c>
      <c r="E57" s="4" t="s">
        <v>698</v>
      </c>
      <c r="F57" s="4" t="s">
        <v>961</v>
      </c>
      <c r="G57" s="4" t="s">
        <v>775</v>
      </c>
      <c r="H57" s="4">
        <v>2</v>
      </c>
      <c r="I57" s="7">
        <v>0.12</v>
      </c>
      <c r="J57" s="6">
        <v>5443</v>
      </c>
      <c r="K57" s="4">
        <v>6</v>
      </c>
      <c r="L57" s="8">
        <f t="shared" si="0"/>
        <v>3</v>
      </c>
      <c r="M57" s="6" t="str">
        <f>_xlfn.XLOOKUP(FactSales[[#This Row],[Product_ID]],DimProduct[Product_ID],DimProduct[Product_Name])</f>
        <v>Blender Machine</v>
      </c>
      <c r="N57" s="6" t="str">
        <f>_xlfn.XLOOKUP(FactSales[[#This Row],[Product_ID]],DimProduct[Product_ID],DimProduct[Category])</f>
        <v>Home Appliance</v>
      </c>
      <c r="O57" s="6">
        <f>_xlfn.XLOOKUP(FactSales[[#This Row],[Product_ID]],DimProduct[Product_ID],DimProduct[Unit_Price])</f>
        <v>2430</v>
      </c>
      <c r="P57" s="6">
        <f>_xlfn.XLOOKUP(FactSales[[#This Row],[Product_ID]],DimProduct[Product_ID],DimProduct[Unit_Cost])</f>
        <v>1700</v>
      </c>
      <c r="Q57" s="6">
        <f>FactSales[[#This Row],[Unit_Price]]*FactSales[[#This Row],[Quantity_Sold]]</f>
        <v>4860</v>
      </c>
      <c r="R57" s="6">
        <f>FactSales[[#This Row],[Unit_Cost]]*FactSales[[#This Row],[Quantity_Sold]]</f>
        <v>3400</v>
      </c>
      <c r="S57" s="6">
        <f>FactSales[[#This Row],[Sales_Amount]]-FactSales[[#This Row],[Total_Cost]]</f>
        <v>1460</v>
      </c>
      <c r="T57" s="6" t="str">
        <f>_xlfn.XLOOKUP(FactSales[[#This Row],[Customer_ID]],DimCustomer[Customer_ID],DimCustomer[Customer_Name])</f>
        <v>Rafi Khan</v>
      </c>
      <c r="U57" s="6" t="str">
        <f>_xlfn.XLOOKUP(FactSales[[#This Row],[Salesperson_ID]],DimSalesman[Salesperson_ID],DimSalesman[Salesperson_Name])</f>
        <v>Shaila Akter</v>
      </c>
      <c r="V57" s="6" t="str">
        <f>_xlfn.XLOOKUP(FactSales[[#This Row],[Region_ID]],DimRegion[Region_ID],DimRegion[Region_Name])</f>
        <v>Barishal</v>
      </c>
      <c r="W57" s="6" t="str">
        <f>_xlfn.XLOOKUP(FactSales[[#This Row],[Store_ID]],DimStore[Store_ID],DimStore[Store_Name])</f>
        <v>Barishal Nathullabad Store</v>
      </c>
    </row>
    <row r="58" spans="1:23">
      <c r="A58" s="4" t="s">
        <v>1054</v>
      </c>
      <c r="B58" s="5">
        <v>45778</v>
      </c>
      <c r="C58" s="4" t="s">
        <v>445</v>
      </c>
      <c r="D58" s="4" t="s">
        <v>52</v>
      </c>
      <c r="E58" s="4" t="s">
        <v>710</v>
      </c>
      <c r="F58" s="4" t="s">
        <v>963</v>
      </c>
      <c r="G58" s="4" t="s">
        <v>788</v>
      </c>
      <c r="H58" s="4">
        <v>2</v>
      </c>
      <c r="I58" s="7">
        <v>0.12</v>
      </c>
      <c r="J58" s="6">
        <v>4077</v>
      </c>
      <c r="K58" s="4">
        <v>3</v>
      </c>
      <c r="L58" s="8">
        <f t="shared" si="0"/>
        <v>4</v>
      </c>
      <c r="M58" s="6" t="str">
        <f>_xlfn.XLOOKUP(FactSales[[#This Row],[Product_ID]],DimProduct[Product_ID],DimProduct[Product_Name])</f>
        <v>Formal Shirt</v>
      </c>
      <c r="N58" s="6" t="str">
        <f>_xlfn.XLOOKUP(FactSales[[#This Row],[Product_ID]],DimProduct[Product_ID],DimProduct[Category])</f>
        <v>Fashion</v>
      </c>
      <c r="O58" s="6">
        <f>_xlfn.XLOOKUP(FactSales[[#This Row],[Product_ID]],DimProduct[Product_ID],DimProduct[Unit_Price])</f>
        <v>1820</v>
      </c>
      <c r="P58" s="6">
        <f>_xlfn.XLOOKUP(FactSales[[#This Row],[Product_ID]],DimProduct[Product_ID],DimProduct[Unit_Cost])</f>
        <v>1000</v>
      </c>
      <c r="Q58" s="6">
        <f>FactSales[[#This Row],[Unit_Price]]*FactSales[[#This Row],[Quantity_Sold]]</f>
        <v>3640</v>
      </c>
      <c r="R58" s="6">
        <f>FactSales[[#This Row],[Unit_Cost]]*FactSales[[#This Row],[Quantity_Sold]]</f>
        <v>2000</v>
      </c>
      <c r="S58" s="6">
        <f>FactSales[[#This Row],[Sales_Amount]]-FactSales[[#This Row],[Total_Cost]]</f>
        <v>1640</v>
      </c>
      <c r="T58" s="6" t="str">
        <f>_xlfn.XLOOKUP(FactSales[[#This Row],[Customer_ID]],DimCustomer[Customer_ID],DimCustomer[Customer_Name])</f>
        <v>Tanvir Akter</v>
      </c>
      <c r="U58" s="6" t="str">
        <f>_xlfn.XLOOKUP(FactSales[[#This Row],[Salesperson_ID]],DimSalesman[Salesperson_ID],DimSalesman[Salesperson_Name])</f>
        <v>Rasel Uddin</v>
      </c>
      <c r="V58" s="6" t="str">
        <f>_xlfn.XLOOKUP(FactSales[[#This Row],[Region_ID]],DimRegion[Region_ID],DimRegion[Region_Name])</f>
        <v>Barishal</v>
      </c>
      <c r="W58" s="6" t="str">
        <f>_xlfn.XLOOKUP(FactSales[[#This Row],[Store_ID]],DimStore[Store_ID],DimStore[Store_Name])</f>
        <v>Barishal Kawnia Store</v>
      </c>
    </row>
    <row r="59" spans="1:23">
      <c r="A59" s="4" t="s">
        <v>1055</v>
      </c>
      <c r="B59" s="5">
        <v>46048</v>
      </c>
      <c r="C59" s="4" t="s">
        <v>567</v>
      </c>
      <c r="D59" s="4" t="s">
        <v>62</v>
      </c>
      <c r="E59" s="4" t="s">
        <v>740</v>
      </c>
      <c r="F59" s="4" t="s">
        <v>978</v>
      </c>
      <c r="G59" s="4" t="s">
        <v>878</v>
      </c>
      <c r="H59" s="4">
        <v>3</v>
      </c>
      <c r="I59" s="7">
        <v>0.1</v>
      </c>
      <c r="J59" s="6">
        <v>2722</v>
      </c>
      <c r="K59" s="4">
        <v>3</v>
      </c>
      <c r="L59" s="8">
        <f t="shared" si="0"/>
        <v>4</v>
      </c>
      <c r="M59" s="6" t="str">
        <f>_xlfn.XLOOKUP(FactSales[[#This Row],[Product_ID]],DimProduct[Product_ID],DimProduct[Product_Name])</f>
        <v>Building Blocks</v>
      </c>
      <c r="N59" s="6" t="str">
        <f>_xlfn.XLOOKUP(FactSales[[#This Row],[Product_ID]],DimProduct[Product_ID],DimProduct[Category])</f>
        <v>Kids &amp; Toys</v>
      </c>
      <c r="O59" s="6">
        <f>_xlfn.XLOOKUP(FactSales[[#This Row],[Product_ID]],DimProduct[Product_ID],DimProduct[Unit_Price])</f>
        <v>840</v>
      </c>
      <c r="P59" s="6">
        <f>_xlfn.XLOOKUP(FactSales[[#This Row],[Product_ID]],DimProduct[Product_ID],DimProduct[Unit_Cost])</f>
        <v>460</v>
      </c>
      <c r="Q59" s="6">
        <f>FactSales[[#This Row],[Unit_Price]]*FactSales[[#This Row],[Quantity_Sold]]</f>
        <v>2520</v>
      </c>
      <c r="R59" s="6">
        <f>FactSales[[#This Row],[Unit_Cost]]*FactSales[[#This Row],[Quantity_Sold]]</f>
        <v>1380</v>
      </c>
      <c r="S59" s="6">
        <f>FactSales[[#This Row],[Sales_Amount]]-FactSales[[#This Row],[Total_Cost]]</f>
        <v>1140</v>
      </c>
      <c r="T59" s="6" t="str">
        <f>_xlfn.XLOOKUP(FactSales[[#This Row],[Customer_ID]],DimCustomer[Customer_ID],DimCustomer[Customer_Name])</f>
        <v>Shakib Mia</v>
      </c>
      <c r="U59" s="6" t="str">
        <f>_xlfn.XLOOKUP(FactSales[[#This Row],[Salesperson_ID]],DimSalesman[Salesperson_ID],DimSalesman[Salesperson_Name])</f>
        <v>Sajib Rahman</v>
      </c>
      <c r="V59" s="6" t="str">
        <f>_xlfn.XLOOKUP(FactSales[[#This Row],[Region_ID]],DimRegion[Region_ID],DimRegion[Region_Name])</f>
        <v>Mymensingh</v>
      </c>
      <c r="W59" s="6" t="str">
        <f>_xlfn.XLOOKUP(FactSales[[#This Row],[Store_ID]],DimStore[Store_ID],DimStore[Store_Name])</f>
        <v>Mymensingh Maskanda Store</v>
      </c>
    </row>
    <row r="60" spans="1:23">
      <c r="A60" s="4" t="s">
        <v>1056</v>
      </c>
      <c r="B60" s="5">
        <v>46126</v>
      </c>
      <c r="C60" s="4" t="s">
        <v>85</v>
      </c>
      <c r="D60" s="4" t="s">
        <v>27</v>
      </c>
      <c r="E60" s="4" t="s">
        <v>622</v>
      </c>
      <c r="F60" s="4" t="s">
        <v>914</v>
      </c>
      <c r="G60" s="4" t="s">
        <v>775</v>
      </c>
      <c r="H60" s="4">
        <v>3</v>
      </c>
      <c r="I60" s="7">
        <v>0.1</v>
      </c>
      <c r="J60" s="6">
        <v>7727</v>
      </c>
      <c r="K60" s="4">
        <v>4</v>
      </c>
      <c r="L60" s="8">
        <f t="shared" si="0"/>
        <v>3.7</v>
      </c>
      <c r="M60" s="6" t="str">
        <f>_xlfn.XLOOKUP(FactSales[[#This Row],[Product_ID]],DimProduct[Product_ID],DimProduct[Product_Name])</f>
        <v>Blender Machine</v>
      </c>
      <c r="N60" s="6" t="str">
        <f>_xlfn.XLOOKUP(FactSales[[#This Row],[Product_ID]],DimProduct[Product_ID],DimProduct[Category])</f>
        <v>Home Appliance</v>
      </c>
      <c r="O60" s="6">
        <f>_xlfn.XLOOKUP(FactSales[[#This Row],[Product_ID]],DimProduct[Product_ID],DimProduct[Unit_Price])</f>
        <v>2430</v>
      </c>
      <c r="P60" s="6">
        <f>_xlfn.XLOOKUP(FactSales[[#This Row],[Product_ID]],DimProduct[Product_ID],DimProduct[Unit_Cost])</f>
        <v>1700</v>
      </c>
      <c r="Q60" s="6">
        <f>FactSales[[#This Row],[Unit_Price]]*FactSales[[#This Row],[Quantity_Sold]]</f>
        <v>7290</v>
      </c>
      <c r="R60" s="6">
        <f>FactSales[[#This Row],[Unit_Cost]]*FactSales[[#This Row],[Quantity_Sold]]</f>
        <v>5100</v>
      </c>
      <c r="S60" s="6">
        <f>FactSales[[#This Row],[Sales_Amount]]-FactSales[[#This Row],[Total_Cost]]</f>
        <v>2190</v>
      </c>
      <c r="T60" s="6" t="str">
        <f>_xlfn.XLOOKUP(FactSales[[#This Row],[Customer_ID]],DimCustomer[Customer_ID],DimCustomer[Customer_Name])</f>
        <v>Imran Uddin</v>
      </c>
      <c r="U60" s="6" t="str">
        <f>_xlfn.XLOOKUP(FactSales[[#This Row],[Salesperson_ID]],DimSalesman[Salesperson_ID],DimSalesman[Salesperson_Name])</f>
        <v>Rasel Rahman</v>
      </c>
      <c r="V60" s="6" t="str">
        <f>_xlfn.XLOOKUP(FactSales[[#This Row],[Region_ID]],DimRegion[Region_ID],DimRegion[Region_Name])</f>
        <v>Dhaka</v>
      </c>
      <c r="W60" s="6" t="str">
        <f>_xlfn.XLOOKUP(FactSales[[#This Row],[Store_ID]],DimStore[Store_ID],DimStore[Store_Name])</f>
        <v>Dhaka Dhanmondi Store</v>
      </c>
    </row>
    <row r="61" spans="1:23">
      <c r="A61" s="4" t="s">
        <v>1057</v>
      </c>
      <c r="B61" s="5">
        <v>45872</v>
      </c>
      <c r="C61" s="4" t="s">
        <v>246</v>
      </c>
      <c r="D61" s="4" t="s">
        <v>37</v>
      </c>
      <c r="E61" s="4" t="s">
        <v>653</v>
      </c>
      <c r="F61" s="4" t="s">
        <v>932</v>
      </c>
      <c r="G61" s="4" t="s">
        <v>788</v>
      </c>
      <c r="H61" s="4">
        <v>4</v>
      </c>
      <c r="I61" s="7">
        <v>0.05</v>
      </c>
      <c r="J61" s="6">
        <v>7790</v>
      </c>
      <c r="K61" s="4">
        <v>1</v>
      </c>
      <c r="L61" s="8">
        <f t="shared" si="0"/>
        <v>4.8</v>
      </c>
      <c r="M61" s="6" t="str">
        <f>_xlfn.XLOOKUP(FactSales[[#This Row],[Product_ID]],DimProduct[Product_ID],DimProduct[Product_Name])</f>
        <v>Formal Shirt</v>
      </c>
      <c r="N61" s="6" t="str">
        <f>_xlfn.XLOOKUP(FactSales[[#This Row],[Product_ID]],DimProduct[Product_ID],DimProduct[Category])</f>
        <v>Fashion</v>
      </c>
      <c r="O61" s="6">
        <f>_xlfn.XLOOKUP(FactSales[[#This Row],[Product_ID]],DimProduct[Product_ID],DimProduct[Unit_Price])</f>
        <v>1820</v>
      </c>
      <c r="P61" s="6">
        <f>_xlfn.XLOOKUP(FactSales[[#This Row],[Product_ID]],DimProduct[Product_ID],DimProduct[Unit_Cost])</f>
        <v>1000</v>
      </c>
      <c r="Q61" s="6">
        <f>FactSales[[#This Row],[Unit_Price]]*FactSales[[#This Row],[Quantity_Sold]]</f>
        <v>7280</v>
      </c>
      <c r="R61" s="6">
        <f>FactSales[[#This Row],[Unit_Cost]]*FactSales[[#This Row],[Quantity_Sold]]</f>
        <v>4000</v>
      </c>
      <c r="S61" s="6">
        <f>FactSales[[#This Row],[Sales_Amount]]-FactSales[[#This Row],[Total_Cost]]</f>
        <v>3280</v>
      </c>
      <c r="T61" s="6" t="str">
        <f>_xlfn.XLOOKUP(FactSales[[#This Row],[Customer_ID]],DimCustomer[Customer_ID],DimCustomer[Customer_Name])</f>
        <v>Shamim Akter</v>
      </c>
      <c r="U61" s="6" t="str">
        <f>_xlfn.XLOOKUP(FactSales[[#This Row],[Salesperson_ID]],DimSalesman[Salesperson_ID],DimSalesman[Salesperson_Name])</f>
        <v>Morshed Chowdhury</v>
      </c>
      <c r="V61" s="6" t="str">
        <f>_xlfn.XLOOKUP(FactSales[[#This Row],[Region_ID]],DimRegion[Region_ID],DimRegion[Region_Name])</f>
        <v>Sylhet</v>
      </c>
      <c r="W61" s="6" t="str">
        <f>_xlfn.XLOOKUP(FactSales[[#This Row],[Store_ID]],DimStore[Store_ID],DimStore[Store_Name])</f>
        <v>Sylhet Zindabazar Store</v>
      </c>
    </row>
    <row r="62" spans="1:23">
      <c r="A62" s="4" t="s">
        <v>1058</v>
      </c>
      <c r="B62" s="5">
        <v>46097</v>
      </c>
      <c r="C62" s="4" t="s">
        <v>259</v>
      </c>
      <c r="D62" s="4" t="s">
        <v>37</v>
      </c>
      <c r="E62" s="4" t="s">
        <v>653</v>
      </c>
      <c r="F62" s="4" t="s">
        <v>934</v>
      </c>
      <c r="G62" s="4" t="s">
        <v>825</v>
      </c>
      <c r="H62" s="4">
        <v>3</v>
      </c>
      <c r="I62" s="7">
        <v>0.1</v>
      </c>
      <c r="J62" s="6">
        <v>3724</v>
      </c>
      <c r="K62" s="4">
        <v>5</v>
      </c>
      <c r="L62" s="8">
        <f t="shared" si="0"/>
        <v>3.4</v>
      </c>
      <c r="M62" s="6" t="str">
        <f>_xlfn.XLOOKUP(FactSales[[#This Row],[Product_ID]],DimProduct[Product_ID],DimProduct[Product_Name])</f>
        <v>Body Lotion</v>
      </c>
      <c r="N62" s="6" t="str">
        <f>_xlfn.XLOOKUP(FactSales[[#This Row],[Product_ID]],DimProduct[Product_ID],DimProduct[Category])</f>
        <v>Beauty &amp; Personal Care</v>
      </c>
      <c r="O62" s="6">
        <f>_xlfn.XLOOKUP(FactSales[[#This Row],[Product_ID]],DimProduct[Product_ID],DimProduct[Unit_Price])</f>
        <v>1160</v>
      </c>
      <c r="P62" s="6">
        <f>_xlfn.XLOOKUP(FactSales[[#This Row],[Product_ID]],DimProduct[Product_ID],DimProduct[Unit_Cost])</f>
        <v>670</v>
      </c>
      <c r="Q62" s="6">
        <f>FactSales[[#This Row],[Unit_Price]]*FactSales[[#This Row],[Quantity_Sold]]</f>
        <v>3480</v>
      </c>
      <c r="R62" s="6">
        <f>FactSales[[#This Row],[Unit_Cost]]*FactSales[[#This Row],[Quantity_Sold]]</f>
        <v>2010</v>
      </c>
      <c r="S62" s="6">
        <f>FactSales[[#This Row],[Sales_Amount]]-FactSales[[#This Row],[Total_Cost]]</f>
        <v>1470</v>
      </c>
      <c r="T62" s="6" t="str">
        <f>_xlfn.XLOOKUP(FactSales[[#This Row],[Customer_ID]],DimCustomer[Customer_ID],DimCustomer[Customer_Name])</f>
        <v>Hasan Akter</v>
      </c>
      <c r="U62" s="6" t="str">
        <f>_xlfn.XLOOKUP(FactSales[[#This Row],[Salesperson_ID]],DimSalesman[Salesperson_ID],DimSalesman[Salesperson_Name])</f>
        <v>Hasan Mia</v>
      </c>
      <c r="V62" s="6" t="str">
        <f>_xlfn.XLOOKUP(FactSales[[#This Row],[Region_ID]],DimRegion[Region_ID],DimRegion[Region_Name])</f>
        <v>Sylhet</v>
      </c>
      <c r="W62" s="6" t="str">
        <f>_xlfn.XLOOKUP(FactSales[[#This Row],[Store_ID]],DimStore[Store_ID],DimStore[Store_Name])</f>
        <v>Sylhet Zindabazar Store</v>
      </c>
    </row>
    <row r="63" spans="1:23">
      <c r="A63" s="4" t="s">
        <v>1059</v>
      </c>
      <c r="B63" s="5">
        <v>45662</v>
      </c>
      <c r="C63" s="4" t="s">
        <v>425</v>
      </c>
      <c r="D63" s="4" t="s">
        <v>52</v>
      </c>
      <c r="E63" s="4" t="s">
        <v>704</v>
      </c>
      <c r="F63" s="4" t="s">
        <v>965</v>
      </c>
      <c r="G63" s="4" t="s">
        <v>762</v>
      </c>
      <c r="H63" s="4">
        <v>3</v>
      </c>
      <c r="I63" s="7">
        <v>0.1</v>
      </c>
      <c r="J63" s="6">
        <v>13003</v>
      </c>
      <c r="K63" s="4">
        <v>5</v>
      </c>
      <c r="L63" s="8">
        <f t="shared" si="0"/>
        <v>3.4</v>
      </c>
      <c r="M63" s="6" t="str">
        <f>_xlfn.XLOOKUP(FactSales[[#This Row],[Product_ID]],DimProduct[Product_ID],DimProduct[Product_Name])</f>
        <v>Smart Watch</v>
      </c>
      <c r="N63" s="6" t="str">
        <f>_xlfn.XLOOKUP(FactSales[[#This Row],[Product_ID]],DimProduct[Product_ID],DimProduct[Category])</f>
        <v>Electronics</v>
      </c>
      <c r="O63" s="6">
        <f>_xlfn.XLOOKUP(FactSales[[#This Row],[Product_ID]],DimProduct[Product_ID],DimProduct[Unit_Price])</f>
        <v>3870</v>
      </c>
      <c r="P63" s="6">
        <f>_xlfn.XLOOKUP(FactSales[[#This Row],[Product_ID]],DimProduct[Product_ID],DimProduct[Unit_Cost])</f>
        <v>2630</v>
      </c>
      <c r="Q63" s="6">
        <f>FactSales[[#This Row],[Unit_Price]]*FactSales[[#This Row],[Quantity_Sold]]</f>
        <v>11610</v>
      </c>
      <c r="R63" s="6">
        <f>FactSales[[#This Row],[Unit_Cost]]*FactSales[[#This Row],[Quantity_Sold]]</f>
        <v>7890</v>
      </c>
      <c r="S63" s="6">
        <f>FactSales[[#This Row],[Sales_Amount]]-FactSales[[#This Row],[Total_Cost]]</f>
        <v>3720</v>
      </c>
      <c r="T63" s="6" t="str">
        <f>_xlfn.XLOOKUP(FactSales[[#This Row],[Customer_ID]],DimCustomer[Customer_ID],DimCustomer[Customer_Name])</f>
        <v>Shuvo Sultana</v>
      </c>
      <c r="U63" s="6" t="str">
        <f>_xlfn.XLOOKUP(FactSales[[#This Row],[Salesperson_ID]],DimSalesman[Salesperson_ID],DimSalesman[Salesperson_Name])</f>
        <v>Mehedi Khan</v>
      </c>
      <c r="V63" s="6" t="str">
        <f>_xlfn.XLOOKUP(FactSales[[#This Row],[Region_ID]],DimRegion[Region_ID],DimRegion[Region_Name])</f>
        <v>Barishal</v>
      </c>
      <c r="W63" s="6" t="str">
        <f>_xlfn.XLOOKUP(FactSales[[#This Row],[Store_ID]],DimStore[Store_ID],DimStore[Store_Name])</f>
        <v>Barishal Rupatali Store</v>
      </c>
    </row>
    <row r="64" spans="1:23">
      <c r="A64" s="4" t="s">
        <v>1060</v>
      </c>
      <c r="B64" s="5">
        <v>46050</v>
      </c>
      <c r="C64" s="4" t="s">
        <v>346</v>
      </c>
      <c r="D64" s="4" t="s">
        <v>42</v>
      </c>
      <c r="E64" s="4" t="s">
        <v>674</v>
      </c>
      <c r="F64" s="4" t="s">
        <v>945</v>
      </c>
      <c r="G64" s="4" t="s">
        <v>758</v>
      </c>
      <c r="H64" s="4">
        <v>3</v>
      </c>
      <c r="I64" s="7">
        <v>0.12</v>
      </c>
      <c r="J64" s="6">
        <v>9202</v>
      </c>
      <c r="K64" s="4">
        <v>6</v>
      </c>
      <c r="L64" s="8">
        <f t="shared" si="0"/>
        <v>3</v>
      </c>
      <c r="M64" s="6" t="str">
        <f>_xlfn.XLOOKUP(FactSales[[#This Row],[Product_ID]],DimProduct[Product_ID],DimProduct[Product_Name])</f>
        <v>Power Bank</v>
      </c>
      <c r="N64" s="6" t="str">
        <f>_xlfn.XLOOKUP(FactSales[[#This Row],[Product_ID]],DimProduct[Product_ID],DimProduct[Category])</f>
        <v>Electronics</v>
      </c>
      <c r="O64" s="6">
        <f>_xlfn.XLOOKUP(FactSales[[#This Row],[Product_ID]],DimProduct[Product_ID],DimProduct[Unit_Price])</f>
        <v>2840</v>
      </c>
      <c r="P64" s="6">
        <f>_xlfn.XLOOKUP(FactSales[[#This Row],[Product_ID]],DimProduct[Product_ID],DimProduct[Unit_Cost])</f>
        <v>1930</v>
      </c>
      <c r="Q64" s="6">
        <f>FactSales[[#This Row],[Unit_Price]]*FactSales[[#This Row],[Quantity_Sold]]</f>
        <v>8520</v>
      </c>
      <c r="R64" s="6">
        <f>FactSales[[#This Row],[Unit_Cost]]*FactSales[[#This Row],[Quantity_Sold]]</f>
        <v>5790</v>
      </c>
      <c r="S64" s="6">
        <f>FactSales[[#This Row],[Sales_Amount]]-FactSales[[#This Row],[Total_Cost]]</f>
        <v>2730</v>
      </c>
      <c r="T64" s="6" t="str">
        <f>_xlfn.XLOOKUP(FactSales[[#This Row],[Customer_ID]],DimCustomer[Customer_ID],DimCustomer[Customer_Name])</f>
        <v>Hasan Ahmed</v>
      </c>
      <c r="U64" s="6" t="str">
        <f>_xlfn.XLOOKUP(FactSales[[#This Row],[Salesperson_ID]],DimSalesman[Salesperson_ID],DimSalesman[Salesperson_Name])</f>
        <v>Hasan Khan</v>
      </c>
      <c r="V64" s="6" t="str">
        <f>_xlfn.XLOOKUP(FactSales[[#This Row],[Region_ID]],DimRegion[Region_ID],DimRegion[Region_Name])</f>
        <v>Rajshahi</v>
      </c>
      <c r="W64" s="6" t="str">
        <f>_xlfn.XLOOKUP(FactSales[[#This Row],[Store_ID]],DimStore[Store_ID],DimStore[Store_Name])</f>
        <v>Rajshahi Uposhohor Store</v>
      </c>
    </row>
    <row r="65" spans="1:23">
      <c r="A65" s="4" t="s">
        <v>1061</v>
      </c>
      <c r="B65" s="5">
        <v>46003</v>
      </c>
      <c r="C65" s="4" t="s">
        <v>381</v>
      </c>
      <c r="D65" s="4" t="s">
        <v>47</v>
      </c>
      <c r="E65" s="4" t="s">
        <v>692</v>
      </c>
      <c r="F65" s="4" t="s">
        <v>958</v>
      </c>
      <c r="G65" s="4" t="s">
        <v>800</v>
      </c>
      <c r="H65" s="4">
        <v>4</v>
      </c>
      <c r="I65" s="7">
        <v>0.02</v>
      </c>
      <c r="J65" s="6">
        <v>4840</v>
      </c>
      <c r="K65" s="4">
        <v>6</v>
      </c>
      <c r="L65" s="8">
        <f t="shared" si="0"/>
        <v>3.2</v>
      </c>
      <c r="M65" s="6" t="str">
        <f>_xlfn.XLOOKUP(FactSales[[#This Row],[Product_ID]],DimProduct[Product_ID],DimProduct[Product_Name])</f>
        <v>Premium Rice 5kg</v>
      </c>
      <c r="N65" s="6" t="str">
        <f>_xlfn.XLOOKUP(FactSales[[#This Row],[Product_ID]],DimProduct[Product_ID],DimProduct[Category])</f>
        <v>Grocery</v>
      </c>
      <c r="O65" s="6">
        <f>_xlfn.XLOOKUP(FactSales[[#This Row],[Product_ID]],DimProduct[Product_ID],DimProduct[Unit_Price])</f>
        <v>1110</v>
      </c>
      <c r="P65" s="6">
        <f>_xlfn.XLOOKUP(FactSales[[#This Row],[Product_ID]],DimProduct[Product_ID],DimProduct[Unit_Cost])</f>
        <v>870</v>
      </c>
      <c r="Q65" s="6">
        <f>FactSales[[#This Row],[Unit_Price]]*FactSales[[#This Row],[Quantity_Sold]]</f>
        <v>4440</v>
      </c>
      <c r="R65" s="6">
        <f>FactSales[[#This Row],[Unit_Cost]]*FactSales[[#This Row],[Quantity_Sold]]</f>
        <v>3480</v>
      </c>
      <c r="S65" s="6">
        <f>FactSales[[#This Row],[Sales_Amount]]-FactSales[[#This Row],[Total_Cost]]</f>
        <v>960</v>
      </c>
      <c r="T65" s="6" t="str">
        <f>_xlfn.XLOOKUP(FactSales[[#This Row],[Customer_ID]],DimCustomer[Customer_ID],DimCustomer[Customer_Name])</f>
        <v>Nabila Islam</v>
      </c>
      <c r="U65" s="6" t="str">
        <f>_xlfn.XLOOKUP(FactSales[[#This Row],[Salesperson_ID]],DimSalesman[Salesperson_ID],DimSalesman[Salesperson_Name])</f>
        <v>Fahim Uddin</v>
      </c>
      <c r="V65" s="6" t="str">
        <f>_xlfn.XLOOKUP(FactSales[[#This Row],[Region_ID]],DimRegion[Region_ID],DimRegion[Region_Name])</f>
        <v>Khulna</v>
      </c>
      <c r="W65" s="6" t="str">
        <f>_xlfn.XLOOKUP(FactSales[[#This Row],[Store_ID]],DimStore[Store_ID],DimStore[Store_Name])</f>
        <v>Khulna Boyra Store</v>
      </c>
    </row>
    <row r="66" spans="1:23">
      <c r="A66" s="4" t="s">
        <v>1062</v>
      </c>
      <c r="B66" s="5">
        <v>46071</v>
      </c>
      <c r="C66" s="4" t="s">
        <v>462</v>
      </c>
      <c r="D66" s="4" t="s">
        <v>52</v>
      </c>
      <c r="E66" s="4" t="s">
        <v>704</v>
      </c>
      <c r="F66" s="4" t="s">
        <v>961</v>
      </c>
      <c r="G66" s="4" t="s">
        <v>758</v>
      </c>
      <c r="H66" s="4">
        <v>1</v>
      </c>
      <c r="I66" s="7">
        <v>0.1</v>
      </c>
      <c r="J66" s="6">
        <v>3181</v>
      </c>
      <c r="K66" s="4">
        <v>5</v>
      </c>
      <c r="L66" s="8">
        <f t="shared" ref="L66:L129" si="1">MAX(1,MIN(5,ROUND(5.2-(K66*0.32)-(I66*2.2),1)))</f>
        <v>3.4</v>
      </c>
      <c r="M66" s="6" t="str">
        <f>_xlfn.XLOOKUP(FactSales[[#This Row],[Product_ID]],DimProduct[Product_ID],DimProduct[Product_Name])</f>
        <v>Power Bank</v>
      </c>
      <c r="N66" s="6" t="str">
        <f>_xlfn.XLOOKUP(FactSales[[#This Row],[Product_ID]],DimProduct[Product_ID],DimProduct[Category])</f>
        <v>Electronics</v>
      </c>
      <c r="O66" s="6">
        <f>_xlfn.XLOOKUP(FactSales[[#This Row],[Product_ID]],DimProduct[Product_ID],DimProduct[Unit_Price])</f>
        <v>2840</v>
      </c>
      <c r="P66" s="6">
        <f>_xlfn.XLOOKUP(FactSales[[#This Row],[Product_ID]],DimProduct[Product_ID],DimProduct[Unit_Cost])</f>
        <v>1930</v>
      </c>
      <c r="Q66" s="6">
        <f>FactSales[[#This Row],[Unit_Price]]*FactSales[[#This Row],[Quantity_Sold]]</f>
        <v>2840</v>
      </c>
      <c r="R66" s="6">
        <f>FactSales[[#This Row],[Unit_Cost]]*FactSales[[#This Row],[Quantity_Sold]]</f>
        <v>1930</v>
      </c>
      <c r="S66" s="6">
        <f>FactSales[[#This Row],[Sales_Amount]]-FactSales[[#This Row],[Total_Cost]]</f>
        <v>910</v>
      </c>
      <c r="T66" s="6" t="str">
        <f>_xlfn.XLOOKUP(FactSales[[#This Row],[Customer_ID]],DimCustomer[Customer_ID],DimCustomer[Customer_Name])</f>
        <v>Sajib Islam</v>
      </c>
      <c r="U66" s="6" t="str">
        <f>_xlfn.XLOOKUP(FactSales[[#This Row],[Salesperson_ID]],DimSalesman[Salesperson_ID],DimSalesman[Salesperson_Name])</f>
        <v>Shaila Akter</v>
      </c>
      <c r="V66" s="6" t="str">
        <f>_xlfn.XLOOKUP(FactSales[[#This Row],[Region_ID]],DimRegion[Region_ID],DimRegion[Region_Name])</f>
        <v>Barishal</v>
      </c>
      <c r="W66" s="6" t="str">
        <f>_xlfn.XLOOKUP(FactSales[[#This Row],[Store_ID]],DimStore[Store_ID],DimStore[Store_Name])</f>
        <v>Barishal Rupatali Store</v>
      </c>
    </row>
    <row r="67" spans="1:23">
      <c r="A67" s="4" t="s">
        <v>1063</v>
      </c>
      <c r="B67" s="5">
        <v>45696</v>
      </c>
      <c r="C67" s="4" t="s">
        <v>127</v>
      </c>
      <c r="D67" s="4" t="s">
        <v>27</v>
      </c>
      <c r="E67" s="4" t="s">
        <v>634</v>
      </c>
      <c r="F67" s="4" t="s">
        <v>914</v>
      </c>
      <c r="G67" s="4" t="s">
        <v>758</v>
      </c>
      <c r="H67" s="4">
        <v>2</v>
      </c>
      <c r="I67" s="7">
        <v>0.12</v>
      </c>
      <c r="J67" s="6">
        <v>6021</v>
      </c>
      <c r="K67" s="4">
        <v>1</v>
      </c>
      <c r="L67" s="8">
        <f t="shared" si="1"/>
        <v>4.5999999999999996</v>
      </c>
      <c r="M67" s="6" t="str">
        <f>_xlfn.XLOOKUP(FactSales[[#This Row],[Product_ID]],DimProduct[Product_ID],DimProduct[Product_Name])</f>
        <v>Power Bank</v>
      </c>
      <c r="N67" s="6" t="str">
        <f>_xlfn.XLOOKUP(FactSales[[#This Row],[Product_ID]],DimProduct[Product_ID],DimProduct[Category])</f>
        <v>Electronics</v>
      </c>
      <c r="O67" s="6">
        <f>_xlfn.XLOOKUP(FactSales[[#This Row],[Product_ID]],DimProduct[Product_ID],DimProduct[Unit_Price])</f>
        <v>2840</v>
      </c>
      <c r="P67" s="6">
        <f>_xlfn.XLOOKUP(FactSales[[#This Row],[Product_ID]],DimProduct[Product_ID],DimProduct[Unit_Cost])</f>
        <v>1930</v>
      </c>
      <c r="Q67" s="6">
        <f>FactSales[[#This Row],[Unit_Price]]*FactSales[[#This Row],[Quantity_Sold]]</f>
        <v>5680</v>
      </c>
      <c r="R67" s="6">
        <f>FactSales[[#This Row],[Unit_Cost]]*FactSales[[#This Row],[Quantity_Sold]]</f>
        <v>3860</v>
      </c>
      <c r="S67" s="6">
        <f>FactSales[[#This Row],[Sales_Amount]]-FactSales[[#This Row],[Total_Cost]]</f>
        <v>1820</v>
      </c>
      <c r="T67" s="6" t="str">
        <f>_xlfn.XLOOKUP(FactSales[[#This Row],[Customer_ID]],DimCustomer[Customer_ID],DimCustomer[Customer_Name])</f>
        <v>Sadia Islam</v>
      </c>
      <c r="U67" s="6" t="str">
        <f>_xlfn.XLOOKUP(FactSales[[#This Row],[Salesperson_ID]],DimSalesman[Salesperson_ID],DimSalesman[Salesperson_Name])</f>
        <v>Rasel Rahman</v>
      </c>
      <c r="V67" s="6" t="str">
        <f>_xlfn.XLOOKUP(FactSales[[#This Row],[Region_ID]],DimRegion[Region_ID],DimRegion[Region_Name])</f>
        <v>Dhaka</v>
      </c>
      <c r="W67" s="6" t="str">
        <f>_xlfn.XLOOKUP(FactSales[[#This Row],[Store_ID]],DimStore[Store_ID],DimStore[Store_Name])</f>
        <v>Dhaka Motijheel Store</v>
      </c>
    </row>
    <row r="68" spans="1:23">
      <c r="A68" s="4" t="s">
        <v>1064</v>
      </c>
      <c r="B68" s="5">
        <v>45678</v>
      </c>
      <c r="C68" s="4" t="s">
        <v>130</v>
      </c>
      <c r="D68" s="4" t="s">
        <v>27</v>
      </c>
      <c r="E68" s="4" t="s">
        <v>618</v>
      </c>
      <c r="F68" s="4" t="s">
        <v>920</v>
      </c>
      <c r="G68" s="4" t="s">
        <v>755</v>
      </c>
      <c r="H68" s="4">
        <v>1</v>
      </c>
      <c r="I68" s="7">
        <v>0.08</v>
      </c>
      <c r="J68" s="6">
        <v>3540</v>
      </c>
      <c r="K68" s="4">
        <v>1</v>
      </c>
      <c r="L68" s="8">
        <f t="shared" si="1"/>
        <v>4.7</v>
      </c>
      <c r="M68" s="6" t="str">
        <f>_xlfn.XLOOKUP(FactSales[[#This Row],[Product_ID]],DimProduct[Product_ID],DimProduct[Product_Name])</f>
        <v>Wireless Mouse</v>
      </c>
      <c r="N68" s="6" t="str">
        <f>_xlfn.XLOOKUP(FactSales[[#This Row],[Product_ID]],DimProduct[Product_ID],DimProduct[Category])</f>
        <v>Electronics</v>
      </c>
      <c r="O68" s="6">
        <f>_xlfn.XLOOKUP(FactSales[[#This Row],[Product_ID]],DimProduct[Product_ID],DimProduct[Unit_Price])</f>
        <v>3340</v>
      </c>
      <c r="P68" s="6">
        <f>_xlfn.XLOOKUP(FactSales[[#This Row],[Product_ID]],DimProduct[Product_ID],DimProduct[Unit_Cost])</f>
        <v>2270</v>
      </c>
      <c r="Q68" s="6">
        <f>FactSales[[#This Row],[Unit_Price]]*FactSales[[#This Row],[Quantity_Sold]]</f>
        <v>3340</v>
      </c>
      <c r="R68" s="6">
        <f>FactSales[[#This Row],[Unit_Cost]]*FactSales[[#This Row],[Quantity_Sold]]</f>
        <v>2270</v>
      </c>
      <c r="S68" s="6">
        <f>FactSales[[#This Row],[Sales_Amount]]-FactSales[[#This Row],[Total_Cost]]</f>
        <v>1070</v>
      </c>
      <c r="T68" s="6" t="str">
        <f>_xlfn.XLOOKUP(FactSales[[#This Row],[Customer_ID]],DimCustomer[Customer_ID],DimCustomer[Customer_Name])</f>
        <v>Tanjim Ahmed</v>
      </c>
      <c r="U68" s="6" t="str">
        <f>_xlfn.XLOOKUP(FactSales[[#This Row],[Salesperson_ID]],DimSalesman[Salesperson_ID],DimSalesman[Salesperson_Name])</f>
        <v>Rahim Hossain</v>
      </c>
      <c r="V68" s="6" t="str">
        <f>_xlfn.XLOOKUP(FactSales[[#This Row],[Region_ID]],DimRegion[Region_ID],DimRegion[Region_Name])</f>
        <v>Dhaka</v>
      </c>
      <c r="W68" s="6" t="str">
        <f>_xlfn.XLOOKUP(FactSales[[#This Row],[Store_ID]],DimStore[Store_ID],DimStore[Store_Name])</f>
        <v>Dhaka Gulshan Store</v>
      </c>
    </row>
    <row r="69" spans="1:23">
      <c r="A69" s="4" t="s">
        <v>1065</v>
      </c>
      <c r="B69" s="5">
        <v>45667</v>
      </c>
      <c r="C69" s="4" t="s">
        <v>398</v>
      </c>
      <c r="D69" s="4" t="s">
        <v>47</v>
      </c>
      <c r="E69" s="4" t="s">
        <v>686</v>
      </c>
      <c r="F69" s="4" t="s">
        <v>953</v>
      </c>
      <c r="G69" s="4" t="s">
        <v>844</v>
      </c>
      <c r="H69" s="4">
        <v>2</v>
      </c>
      <c r="I69" s="7">
        <v>0.03</v>
      </c>
      <c r="J69" s="6">
        <v>5842</v>
      </c>
      <c r="K69" s="4">
        <v>4</v>
      </c>
      <c r="L69" s="8">
        <f t="shared" si="1"/>
        <v>3.9</v>
      </c>
      <c r="M69" s="6" t="str">
        <f>_xlfn.XLOOKUP(FactSales[[#This Row],[Product_ID]],DimProduct[Product_ID],DimProduct[Product_Name])</f>
        <v>Kids Sneaker</v>
      </c>
      <c r="N69" s="6" t="str">
        <f>_xlfn.XLOOKUP(FactSales[[#This Row],[Product_ID]],DimProduct[Product_ID],DimProduct[Category])</f>
        <v>Footwear</v>
      </c>
      <c r="O69" s="6">
        <f>_xlfn.XLOOKUP(FactSales[[#This Row],[Product_ID]],DimProduct[Product_ID],DimProduct[Unit_Price])</f>
        <v>2680</v>
      </c>
      <c r="P69" s="6">
        <f>_xlfn.XLOOKUP(FactSales[[#This Row],[Product_ID]],DimProduct[Product_ID],DimProduct[Unit_Cost])</f>
        <v>1610</v>
      </c>
      <c r="Q69" s="6">
        <f>FactSales[[#This Row],[Unit_Price]]*FactSales[[#This Row],[Quantity_Sold]]</f>
        <v>5360</v>
      </c>
      <c r="R69" s="6">
        <f>FactSales[[#This Row],[Unit_Cost]]*FactSales[[#This Row],[Quantity_Sold]]</f>
        <v>3220</v>
      </c>
      <c r="S69" s="6">
        <f>FactSales[[#This Row],[Sales_Amount]]-FactSales[[#This Row],[Total_Cost]]</f>
        <v>2140</v>
      </c>
      <c r="T69" s="6" t="str">
        <f>_xlfn.XLOOKUP(FactSales[[#This Row],[Customer_ID]],DimCustomer[Customer_ID],DimCustomer[Customer_Name])</f>
        <v>Ayesha Akter</v>
      </c>
      <c r="U69" s="6" t="str">
        <f>_xlfn.XLOOKUP(FactSales[[#This Row],[Salesperson_ID]],DimSalesman[Salesperson_ID],DimSalesman[Salesperson_Name])</f>
        <v>Nusrat Akter</v>
      </c>
      <c r="V69" s="6" t="str">
        <f>_xlfn.XLOOKUP(FactSales[[#This Row],[Region_ID]],DimRegion[Region_ID],DimRegion[Region_Name])</f>
        <v>Khulna</v>
      </c>
      <c r="W69" s="6" t="str">
        <f>_xlfn.XLOOKUP(FactSales[[#This Row],[Store_ID]],DimStore[Store_ID],DimStore[Store_Name])</f>
        <v>Khulna Khalishpur Store</v>
      </c>
    </row>
    <row r="70" spans="1:23">
      <c r="A70" s="4" t="s">
        <v>1066</v>
      </c>
      <c r="B70" s="5">
        <v>45765</v>
      </c>
      <c r="C70" s="4" t="s">
        <v>409</v>
      </c>
      <c r="D70" s="4" t="s">
        <v>47</v>
      </c>
      <c r="E70" s="4" t="s">
        <v>695</v>
      </c>
      <c r="F70" s="4" t="s">
        <v>958</v>
      </c>
      <c r="G70" s="4" t="s">
        <v>758</v>
      </c>
      <c r="H70" s="4">
        <v>5</v>
      </c>
      <c r="I70" s="7">
        <v>0.08</v>
      </c>
      <c r="J70" s="6">
        <v>15478</v>
      </c>
      <c r="K70" s="4">
        <v>2</v>
      </c>
      <c r="L70" s="8">
        <f t="shared" si="1"/>
        <v>4.4000000000000004</v>
      </c>
      <c r="M70" s="6" t="str">
        <f>_xlfn.XLOOKUP(FactSales[[#This Row],[Product_ID]],DimProduct[Product_ID],DimProduct[Product_Name])</f>
        <v>Power Bank</v>
      </c>
      <c r="N70" s="6" t="str">
        <f>_xlfn.XLOOKUP(FactSales[[#This Row],[Product_ID]],DimProduct[Product_ID],DimProduct[Category])</f>
        <v>Electronics</v>
      </c>
      <c r="O70" s="6">
        <f>_xlfn.XLOOKUP(FactSales[[#This Row],[Product_ID]],DimProduct[Product_ID],DimProduct[Unit_Price])</f>
        <v>2840</v>
      </c>
      <c r="P70" s="6">
        <f>_xlfn.XLOOKUP(FactSales[[#This Row],[Product_ID]],DimProduct[Product_ID],DimProduct[Unit_Cost])</f>
        <v>1930</v>
      </c>
      <c r="Q70" s="6">
        <f>FactSales[[#This Row],[Unit_Price]]*FactSales[[#This Row],[Quantity_Sold]]</f>
        <v>14200</v>
      </c>
      <c r="R70" s="6">
        <f>FactSales[[#This Row],[Unit_Cost]]*FactSales[[#This Row],[Quantity_Sold]]</f>
        <v>9650</v>
      </c>
      <c r="S70" s="6">
        <f>FactSales[[#This Row],[Sales_Amount]]-FactSales[[#This Row],[Total_Cost]]</f>
        <v>4550</v>
      </c>
      <c r="T70" s="6" t="str">
        <f>_xlfn.XLOOKUP(FactSales[[#This Row],[Customer_ID]],DimCustomer[Customer_ID],DimCustomer[Customer_Name])</f>
        <v>Mim Chowdhury</v>
      </c>
      <c r="U70" s="6" t="str">
        <f>_xlfn.XLOOKUP(FactSales[[#This Row],[Salesperson_ID]],DimSalesman[Salesperson_ID],DimSalesman[Salesperson_Name])</f>
        <v>Fahim Uddin</v>
      </c>
      <c r="V70" s="6" t="str">
        <f>_xlfn.XLOOKUP(FactSales[[#This Row],[Region_ID]],DimRegion[Region_ID],DimRegion[Region_Name])</f>
        <v>Khulna</v>
      </c>
      <c r="W70" s="6" t="str">
        <f>_xlfn.XLOOKUP(FactSales[[#This Row],[Store_ID]],DimStore[Store_ID],DimStore[Store_Name])</f>
        <v>Khulna Shibbari Store</v>
      </c>
    </row>
    <row r="71" spans="1:23">
      <c r="A71" s="4" t="s">
        <v>1067</v>
      </c>
      <c r="B71" s="5">
        <v>45864</v>
      </c>
      <c r="C71" s="4" t="s">
        <v>567</v>
      </c>
      <c r="D71" s="4" t="s">
        <v>62</v>
      </c>
      <c r="E71" s="4" t="s">
        <v>740</v>
      </c>
      <c r="F71" s="4" t="s">
        <v>979</v>
      </c>
      <c r="G71" s="4" t="s">
        <v>862</v>
      </c>
      <c r="H71" s="4">
        <v>2</v>
      </c>
      <c r="I71" s="7">
        <v>0.1</v>
      </c>
      <c r="J71" s="6">
        <v>2398</v>
      </c>
      <c r="K71" s="4">
        <v>7</v>
      </c>
      <c r="L71" s="8">
        <f t="shared" si="1"/>
        <v>2.7</v>
      </c>
      <c r="M71" s="6" t="str">
        <f>_xlfn.XLOOKUP(FactSales[[#This Row],[Product_ID]],DimProduct[Product_ID],DimProduct[Product_Name])</f>
        <v>Dumbbell Set</v>
      </c>
      <c r="N71" s="6" t="str">
        <f>_xlfn.XLOOKUP(FactSales[[#This Row],[Product_ID]],DimProduct[Product_ID],DimProduct[Category])</f>
        <v>Sports</v>
      </c>
      <c r="O71" s="6">
        <f>_xlfn.XLOOKUP(FactSales[[#This Row],[Product_ID]],DimProduct[Product_ID],DimProduct[Unit_Price])</f>
        <v>1110</v>
      </c>
      <c r="P71" s="6">
        <f>_xlfn.XLOOKUP(FactSales[[#This Row],[Product_ID]],DimProduct[Product_ID],DimProduct[Unit_Cost])</f>
        <v>690</v>
      </c>
      <c r="Q71" s="6">
        <f>FactSales[[#This Row],[Unit_Price]]*FactSales[[#This Row],[Quantity_Sold]]</f>
        <v>2220</v>
      </c>
      <c r="R71" s="6">
        <f>FactSales[[#This Row],[Unit_Cost]]*FactSales[[#This Row],[Quantity_Sold]]</f>
        <v>1380</v>
      </c>
      <c r="S71" s="6">
        <f>FactSales[[#This Row],[Sales_Amount]]-FactSales[[#This Row],[Total_Cost]]</f>
        <v>840</v>
      </c>
      <c r="T71" s="6" t="str">
        <f>_xlfn.XLOOKUP(FactSales[[#This Row],[Customer_ID]],DimCustomer[Customer_ID],DimCustomer[Customer_Name])</f>
        <v>Shakib Mia</v>
      </c>
      <c r="U71" s="6" t="str">
        <f>_xlfn.XLOOKUP(FactSales[[#This Row],[Salesperson_ID]],DimSalesman[Salesperson_ID],DimSalesman[Salesperson_Name])</f>
        <v>Rahim Rahman</v>
      </c>
      <c r="V71" s="6" t="str">
        <f>_xlfn.XLOOKUP(FactSales[[#This Row],[Region_ID]],DimRegion[Region_ID],DimRegion[Region_Name])</f>
        <v>Mymensingh</v>
      </c>
      <c r="W71" s="6" t="str">
        <f>_xlfn.XLOOKUP(FactSales[[#This Row],[Store_ID]],DimStore[Store_ID],DimStore[Store_Name])</f>
        <v>Mymensingh Maskanda Store</v>
      </c>
    </row>
    <row r="72" spans="1:23">
      <c r="A72" s="4" t="s">
        <v>1068</v>
      </c>
      <c r="B72" s="5">
        <v>45870</v>
      </c>
      <c r="C72" s="4" t="s">
        <v>369</v>
      </c>
      <c r="D72" s="4" t="s">
        <v>47</v>
      </c>
      <c r="E72" s="4" t="s">
        <v>683</v>
      </c>
      <c r="F72" s="4" t="s">
        <v>956</v>
      </c>
      <c r="G72" s="4" t="s">
        <v>794</v>
      </c>
      <c r="H72" s="4">
        <v>4</v>
      </c>
      <c r="I72" s="7">
        <v>0.1</v>
      </c>
      <c r="J72" s="6">
        <v>3837</v>
      </c>
      <c r="K72" s="4">
        <v>3</v>
      </c>
      <c r="L72" s="8">
        <f t="shared" si="1"/>
        <v>4</v>
      </c>
      <c r="M72" s="6" t="str">
        <f>_xlfn.XLOOKUP(FactSales[[#This Row],[Product_ID]],DimProduct[Product_ID],DimProduct[Product_Name])</f>
        <v>Denim Jeans</v>
      </c>
      <c r="N72" s="6" t="str">
        <f>_xlfn.XLOOKUP(FactSales[[#This Row],[Product_ID]],DimProduct[Product_ID],DimProduct[Category])</f>
        <v>Fashion</v>
      </c>
      <c r="O72" s="6">
        <f>_xlfn.XLOOKUP(FactSales[[#This Row],[Product_ID]],DimProduct[Product_ID],DimProduct[Unit_Price])</f>
        <v>880</v>
      </c>
      <c r="P72" s="6">
        <f>_xlfn.XLOOKUP(FactSales[[#This Row],[Product_ID]],DimProduct[Product_ID],DimProduct[Unit_Cost])</f>
        <v>480</v>
      </c>
      <c r="Q72" s="6">
        <f>FactSales[[#This Row],[Unit_Price]]*FactSales[[#This Row],[Quantity_Sold]]</f>
        <v>3520</v>
      </c>
      <c r="R72" s="6">
        <f>FactSales[[#This Row],[Unit_Cost]]*FactSales[[#This Row],[Quantity_Sold]]</f>
        <v>1920</v>
      </c>
      <c r="S72" s="6">
        <f>FactSales[[#This Row],[Sales_Amount]]-FactSales[[#This Row],[Total_Cost]]</f>
        <v>1600</v>
      </c>
      <c r="T72" s="6" t="str">
        <f>_xlfn.XLOOKUP(FactSales[[#This Row],[Customer_ID]],DimCustomer[Customer_ID],DimCustomer[Customer_Name])</f>
        <v>Sadia Ahmed</v>
      </c>
      <c r="U72" s="6" t="str">
        <f>_xlfn.XLOOKUP(FactSales[[#This Row],[Salesperson_ID]],DimSalesman[Salesperson_ID],DimSalesman[Salesperson_Name])</f>
        <v>Rafi Ahmed</v>
      </c>
      <c r="V72" s="6" t="str">
        <f>_xlfn.XLOOKUP(FactSales[[#This Row],[Region_ID]],DimRegion[Region_ID],DimRegion[Region_Name])</f>
        <v>Khulna</v>
      </c>
      <c r="W72" s="6" t="str">
        <f>_xlfn.XLOOKUP(FactSales[[#This Row],[Store_ID]],DimStore[Store_ID],DimStore[Store_Name])</f>
        <v>Khulna Sonadanga Store</v>
      </c>
    </row>
    <row r="73" spans="1:23">
      <c r="A73" s="4" t="s">
        <v>1069</v>
      </c>
      <c r="B73" s="5">
        <v>45750</v>
      </c>
      <c r="C73" s="4" t="s">
        <v>156</v>
      </c>
      <c r="D73" s="4" t="s">
        <v>32</v>
      </c>
      <c r="E73" s="4" t="s">
        <v>650</v>
      </c>
      <c r="F73" s="4" t="s">
        <v>931</v>
      </c>
      <c r="G73" s="4" t="s">
        <v>794</v>
      </c>
      <c r="H73" s="4">
        <v>4</v>
      </c>
      <c r="I73" s="7">
        <v>0.03</v>
      </c>
      <c r="J73" s="6">
        <v>4013</v>
      </c>
      <c r="K73" s="4">
        <v>5</v>
      </c>
      <c r="L73" s="8">
        <f t="shared" si="1"/>
        <v>3.5</v>
      </c>
      <c r="M73" s="6" t="str">
        <f>_xlfn.XLOOKUP(FactSales[[#This Row],[Product_ID]],DimProduct[Product_ID],DimProduct[Product_Name])</f>
        <v>Denim Jeans</v>
      </c>
      <c r="N73" s="6" t="str">
        <f>_xlfn.XLOOKUP(FactSales[[#This Row],[Product_ID]],DimProduct[Product_ID],DimProduct[Category])</f>
        <v>Fashion</v>
      </c>
      <c r="O73" s="6">
        <f>_xlfn.XLOOKUP(FactSales[[#This Row],[Product_ID]],DimProduct[Product_ID],DimProduct[Unit_Price])</f>
        <v>880</v>
      </c>
      <c r="P73" s="6">
        <f>_xlfn.XLOOKUP(FactSales[[#This Row],[Product_ID]],DimProduct[Product_ID],DimProduct[Unit_Cost])</f>
        <v>480</v>
      </c>
      <c r="Q73" s="6">
        <f>FactSales[[#This Row],[Unit_Price]]*FactSales[[#This Row],[Quantity_Sold]]</f>
        <v>3520</v>
      </c>
      <c r="R73" s="6">
        <f>FactSales[[#This Row],[Unit_Cost]]*FactSales[[#This Row],[Quantity_Sold]]</f>
        <v>1920</v>
      </c>
      <c r="S73" s="6">
        <f>FactSales[[#This Row],[Sales_Amount]]-FactSales[[#This Row],[Total_Cost]]</f>
        <v>1600</v>
      </c>
      <c r="T73" s="6" t="str">
        <f>_xlfn.XLOOKUP(FactSales[[#This Row],[Customer_ID]],DimCustomer[Customer_ID],DimCustomer[Customer_Name])</f>
        <v>Shaila Mia</v>
      </c>
      <c r="U73" s="6" t="str">
        <f>_xlfn.XLOOKUP(FactSales[[#This Row],[Salesperson_ID]],DimSalesman[Salesperson_ID],DimSalesman[Salesperson_Name])</f>
        <v>Sadia Islam</v>
      </c>
      <c r="V73" s="6" t="str">
        <f>_xlfn.XLOOKUP(FactSales[[#This Row],[Region_ID]],DimRegion[Region_ID],DimRegion[Region_Name])</f>
        <v>Chattogram</v>
      </c>
      <c r="W73" s="6" t="str">
        <f>_xlfn.XLOOKUP(FactSales[[#This Row],[Store_ID]],DimStore[Store_ID],DimStore[Store_Name])</f>
        <v>Chattogram Halishahar Store</v>
      </c>
    </row>
    <row r="74" spans="1:23">
      <c r="A74" s="4" t="s">
        <v>1070</v>
      </c>
      <c r="B74" s="5">
        <v>45961</v>
      </c>
      <c r="C74" s="4" t="s">
        <v>411</v>
      </c>
      <c r="D74" s="4" t="s">
        <v>47</v>
      </c>
      <c r="E74" s="4" t="s">
        <v>686</v>
      </c>
      <c r="F74" s="4" t="s">
        <v>955</v>
      </c>
      <c r="G74" s="4" t="s">
        <v>905</v>
      </c>
      <c r="H74" s="4">
        <v>2</v>
      </c>
      <c r="I74" s="7">
        <v>0.03</v>
      </c>
      <c r="J74" s="6">
        <v>12797</v>
      </c>
      <c r="K74" s="4">
        <v>6</v>
      </c>
      <c r="L74" s="8">
        <f t="shared" si="1"/>
        <v>3.2</v>
      </c>
      <c r="M74" s="6" t="str">
        <f>_xlfn.XLOOKUP(FactSales[[#This Row],[Product_ID]],DimProduct[Product_ID],DimProduct[Product_Name])</f>
        <v>Bedside Table</v>
      </c>
      <c r="N74" s="6" t="str">
        <f>_xlfn.XLOOKUP(FactSales[[#This Row],[Product_ID]],DimProduct[Product_ID],DimProduct[Category])</f>
        <v>Furniture</v>
      </c>
      <c r="O74" s="6">
        <f>_xlfn.XLOOKUP(FactSales[[#This Row],[Product_ID]],DimProduct[Product_ID],DimProduct[Unit_Price])</f>
        <v>5870</v>
      </c>
      <c r="P74" s="6">
        <f>_xlfn.XLOOKUP(FactSales[[#This Row],[Product_ID]],DimProduct[Product_ID],DimProduct[Unit_Cost])</f>
        <v>4230</v>
      </c>
      <c r="Q74" s="6">
        <f>FactSales[[#This Row],[Unit_Price]]*FactSales[[#This Row],[Quantity_Sold]]</f>
        <v>11740</v>
      </c>
      <c r="R74" s="6">
        <f>FactSales[[#This Row],[Unit_Cost]]*FactSales[[#This Row],[Quantity_Sold]]</f>
        <v>8460</v>
      </c>
      <c r="S74" s="6">
        <f>FactSales[[#This Row],[Sales_Amount]]-FactSales[[#This Row],[Total_Cost]]</f>
        <v>3280</v>
      </c>
      <c r="T74" s="6" t="str">
        <f>_xlfn.XLOOKUP(FactSales[[#This Row],[Customer_ID]],DimCustomer[Customer_ID],DimCustomer[Customer_Name])</f>
        <v>Jannat Sultana</v>
      </c>
      <c r="U74" s="6" t="str">
        <f>_xlfn.XLOOKUP(FactSales[[#This Row],[Salesperson_ID]],DimSalesman[Salesperson_ID],DimSalesman[Salesperson_Name])</f>
        <v>Tania Chowdhury</v>
      </c>
      <c r="V74" s="6" t="str">
        <f>_xlfn.XLOOKUP(FactSales[[#This Row],[Region_ID]],DimRegion[Region_ID],DimRegion[Region_Name])</f>
        <v>Khulna</v>
      </c>
      <c r="W74" s="6" t="str">
        <f>_xlfn.XLOOKUP(FactSales[[#This Row],[Store_ID]],DimStore[Store_ID],DimStore[Store_Name])</f>
        <v>Khulna Khalishpur Store</v>
      </c>
    </row>
    <row r="75" spans="1:23">
      <c r="A75" s="4" t="s">
        <v>1071</v>
      </c>
      <c r="B75" s="5">
        <v>45776</v>
      </c>
      <c r="C75" s="4" t="s">
        <v>101</v>
      </c>
      <c r="D75" s="4" t="s">
        <v>27</v>
      </c>
      <c r="E75" s="4" t="s">
        <v>626</v>
      </c>
      <c r="F75" s="4" t="s">
        <v>920</v>
      </c>
      <c r="G75" s="4" t="s">
        <v>773</v>
      </c>
      <c r="H75" s="4">
        <v>1</v>
      </c>
      <c r="I75" s="7">
        <v>0.08</v>
      </c>
      <c r="J75" s="6">
        <v>7876</v>
      </c>
      <c r="K75" s="4">
        <v>5</v>
      </c>
      <c r="L75" s="8">
        <f t="shared" si="1"/>
        <v>3.4</v>
      </c>
      <c r="M75" s="6" t="str">
        <f>_xlfn.XLOOKUP(FactSales[[#This Row],[Product_ID]],DimProduct[Product_ID],DimProduct[Product_Name])</f>
        <v>Rice Cooker</v>
      </c>
      <c r="N75" s="6" t="str">
        <f>_xlfn.XLOOKUP(FactSales[[#This Row],[Product_ID]],DimProduct[Product_ID],DimProduct[Category])</f>
        <v>Home Appliance</v>
      </c>
      <c r="O75" s="6">
        <f>_xlfn.XLOOKUP(FactSales[[#This Row],[Product_ID]],DimProduct[Product_ID],DimProduct[Unit_Price])</f>
        <v>7430</v>
      </c>
      <c r="P75" s="6">
        <f>_xlfn.XLOOKUP(FactSales[[#This Row],[Product_ID]],DimProduct[Product_ID],DimProduct[Unit_Cost])</f>
        <v>5200</v>
      </c>
      <c r="Q75" s="6">
        <f>FactSales[[#This Row],[Unit_Price]]*FactSales[[#This Row],[Quantity_Sold]]</f>
        <v>7430</v>
      </c>
      <c r="R75" s="6">
        <f>FactSales[[#This Row],[Unit_Cost]]*FactSales[[#This Row],[Quantity_Sold]]</f>
        <v>5200</v>
      </c>
      <c r="S75" s="6">
        <f>FactSales[[#This Row],[Sales_Amount]]-FactSales[[#This Row],[Total_Cost]]</f>
        <v>2230</v>
      </c>
      <c r="T75" s="6" t="str">
        <f>_xlfn.XLOOKUP(FactSales[[#This Row],[Customer_ID]],DimCustomer[Customer_ID],DimCustomer[Customer_Name])</f>
        <v>Shamim Khan</v>
      </c>
      <c r="U75" s="6" t="str">
        <f>_xlfn.XLOOKUP(FactSales[[#This Row],[Salesperson_ID]],DimSalesman[Salesperson_ID],DimSalesman[Salesperson_Name])</f>
        <v>Rahim Hossain</v>
      </c>
      <c r="V75" s="6" t="str">
        <f>_xlfn.XLOOKUP(FactSales[[#This Row],[Region_ID]],DimRegion[Region_ID],DimRegion[Region_Name])</f>
        <v>Dhaka</v>
      </c>
      <c r="W75" s="6" t="str">
        <f>_xlfn.XLOOKUP(FactSales[[#This Row],[Store_ID]],DimStore[Store_ID],DimStore[Store_Name])</f>
        <v>Dhaka Mirpur Store</v>
      </c>
    </row>
    <row r="76" spans="1:23">
      <c r="A76" s="4" t="s">
        <v>1072</v>
      </c>
      <c r="B76" s="5">
        <v>46106</v>
      </c>
      <c r="C76" s="4" t="s">
        <v>276</v>
      </c>
      <c r="D76" s="4" t="s">
        <v>37</v>
      </c>
      <c r="E76" s="4" t="s">
        <v>656</v>
      </c>
      <c r="F76" s="4" t="s">
        <v>936</v>
      </c>
      <c r="G76" s="4" t="s">
        <v>775</v>
      </c>
      <c r="H76" s="4">
        <v>9</v>
      </c>
      <c r="I76" s="7">
        <v>0.08</v>
      </c>
      <c r="J76" s="6">
        <v>23401</v>
      </c>
      <c r="K76" s="4">
        <v>4</v>
      </c>
      <c r="L76" s="8">
        <f t="shared" si="1"/>
        <v>3.7</v>
      </c>
      <c r="M76" s="6" t="str">
        <f>_xlfn.XLOOKUP(FactSales[[#This Row],[Product_ID]],DimProduct[Product_ID],DimProduct[Product_Name])</f>
        <v>Blender Machine</v>
      </c>
      <c r="N76" s="6" t="str">
        <f>_xlfn.XLOOKUP(FactSales[[#This Row],[Product_ID]],DimProduct[Product_ID],DimProduct[Category])</f>
        <v>Home Appliance</v>
      </c>
      <c r="O76" s="6">
        <f>_xlfn.XLOOKUP(FactSales[[#This Row],[Product_ID]],DimProduct[Product_ID],DimProduct[Unit_Price])</f>
        <v>2430</v>
      </c>
      <c r="P76" s="6">
        <f>_xlfn.XLOOKUP(FactSales[[#This Row],[Product_ID]],DimProduct[Product_ID],DimProduct[Unit_Cost])</f>
        <v>1700</v>
      </c>
      <c r="Q76" s="6">
        <f>FactSales[[#This Row],[Unit_Price]]*FactSales[[#This Row],[Quantity_Sold]]</f>
        <v>21870</v>
      </c>
      <c r="R76" s="6">
        <f>FactSales[[#This Row],[Unit_Cost]]*FactSales[[#This Row],[Quantity_Sold]]</f>
        <v>15300</v>
      </c>
      <c r="S76" s="6">
        <f>FactSales[[#This Row],[Sales_Amount]]-FactSales[[#This Row],[Total_Cost]]</f>
        <v>6570</v>
      </c>
      <c r="T76" s="6" t="str">
        <f>_xlfn.XLOOKUP(FactSales[[#This Row],[Customer_ID]],DimCustomer[Customer_ID],DimCustomer[Customer_Name])</f>
        <v>Samiha Ahmed</v>
      </c>
      <c r="U76" s="6" t="str">
        <f>_xlfn.XLOOKUP(FactSales[[#This Row],[Salesperson_ID]],DimSalesman[Salesperson_ID],DimSalesman[Salesperson_Name])</f>
        <v>Mehedi Chowdhury</v>
      </c>
      <c r="V76" s="6" t="str">
        <f>_xlfn.XLOOKUP(FactSales[[#This Row],[Region_ID]],DimRegion[Region_ID],DimRegion[Region_Name])</f>
        <v>Sylhet</v>
      </c>
      <c r="W76" s="6" t="str">
        <f>_xlfn.XLOOKUP(FactSales[[#This Row],[Store_ID]],DimStore[Store_ID],DimStore[Store_Name])</f>
        <v>Sylhet Ambarkhana Store</v>
      </c>
    </row>
    <row r="77" spans="1:23">
      <c r="A77" s="4" t="s">
        <v>1073</v>
      </c>
      <c r="B77" s="5">
        <v>46052</v>
      </c>
      <c r="C77" s="4" t="s">
        <v>183</v>
      </c>
      <c r="D77" s="4" t="s">
        <v>32</v>
      </c>
      <c r="E77" s="4" t="s">
        <v>647</v>
      </c>
      <c r="F77" s="4" t="s">
        <v>927</v>
      </c>
      <c r="G77" s="4" t="s">
        <v>765</v>
      </c>
      <c r="H77" s="4">
        <v>4</v>
      </c>
      <c r="I77" s="7">
        <v>0.15</v>
      </c>
      <c r="J77" s="6">
        <v>22298</v>
      </c>
      <c r="K77" s="4">
        <v>6</v>
      </c>
      <c r="L77" s="8">
        <f t="shared" si="1"/>
        <v>3</v>
      </c>
      <c r="M77" s="6" t="str">
        <f>_xlfn.XLOOKUP(FactSales[[#This Row],[Product_ID]],DimProduct[Product_ID],DimProduct[Product_Name])</f>
        <v>USB-C Hub</v>
      </c>
      <c r="N77" s="6" t="str">
        <f>_xlfn.XLOOKUP(FactSales[[#This Row],[Product_ID]],DimProduct[Product_ID],DimProduct[Category])</f>
        <v>Electronics</v>
      </c>
      <c r="O77" s="6">
        <f>_xlfn.XLOOKUP(FactSales[[#This Row],[Product_ID]],DimProduct[Product_ID],DimProduct[Unit_Price])</f>
        <v>4890</v>
      </c>
      <c r="P77" s="6">
        <f>_xlfn.XLOOKUP(FactSales[[#This Row],[Product_ID]],DimProduct[Product_ID],DimProduct[Unit_Cost])</f>
        <v>3330</v>
      </c>
      <c r="Q77" s="6">
        <f>FactSales[[#This Row],[Unit_Price]]*FactSales[[#This Row],[Quantity_Sold]]</f>
        <v>19560</v>
      </c>
      <c r="R77" s="6">
        <f>FactSales[[#This Row],[Unit_Cost]]*FactSales[[#This Row],[Quantity_Sold]]</f>
        <v>13320</v>
      </c>
      <c r="S77" s="6">
        <f>FactSales[[#This Row],[Sales_Amount]]-FactSales[[#This Row],[Total_Cost]]</f>
        <v>6240</v>
      </c>
      <c r="T77" s="6" t="str">
        <f>_xlfn.XLOOKUP(FactSales[[#This Row],[Customer_ID]],DimCustomer[Customer_ID],DimCustomer[Customer_Name])</f>
        <v>Tanjim Akter</v>
      </c>
      <c r="U77" s="6" t="str">
        <f>_xlfn.XLOOKUP(FactSales[[#This Row],[Salesperson_ID]],DimSalesman[Salesperson_ID],DimSalesman[Salesperson_Name])</f>
        <v>Shakib Ahmed</v>
      </c>
      <c r="V77" s="6" t="str">
        <f>_xlfn.XLOOKUP(FactSales[[#This Row],[Region_ID]],DimRegion[Region_ID],DimRegion[Region_Name])</f>
        <v>Chattogram</v>
      </c>
      <c r="W77" s="6" t="str">
        <f>_xlfn.XLOOKUP(FactSales[[#This Row],[Store_ID]],DimStore[Store_ID],DimStore[Store_Name])</f>
        <v>Chattogram Nasirabad Store</v>
      </c>
    </row>
    <row r="78" spans="1:23">
      <c r="A78" s="4" t="s">
        <v>1074</v>
      </c>
      <c r="B78" s="5">
        <v>45718</v>
      </c>
      <c r="C78" s="4" t="s">
        <v>537</v>
      </c>
      <c r="D78" s="4" t="s">
        <v>57</v>
      </c>
      <c r="E78" s="4" t="s">
        <v>716</v>
      </c>
      <c r="F78" s="4" t="s">
        <v>968</v>
      </c>
      <c r="G78" s="4" t="s">
        <v>758</v>
      </c>
      <c r="H78" s="4">
        <v>10</v>
      </c>
      <c r="I78" s="7">
        <v>0.08</v>
      </c>
      <c r="J78" s="6">
        <v>32660</v>
      </c>
      <c r="K78" s="4">
        <v>4</v>
      </c>
      <c r="L78" s="8">
        <f t="shared" si="1"/>
        <v>3.7</v>
      </c>
      <c r="M78" s="6" t="str">
        <f>_xlfn.XLOOKUP(FactSales[[#This Row],[Product_ID]],DimProduct[Product_ID],DimProduct[Product_Name])</f>
        <v>Power Bank</v>
      </c>
      <c r="N78" s="6" t="str">
        <f>_xlfn.XLOOKUP(FactSales[[#This Row],[Product_ID]],DimProduct[Product_ID],DimProduct[Category])</f>
        <v>Electronics</v>
      </c>
      <c r="O78" s="6">
        <f>_xlfn.XLOOKUP(FactSales[[#This Row],[Product_ID]],DimProduct[Product_ID],DimProduct[Unit_Price])</f>
        <v>2840</v>
      </c>
      <c r="P78" s="6">
        <f>_xlfn.XLOOKUP(FactSales[[#This Row],[Product_ID]],DimProduct[Product_ID],DimProduct[Unit_Cost])</f>
        <v>1930</v>
      </c>
      <c r="Q78" s="6">
        <f>FactSales[[#This Row],[Unit_Price]]*FactSales[[#This Row],[Quantity_Sold]]</f>
        <v>28400</v>
      </c>
      <c r="R78" s="6">
        <f>FactSales[[#This Row],[Unit_Cost]]*FactSales[[#This Row],[Quantity_Sold]]</f>
        <v>19300</v>
      </c>
      <c r="S78" s="6">
        <f>FactSales[[#This Row],[Sales_Amount]]-FactSales[[#This Row],[Total_Cost]]</f>
        <v>9100</v>
      </c>
      <c r="T78" s="6" t="str">
        <f>_xlfn.XLOOKUP(FactSales[[#This Row],[Customer_ID]],DimCustomer[Customer_ID],DimCustomer[Customer_Name])</f>
        <v>Mim Sultana</v>
      </c>
      <c r="U78" s="6" t="str">
        <f>_xlfn.XLOOKUP(FactSales[[#This Row],[Salesperson_ID]],DimSalesman[Salesperson_ID],DimSalesman[Salesperson_Name])</f>
        <v>Morshed Ahmed</v>
      </c>
      <c r="V78" s="6" t="str">
        <f>_xlfn.XLOOKUP(FactSales[[#This Row],[Region_ID]],DimRegion[Region_ID],DimRegion[Region_Name])</f>
        <v>Rangpur</v>
      </c>
      <c r="W78" s="6" t="str">
        <f>_xlfn.XLOOKUP(FactSales[[#This Row],[Store_ID]],DimStore[Store_ID],DimStore[Store_Name])</f>
        <v>Rangpur Shapla Chattar Store</v>
      </c>
    </row>
    <row r="79" spans="1:23">
      <c r="A79" s="4" t="s">
        <v>1075</v>
      </c>
      <c r="B79" s="5">
        <v>45687</v>
      </c>
      <c r="C79" s="4" t="s">
        <v>564</v>
      </c>
      <c r="D79" s="4" t="s">
        <v>62</v>
      </c>
      <c r="E79" s="4" t="s">
        <v>740</v>
      </c>
      <c r="F79" s="4" t="s">
        <v>983</v>
      </c>
      <c r="G79" s="4" t="s">
        <v>862</v>
      </c>
      <c r="H79" s="4">
        <v>5</v>
      </c>
      <c r="I79" s="7">
        <v>0.05</v>
      </c>
      <c r="J79" s="6">
        <v>5994</v>
      </c>
      <c r="K79" s="4">
        <v>5</v>
      </c>
      <c r="L79" s="8">
        <f t="shared" si="1"/>
        <v>3.5</v>
      </c>
      <c r="M79" s="6" t="str">
        <f>_xlfn.XLOOKUP(FactSales[[#This Row],[Product_ID]],DimProduct[Product_ID],DimProduct[Product_Name])</f>
        <v>Dumbbell Set</v>
      </c>
      <c r="N79" s="6" t="str">
        <f>_xlfn.XLOOKUP(FactSales[[#This Row],[Product_ID]],DimProduct[Product_ID],DimProduct[Category])</f>
        <v>Sports</v>
      </c>
      <c r="O79" s="6">
        <f>_xlfn.XLOOKUP(FactSales[[#This Row],[Product_ID]],DimProduct[Product_ID],DimProduct[Unit_Price])</f>
        <v>1110</v>
      </c>
      <c r="P79" s="6">
        <f>_xlfn.XLOOKUP(FactSales[[#This Row],[Product_ID]],DimProduct[Product_ID],DimProduct[Unit_Cost])</f>
        <v>690</v>
      </c>
      <c r="Q79" s="6">
        <f>FactSales[[#This Row],[Unit_Price]]*FactSales[[#This Row],[Quantity_Sold]]</f>
        <v>5550</v>
      </c>
      <c r="R79" s="6">
        <f>FactSales[[#This Row],[Unit_Cost]]*FactSales[[#This Row],[Quantity_Sold]]</f>
        <v>3450</v>
      </c>
      <c r="S79" s="6">
        <f>FactSales[[#This Row],[Sales_Amount]]-FactSales[[#This Row],[Total_Cost]]</f>
        <v>2100</v>
      </c>
      <c r="T79" s="6" t="str">
        <f>_xlfn.XLOOKUP(FactSales[[#This Row],[Customer_ID]],DimCustomer[Customer_ID],DimCustomer[Customer_Name])</f>
        <v>Mim Ahmed</v>
      </c>
      <c r="U79" s="6" t="str">
        <f>_xlfn.XLOOKUP(FactSales[[#This Row],[Salesperson_ID]],DimSalesman[Salesperson_ID],DimSalesman[Salesperson_Name])</f>
        <v>Fahim Hossain</v>
      </c>
      <c r="V79" s="6" t="str">
        <f>_xlfn.XLOOKUP(FactSales[[#This Row],[Region_ID]],DimRegion[Region_ID],DimRegion[Region_Name])</f>
        <v>Mymensingh</v>
      </c>
      <c r="W79" s="6" t="str">
        <f>_xlfn.XLOOKUP(FactSales[[#This Row],[Store_ID]],DimStore[Store_ID],DimStore[Store_Name])</f>
        <v>Mymensingh Maskanda Store</v>
      </c>
    </row>
    <row r="80" spans="1:23">
      <c r="A80" s="4" t="s">
        <v>1076</v>
      </c>
      <c r="B80" s="5">
        <v>45722</v>
      </c>
      <c r="C80" s="4" t="s">
        <v>588</v>
      </c>
      <c r="D80" s="4" t="s">
        <v>62</v>
      </c>
      <c r="E80" s="4" t="s">
        <v>728</v>
      </c>
      <c r="F80" s="4" t="s">
        <v>983</v>
      </c>
      <c r="G80" s="4" t="s">
        <v>784</v>
      </c>
      <c r="H80" s="4">
        <v>3</v>
      </c>
      <c r="I80" s="7">
        <v>0.03</v>
      </c>
      <c r="J80" s="6">
        <v>6059</v>
      </c>
      <c r="K80" s="4">
        <v>3</v>
      </c>
      <c r="L80" s="8">
        <f t="shared" si="1"/>
        <v>4.2</v>
      </c>
      <c r="M80" s="6" t="str">
        <f>_xlfn.XLOOKUP(FactSales[[#This Row],[Product_ID]],DimProduct[Product_ID],DimProduct[Product_Name])</f>
        <v>Cotton T-Shirt</v>
      </c>
      <c r="N80" s="6" t="str">
        <f>_xlfn.XLOOKUP(FactSales[[#This Row],[Product_ID]],DimProduct[Product_ID],DimProduct[Category])</f>
        <v>Fashion</v>
      </c>
      <c r="O80" s="6">
        <f>_xlfn.XLOOKUP(FactSales[[#This Row],[Product_ID]],DimProduct[Product_ID],DimProduct[Unit_Price])</f>
        <v>1870</v>
      </c>
      <c r="P80" s="6">
        <f>_xlfn.XLOOKUP(FactSales[[#This Row],[Product_ID]],DimProduct[Product_ID],DimProduct[Unit_Cost])</f>
        <v>1030</v>
      </c>
      <c r="Q80" s="6">
        <f>FactSales[[#This Row],[Unit_Price]]*FactSales[[#This Row],[Quantity_Sold]]</f>
        <v>5610</v>
      </c>
      <c r="R80" s="6">
        <f>FactSales[[#This Row],[Unit_Cost]]*FactSales[[#This Row],[Quantity_Sold]]</f>
        <v>3090</v>
      </c>
      <c r="S80" s="6">
        <f>FactSales[[#This Row],[Sales_Amount]]-FactSales[[#This Row],[Total_Cost]]</f>
        <v>2520</v>
      </c>
      <c r="T80" s="6" t="str">
        <f>_xlfn.XLOOKUP(FactSales[[#This Row],[Customer_ID]],DimCustomer[Customer_ID],DimCustomer[Customer_Name])</f>
        <v>Rasel Uddin</v>
      </c>
      <c r="U80" s="6" t="str">
        <f>_xlfn.XLOOKUP(FactSales[[#This Row],[Salesperson_ID]],DimSalesman[Salesperson_ID],DimSalesman[Salesperson_Name])</f>
        <v>Fahim Hossain</v>
      </c>
      <c r="V80" s="6" t="str">
        <f>_xlfn.XLOOKUP(FactSales[[#This Row],[Region_ID]],DimRegion[Region_ID],DimRegion[Region_Name])</f>
        <v>Mymensingh</v>
      </c>
      <c r="W80" s="6" t="str">
        <f>_xlfn.XLOOKUP(FactSales[[#This Row],[Store_ID]],DimStore[Store_ID],DimStore[Store_Name])</f>
        <v>Mymensingh Ganginarpar Store</v>
      </c>
    </row>
    <row r="81" spans="1:23">
      <c r="A81" s="4" t="s">
        <v>1077</v>
      </c>
      <c r="B81" s="5">
        <v>45755</v>
      </c>
      <c r="C81" s="4" t="s">
        <v>344</v>
      </c>
      <c r="D81" s="4" t="s">
        <v>42</v>
      </c>
      <c r="E81" s="4" t="s">
        <v>674</v>
      </c>
      <c r="F81" s="4" t="s">
        <v>949</v>
      </c>
      <c r="G81" s="4" t="s">
        <v>800</v>
      </c>
      <c r="H81" s="4">
        <v>4</v>
      </c>
      <c r="I81" s="7">
        <v>0.02</v>
      </c>
      <c r="J81" s="6">
        <v>4795</v>
      </c>
      <c r="K81" s="4">
        <v>1</v>
      </c>
      <c r="L81" s="8">
        <f t="shared" si="1"/>
        <v>4.8</v>
      </c>
      <c r="M81" s="6" t="str">
        <f>_xlfn.XLOOKUP(FactSales[[#This Row],[Product_ID]],DimProduct[Product_ID],DimProduct[Product_Name])</f>
        <v>Premium Rice 5kg</v>
      </c>
      <c r="N81" s="6" t="str">
        <f>_xlfn.XLOOKUP(FactSales[[#This Row],[Product_ID]],DimProduct[Product_ID],DimProduct[Category])</f>
        <v>Grocery</v>
      </c>
      <c r="O81" s="6">
        <f>_xlfn.XLOOKUP(FactSales[[#This Row],[Product_ID]],DimProduct[Product_ID],DimProduct[Unit_Price])</f>
        <v>1110</v>
      </c>
      <c r="P81" s="6">
        <f>_xlfn.XLOOKUP(FactSales[[#This Row],[Product_ID]],DimProduct[Product_ID],DimProduct[Unit_Cost])</f>
        <v>870</v>
      </c>
      <c r="Q81" s="6">
        <f>FactSales[[#This Row],[Unit_Price]]*FactSales[[#This Row],[Quantity_Sold]]</f>
        <v>4440</v>
      </c>
      <c r="R81" s="6">
        <f>FactSales[[#This Row],[Unit_Cost]]*FactSales[[#This Row],[Quantity_Sold]]</f>
        <v>3480</v>
      </c>
      <c r="S81" s="6">
        <f>FactSales[[#This Row],[Sales_Amount]]-FactSales[[#This Row],[Total_Cost]]</f>
        <v>960</v>
      </c>
      <c r="T81" s="6" t="str">
        <f>_xlfn.XLOOKUP(FactSales[[#This Row],[Customer_ID]],DimCustomer[Customer_ID],DimCustomer[Customer_Name])</f>
        <v>Mehedi Khan</v>
      </c>
      <c r="U81" s="6" t="str">
        <f>_xlfn.XLOOKUP(FactSales[[#This Row],[Salesperson_ID]],DimSalesman[Salesperson_ID],DimSalesman[Salesperson_Name])</f>
        <v>Mahmud Chowdhury</v>
      </c>
      <c r="V81" s="6" t="str">
        <f>_xlfn.XLOOKUP(FactSales[[#This Row],[Region_ID]],DimRegion[Region_ID],DimRegion[Region_Name])</f>
        <v>Rajshahi</v>
      </c>
      <c r="W81" s="6" t="str">
        <f>_xlfn.XLOOKUP(FactSales[[#This Row],[Store_ID]],DimStore[Store_ID],DimStore[Store_Name])</f>
        <v>Rajshahi Uposhohor Store</v>
      </c>
    </row>
    <row r="82" spans="1:23">
      <c r="A82" s="4" t="s">
        <v>1078</v>
      </c>
      <c r="B82" s="5">
        <v>45713</v>
      </c>
      <c r="C82" s="4" t="s">
        <v>579</v>
      </c>
      <c r="D82" s="4" t="s">
        <v>62</v>
      </c>
      <c r="E82" s="4" t="s">
        <v>737</v>
      </c>
      <c r="F82" s="4" t="s">
        <v>979</v>
      </c>
      <c r="G82" s="4" t="s">
        <v>874</v>
      </c>
      <c r="H82" s="4">
        <v>1</v>
      </c>
      <c r="I82" s="7">
        <v>0.02</v>
      </c>
      <c r="J82" s="6">
        <v>1123</v>
      </c>
      <c r="K82" s="4">
        <v>2</v>
      </c>
      <c r="L82" s="8">
        <f t="shared" si="1"/>
        <v>4.5</v>
      </c>
      <c r="M82" s="6" t="str">
        <f>_xlfn.XLOOKUP(FactSales[[#This Row],[Product_ID]],DimProduct[Product_ID],DimProduct[Product_Name])</f>
        <v>Marker Set</v>
      </c>
      <c r="N82" s="6" t="str">
        <f>_xlfn.XLOOKUP(FactSales[[#This Row],[Product_ID]],DimProduct[Product_ID],DimProduct[Category])</f>
        <v>Stationery</v>
      </c>
      <c r="O82" s="6">
        <f>_xlfn.XLOOKUP(FactSales[[#This Row],[Product_ID]],DimProduct[Product_ID],DimProduct[Unit_Price])</f>
        <v>1040</v>
      </c>
      <c r="P82" s="6">
        <f>_xlfn.XLOOKUP(FactSales[[#This Row],[Product_ID]],DimProduct[Product_ID],DimProduct[Unit_Cost])</f>
        <v>520</v>
      </c>
      <c r="Q82" s="6">
        <f>FactSales[[#This Row],[Unit_Price]]*FactSales[[#This Row],[Quantity_Sold]]</f>
        <v>1040</v>
      </c>
      <c r="R82" s="6">
        <f>FactSales[[#This Row],[Unit_Cost]]*FactSales[[#This Row],[Quantity_Sold]]</f>
        <v>520</v>
      </c>
      <c r="S82" s="6">
        <f>FactSales[[#This Row],[Sales_Amount]]-FactSales[[#This Row],[Total_Cost]]</f>
        <v>520</v>
      </c>
      <c r="T82" s="6" t="str">
        <f>_xlfn.XLOOKUP(FactSales[[#This Row],[Customer_ID]],DimCustomer[Customer_ID],DimCustomer[Customer_Name])</f>
        <v>Nabila Khan</v>
      </c>
      <c r="U82" s="6" t="str">
        <f>_xlfn.XLOOKUP(FactSales[[#This Row],[Salesperson_ID]],DimSalesman[Salesperson_ID],DimSalesman[Salesperson_Name])</f>
        <v>Rahim Rahman</v>
      </c>
      <c r="V82" s="6" t="str">
        <f>_xlfn.XLOOKUP(FactSales[[#This Row],[Region_ID]],DimRegion[Region_ID],DimRegion[Region_Name])</f>
        <v>Mymensingh</v>
      </c>
      <c r="W82" s="6" t="str">
        <f>_xlfn.XLOOKUP(FactSales[[#This Row],[Store_ID]],DimStore[Store_ID],DimStore[Store_Name])</f>
        <v>Mymensingh Kewatkhali Store</v>
      </c>
    </row>
    <row r="83" spans="1:23">
      <c r="A83" s="4" t="s">
        <v>1079</v>
      </c>
      <c r="B83" s="5">
        <v>45996</v>
      </c>
      <c r="C83" s="4" t="s">
        <v>564</v>
      </c>
      <c r="D83" s="4" t="s">
        <v>62</v>
      </c>
      <c r="E83" s="4" t="s">
        <v>728</v>
      </c>
      <c r="F83" s="4" t="s">
        <v>983</v>
      </c>
      <c r="G83" s="4" t="s">
        <v>773</v>
      </c>
      <c r="H83" s="4">
        <v>8</v>
      </c>
      <c r="I83" s="7">
        <v>0.18</v>
      </c>
      <c r="J83" s="6">
        <v>64195</v>
      </c>
      <c r="K83" s="4">
        <v>6</v>
      </c>
      <c r="L83" s="8">
        <f t="shared" si="1"/>
        <v>2.9</v>
      </c>
      <c r="M83" s="6" t="str">
        <f>_xlfn.XLOOKUP(FactSales[[#This Row],[Product_ID]],DimProduct[Product_ID],DimProduct[Product_Name])</f>
        <v>Rice Cooker</v>
      </c>
      <c r="N83" s="6" t="str">
        <f>_xlfn.XLOOKUP(FactSales[[#This Row],[Product_ID]],DimProduct[Product_ID],DimProduct[Category])</f>
        <v>Home Appliance</v>
      </c>
      <c r="O83" s="6">
        <f>_xlfn.XLOOKUP(FactSales[[#This Row],[Product_ID]],DimProduct[Product_ID],DimProduct[Unit_Price])</f>
        <v>7430</v>
      </c>
      <c r="P83" s="6">
        <f>_xlfn.XLOOKUP(FactSales[[#This Row],[Product_ID]],DimProduct[Product_ID],DimProduct[Unit_Cost])</f>
        <v>5200</v>
      </c>
      <c r="Q83" s="6">
        <f>FactSales[[#This Row],[Unit_Price]]*FactSales[[#This Row],[Quantity_Sold]]</f>
        <v>59440</v>
      </c>
      <c r="R83" s="6">
        <f>FactSales[[#This Row],[Unit_Cost]]*FactSales[[#This Row],[Quantity_Sold]]</f>
        <v>41600</v>
      </c>
      <c r="S83" s="6">
        <f>FactSales[[#This Row],[Sales_Amount]]-FactSales[[#This Row],[Total_Cost]]</f>
        <v>17840</v>
      </c>
      <c r="T83" s="6" t="str">
        <f>_xlfn.XLOOKUP(FactSales[[#This Row],[Customer_ID]],DimCustomer[Customer_ID],DimCustomer[Customer_Name])</f>
        <v>Mim Ahmed</v>
      </c>
      <c r="U83" s="6" t="str">
        <f>_xlfn.XLOOKUP(FactSales[[#This Row],[Salesperson_ID]],DimSalesman[Salesperson_ID],DimSalesman[Salesperson_Name])</f>
        <v>Fahim Hossain</v>
      </c>
      <c r="V83" s="6" t="str">
        <f>_xlfn.XLOOKUP(FactSales[[#This Row],[Region_ID]],DimRegion[Region_ID],DimRegion[Region_Name])</f>
        <v>Mymensingh</v>
      </c>
      <c r="W83" s="6" t="str">
        <f>_xlfn.XLOOKUP(FactSales[[#This Row],[Store_ID]],DimStore[Store_ID],DimStore[Store_Name])</f>
        <v>Mymensingh Ganginarpar Store</v>
      </c>
    </row>
    <row r="84" spans="1:23">
      <c r="A84" s="4" t="s">
        <v>1080</v>
      </c>
      <c r="B84" s="5">
        <v>45738</v>
      </c>
      <c r="C84" s="4" t="s">
        <v>332</v>
      </c>
      <c r="D84" s="4" t="s">
        <v>42</v>
      </c>
      <c r="E84" s="4" t="s">
        <v>677</v>
      </c>
      <c r="F84" s="4" t="s">
        <v>947</v>
      </c>
      <c r="G84" s="4" t="s">
        <v>868</v>
      </c>
      <c r="H84" s="4">
        <v>4</v>
      </c>
      <c r="I84" s="7">
        <v>0.05</v>
      </c>
      <c r="J84" s="6">
        <v>1469</v>
      </c>
      <c r="K84" s="4">
        <v>6</v>
      </c>
      <c r="L84" s="8">
        <f t="shared" si="1"/>
        <v>3.2</v>
      </c>
      <c r="M84" s="6" t="str">
        <f>_xlfn.XLOOKUP(FactSales[[#This Row],[Product_ID]],DimProduct[Product_ID],DimProduct[Product_Name])</f>
        <v>Ball Pen Box</v>
      </c>
      <c r="N84" s="6" t="str">
        <f>_xlfn.XLOOKUP(FactSales[[#This Row],[Product_ID]],DimProduct[Product_ID],DimProduct[Category])</f>
        <v>Stationery</v>
      </c>
      <c r="O84" s="6">
        <f>_xlfn.XLOOKUP(FactSales[[#This Row],[Product_ID]],DimProduct[Product_ID],DimProduct[Unit_Price])</f>
        <v>340</v>
      </c>
      <c r="P84" s="6">
        <f>_xlfn.XLOOKUP(FactSales[[#This Row],[Product_ID]],DimProduct[Product_ID],DimProduct[Unit_Cost])</f>
        <v>170</v>
      </c>
      <c r="Q84" s="6">
        <f>FactSales[[#This Row],[Unit_Price]]*FactSales[[#This Row],[Quantity_Sold]]</f>
        <v>1360</v>
      </c>
      <c r="R84" s="6">
        <f>FactSales[[#This Row],[Unit_Cost]]*FactSales[[#This Row],[Quantity_Sold]]</f>
        <v>680</v>
      </c>
      <c r="S84" s="6">
        <f>FactSales[[#This Row],[Sales_Amount]]-FactSales[[#This Row],[Total_Cost]]</f>
        <v>680</v>
      </c>
      <c r="T84" s="6" t="str">
        <f>_xlfn.XLOOKUP(FactSales[[#This Row],[Customer_ID]],DimCustomer[Customer_ID],DimCustomer[Customer_Name])</f>
        <v>Samiha Mia</v>
      </c>
      <c r="U84" s="6" t="str">
        <f>_xlfn.XLOOKUP(FactSales[[#This Row],[Salesperson_ID]],DimSalesman[Salesperson_ID],DimSalesman[Salesperson_Name])</f>
        <v>Farhana Rahman</v>
      </c>
      <c r="V84" s="6" t="str">
        <f>_xlfn.XLOOKUP(FactSales[[#This Row],[Region_ID]],DimRegion[Region_ID],DimRegion[Region_Name])</f>
        <v>Rajshahi</v>
      </c>
      <c r="W84" s="6" t="str">
        <f>_xlfn.XLOOKUP(FactSales[[#This Row],[Store_ID]],DimStore[Store_ID],DimStore[Store_Name])</f>
        <v>Rajshahi Railgate Store</v>
      </c>
    </row>
    <row r="85" spans="1:23">
      <c r="A85" s="4" t="s">
        <v>1081</v>
      </c>
      <c r="B85" s="5">
        <v>45763</v>
      </c>
      <c r="C85" s="4" t="s">
        <v>431</v>
      </c>
      <c r="D85" s="4" t="s">
        <v>52</v>
      </c>
      <c r="E85" s="4" t="s">
        <v>707</v>
      </c>
      <c r="F85" s="4" t="s">
        <v>966</v>
      </c>
      <c r="G85" s="4" t="s">
        <v>834</v>
      </c>
      <c r="H85" s="4">
        <v>2</v>
      </c>
      <c r="I85" s="7">
        <v>0.12</v>
      </c>
      <c r="J85" s="6">
        <v>7862</v>
      </c>
      <c r="K85" s="4">
        <v>6</v>
      </c>
      <c r="L85" s="8">
        <f t="shared" si="1"/>
        <v>3</v>
      </c>
      <c r="M85" s="6" t="str">
        <f>_xlfn.XLOOKUP(FactSales[[#This Row],[Product_ID]],DimProduct[Product_ID],DimProduct[Product_Name])</f>
        <v>Running Shoe</v>
      </c>
      <c r="N85" s="6" t="str">
        <f>_xlfn.XLOOKUP(FactSales[[#This Row],[Product_ID]],DimProduct[Product_ID],DimProduct[Category])</f>
        <v>Footwear</v>
      </c>
      <c r="O85" s="6">
        <f>_xlfn.XLOOKUP(FactSales[[#This Row],[Product_ID]],DimProduct[Product_ID],DimProduct[Unit_Price])</f>
        <v>3510</v>
      </c>
      <c r="P85" s="6">
        <f>_xlfn.XLOOKUP(FactSales[[#This Row],[Product_ID]],DimProduct[Product_ID],DimProduct[Unit_Cost])</f>
        <v>2110</v>
      </c>
      <c r="Q85" s="6">
        <f>FactSales[[#This Row],[Unit_Price]]*FactSales[[#This Row],[Quantity_Sold]]</f>
        <v>7020</v>
      </c>
      <c r="R85" s="6">
        <f>FactSales[[#This Row],[Unit_Cost]]*FactSales[[#This Row],[Quantity_Sold]]</f>
        <v>4220</v>
      </c>
      <c r="S85" s="6">
        <f>FactSales[[#This Row],[Sales_Amount]]-FactSales[[#This Row],[Total_Cost]]</f>
        <v>2800</v>
      </c>
      <c r="T85" s="6" t="str">
        <f>_xlfn.XLOOKUP(FactSales[[#This Row],[Customer_ID]],DimCustomer[Customer_ID],DimCustomer[Customer_Name])</f>
        <v>Rasel Uddin</v>
      </c>
      <c r="U85" s="6" t="str">
        <f>_xlfn.XLOOKUP(FactSales[[#This Row],[Salesperson_ID]],DimSalesman[Salesperson_ID],DimSalesman[Salesperson_Name])</f>
        <v>Nayeem Akter</v>
      </c>
      <c r="V85" s="6" t="str">
        <f>_xlfn.XLOOKUP(FactSales[[#This Row],[Region_ID]],DimRegion[Region_ID],DimRegion[Region_Name])</f>
        <v>Barishal</v>
      </c>
      <c r="W85" s="6" t="str">
        <f>_xlfn.XLOOKUP(FactSales[[#This Row],[Store_ID]],DimStore[Store_ID],DimStore[Store_Name])</f>
        <v>Barishal Chowmatha Store</v>
      </c>
    </row>
    <row r="86" spans="1:23">
      <c r="A86" s="4" t="s">
        <v>1082</v>
      </c>
      <c r="B86" s="5">
        <v>46178</v>
      </c>
      <c r="C86" s="4" t="s">
        <v>79</v>
      </c>
      <c r="D86" s="4" t="s">
        <v>27</v>
      </c>
      <c r="E86" s="4" t="s">
        <v>634</v>
      </c>
      <c r="F86" s="4" t="s">
        <v>919</v>
      </c>
      <c r="G86" s="4" t="s">
        <v>828</v>
      </c>
      <c r="H86" s="4">
        <v>3</v>
      </c>
      <c r="I86" s="7">
        <v>0.1</v>
      </c>
      <c r="J86" s="6">
        <v>4484</v>
      </c>
      <c r="K86" s="4">
        <v>4</v>
      </c>
      <c r="L86" s="8">
        <f t="shared" si="1"/>
        <v>3.7</v>
      </c>
      <c r="M86" s="6" t="str">
        <f>_xlfn.XLOOKUP(FactSales[[#This Row],[Product_ID]],DimProduct[Product_ID],DimProduct[Product_Name])</f>
        <v>Toothpaste Twin Pack</v>
      </c>
      <c r="N86" s="6" t="str">
        <f>_xlfn.XLOOKUP(FactSales[[#This Row],[Product_ID]],DimProduct[Product_ID],DimProduct[Category])</f>
        <v>Beauty &amp; Personal Care</v>
      </c>
      <c r="O86" s="6">
        <f>_xlfn.XLOOKUP(FactSales[[#This Row],[Product_ID]],DimProduct[Product_ID],DimProduct[Unit_Price])</f>
        <v>1410</v>
      </c>
      <c r="P86" s="6">
        <f>_xlfn.XLOOKUP(FactSales[[#This Row],[Product_ID]],DimProduct[Product_ID],DimProduct[Unit_Cost])</f>
        <v>820</v>
      </c>
      <c r="Q86" s="6">
        <f>FactSales[[#This Row],[Unit_Price]]*FactSales[[#This Row],[Quantity_Sold]]</f>
        <v>4230</v>
      </c>
      <c r="R86" s="6">
        <f>FactSales[[#This Row],[Unit_Cost]]*FactSales[[#This Row],[Quantity_Sold]]</f>
        <v>2460</v>
      </c>
      <c r="S86" s="6">
        <f>FactSales[[#This Row],[Sales_Amount]]-FactSales[[#This Row],[Total_Cost]]</f>
        <v>1770</v>
      </c>
      <c r="T86" s="6" t="str">
        <f>_xlfn.XLOOKUP(FactSales[[#This Row],[Customer_ID]],DimCustomer[Customer_ID],DimCustomer[Customer_Name])</f>
        <v>Tania Chowdhury</v>
      </c>
      <c r="U86" s="6" t="str">
        <f>_xlfn.XLOOKUP(FactSales[[#This Row],[Salesperson_ID]],DimSalesman[Salesperson_ID],DimSalesman[Salesperson_Name])</f>
        <v>Imran Mia</v>
      </c>
      <c r="V86" s="6" t="str">
        <f>_xlfn.XLOOKUP(FactSales[[#This Row],[Region_ID]],DimRegion[Region_ID],DimRegion[Region_Name])</f>
        <v>Dhaka</v>
      </c>
      <c r="W86" s="6" t="str">
        <f>_xlfn.XLOOKUP(FactSales[[#This Row],[Store_ID]],DimStore[Store_ID],DimStore[Store_Name])</f>
        <v>Dhaka Motijheel Store</v>
      </c>
    </row>
    <row r="87" spans="1:23">
      <c r="A87" s="4" t="s">
        <v>1083</v>
      </c>
      <c r="B87" s="5">
        <v>46142</v>
      </c>
      <c r="C87" s="4" t="s">
        <v>95</v>
      </c>
      <c r="D87" s="4" t="s">
        <v>27</v>
      </c>
      <c r="E87" s="4" t="s">
        <v>630</v>
      </c>
      <c r="F87" s="4" t="s">
        <v>916</v>
      </c>
      <c r="G87" s="4" t="s">
        <v>810</v>
      </c>
      <c r="H87" s="4">
        <v>5</v>
      </c>
      <c r="I87" s="7">
        <v>0.05</v>
      </c>
      <c r="J87" s="6">
        <v>2332</v>
      </c>
      <c r="K87" s="4">
        <v>1</v>
      </c>
      <c r="L87" s="8">
        <f t="shared" si="1"/>
        <v>4.8</v>
      </c>
      <c r="M87" s="6" t="str">
        <f>_xlfn.XLOOKUP(FactSales[[#This Row],[Product_ID]],DimProduct[Product_ID],DimProduct[Product_Name])</f>
        <v>Flour 2kg</v>
      </c>
      <c r="N87" s="6" t="str">
        <f>_xlfn.XLOOKUP(FactSales[[#This Row],[Product_ID]],DimProduct[Product_ID],DimProduct[Category])</f>
        <v>Grocery</v>
      </c>
      <c r="O87" s="6">
        <f>_xlfn.XLOOKUP(FactSales[[#This Row],[Product_ID]],DimProduct[Product_ID],DimProduct[Unit_Price])</f>
        <v>440</v>
      </c>
      <c r="P87" s="6">
        <f>_xlfn.XLOOKUP(FactSales[[#This Row],[Product_ID]],DimProduct[Product_ID],DimProduct[Unit_Cost])</f>
        <v>340</v>
      </c>
      <c r="Q87" s="6">
        <f>FactSales[[#This Row],[Unit_Price]]*FactSales[[#This Row],[Quantity_Sold]]</f>
        <v>2200</v>
      </c>
      <c r="R87" s="6">
        <f>FactSales[[#This Row],[Unit_Cost]]*FactSales[[#This Row],[Quantity_Sold]]</f>
        <v>1700</v>
      </c>
      <c r="S87" s="6">
        <f>FactSales[[#This Row],[Sales_Amount]]-FactSales[[#This Row],[Total_Cost]]</f>
        <v>500</v>
      </c>
      <c r="T87" s="6" t="str">
        <f>_xlfn.XLOOKUP(FactSales[[#This Row],[Customer_ID]],DimCustomer[Customer_ID],DimCustomer[Customer_Name])</f>
        <v>Karim Islam</v>
      </c>
      <c r="U87" s="6" t="str">
        <f>_xlfn.XLOOKUP(FactSales[[#This Row],[Salesperson_ID]],DimSalesman[Salesperson_ID],DimSalesman[Salesperson_Name])</f>
        <v>Rafi Islam</v>
      </c>
      <c r="V87" s="6" t="str">
        <f>_xlfn.XLOOKUP(FactSales[[#This Row],[Region_ID]],DimRegion[Region_ID],DimRegion[Region_Name])</f>
        <v>Dhaka</v>
      </c>
      <c r="W87" s="6" t="str">
        <f>_xlfn.XLOOKUP(FactSales[[#This Row],[Store_ID]],DimStore[Store_ID],DimStore[Store_Name])</f>
        <v>Dhaka Uttara Store</v>
      </c>
    </row>
    <row r="88" spans="1:23">
      <c r="A88" s="4" t="s">
        <v>1084</v>
      </c>
      <c r="B88" s="5">
        <v>45956</v>
      </c>
      <c r="C88" s="4" t="s">
        <v>156</v>
      </c>
      <c r="D88" s="4" t="s">
        <v>32</v>
      </c>
      <c r="E88" s="4" t="s">
        <v>641</v>
      </c>
      <c r="F88" s="4" t="s">
        <v>922</v>
      </c>
      <c r="G88" s="4" t="s">
        <v>775</v>
      </c>
      <c r="H88" s="4">
        <v>3</v>
      </c>
      <c r="I88" s="7">
        <v>0.12</v>
      </c>
      <c r="J88" s="6">
        <v>8311</v>
      </c>
      <c r="K88" s="4">
        <v>7</v>
      </c>
      <c r="L88" s="8">
        <f t="shared" si="1"/>
        <v>2.7</v>
      </c>
      <c r="M88" s="6" t="str">
        <f>_xlfn.XLOOKUP(FactSales[[#This Row],[Product_ID]],DimProduct[Product_ID],DimProduct[Product_Name])</f>
        <v>Blender Machine</v>
      </c>
      <c r="N88" s="6" t="str">
        <f>_xlfn.XLOOKUP(FactSales[[#This Row],[Product_ID]],DimProduct[Product_ID],DimProduct[Category])</f>
        <v>Home Appliance</v>
      </c>
      <c r="O88" s="6">
        <f>_xlfn.XLOOKUP(FactSales[[#This Row],[Product_ID]],DimProduct[Product_ID],DimProduct[Unit_Price])</f>
        <v>2430</v>
      </c>
      <c r="P88" s="6">
        <f>_xlfn.XLOOKUP(FactSales[[#This Row],[Product_ID]],DimProduct[Product_ID],DimProduct[Unit_Cost])</f>
        <v>1700</v>
      </c>
      <c r="Q88" s="6">
        <f>FactSales[[#This Row],[Unit_Price]]*FactSales[[#This Row],[Quantity_Sold]]</f>
        <v>7290</v>
      </c>
      <c r="R88" s="6">
        <f>FactSales[[#This Row],[Unit_Cost]]*FactSales[[#This Row],[Quantity_Sold]]</f>
        <v>5100</v>
      </c>
      <c r="S88" s="6">
        <f>FactSales[[#This Row],[Sales_Amount]]-FactSales[[#This Row],[Total_Cost]]</f>
        <v>2190</v>
      </c>
      <c r="T88" s="6" t="str">
        <f>_xlfn.XLOOKUP(FactSales[[#This Row],[Customer_ID]],DimCustomer[Customer_ID],DimCustomer[Customer_Name])</f>
        <v>Shaila Mia</v>
      </c>
      <c r="U88" s="6" t="str">
        <f>_xlfn.XLOOKUP(FactSales[[#This Row],[Salesperson_ID]],DimSalesman[Salesperson_ID],DimSalesman[Salesperson_Name])</f>
        <v>Rafi Sultana</v>
      </c>
      <c r="V88" s="6" t="str">
        <f>_xlfn.XLOOKUP(FactSales[[#This Row],[Region_ID]],DimRegion[Region_ID],DimRegion[Region_Name])</f>
        <v>Chattogram</v>
      </c>
      <c r="W88" s="6" t="str">
        <f>_xlfn.XLOOKUP(FactSales[[#This Row],[Store_ID]],DimStore[Store_ID],DimStore[Store_Name])</f>
        <v>Chattogram GEC Store</v>
      </c>
    </row>
    <row r="89" spans="1:23">
      <c r="A89" s="4" t="s">
        <v>1085</v>
      </c>
      <c r="B89" s="5">
        <v>46077</v>
      </c>
      <c r="C89" s="4" t="s">
        <v>259</v>
      </c>
      <c r="D89" s="4" t="s">
        <v>37</v>
      </c>
      <c r="E89" s="4" t="s">
        <v>656</v>
      </c>
      <c r="F89" s="4" t="s">
        <v>941</v>
      </c>
      <c r="G89" s="4" t="s">
        <v>854</v>
      </c>
      <c r="H89" s="4">
        <v>1</v>
      </c>
      <c r="I89" s="7">
        <v>0.12</v>
      </c>
      <c r="J89" s="6">
        <v>3980</v>
      </c>
      <c r="K89" s="4">
        <v>2</v>
      </c>
      <c r="L89" s="8">
        <f t="shared" si="1"/>
        <v>4.3</v>
      </c>
      <c r="M89" s="6" t="str">
        <f>_xlfn.XLOOKUP(FactSales[[#This Row],[Product_ID]],DimProduct[Product_ID],DimProduct[Product_Name])</f>
        <v>Football</v>
      </c>
      <c r="N89" s="6" t="str">
        <f>_xlfn.XLOOKUP(FactSales[[#This Row],[Product_ID]],DimProduct[Product_ID],DimProduct[Category])</f>
        <v>Sports</v>
      </c>
      <c r="O89" s="6">
        <f>_xlfn.XLOOKUP(FactSales[[#This Row],[Product_ID]],DimProduct[Product_ID],DimProduct[Unit_Price])</f>
        <v>3720</v>
      </c>
      <c r="P89" s="6">
        <f>_xlfn.XLOOKUP(FactSales[[#This Row],[Product_ID]],DimProduct[Product_ID],DimProduct[Unit_Cost])</f>
        <v>2310</v>
      </c>
      <c r="Q89" s="6">
        <f>FactSales[[#This Row],[Unit_Price]]*FactSales[[#This Row],[Quantity_Sold]]</f>
        <v>3720</v>
      </c>
      <c r="R89" s="6">
        <f>FactSales[[#This Row],[Unit_Cost]]*FactSales[[#This Row],[Quantity_Sold]]</f>
        <v>2310</v>
      </c>
      <c r="S89" s="6">
        <f>FactSales[[#This Row],[Sales_Amount]]-FactSales[[#This Row],[Total_Cost]]</f>
        <v>1410</v>
      </c>
      <c r="T89" s="6" t="str">
        <f>_xlfn.XLOOKUP(FactSales[[#This Row],[Customer_ID]],DimCustomer[Customer_ID],DimCustomer[Customer_Name])</f>
        <v>Hasan Akter</v>
      </c>
      <c r="U89" s="6" t="str">
        <f>_xlfn.XLOOKUP(FactSales[[#This Row],[Salesperson_ID]],DimSalesman[Salesperson_ID],DimSalesman[Salesperson_Name])</f>
        <v>Rumana Rahman</v>
      </c>
      <c r="V89" s="6" t="str">
        <f>_xlfn.XLOOKUP(FactSales[[#This Row],[Region_ID]],DimRegion[Region_ID],DimRegion[Region_Name])</f>
        <v>Sylhet</v>
      </c>
      <c r="W89" s="6" t="str">
        <f>_xlfn.XLOOKUP(FactSales[[#This Row],[Store_ID]],DimStore[Store_ID],DimStore[Store_Name])</f>
        <v>Sylhet Ambarkhana Store</v>
      </c>
    </row>
    <row r="90" spans="1:23">
      <c r="A90" s="4" t="s">
        <v>1086</v>
      </c>
      <c r="B90" s="5">
        <v>45853</v>
      </c>
      <c r="C90" s="4" t="s">
        <v>301</v>
      </c>
      <c r="D90" s="4" t="s">
        <v>42</v>
      </c>
      <c r="E90" s="4" t="s">
        <v>668</v>
      </c>
      <c r="F90" s="4" t="s">
        <v>947</v>
      </c>
      <c r="G90" s="4" t="s">
        <v>762</v>
      </c>
      <c r="H90" s="4">
        <v>4</v>
      </c>
      <c r="I90" s="7">
        <v>0.08</v>
      </c>
      <c r="J90" s="6">
        <v>16718</v>
      </c>
      <c r="K90" s="4">
        <v>4</v>
      </c>
      <c r="L90" s="8">
        <f t="shared" si="1"/>
        <v>3.7</v>
      </c>
      <c r="M90" s="6" t="str">
        <f>_xlfn.XLOOKUP(FactSales[[#This Row],[Product_ID]],DimProduct[Product_ID],DimProduct[Product_Name])</f>
        <v>Smart Watch</v>
      </c>
      <c r="N90" s="6" t="str">
        <f>_xlfn.XLOOKUP(FactSales[[#This Row],[Product_ID]],DimProduct[Product_ID],DimProduct[Category])</f>
        <v>Electronics</v>
      </c>
      <c r="O90" s="6">
        <f>_xlfn.XLOOKUP(FactSales[[#This Row],[Product_ID]],DimProduct[Product_ID],DimProduct[Unit_Price])</f>
        <v>3870</v>
      </c>
      <c r="P90" s="6">
        <f>_xlfn.XLOOKUP(FactSales[[#This Row],[Product_ID]],DimProduct[Product_ID],DimProduct[Unit_Cost])</f>
        <v>2630</v>
      </c>
      <c r="Q90" s="6">
        <f>FactSales[[#This Row],[Unit_Price]]*FactSales[[#This Row],[Quantity_Sold]]</f>
        <v>15480</v>
      </c>
      <c r="R90" s="6">
        <f>FactSales[[#This Row],[Unit_Cost]]*FactSales[[#This Row],[Quantity_Sold]]</f>
        <v>10520</v>
      </c>
      <c r="S90" s="6">
        <f>FactSales[[#This Row],[Sales_Amount]]-FactSales[[#This Row],[Total_Cost]]</f>
        <v>4960</v>
      </c>
      <c r="T90" s="6" t="str">
        <f>_xlfn.XLOOKUP(FactSales[[#This Row],[Customer_ID]],DimCustomer[Customer_ID],DimCustomer[Customer_Name])</f>
        <v>Nabila Khan</v>
      </c>
      <c r="U90" s="6" t="str">
        <f>_xlfn.XLOOKUP(FactSales[[#This Row],[Salesperson_ID]],DimSalesman[Salesperson_ID],DimSalesman[Salesperson_Name])</f>
        <v>Farhana Rahman</v>
      </c>
      <c r="V90" s="6" t="str">
        <f>_xlfn.XLOOKUP(FactSales[[#This Row],[Region_ID]],DimRegion[Region_ID],DimRegion[Region_Name])</f>
        <v>Rajshahi</v>
      </c>
      <c r="W90" s="6" t="str">
        <f>_xlfn.XLOOKUP(FactSales[[#This Row],[Store_ID]],DimStore[Store_ID],DimStore[Store_Name])</f>
        <v>Rajshahi Shaheb Bazar Store</v>
      </c>
    </row>
    <row r="91" spans="1:23">
      <c r="A91" s="4" t="s">
        <v>1087</v>
      </c>
      <c r="B91" s="5">
        <v>46174</v>
      </c>
      <c r="C91" s="4" t="s">
        <v>214</v>
      </c>
      <c r="D91" s="4" t="s">
        <v>32</v>
      </c>
      <c r="E91" s="4" t="s">
        <v>647</v>
      </c>
      <c r="F91" s="4" t="s">
        <v>927</v>
      </c>
      <c r="G91" s="4" t="s">
        <v>834</v>
      </c>
      <c r="H91" s="4">
        <v>1</v>
      </c>
      <c r="I91" s="7">
        <v>0.1</v>
      </c>
      <c r="J91" s="6">
        <v>4001</v>
      </c>
      <c r="K91" s="4">
        <v>4</v>
      </c>
      <c r="L91" s="8">
        <f t="shared" si="1"/>
        <v>3.7</v>
      </c>
      <c r="M91" s="6" t="str">
        <f>_xlfn.XLOOKUP(FactSales[[#This Row],[Product_ID]],DimProduct[Product_ID],DimProduct[Product_Name])</f>
        <v>Running Shoe</v>
      </c>
      <c r="N91" s="6" t="str">
        <f>_xlfn.XLOOKUP(FactSales[[#This Row],[Product_ID]],DimProduct[Product_ID],DimProduct[Category])</f>
        <v>Footwear</v>
      </c>
      <c r="O91" s="6">
        <f>_xlfn.XLOOKUP(FactSales[[#This Row],[Product_ID]],DimProduct[Product_ID],DimProduct[Unit_Price])</f>
        <v>3510</v>
      </c>
      <c r="P91" s="6">
        <f>_xlfn.XLOOKUP(FactSales[[#This Row],[Product_ID]],DimProduct[Product_ID],DimProduct[Unit_Cost])</f>
        <v>2110</v>
      </c>
      <c r="Q91" s="6">
        <f>FactSales[[#This Row],[Unit_Price]]*FactSales[[#This Row],[Quantity_Sold]]</f>
        <v>3510</v>
      </c>
      <c r="R91" s="6">
        <f>FactSales[[#This Row],[Unit_Cost]]*FactSales[[#This Row],[Quantity_Sold]]</f>
        <v>2110</v>
      </c>
      <c r="S91" s="6">
        <f>FactSales[[#This Row],[Sales_Amount]]-FactSales[[#This Row],[Total_Cost]]</f>
        <v>1400</v>
      </c>
      <c r="T91" s="6" t="str">
        <f>_xlfn.XLOOKUP(FactSales[[#This Row],[Customer_ID]],DimCustomer[Customer_ID],DimCustomer[Customer_Name])</f>
        <v>Sadia Chowdhury</v>
      </c>
      <c r="U91" s="6" t="str">
        <f>_xlfn.XLOOKUP(FactSales[[#This Row],[Salesperson_ID]],DimSalesman[Salesperson_ID],DimSalesman[Salesperson_Name])</f>
        <v>Shakib Ahmed</v>
      </c>
      <c r="V91" s="6" t="str">
        <f>_xlfn.XLOOKUP(FactSales[[#This Row],[Region_ID]],DimRegion[Region_ID],DimRegion[Region_Name])</f>
        <v>Chattogram</v>
      </c>
      <c r="W91" s="6" t="str">
        <f>_xlfn.XLOOKUP(FactSales[[#This Row],[Store_ID]],DimStore[Store_ID],DimStore[Store_Name])</f>
        <v>Chattogram Nasirabad Store</v>
      </c>
    </row>
    <row r="92" spans="1:23">
      <c r="A92" s="4" t="s">
        <v>1088</v>
      </c>
      <c r="B92" s="5">
        <v>46152</v>
      </c>
      <c r="C92" s="4" t="s">
        <v>121</v>
      </c>
      <c r="D92" s="4" t="s">
        <v>27</v>
      </c>
      <c r="E92" s="4" t="s">
        <v>618</v>
      </c>
      <c r="F92" s="4" t="s">
        <v>919</v>
      </c>
      <c r="G92" s="4" t="s">
        <v>893</v>
      </c>
      <c r="H92" s="4">
        <v>6</v>
      </c>
      <c r="I92" s="7">
        <v>0.05</v>
      </c>
      <c r="J92" s="6">
        <v>27857</v>
      </c>
      <c r="K92" s="4">
        <v>4</v>
      </c>
      <c r="L92" s="8">
        <f t="shared" si="1"/>
        <v>3.8</v>
      </c>
      <c r="M92" s="6" t="str">
        <f>_xlfn.XLOOKUP(FactSales[[#This Row],[Product_ID]],DimProduct[Product_ID],DimProduct[Product_Name])</f>
        <v>Office Chair</v>
      </c>
      <c r="N92" s="6" t="str">
        <f>_xlfn.XLOOKUP(FactSales[[#This Row],[Product_ID]],DimProduct[Product_ID],DimProduct[Category])</f>
        <v>Furniture</v>
      </c>
      <c r="O92" s="6">
        <f>_xlfn.XLOOKUP(FactSales[[#This Row],[Product_ID]],DimProduct[Product_ID],DimProduct[Unit_Price])</f>
        <v>4380</v>
      </c>
      <c r="P92" s="6">
        <f>_xlfn.XLOOKUP(FactSales[[#This Row],[Product_ID]],DimProduct[Product_ID],DimProduct[Unit_Cost])</f>
        <v>3150</v>
      </c>
      <c r="Q92" s="6">
        <f>FactSales[[#This Row],[Unit_Price]]*FactSales[[#This Row],[Quantity_Sold]]</f>
        <v>26280</v>
      </c>
      <c r="R92" s="6">
        <f>FactSales[[#This Row],[Unit_Cost]]*FactSales[[#This Row],[Quantity_Sold]]</f>
        <v>18900</v>
      </c>
      <c r="S92" s="6">
        <f>FactSales[[#This Row],[Sales_Amount]]-FactSales[[#This Row],[Total_Cost]]</f>
        <v>7380</v>
      </c>
      <c r="T92" s="6" t="str">
        <f>_xlfn.XLOOKUP(FactSales[[#This Row],[Customer_ID]],DimCustomer[Customer_ID],DimCustomer[Customer_Name])</f>
        <v>Shakib Khan</v>
      </c>
      <c r="U92" s="6" t="str">
        <f>_xlfn.XLOOKUP(FactSales[[#This Row],[Salesperson_ID]],DimSalesman[Salesperson_ID],DimSalesman[Salesperson_Name])</f>
        <v>Imran Mia</v>
      </c>
      <c r="V92" s="6" t="str">
        <f>_xlfn.XLOOKUP(FactSales[[#This Row],[Region_ID]],DimRegion[Region_ID],DimRegion[Region_Name])</f>
        <v>Dhaka</v>
      </c>
      <c r="W92" s="6" t="str">
        <f>_xlfn.XLOOKUP(FactSales[[#This Row],[Store_ID]],DimStore[Store_ID],DimStore[Store_Name])</f>
        <v>Dhaka Gulshan Store</v>
      </c>
    </row>
    <row r="93" spans="1:23">
      <c r="A93" s="4" t="s">
        <v>1089</v>
      </c>
      <c r="B93" s="5">
        <v>45987</v>
      </c>
      <c r="C93" s="4" t="s">
        <v>225</v>
      </c>
      <c r="D93" s="4" t="s">
        <v>37</v>
      </c>
      <c r="E93" s="4" t="s">
        <v>662</v>
      </c>
      <c r="F93" s="4" t="s">
        <v>941</v>
      </c>
      <c r="G93" s="4" t="s">
        <v>821</v>
      </c>
      <c r="H93" s="4">
        <v>3</v>
      </c>
      <c r="I93" s="7">
        <v>0.1</v>
      </c>
      <c r="J93" s="6">
        <v>5329</v>
      </c>
      <c r="K93" s="4">
        <v>2</v>
      </c>
      <c r="L93" s="8">
        <f t="shared" si="1"/>
        <v>4.3</v>
      </c>
      <c r="M93" s="6" t="str">
        <f>_xlfn.XLOOKUP(FactSales[[#This Row],[Product_ID]],DimProduct[Product_ID],DimProduct[Product_Name])</f>
        <v>Shampoo 375ml</v>
      </c>
      <c r="N93" s="6" t="str">
        <f>_xlfn.XLOOKUP(FactSales[[#This Row],[Product_ID]],DimProduct[Product_ID],DimProduct[Category])</f>
        <v>Beauty &amp; Personal Care</v>
      </c>
      <c r="O93" s="6">
        <f>_xlfn.XLOOKUP(FactSales[[#This Row],[Product_ID]],DimProduct[Product_ID],DimProduct[Unit_Price])</f>
        <v>1660</v>
      </c>
      <c r="P93" s="6">
        <f>_xlfn.XLOOKUP(FactSales[[#This Row],[Product_ID]],DimProduct[Product_ID],DimProduct[Unit_Cost])</f>
        <v>960</v>
      </c>
      <c r="Q93" s="6">
        <f>FactSales[[#This Row],[Unit_Price]]*FactSales[[#This Row],[Quantity_Sold]]</f>
        <v>4980</v>
      </c>
      <c r="R93" s="6">
        <f>FactSales[[#This Row],[Unit_Cost]]*FactSales[[#This Row],[Quantity_Sold]]</f>
        <v>2880</v>
      </c>
      <c r="S93" s="6">
        <f>FactSales[[#This Row],[Sales_Amount]]-FactSales[[#This Row],[Total_Cost]]</f>
        <v>2100</v>
      </c>
      <c r="T93" s="6" t="str">
        <f>_xlfn.XLOOKUP(FactSales[[#This Row],[Customer_ID]],DimCustomer[Customer_ID],DimCustomer[Customer_Name])</f>
        <v>Tania Akter</v>
      </c>
      <c r="U93" s="6" t="str">
        <f>_xlfn.XLOOKUP(FactSales[[#This Row],[Salesperson_ID]],DimSalesman[Salesperson_ID],DimSalesman[Salesperson_Name])</f>
        <v>Rumana Rahman</v>
      </c>
      <c r="V93" s="6" t="str">
        <f>_xlfn.XLOOKUP(FactSales[[#This Row],[Region_ID]],DimRegion[Region_ID],DimRegion[Region_Name])</f>
        <v>Sylhet</v>
      </c>
      <c r="W93" s="6" t="str">
        <f>_xlfn.XLOOKUP(FactSales[[#This Row],[Store_ID]],DimStore[Store_ID],DimStore[Store_Name])</f>
        <v>Sylhet Subidbazar Store</v>
      </c>
    </row>
    <row r="94" spans="1:23">
      <c r="A94" s="4" t="s">
        <v>1090</v>
      </c>
      <c r="B94" s="5">
        <v>46009</v>
      </c>
      <c r="C94" s="4" t="s">
        <v>535</v>
      </c>
      <c r="D94" s="4" t="s">
        <v>57</v>
      </c>
      <c r="E94" s="4" t="s">
        <v>716</v>
      </c>
      <c r="F94" s="4" t="s">
        <v>972</v>
      </c>
      <c r="G94" s="4" t="s">
        <v>781</v>
      </c>
      <c r="H94" s="4">
        <v>9</v>
      </c>
      <c r="I94" s="7">
        <v>0.1</v>
      </c>
      <c r="J94" s="6">
        <v>32188</v>
      </c>
      <c r="K94" s="4">
        <v>10</v>
      </c>
      <c r="L94" s="8">
        <f t="shared" si="1"/>
        <v>1.8</v>
      </c>
      <c r="M94" s="6" t="str">
        <f>_xlfn.XLOOKUP(FactSales[[#This Row],[Product_ID]],DimProduct[Product_ID],DimProduct[Product_Name])</f>
        <v>Table Fan</v>
      </c>
      <c r="N94" s="6" t="str">
        <f>_xlfn.XLOOKUP(FactSales[[#This Row],[Product_ID]],DimProduct[Product_ID],DimProduct[Category])</f>
        <v>Home Appliance</v>
      </c>
      <c r="O94" s="6">
        <f>_xlfn.XLOOKUP(FactSales[[#This Row],[Product_ID]],DimProduct[Product_ID],DimProduct[Unit_Price])</f>
        <v>3110</v>
      </c>
      <c r="P94" s="6">
        <f>_xlfn.XLOOKUP(FactSales[[#This Row],[Product_ID]],DimProduct[Product_ID],DimProduct[Unit_Cost])</f>
        <v>2180</v>
      </c>
      <c r="Q94" s="6">
        <f>FactSales[[#This Row],[Unit_Price]]*FactSales[[#This Row],[Quantity_Sold]]</f>
        <v>27990</v>
      </c>
      <c r="R94" s="6">
        <f>FactSales[[#This Row],[Unit_Cost]]*FactSales[[#This Row],[Quantity_Sold]]</f>
        <v>19620</v>
      </c>
      <c r="S94" s="6">
        <f>FactSales[[#This Row],[Sales_Amount]]-FactSales[[#This Row],[Total_Cost]]</f>
        <v>8370</v>
      </c>
      <c r="T94" s="6" t="str">
        <f>_xlfn.XLOOKUP(FactSales[[#This Row],[Customer_ID]],DimCustomer[Customer_ID],DimCustomer[Customer_Name])</f>
        <v>Shuvo Uddin</v>
      </c>
      <c r="U94" s="6" t="str">
        <f>_xlfn.XLOOKUP(FactSales[[#This Row],[Salesperson_ID]],DimSalesman[Salesperson_ID],DimSalesman[Salesperson_Name])</f>
        <v>Samiha Hossain</v>
      </c>
      <c r="V94" s="6" t="str">
        <f>_xlfn.XLOOKUP(FactSales[[#This Row],[Region_ID]],DimRegion[Region_ID],DimRegion[Region_Name])</f>
        <v>Rangpur</v>
      </c>
      <c r="W94" s="6" t="str">
        <f>_xlfn.XLOOKUP(FactSales[[#This Row],[Store_ID]],DimStore[Store_ID],DimStore[Store_Name])</f>
        <v>Rangpur Shapla Chattar Store</v>
      </c>
    </row>
    <row r="95" spans="1:23">
      <c r="A95" s="4" t="s">
        <v>1091</v>
      </c>
      <c r="B95" s="5">
        <v>45880</v>
      </c>
      <c r="C95" s="4" t="s">
        <v>416</v>
      </c>
      <c r="D95" s="4" t="s">
        <v>47</v>
      </c>
      <c r="E95" s="4" t="s">
        <v>695</v>
      </c>
      <c r="F95" s="4" t="s">
        <v>954</v>
      </c>
      <c r="G95" s="4" t="s">
        <v>847</v>
      </c>
      <c r="H95" s="4">
        <v>1</v>
      </c>
      <c r="I95" s="7">
        <v>0.12</v>
      </c>
      <c r="J95" s="6">
        <v>2038</v>
      </c>
      <c r="K95" s="4">
        <v>5</v>
      </c>
      <c r="L95" s="8">
        <f t="shared" si="1"/>
        <v>3.3</v>
      </c>
      <c r="M95" s="6" t="str">
        <f>_xlfn.XLOOKUP(FactSales[[#This Row],[Product_ID]],DimProduct[Product_ID],DimProduct[Product_Name])</f>
        <v>Casual Loafer</v>
      </c>
      <c r="N95" s="6" t="str">
        <f>_xlfn.XLOOKUP(FactSales[[#This Row],[Product_ID]],DimProduct[Product_ID],DimProduct[Category])</f>
        <v>Footwear</v>
      </c>
      <c r="O95" s="6">
        <f>_xlfn.XLOOKUP(FactSales[[#This Row],[Product_ID]],DimProduct[Product_ID],DimProduct[Unit_Price])</f>
        <v>1870</v>
      </c>
      <c r="P95" s="6">
        <f>_xlfn.XLOOKUP(FactSales[[#This Row],[Product_ID]],DimProduct[Product_ID],DimProduct[Unit_Cost])</f>
        <v>1120</v>
      </c>
      <c r="Q95" s="6">
        <f>FactSales[[#This Row],[Unit_Price]]*FactSales[[#This Row],[Quantity_Sold]]</f>
        <v>1870</v>
      </c>
      <c r="R95" s="6">
        <f>FactSales[[#This Row],[Unit_Cost]]*FactSales[[#This Row],[Quantity_Sold]]</f>
        <v>1120</v>
      </c>
      <c r="S95" s="6">
        <f>FactSales[[#This Row],[Sales_Amount]]-FactSales[[#This Row],[Total_Cost]]</f>
        <v>750</v>
      </c>
      <c r="T95" s="6" t="str">
        <f>_xlfn.XLOOKUP(FactSales[[#This Row],[Customer_ID]],DimCustomer[Customer_ID],DimCustomer[Customer_Name])</f>
        <v>Ayesha Ahmed</v>
      </c>
      <c r="U95" s="6" t="str">
        <f>_xlfn.XLOOKUP(FactSales[[#This Row],[Salesperson_ID]],DimSalesman[Salesperson_ID],DimSalesman[Salesperson_Name])</f>
        <v>Sadia Sultana</v>
      </c>
      <c r="V95" s="6" t="str">
        <f>_xlfn.XLOOKUP(FactSales[[#This Row],[Region_ID]],DimRegion[Region_ID],DimRegion[Region_Name])</f>
        <v>Khulna</v>
      </c>
      <c r="W95" s="6" t="str">
        <f>_xlfn.XLOOKUP(FactSales[[#This Row],[Store_ID]],DimStore[Store_ID],DimStore[Store_Name])</f>
        <v>Khulna Shibbari Store</v>
      </c>
    </row>
    <row r="96" spans="1:23">
      <c r="A96" s="4" t="s">
        <v>1092</v>
      </c>
      <c r="B96" s="5">
        <v>45840</v>
      </c>
      <c r="C96" s="4" t="s">
        <v>413</v>
      </c>
      <c r="D96" s="4" t="s">
        <v>47</v>
      </c>
      <c r="E96" s="4" t="s">
        <v>689</v>
      </c>
      <c r="F96" s="4" t="s">
        <v>958</v>
      </c>
      <c r="G96" s="4" t="s">
        <v>758</v>
      </c>
      <c r="H96" s="4">
        <v>3</v>
      </c>
      <c r="I96" s="7">
        <v>0.12</v>
      </c>
      <c r="J96" s="6">
        <v>9287</v>
      </c>
      <c r="K96" s="4">
        <v>2</v>
      </c>
      <c r="L96" s="8">
        <f t="shared" si="1"/>
        <v>4.3</v>
      </c>
      <c r="M96" s="6" t="str">
        <f>_xlfn.XLOOKUP(FactSales[[#This Row],[Product_ID]],DimProduct[Product_ID],DimProduct[Product_Name])</f>
        <v>Power Bank</v>
      </c>
      <c r="N96" s="6" t="str">
        <f>_xlfn.XLOOKUP(FactSales[[#This Row],[Product_ID]],DimProduct[Product_ID],DimProduct[Category])</f>
        <v>Electronics</v>
      </c>
      <c r="O96" s="6">
        <f>_xlfn.XLOOKUP(FactSales[[#This Row],[Product_ID]],DimProduct[Product_ID],DimProduct[Unit_Price])</f>
        <v>2840</v>
      </c>
      <c r="P96" s="6">
        <f>_xlfn.XLOOKUP(FactSales[[#This Row],[Product_ID]],DimProduct[Product_ID],DimProduct[Unit_Cost])</f>
        <v>1930</v>
      </c>
      <c r="Q96" s="6">
        <f>FactSales[[#This Row],[Unit_Price]]*FactSales[[#This Row],[Quantity_Sold]]</f>
        <v>8520</v>
      </c>
      <c r="R96" s="6">
        <f>FactSales[[#This Row],[Unit_Cost]]*FactSales[[#This Row],[Quantity_Sold]]</f>
        <v>5790</v>
      </c>
      <c r="S96" s="6">
        <f>FactSales[[#This Row],[Sales_Amount]]-FactSales[[#This Row],[Total_Cost]]</f>
        <v>2730</v>
      </c>
      <c r="T96" s="6" t="str">
        <f>_xlfn.XLOOKUP(FactSales[[#This Row],[Customer_ID]],DimCustomer[Customer_ID],DimCustomer[Customer_Name])</f>
        <v>Samiha Sultana</v>
      </c>
      <c r="U96" s="6" t="str">
        <f>_xlfn.XLOOKUP(FactSales[[#This Row],[Salesperson_ID]],DimSalesman[Salesperson_ID],DimSalesman[Salesperson_Name])</f>
        <v>Fahim Uddin</v>
      </c>
      <c r="V96" s="6" t="str">
        <f>_xlfn.XLOOKUP(FactSales[[#This Row],[Region_ID]],DimRegion[Region_ID],DimRegion[Region_Name])</f>
        <v>Khulna</v>
      </c>
      <c r="W96" s="6" t="str">
        <f>_xlfn.XLOOKUP(FactSales[[#This Row],[Store_ID]],DimStore[Store_ID],DimStore[Store_Name])</f>
        <v>Khulna Daulatpur Store</v>
      </c>
    </row>
    <row r="97" spans="1:23">
      <c r="A97" s="4" t="s">
        <v>1093</v>
      </c>
      <c r="B97" s="5">
        <v>45950</v>
      </c>
      <c r="C97" s="4" t="s">
        <v>596</v>
      </c>
      <c r="D97" s="4" t="s">
        <v>62</v>
      </c>
      <c r="E97" s="4" t="s">
        <v>740</v>
      </c>
      <c r="F97" s="4" t="s">
        <v>987</v>
      </c>
      <c r="G97" s="4" t="s">
        <v>847</v>
      </c>
      <c r="H97" s="4">
        <v>5</v>
      </c>
      <c r="I97" s="7">
        <v>0.1</v>
      </c>
      <c r="J97" s="6">
        <v>10098</v>
      </c>
      <c r="K97" s="4">
        <v>1</v>
      </c>
      <c r="L97" s="8">
        <f t="shared" si="1"/>
        <v>4.7</v>
      </c>
      <c r="M97" s="6" t="str">
        <f>_xlfn.XLOOKUP(FactSales[[#This Row],[Product_ID]],DimProduct[Product_ID],DimProduct[Product_Name])</f>
        <v>Casual Loafer</v>
      </c>
      <c r="N97" s="6" t="str">
        <f>_xlfn.XLOOKUP(FactSales[[#This Row],[Product_ID]],DimProduct[Product_ID],DimProduct[Category])</f>
        <v>Footwear</v>
      </c>
      <c r="O97" s="6">
        <f>_xlfn.XLOOKUP(FactSales[[#This Row],[Product_ID]],DimProduct[Product_ID],DimProduct[Unit_Price])</f>
        <v>1870</v>
      </c>
      <c r="P97" s="6">
        <f>_xlfn.XLOOKUP(FactSales[[#This Row],[Product_ID]],DimProduct[Product_ID],DimProduct[Unit_Cost])</f>
        <v>1120</v>
      </c>
      <c r="Q97" s="6">
        <f>FactSales[[#This Row],[Unit_Price]]*FactSales[[#This Row],[Quantity_Sold]]</f>
        <v>9350</v>
      </c>
      <c r="R97" s="6">
        <f>FactSales[[#This Row],[Unit_Cost]]*FactSales[[#This Row],[Quantity_Sold]]</f>
        <v>5600</v>
      </c>
      <c r="S97" s="6">
        <f>FactSales[[#This Row],[Sales_Amount]]-FactSales[[#This Row],[Total_Cost]]</f>
        <v>3750</v>
      </c>
      <c r="T97" s="6" t="str">
        <f>_xlfn.XLOOKUP(FactSales[[#This Row],[Customer_ID]],DimCustomer[Customer_ID],DimCustomer[Customer_Name])</f>
        <v>Hasan Sultana</v>
      </c>
      <c r="U97" s="6" t="str">
        <f>_xlfn.XLOOKUP(FactSales[[#This Row],[Salesperson_ID]],DimSalesman[Salesperson_ID],DimSalesman[Salesperson_Name])</f>
        <v>Tanvir Chowdhury</v>
      </c>
      <c r="V97" s="6" t="str">
        <f>_xlfn.XLOOKUP(FactSales[[#This Row],[Region_ID]],DimRegion[Region_ID],DimRegion[Region_Name])</f>
        <v>Mymensingh</v>
      </c>
      <c r="W97" s="6" t="str">
        <f>_xlfn.XLOOKUP(FactSales[[#This Row],[Store_ID]],DimStore[Store_ID],DimStore[Store_Name])</f>
        <v>Mymensingh Maskanda Store</v>
      </c>
    </row>
    <row r="98" spans="1:23">
      <c r="A98" s="4" t="s">
        <v>1094</v>
      </c>
      <c r="B98" s="5">
        <v>45712</v>
      </c>
      <c r="C98" s="4" t="s">
        <v>121</v>
      </c>
      <c r="D98" s="4" t="s">
        <v>27</v>
      </c>
      <c r="E98" s="4" t="s">
        <v>618</v>
      </c>
      <c r="F98" s="4" t="s">
        <v>912</v>
      </c>
      <c r="G98" s="4" t="s">
        <v>778</v>
      </c>
      <c r="H98" s="4">
        <v>3</v>
      </c>
      <c r="I98" s="7">
        <v>0.1</v>
      </c>
      <c r="J98" s="6">
        <v>14501</v>
      </c>
      <c r="K98" s="4">
        <v>4</v>
      </c>
      <c r="L98" s="8">
        <f t="shared" si="1"/>
        <v>3.7</v>
      </c>
      <c r="M98" s="6" t="str">
        <f>_xlfn.XLOOKUP(FactSales[[#This Row],[Product_ID]],DimProduct[Product_ID],DimProduct[Product_Name])</f>
        <v>Steam Iron</v>
      </c>
      <c r="N98" s="6" t="str">
        <f>_xlfn.XLOOKUP(FactSales[[#This Row],[Product_ID]],DimProduct[Product_ID],DimProduct[Category])</f>
        <v>Home Appliance</v>
      </c>
      <c r="O98" s="6">
        <f>_xlfn.XLOOKUP(FactSales[[#This Row],[Product_ID]],DimProduct[Product_ID],DimProduct[Unit_Price])</f>
        <v>4560</v>
      </c>
      <c r="P98" s="6">
        <f>_xlfn.XLOOKUP(FactSales[[#This Row],[Product_ID]],DimProduct[Product_ID],DimProduct[Unit_Cost])</f>
        <v>3190</v>
      </c>
      <c r="Q98" s="6">
        <f>FactSales[[#This Row],[Unit_Price]]*FactSales[[#This Row],[Quantity_Sold]]</f>
        <v>13680</v>
      </c>
      <c r="R98" s="6">
        <f>FactSales[[#This Row],[Unit_Cost]]*FactSales[[#This Row],[Quantity_Sold]]</f>
        <v>9570</v>
      </c>
      <c r="S98" s="6">
        <f>FactSales[[#This Row],[Sales_Amount]]-FactSales[[#This Row],[Total_Cost]]</f>
        <v>4110</v>
      </c>
      <c r="T98" s="6" t="str">
        <f>_xlfn.XLOOKUP(FactSales[[#This Row],[Customer_ID]],DimCustomer[Customer_ID],DimCustomer[Customer_Name])</f>
        <v>Shakib Khan</v>
      </c>
      <c r="U98" s="6" t="str">
        <f>_xlfn.XLOOKUP(FactSales[[#This Row],[Salesperson_ID]],DimSalesman[Salesperson_ID],DimSalesman[Salesperson_Name])</f>
        <v>Mahmud Hossain</v>
      </c>
      <c r="V98" s="6" t="str">
        <f>_xlfn.XLOOKUP(FactSales[[#This Row],[Region_ID]],DimRegion[Region_ID],DimRegion[Region_Name])</f>
        <v>Dhaka</v>
      </c>
      <c r="W98" s="6" t="str">
        <f>_xlfn.XLOOKUP(FactSales[[#This Row],[Store_ID]],DimStore[Store_ID],DimStore[Store_Name])</f>
        <v>Dhaka Gulshan Store</v>
      </c>
    </row>
    <row r="99" spans="1:23">
      <c r="A99" s="4" t="s">
        <v>1095</v>
      </c>
      <c r="B99" s="5">
        <v>45960</v>
      </c>
      <c r="C99" s="4" t="s">
        <v>413</v>
      </c>
      <c r="D99" s="4" t="s">
        <v>47</v>
      </c>
      <c r="E99" s="4" t="s">
        <v>689</v>
      </c>
      <c r="F99" s="4" t="s">
        <v>953</v>
      </c>
      <c r="G99" s="4" t="s">
        <v>874</v>
      </c>
      <c r="H99" s="4">
        <v>1</v>
      </c>
      <c r="I99" s="7">
        <v>0</v>
      </c>
      <c r="J99" s="6">
        <v>1134</v>
      </c>
      <c r="K99" s="4">
        <v>6</v>
      </c>
      <c r="L99" s="8">
        <f t="shared" si="1"/>
        <v>3.3</v>
      </c>
      <c r="M99" s="6" t="str">
        <f>_xlfn.XLOOKUP(FactSales[[#This Row],[Product_ID]],DimProduct[Product_ID],DimProduct[Product_Name])</f>
        <v>Marker Set</v>
      </c>
      <c r="N99" s="6" t="str">
        <f>_xlfn.XLOOKUP(FactSales[[#This Row],[Product_ID]],DimProduct[Product_ID],DimProduct[Category])</f>
        <v>Stationery</v>
      </c>
      <c r="O99" s="6">
        <f>_xlfn.XLOOKUP(FactSales[[#This Row],[Product_ID]],DimProduct[Product_ID],DimProduct[Unit_Price])</f>
        <v>1040</v>
      </c>
      <c r="P99" s="6">
        <f>_xlfn.XLOOKUP(FactSales[[#This Row],[Product_ID]],DimProduct[Product_ID],DimProduct[Unit_Cost])</f>
        <v>520</v>
      </c>
      <c r="Q99" s="6">
        <f>FactSales[[#This Row],[Unit_Price]]*FactSales[[#This Row],[Quantity_Sold]]</f>
        <v>1040</v>
      </c>
      <c r="R99" s="6">
        <f>FactSales[[#This Row],[Unit_Cost]]*FactSales[[#This Row],[Quantity_Sold]]</f>
        <v>520</v>
      </c>
      <c r="S99" s="6">
        <f>FactSales[[#This Row],[Sales_Amount]]-FactSales[[#This Row],[Total_Cost]]</f>
        <v>520</v>
      </c>
      <c r="T99" s="6" t="str">
        <f>_xlfn.XLOOKUP(FactSales[[#This Row],[Customer_ID]],DimCustomer[Customer_ID],DimCustomer[Customer_Name])</f>
        <v>Samiha Sultana</v>
      </c>
      <c r="U99" s="6" t="str">
        <f>_xlfn.XLOOKUP(FactSales[[#This Row],[Salesperson_ID]],DimSalesman[Salesperson_ID],DimSalesman[Salesperson_Name])</f>
        <v>Nusrat Akter</v>
      </c>
      <c r="V99" s="6" t="str">
        <f>_xlfn.XLOOKUP(FactSales[[#This Row],[Region_ID]],DimRegion[Region_ID],DimRegion[Region_Name])</f>
        <v>Khulna</v>
      </c>
      <c r="W99" s="6" t="str">
        <f>_xlfn.XLOOKUP(FactSales[[#This Row],[Store_ID]],DimStore[Store_ID],DimStore[Store_Name])</f>
        <v>Khulna Daulatpur Store</v>
      </c>
    </row>
    <row r="100" spans="1:23">
      <c r="A100" s="4" t="s">
        <v>1096</v>
      </c>
      <c r="B100" s="5">
        <v>45887</v>
      </c>
      <c r="C100" s="4" t="s">
        <v>460</v>
      </c>
      <c r="D100" s="4" t="s">
        <v>52</v>
      </c>
      <c r="E100" s="4" t="s">
        <v>698</v>
      </c>
      <c r="F100" s="4" t="s">
        <v>965</v>
      </c>
      <c r="G100" s="4" t="s">
        <v>878</v>
      </c>
      <c r="H100" s="4">
        <v>4</v>
      </c>
      <c r="I100" s="7">
        <v>0.12</v>
      </c>
      <c r="J100" s="6">
        <v>3763</v>
      </c>
      <c r="K100" s="4">
        <v>3</v>
      </c>
      <c r="L100" s="8">
        <f t="shared" si="1"/>
        <v>4</v>
      </c>
      <c r="M100" s="6" t="str">
        <f>_xlfn.XLOOKUP(FactSales[[#This Row],[Product_ID]],DimProduct[Product_ID],DimProduct[Product_Name])</f>
        <v>Building Blocks</v>
      </c>
      <c r="N100" s="6" t="str">
        <f>_xlfn.XLOOKUP(FactSales[[#This Row],[Product_ID]],DimProduct[Product_ID],DimProduct[Category])</f>
        <v>Kids &amp; Toys</v>
      </c>
      <c r="O100" s="6">
        <f>_xlfn.XLOOKUP(FactSales[[#This Row],[Product_ID]],DimProduct[Product_ID],DimProduct[Unit_Price])</f>
        <v>840</v>
      </c>
      <c r="P100" s="6">
        <f>_xlfn.XLOOKUP(FactSales[[#This Row],[Product_ID]],DimProduct[Product_ID],DimProduct[Unit_Cost])</f>
        <v>460</v>
      </c>
      <c r="Q100" s="6">
        <f>FactSales[[#This Row],[Unit_Price]]*FactSales[[#This Row],[Quantity_Sold]]</f>
        <v>3360</v>
      </c>
      <c r="R100" s="6">
        <f>FactSales[[#This Row],[Unit_Cost]]*FactSales[[#This Row],[Quantity_Sold]]</f>
        <v>1840</v>
      </c>
      <c r="S100" s="6">
        <f>FactSales[[#This Row],[Sales_Amount]]-FactSales[[#This Row],[Total_Cost]]</f>
        <v>1520</v>
      </c>
      <c r="T100" s="6" t="str">
        <f>_xlfn.XLOOKUP(FactSales[[#This Row],[Customer_ID]],DimCustomer[Customer_ID],DimCustomer[Customer_Name])</f>
        <v>Ayesha Ahmed</v>
      </c>
      <c r="U100" s="6" t="str">
        <f>_xlfn.XLOOKUP(FactSales[[#This Row],[Salesperson_ID]],DimSalesman[Salesperson_ID],DimSalesman[Salesperson_Name])</f>
        <v>Mehedi Khan</v>
      </c>
      <c r="V100" s="6" t="str">
        <f>_xlfn.XLOOKUP(FactSales[[#This Row],[Region_ID]],DimRegion[Region_ID],DimRegion[Region_Name])</f>
        <v>Barishal</v>
      </c>
      <c r="W100" s="6" t="str">
        <f>_xlfn.XLOOKUP(FactSales[[#This Row],[Store_ID]],DimStore[Store_ID],DimStore[Store_Name])</f>
        <v>Barishal Nathullabad Store</v>
      </c>
    </row>
    <row r="101" spans="1:23">
      <c r="A101" s="4" t="s">
        <v>1097</v>
      </c>
      <c r="B101" s="5">
        <v>45978</v>
      </c>
      <c r="C101" s="4" t="s">
        <v>416</v>
      </c>
      <c r="D101" s="4" t="s">
        <v>47</v>
      </c>
      <c r="E101" s="4" t="s">
        <v>683</v>
      </c>
      <c r="F101" s="4" t="s">
        <v>955</v>
      </c>
      <c r="G101" s="4" t="s">
        <v>778</v>
      </c>
      <c r="H101" s="4">
        <v>8</v>
      </c>
      <c r="I101" s="7">
        <v>0.08</v>
      </c>
      <c r="J101" s="6">
        <v>39763</v>
      </c>
      <c r="K101" s="4">
        <v>6</v>
      </c>
      <c r="L101" s="8">
        <f t="shared" si="1"/>
        <v>3.1</v>
      </c>
      <c r="M101" s="6" t="str">
        <f>_xlfn.XLOOKUP(FactSales[[#This Row],[Product_ID]],DimProduct[Product_ID],DimProduct[Product_Name])</f>
        <v>Steam Iron</v>
      </c>
      <c r="N101" s="6" t="str">
        <f>_xlfn.XLOOKUP(FactSales[[#This Row],[Product_ID]],DimProduct[Product_ID],DimProduct[Category])</f>
        <v>Home Appliance</v>
      </c>
      <c r="O101" s="6">
        <f>_xlfn.XLOOKUP(FactSales[[#This Row],[Product_ID]],DimProduct[Product_ID],DimProduct[Unit_Price])</f>
        <v>4560</v>
      </c>
      <c r="P101" s="6">
        <f>_xlfn.XLOOKUP(FactSales[[#This Row],[Product_ID]],DimProduct[Product_ID],DimProduct[Unit_Cost])</f>
        <v>3190</v>
      </c>
      <c r="Q101" s="6">
        <f>FactSales[[#This Row],[Unit_Price]]*FactSales[[#This Row],[Quantity_Sold]]</f>
        <v>36480</v>
      </c>
      <c r="R101" s="6">
        <f>FactSales[[#This Row],[Unit_Cost]]*FactSales[[#This Row],[Quantity_Sold]]</f>
        <v>25520</v>
      </c>
      <c r="S101" s="6">
        <f>FactSales[[#This Row],[Sales_Amount]]-FactSales[[#This Row],[Total_Cost]]</f>
        <v>10960</v>
      </c>
      <c r="T101" s="6" t="str">
        <f>_xlfn.XLOOKUP(FactSales[[#This Row],[Customer_ID]],DimCustomer[Customer_ID],DimCustomer[Customer_Name])</f>
        <v>Ayesha Ahmed</v>
      </c>
      <c r="U101" s="6" t="str">
        <f>_xlfn.XLOOKUP(FactSales[[#This Row],[Salesperson_ID]],DimSalesman[Salesperson_ID],DimSalesman[Salesperson_Name])</f>
        <v>Tania Chowdhury</v>
      </c>
      <c r="V101" s="6" t="str">
        <f>_xlfn.XLOOKUP(FactSales[[#This Row],[Region_ID]],DimRegion[Region_ID],DimRegion[Region_Name])</f>
        <v>Khulna</v>
      </c>
      <c r="W101" s="6" t="str">
        <f>_xlfn.XLOOKUP(FactSales[[#This Row],[Store_ID]],DimStore[Store_ID],DimStore[Store_Name])</f>
        <v>Khulna Sonadanga Store</v>
      </c>
    </row>
    <row r="102" spans="1:23">
      <c r="A102" s="4" t="s">
        <v>1098</v>
      </c>
      <c r="B102" s="5">
        <v>46111</v>
      </c>
      <c r="C102" s="4" t="s">
        <v>142</v>
      </c>
      <c r="D102" s="4" t="s">
        <v>27</v>
      </c>
      <c r="E102" s="4" t="s">
        <v>626</v>
      </c>
      <c r="F102" s="4" t="s">
        <v>914</v>
      </c>
      <c r="G102" s="4" t="s">
        <v>825</v>
      </c>
      <c r="H102" s="4">
        <v>7</v>
      </c>
      <c r="I102" s="7">
        <v>7.0000000000000007E-2</v>
      </c>
      <c r="J102" s="6">
        <v>8607</v>
      </c>
      <c r="K102" s="4">
        <v>2</v>
      </c>
      <c r="L102" s="8">
        <f t="shared" si="1"/>
        <v>4.4000000000000004</v>
      </c>
      <c r="M102" s="6" t="str">
        <f>_xlfn.XLOOKUP(FactSales[[#This Row],[Product_ID]],DimProduct[Product_ID],DimProduct[Product_Name])</f>
        <v>Body Lotion</v>
      </c>
      <c r="N102" s="6" t="str">
        <f>_xlfn.XLOOKUP(FactSales[[#This Row],[Product_ID]],DimProduct[Product_ID],DimProduct[Category])</f>
        <v>Beauty &amp; Personal Care</v>
      </c>
      <c r="O102" s="6">
        <f>_xlfn.XLOOKUP(FactSales[[#This Row],[Product_ID]],DimProduct[Product_ID],DimProduct[Unit_Price])</f>
        <v>1160</v>
      </c>
      <c r="P102" s="6">
        <f>_xlfn.XLOOKUP(FactSales[[#This Row],[Product_ID]],DimProduct[Product_ID],DimProduct[Unit_Cost])</f>
        <v>670</v>
      </c>
      <c r="Q102" s="6">
        <f>FactSales[[#This Row],[Unit_Price]]*FactSales[[#This Row],[Quantity_Sold]]</f>
        <v>8120</v>
      </c>
      <c r="R102" s="6">
        <f>FactSales[[#This Row],[Unit_Cost]]*FactSales[[#This Row],[Quantity_Sold]]</f>
        <v>4690</v>
      </c>
      <c r="S102" s="6">
        <f>FactSales[[#This Row],[Sales_Amount]]-FactSales[[#This Row],[Total_Cost]]</f>
        <v>3430</v>
      </c>
      <c r="T102" s="6" t="str">
        <f>_xlfn.XLOOKUP(FactSales[[#This Row],[Customer_ID]],DimCustomer[Customer_ID],DimCustomer[Customer_Name])</f>
        <v>Hasan Akter</v>
      </c>
      <c r="U102" s="6" t="str">
        <f>_xlfn.XLOOKUP(FactSales[[#This Row],[Salesperson_ID]],DimSalesman[Salesperson_ID],DimSalesman[Salesperson_Name])</f>
        <v>Rasel Rahman</v>
      </c>
      <c r="V102" s="6" t="str">
        <f>_xlfn.XLOOKUP(FactSales[[#This Row],[Region_ID]],DimRegion[Region_ID],DimRegion[Region_Name])</f>
        <v>Dhaka</v>
      </c>
      <c r="W102" s="6" t="str">
        <f>_xlfn.XLOOKUP(FactSales[[#This Row],[Store_ID]],DimStore[Store_ID],DimStore[Store_Name])</f>
        <v>Dhaka Mirpur Store</v>
      </c>
    </row>
    <row r="103" spans="1:23">
      <c r="A103" s="4" t="s">
        <v>1099</v>
      </c>
      <c r="B103" s="5">
        <v>45734</v>
      </c>
      <c r="C103" s="4" t="s">
        <v>352</v>
      </c>
      <c r="D103" s="4" t="s">
        <v>42</v>
      </c>
      <c r="E103" s="4" t="s">
        <v>671</v>
      </c>
      <c r="F103" s="4" t="s">
        <v>945</v>
      </c>
      <c r="G103" s="4" t="s">
        <v>788</v>
      </c>
      <c r="H103" s="4">
        <v>1</v>
      </c>
      <c r="I103" s="7">
        <v>0.12</v>
      </c>
      <c r="J103" s="6">
        <v>1966</v>
      </c>
      <c r="K103" s="4">
        <v>2</v>
      </c>
      <c r="L103" s="8">
        <f t="shared" si="1"/>
        <v>4.3</v>
      </c>
      <c r="M103" s="6" t="str">
        <f>_xlfn.XLOOKUP(FactSales[[#This Row],[Product_ID]],DimProduct[Product_ID],DimProduct[Product_Name])</f>
        <v>Formal Shirt</v>
      </c>
      <c r="N103" s="6" t="str">
        <f>_xlfn.XLOOKUP(FactSales[[#This Row],[Product_ID]],DimProduct[Product_ID],DimProduct[Category])</f>
        <v>Fashion</v>
      </c>
      <c r="O103" s="6">
        <f>_xlfn.XLOOKUP(FactSales[[#This Row],[Product_ID]],DimProduct[Product_ID],DimProduct[Unit_Price])</f>
        <v>1820</v>
      </c>
      <c r="P103" s="6">
        <f>_xlfn.XLOOKUP(FactSales[[#This Row],[Product_ID]],DimProduct[Product_ID],DimProduct[Unit_Cost])</f>
        <v>1000</v>
      </c>
      <c r="Q103" s="6">
        <f>FactSales[[#This Row],[Unit_Price]]*FactSales[[#This Row],[Quantity_Sold]]</f>
        <v>1820</v>
      </c>
      <c r="R103" s="6">
        <f>FactSales[[#This Row],[Unit_Cost]]*FactSales[[#This Row],[Quantity_Sold]]</f>
        <v>1000</v>
      </c>
      <c r="S103" s="6">
        <f>FactSales[[#This Row],[Sales_Amount]]-FactSales[[#This Row],[Total_Cost]]</f>
        <v>820</v>
      </c>
      <c r="T103" s="6" t="str">
        <f>_xlfn.XLOOKUP(FactSales[[#This Row],[Customer_ID]],DimCustomer[Customer_ID],DimCustomer[Customer_Name])</f>
        <v>Mehedi Khan</v>
      </c>
      <c r="U103" s="6" t="str">
        <f>_xlfn.XLOOKUP(FactSales[[#This Row],[Salesperson_ID]],DimSalesman[Salesperson_ID],DimSalesman[Salesperson_Name])</f>
        <v>Hasan Khan</v>
      </c>
      <c r="V103" s="6" t="str">
        <f>_xlfn.XLOOKUP(FactSales[[#This Row],[Region_ID]],DimRegion[Region_ID],DimRegion[Region_Name])</f>
        <v>Rajshahi</v>
      </c>
      <c r="W103" s="6" t="str">
        <f>_xlfn.XLOOKUP(FactSales[[#This Row],[Store_ID]],DimStore[Store_ID],DimStore[Store_Name])</f>
        <v>Rajshahi Kazla Store</v>
      </c>
    </row>
    <row r="104" spans="1:23">
      <c r="A104" s="4" t="s">
        <v>1100</v>
      </c>
      <c r="B104" s="5">
        <v>45928</v>
      </c>
      <c r="C104" s="4" t="s">
        <v>183</v>
      </c>
      <c r="D104" s="4" t="s">
        <v>32</v>
      </c>
      <c r="E104" s="4" t="s">
        <v>638</v>
      </c>
      <c r="F104" s="4" t="s">
        <v>927</v>
      </c>
      <c r="G104" s="4" t="s">
        <v>768</v>
      </c>
      <c r="H104" s="4">
        <v>1</v>
      </c>
      <c r="I104" s="7">
        <v>0.18</v>
      </c>
      <c r="J104" s="6">
        <v>8208</v>
      </c>
      <c r="K104" s="4">
        <v>7</v>
      </c>
      <c r="L104" s="8">
        <f t="shared" si="1"/>
        <v>2.6</v>
      </c>
      <c r="M104" s="6" t="str">
        <f>_xlfn.XLOOKUP(FactSales[[#This Row],[Product_ID]],DimProduct[Product_ID],DimProduct[Product_Name])</f>
        <v>Electric Kettle</v>
      </c>
      <c r="N104" s="6" t="str">
        <f>_xlfn.XLOOKUP(FactSales[[#This Row],[Product_ID]],DimProduct[Product_ID],DimProduct[Category])</f>
        <v>Home Appliance</v>
      </c>
      <c r="O104" s="6">
        <f>_xlfn.XLOOKUP(FactSales[[#This Row],[Product_ID]],DimProduct[Product_ID],DimProduct[Unit_Price])</f>
        <v>7200</v>
      </c>
      <c r="P104" s="6">
        <f>_xlfn.XLOOKUP(FactSales[[#This Row],[Product_ID]],DimProduct[Product_ID],DimProduct[Unit_Cost])</f>
        <v>5040</v>
      </c>
      <c r="Q104" s="6">
        <f>FactSales[[#This Row],[Unit_Price]]*FactSales[[#This Row],[Quantity_Sold]]</f>
        <v>7200</v>
      </c>
      <c r="R104" s="6">
        <f>FactSales[[#This Row],[Unit_Cost]]*FactSales[[#This Row],[Quantity_Sold]]</f>
        <v>5040</v>
      </c>
      <c r="S104" s="6">
        <f>FactSales[[#This Row],[Sales_Amount]]-FactSales[[#This Row],[Total_Cost]]</f>
        <v>2160</v>
      </c>
      <c r="T104" s="6" t="str">
        <f>_xlfn.XLOOKUP(FactSales[[#This Row],[Customer_ID]],DimCustomer[Customer_ID],DimCustomer[Customer_Name])</f>
        <v>Tanjim Akter</v>
      </c>
      <c r="U104" s="6" t="str">
        <f>_xlfn.XLOOKUP(FactSales[[#This Row],[Salesperson_ID]],DimSalesman[Salesperson_ID],DimSalesman[Salesperson_Name])</f>
        <v>Shakib Ahmed</v>
      </c>
      <c r="V104" s="6" t="str">
        <f>_xlfn.XLOOKUP(FactSales[[#This Row],[Region_ID]],DimRegion[Region_ID],DimRegion[Region_Name])</f>
        <v>Chattogram</v>
      </c>
      <c r="W104" s="6" t="str">
        <f>_xlfn.XLOOKUP(FactSales[[#This Row],[Store_ID]],DimStore[Store_ID],DimStore[Store_Name])</f>
        <v>Chattogram Agrabad Store</v>
      </c>
    </row>
    <row r="105" spans="1:23">
      <c r="A105" s="4" t="s">
        <v>1101</v>
      </c>
      <c r="B105" s="5">
        <v>45988</v>
      </c>
      <c r="C105" s="4" t="s">
        <v>607</v>
      </c>
      <c r="D105" s="4" t="s">
        <v>62</v>
      </c>
      <c r="E105" s="4" t="s">
        <v>731</v>
      </c>
      <c r="F105" s="4" t="s">
        <v>978</v>
      </c>
      <c r="G105" s="4" t="s">
        <v>758</v>
      </c>
      <c r="H105" s="4">
        <v>3</v>
      </c>
      <c r="I105" s="7">
        <v>0.18</v>
      </c>
      <c r="J105" s="6">
        <v>9202</v>
      </c>
      <c r="K105" s="4">
        <v>4</v>
      </c>
      <c r="L105" s="8">
        <f t="shared" si="1"/>
        <v>3.5</v>
      </c>
      <c r="M105" s="6" t="str">
        <f>_xlfn.XLOOKUP(FactSales[[#This Row],[Product_ID]],DimProduct[Product_ID],DimProduct[Product_Name])</f>
        <v>Power Bank</v>
      </c>
      <c r="N105" s="6" t="str">
        <f>_xlfn.XLOOKUP(FactSales[[#This Row],[Product_ID]],DimProduct[Product_ID],DimProduct[Category])</f>
        <v>Electronics</v>
      </c>
      <c r="O105" s="6">
        <f>_xlfn.XLOOKUP(FactSales[[#This Row],[Product_ID]],DimProduct[Product_ID],DimProduct[Unit_Price])</f>
        <v>2840</v>
      </c>
      <c r="P105" s="6">
        <f>_xlfn.XLOOKUP(FactSales[[#This Row],[Product_ID]],DimProduct[Product_ID],DimProduct[Unit_Cost])</f>
        <v>1930</v>
      </c>
      <c r="Q105" s="6">
        <f>FactSales[[#This Row],[Unit_Price]]*FactSales[[#This Row],[Quantity_Sold]]</f>
        <v>8520</v>
      </c>
      <c r="R105" s="6">
        <f>FactSales[[#This Row],[Unit_Cost]]*FactSales[[#This Row],[Quantity_Sold]]</f>
        <v>5790</v>
      </c>
      <c r="S105" s="6">
        <f>FactSales[[#This Row],[Sales_Amount]]-FactSales[[#This Row],[Total_Cost]]</f>
        <v>2730</v>
      </c>
      <c r="T105" s="6" t="str">
        <f>_xlfn.XLOOKUP(FactSales[[#This Row],[Customer_ID]],DimCustomer[Customer_ID],DimCustomer[Customer_Name])</f>
        <v>Ayesha Uddin</v>
      </c>
      <c r="U105" s="6" t="str">
        <f>_xlfn.XLOOKUP(FactSales[[#This Row],[Salesperson_ID]],DimSalesman[Salesperson_ID],DimSalesman[Salesperson_Name])</f>
        <v>Sajib Rahman</v>
      </c>
      <c r="V105" s="6" t="str">
        <f>_xlfn.XLOOKUP(FactSales[[#This Row],[Region_ID]],DimRegion[Region_ID],DimRegion[Region_Name])</f>
        <v>Mymensingh</v>
      </c>
      <c r="W105" s="6" t="str">
        <f>_xlfn.XLOOKUP(FactSales[[#This Row],[Store_ID]],DimStore[Store_ID],DimStore[Store_Name])</f>
        <v>Mymensingh Town Hall Store</v>
      </c>
    </row>
    <row r="106" spans="1:23">
      <c r="A106" s="4" t="s">
        <v>1102</v>
      </c>
      <c r="B106" s="5">
        <v>45983</v>
      </c>
      <c r="C106" s="4" t="s">
        <v>398</v>
      </c>
      <c r="D106" s="4" t="s">
        <v>47</v>
      </c>
      <c r="E106" s="4" t="s">
        <v>695</v>
      </c>
      <c r="F106" s="4" t="s">
        <v>956</v>
      </c>
      <c r="G106" s="4" t="s">
        <v>775</v>
      </c>
      <c r="H106" s="4">
        <v>3</v>
      </c>
      <c r="I106" s="7">
        <v>0.1</v>
      </c>
      <c r="J106" s="6">
        <v>7946</v>
      </c>
      <c r="K106" s="4">
        <v>2</v>
      </c>
      <c r="L106" s="8">
        <f t="shared" si="1"/>
        <v>4.3</v>
      </c>
      <c r="M106" s="6" t="str">
        <f>_xlfn.XLOOKUP(FactSales[[#This Row],[Product_ID]],DimProduct[Product_ID],DimProduct[Product_Name])</f>
        <v>Blender Machine</v>
      </c>
      <c r="N106" s="6" t="str">
        <f>_xlfn.XLOOKUP(FactSales[[#This Row],[Product_ID]],DimProduct[Product_ID],DimProduct[Category])</f>
        <v>Home Appliance</v>
      </c>
      <c r="O106" s="6">
        <f>_xlfn.XLOOKUP(FactSales[[#This Row],[Product_ID]],DimProduct[Product_ID],DimProduct[Unit_Price])</f>
        <v>2430</v>
      </c>
      <c r="P106" s="6">
        <f>_xlfn.XLOOKUP(FactSales[[#This Row],[Product_ID]],DimProduct[Product_ID],DimProduct[Unit_Cost])</f>
        <v>1700</v>
      </c>
      <c r="Q106" s="6">
        <f>FactSales[[#This Row],[Unit_Price]]*FactSales[[#This Row],[Quantity_Sold]]</f>
        <v>7290</v>
      </c>
      <c r="R106" s="6">
        <f>FactSales[[#This Row],[Unit_Cost]]*FactSales[[#This Row],[Quantity_Sold]]</f>
        <v>5100</v>
      </c>
      <c r="S106" s="6">
        <f>FactSales[[#This Row],[Sales_Amount]]-FactSales[[#This Row],[Total_Cost]]</f>
        <v>2190</v>
      </c>
      <c r="T106" s="6" t="str">
        <f>_xlfn.XLOOKUP(FactSales[[#This Row],[Customer_ID]],DimCustomer[Customer_ID],DimCustomer[Customer_Name])</f>
        <v>Ayesha Akter</v>
      </c>
      <c r="U106" s="6" t="str">
        <f>_xlfn.XLOOKUP(FactSales[[#This Row],[Salesperson_ID]],DimSalesman[Salesperson_ID],DimSalesman[Salesperson_Name])</f>
        <v>Rafi Ahmed</v>
      </c>
      <c r="V106" s="6" t="str">
        <f>_xlfn.XLOOKUP(FactSales[[#This Row],[Region_ID]],DimRegion[Region_ID],DimRegion[Region_Name])</f>
        <v>Khulna</v>
      </c>
      <c r="W106" s="6" t="str">
        <f>_xlfn.XLOOKUP(FactSales[[#This Row],[Store_ID]],DimStore[Store_ID],DimStore[Store_Name])</f>
        <v>Khulna Shibbari Store</v>
      </c>
    </row>
    <row r="107" spans="1:23">
      <c r="A107" s="4" t="s">
        <v>1103</v>
      </c>
      <c r="B107" s="5">
        <v>46015</v>
      </c>
      <c r="C107" s="4" t="s">
        <v>254</v>
      </c>
      <c r="D107" s="4" t="s">
        <v>37</v>
      </c>
      <c r="E107" s="4" t="s">
        <v>665</v>
      </c>
      <c r="F107" s="4" t="s">
        <v>939</v>
      </c>
      <c r="G107" s="4" t="s">
        <v>781</v>
      </c>
      <c r="H107" s="4">
        <v>1</v>
      </c>
      <c r="I107" s="7">
        <v>0.12</v>
      </c>
      <c r="J107" s="6">
        <v>3328</v>
      </c>
      <c r="K107" s="4">
        <v>5</v>
      </c>
      <c r="L107" s="8">
        <f t="shared" si="1"/>
        <v>3.3</v>
      </c>
      <c r="M107" s="6" t="str">
        <f>_xlfn.XLOOKUP(FactSales[[#This Row],[Product_ID]],DimProduct[Product_ID],DimProduct[Product_Name])</f>
        <v>Table Fan</v>
      </c>
      <c r="N107" s="6" t="str">
        <f>_xlfn.XLOOKUP(FactSales[[#This Row],[Product_ID]],DimProduct[Product_ID],DimProduct[Category])</f>
        <v>Home Appliance</v>
      </c>
      <c r="O107" s="6">
        <f>_xlfn.XLOOKUP(FactSales[[#This Row],[Product_ID]],DimProduct[Product_ID],DimProduct[Unit_Price])</f>
        <v>3110</v>
      </c>
      <c r="P107" s="6">
        <f>_xlfn.XLOOKUP(FactSales[[#This Row],[Product_ID]],DimProduct[Product_ID],DimProduct[Unit_Cost])</f>
        <v>2180</v>
      </c>
      <c r="Q107" s="6">
        <f>FactSales[[#This Row],[Unit_Price]]*FactSales[[#This Row],[Quantity_Sold]]</f>
        <v>3110</v>
      </c>
      <c r="R107" s="6">
        <f>FactSales[[#This Row],[Unit_Cost]]*FactSales[[#This Row],[Quantity_Sold]]</f>
        <v>2180</v>
      </c>
      <c r="S107" s="6">
        <f>FactSales[[#This Row],[Sales_Amount]]-FactSales[[#This Row],[Total_Cost]]</f>
        <v>930</v>
      </c>
      <c r="T107" s="6" t="str">
        <f>_xlfn.XLOOKUP(FactSales[[#This Row],[Customer_ID]],DimCustomer[Customer_ID],DimCustomer[Customer_Name])</f>
        <v>Fahim Akter</v>
      </c>
      <c r="U107" s="6" t="str">
        <f>_xlfn.XLOOKUP(FactSales[[#This Row],[Salesperson_ID]],DimSalesman[Salesperson_ID],DimSalesman[Salesperson_Name])</f>
        <v>Fahim Mia</v>
      </c>
      <c r="V107" s="6" t="str">
        <f>_xlfn.XLOOKUP(FactSales[[#This Row],[Region_ID]],DimRegion[Region_ID],DimRegion[Region_Name])</f>
        <v>Sylhet</v>
      </c>
      <c r="W107" s="6" t="str">
        <f>_xlfn.XLOOKUP(FactSales[[#This Row],[Store_ID]],DimStore[Store_ID],DimStore[Store_Name])</f>
        <v>Sylhet Upashahar Store</v>
      </c>
    </row>
    <row r="108" spans="1:23">
      <c r="A108" s="4" t="s">
        <v>1104</v>
      </c>
      <c r="B108" s="5">
        <v>46144</v>
      </c>
      <c r="C108" s="4" t="s">
        <v>451</v>
      </c>
      <c r="D108" s="4" t="s">
        <v>52</v>
      </c>
      <c r="E108" s="4" t="s">
        <v>704</v>
      </c>
      <c r="F108" s="4" t="s">
        <v>961</v>
      </c>
      <c r="G108" s="4" t="s">
        <v>897</v>
      </c>
      <c r="H108" s="4">
        <v>10</v>
      </c>
      <c r="I108" s="7">
        <v>0.03</v>
      </c>
      <c r="J108" s="6">
        <v>130816</v>
      </c>
      <c r="K108" s="4">
        <v>8</v>
      </c>
      <c r="L108" s="8">
        <f t="shared" si="1"/>
        <v>2.6</v>
      </c>
      <c r="M108" s="6" t="str">
        <f>_xlfn.XLOOKUP(FactSales[[#This Row],[Product_ID]],DimProduct[Product_ID],DimProduct[Product_Name])</f>
        <v>Study Table</v>
      </c>
      <c r="N108" s="6" t="str">
        <f>_xlfn.XLOOKUP(FactSales[[#This Row],[Product_ID]],DimProduct[Product_ID],DimProduct[Category])</f>
        <v>Furniture</v>
      </c>
      <c r="O108" s="6">
        <f>_xlfn.XLOOKUP(FactSales[[#This Row],[Product_ID]],DimProduct[Product_ID],DimProduct[Unit_Price])</f>
        <v>11680</v>
      </c>
      <c r="P108" s="6">
        <f>_xlfn.XLOOKUP(FactSales[[#This Row],[Product_ID]],DimProduct[Product_ID],DimProduct[Unit_Cost])</f>
        <v>8410</v>
      </c>
      <c r="Q108" s="6">
        <f>FactSales[[#This Row],[Unit_Price]]*FactSales[[#This Row],[Quantity_Sold]]</f>
        <v>116800</v>
      </c>
      <c r="R108" s="6">
        <f>FactSales[[#This Row],[Unit_Cost]]*FactSales[[#This Row],[Quantity_Sold]]</f>
        <v>84100</v>
      </c>
      <c r="S108" s="6">
        <f>FactSales[[#This Row],[Sales_Amount]]-FactSales[[#This Row],[Total_Cost]]</f>
        <v>32700</v>
      </c>
      <c r="T108" s="6" t="str">
        <f>_xlfn.XLOOKUP(FactSales[[#This Row],[Customer_ID]],DimCustomer[Customer_ID],DimCustomer[Customer_Name])</f>
        <v>Hasan Uddin</v>
      </c>
      <c r="U108" s="6" t="str">
        <f>_xlfn.XLOOKUP(FactSales[[#This Row],[Salesperson_ID]],DimSalesman[Salesperson_ID],DimSalesman[Salesperson_Name])</f>
        <v>Shaila Akter</v>
      </c>
      <c r="V108" s="6" t="str">
        <f>_xlfn.XLOOKUP(FactSales[[#This Row],[Region_ID]],DimRegion[Region_ID],DimRegion[Region_Name])</f>
        <v>Barishal</v>
      </c>
      <c r="W108" s="6" t="str">
        <f>_xlfn.XLOOKUP(FactSales[[#This Row],[Store_ID]],DimStore[Store_ID],DimStore[Store_Name])</f>
        <v>Barishal Rupatali Store</v>
      </c>
    </row>
    <row r="109" spans="1:23">
      <c r="A109" s="4" t="s">
        <v>1105</v>
      </c>
      <c r="B109" s="5">
        <v>45698</v>
      </c>
      <c r="C109" s="4" t="s">
        <v>341</v>
      </c>
      <c r="D109" s="4" t="s">
        <v>42</v>
      </c>
      <c r="E109" s="4" t="s">
        <v>680</v>
      </c>
      <c r="F109" s="4" t="s">
        <v>949</v>
      </c>
      <c r="G109" s="4" t="s">
        <v>765</v>
      </c>
      <c r="H109" s="4">
        <v>4</v>
      </c>
      <c r="I109" s="7">
        <v>0.12</v>
      </c>
      <c r="J109" s="6">
        <v>21125</v>
      </c>
      <c r="K109" s="4">
        <v>5</v>
      </c>
      <c r="L109" s="8">
        <f t="shared" si="1"/>
        <v>3.3</v>
      </c>
      <c r="M109" s="6" t="str">
        <f>_xlfn.XLOOKUP(FactSales[[#This Row],[Product_ID]],DimProduct[Product_ID],DimProduct[Product_Name])</f>
        <v>USB-C Hub</v>
      </c>
      <c r="N109" s="6" t="str">
        <f>_xlfn.XLOOKUP(FactSales[[#This Row],[Product_ID]],DimProduct[Product_ID],DimProduct[Category])</f>
        <v>Electronics</v>
      </c>
      <c r="O109" s="6">
        <f>_xlfn.XLOOKUP(FactSales[[#This Row],[Product_ID]],DimProduct[Product_ID],DimProduct[Unit_Price])</f>
        <v>4890</v>
      </c>
      <c r="P109" s="6">
        <f>_xlfn.XLOOKUP(FactSales[[#This Row],[Product_ID]],DimProduct[Product_ID],DimProduct[Unit_Cost])</f>
        <v>3330</v>
      </c>
      <c r="Q109" s="6">
        <f>FactSales[[#This Row],[Unit_Price]]*FactSales[[#This Row],[Quantity_Sold]]</f>
        <v>19560</v>
      </c>
      <c r="R109" s="6">
        <f>FactSales[[#This Row],[Unit_Cost]]*FactSales[[#This Row],[Quantity_Sold]]</f>
        <v>13320</v>
      </c>
      <c r="S109" s="6">
        <f>FactSales[[#This Row],[Sales_Amount]]-FactSales[[#This Row],[Total_Cost]]</f>
        <v>6240</v>
      </c>
      <c r="T109" s="6" t="str">
        <f>_xlfn.XLOOKUP(FactSales[[#This Row],[Customer_ID]],DimCustomer[Customer_ID],DimCustomer[Customer_Name])</f>
        <v>Nayeem Islam</v>
      </c>
      <c r="U109" s="6" t="str">
        <f>_xlfn.XLOOKUP(FactSales[[#This Row],[Salesperson_ID]],DimSalesman[Salesperson_ID],DimSalesman[Salesperson_Name])</f>
        <v>Mahmud Chowdhury</v>
      </c>
      <c r="V109" s="6" t="str">
        <f>_xlfn.XLOOKUP(FactSales[[#This Row],[Region_ID]],DimRegion[Region_ID],DimRegion[Region_Name])</f>
        <v>Rajshahi</v>
      </c>
      <c r="W109" s="6" t="str">
        <f>_xlfn.XLOOKUP(FactSales[[#This Row],[Store_ID]],DimStore[Store_ID],DimStore[Store_Name])</f>
        <v>Rajshahi Lakshmipur Store</v>
      </c>
    </row>
    <row r="110" spans="1:23">
      <c r="A110" s="4" t="s">
        <v>1106</v>
      </c>
      <c r="B110" s="5">
        <v>45947</v>
      </c>
      <c r="C110" s="4" t="s">
        <v>496</v>
      </c>
      <c r="D110" s="4" t="s">
        <v>57</v>
      </c>
      <c r="E110" s="4" t="s">
        <v>722</v>
      </c>
      <c r="F110" s="4" t="s">
        <v>972</v>
      </c>
      <c r="G110" s="4" t="s">
        <v>804</v>
      </c>
      <c r="H110" s="4">
        <v>1</v>
      </c>
      <c r="I110" s="7">
        <v>0.03</v>
      </c>
      <c r="J110" s="6">
        <v>425</v>
      </c>
      <c r="K110" s="4">
        <v>4</v>
      </c>
      <c r="L110" s="8">
        <f t="shared" si="1"/>
        <v>3.9</v>
      </c>
      <c r="M110" s="6" t="str">
        <f>_xlfn.XLOOKUP(FactSales[[#This Row],[Product_ID]],DimProduct[Product_ID],DimProduct[Product_Name])</f>
        <v>Soybean Oil 5L</v>
      </c>
      <c r="N110" s="6" t="str">
        <f>_xlfn.XLOOKUP(FactSales[[#This Row],[Product_ID]],DimProduct[Product_ID],DimProduct[Category])</f>
        <v>Grocery</v>
      </c>
      <c r="O110" s="6">
        <f>_xlfn.XLOOKUP(FactSales[[#This Row],[Product_ID]],DimProduct[Product_ID],DimProduct[Unit_Price])</f>
        <v>370</v>
      </c>
      <c r="P110" s="6">
        <f>_xlfn.XLOOKUP(FactSales[[#This Row],[Product_ID]],DimProduct[Product_ID],DimProduct[Unit_Cost])</f>
        <v>290</v>
      </c>
      <c r="Q110" s="6">
        <f>FactSales[[#This Row],[Unit_Price]]*FactSales[[#This Row],[Quantity_Sold]]</f>
        <v>370</v>
      </c>
      <c r="R110" s="6">
        <f>FactSales[[#This Row],[Unit_Cost]]*FactSales[[#This Row],[Quantity_Sold]]</f>
        <v>290</v>
      </c>
      <c r="S110" s="6">
        <f>FactSales[[#This Row],[Sales_Amount]]-FactSales[[#This Row],[Total_Cost]]</f>
        <v>80</v>
      </c>
      <c r="T110" s="6" t="str">
        <f>_xlfn.XLOOKUP(FactSales[[#This Row],[Customer_ID]],DimCustomer[Customer_ID],DimCustomer[Customer_Name])</f>
        <v>Sadia Sultana</v>
      </c>
      <c r="U110" s="6" t="str">
        <f>_xlfn.XLOOKUP(FactSales[[#This Row],[Salesperson_ID]],DimSalesman[Salesperson_ID],DimSalesman[Salesperson_Name])</f>
        <v>Samiha Hossain</v>
      </c>
      <c r="V110" s="6" t="str">
        <f>_xlfn.XLOOKUP(FactSales[[#This Row],[Region_ID]],DimRegion[Region_ID],DimRegion[Region_Name])</f>
        <v>Rangpur</v>
      </c>
      <c r="W110" s="6" t="str">
        <f>_xlfn.XLOOKUP(FactSales[[#This Row],[Store_ID]],DimStore[Store_ID],DimStore[Store_Name])</f>
        <v>Rangpur Dhap Store</v>
      </c>
    </row>
    <row r="111" spans="1:23">
      <c r="A111" s="4" t="s">
        <v>1107</v>
      </c>
      <c r="B111" s="5">
        <v>46184</v>
      </c>
      <c r="C111" s="4" t="s">
        <v>553</v>
      </c>
      <c r="D111" s="4" t="s">
        <v>62</v>
      </c>
      <c r="E111" s="4" t="s">
        <v>734</v>
      </c>
      <c r="F111" s="4" t="s">
        <v>987</v>
      </c>
      <c r="G111" s="4" t="s">
        <v>762</v>
      </c>
      <c r="H111" s="4">
        <v>1</v>
      </c>
      <c r="I111" s="7">
        <v>0.08</v>
      </c>
      <c r="J111" s="6">
        <v>4180</v>
      </c>
      <c r="K111" s="4">
        <v>4</v>
      </c>
      <c r="L111" s="8">
        <f t="shared" si="1"/>
        <v>3.7</v>
      </c>
      <c r="M111" s="6" t="str">
        <f>_xlfn.XLOOKUP(FactSales[[#This Row],[Product_ID]],DimProduct[Product_ID],DimProduct[Product_Name])</f>
        <v>Smart Watch</v>
      </c>
      <c r="N111" s="6" t="str">
        <f>_xlfn.XLOOKUP(FactSales[[#This Row],[Product_ID]],DimProduct[Product_ID],DimProduct[Category])</f>
        <v>Electronics</v>
      </c>
      <c r="O111" s="6">
        <f>_xlfn.XLOOKUP(FactSales[[#This Row],[Product_ID]],DimProduct[Product_ID],DimProduct[Unit_Price])</f>
        <v>3870</v>
      </c>
      <c r="P111" s="6">
        <f>_xlfn.XLOOKUP(FactSales[[#This Row],[Product_ID]],DimProduct[Product_ID],DimProduct[Unit_Cost])</f>
        <v>2630</v>
      </c>
      <c r="Q111" s="6">
        <f>FactSales[[#This Row],[Unit_Price]]*FactSales[[#This Row],[Quantity_Sold]]</f>
        <v>3870</v>
      </c>
      <c r="R111" s="6">
        <f>FactSales[[#This Row],[Unit_Cost]]*FactSales[[#This Row],[Quantity_Sold]]</f>
        <v>2630</v>
      </c>
      <c r="S111" s="6">
        <f>FactSales[[#This Row],[Sales_Amount]]-FactSales[[#This Row],[Total_Cost]]</f>
        <v>1240</v>
      </c>
      <c r="T111" s="6" t="str">
        <f>_xlfn.XLOOKUP(FactSales[[#This Row],[Customer_ID]],DimCustomer[Customer_ID],DimCustomer[Customer_Name])</f>
        <v>Karim Chowdhury</v>
      </c>
      <c r="U111" s="6" t="str">
        <f>_xlfn.XLOOKUP(FactSales[[#This Row],[Salesperson_ID]],DimSalesman[Salesperson_ID],DimSalesman[Salesperson_Name])</f>
        <v>Tanvir Chowdhury</v>
      </c>
      <c r="V111" s="6" t="str">
        <f>_xlfn.XLOOKUP(FactSales[[#This Row],[Region_ID]],DimRegion[Region_ID],DimRegion[Region_Name])</f>
        <v>Mymensingh</v>
      </c>
      <c r="W111" s="6" t="str">
        <f>_xlfn.XLOOKUP(FactSales[[#This Row],[Store_ID]],DimStore[Store_ID],DimStore[Store_Name])</f>
        <v>Mymensingh Charpara Store</v>
      </c>
    </row>
    <row r="112" spans="1:23">
      <c r="A112" s="4" t="s">
        <v>1108</v>
      </c>
      <c r="B112" s="5">
        <v>45725</v>
      </c>
      <c r="C112" s="4" t="s">
        <v>283</v>
      </c>
      <c r="D112" s="4" t="s">
        <v>37</v>
      </c>
      <c r="E112" s="4" t="s">
        <v>665</v>
      </c>
      <c r="F112" s="4" t="s">
        <v>939</v>
      </c>
      <c r="G112" s="4" t="s">
        <v>750</v>
      </c>
      <c r="H112" s="4">
        <v>3</v>
      </c>
      <c r="I112" s="7">
        <v>0.1</v>
      </c>
      <c r="J112" s="6">
        <v>10400</v>
      </c>
      <c r="K112" s="4">
        <v>4</v>
      </c>
      <c r="L112" s="8">
        <f t="shared" si="1"/>
        <v>3.7</v>
      </c>
      <c r="M112" s="6" t="str">
        <f>_xlfn.XLOOKUP(FactSales[[#This Row],[Product_ID]],DimProduct[Product_ID],DimProduct[Product_Name])</f>
        <v>Bluetooth Speaker</v>
      </c>
      <c r="N112" s="6" t="str">
        <f>_xlfn.XLOOKUP(FactSales[[#This Row],[Product_ID]],DimProduct[Product_ID],DimProduct[Category])</f>
        <v>Electronics</v>
      </c>
      <c r="O112" s="6">
        <f>_xlfn.XLOOKUP(FactSales[[#This Row],[Product_ID]],DimProduct[Product_ID],DimProduct[Unit_Price])</f>
        <v>3240</v>
      </c>
      <c r="P112" s="6">
        <f>_xlfn.XLOOKUP(FactSales[[#This Row],[Product_ID]],DimProduct[Product_ID],DimProduct[Unit_Cost])</f>
        <v>2200</v>
      </c>
      <c r="Q112" s="6">
        <f>FactSales[[#This Row],[Unit_Price]]*FactSales[[#This Row],[Quantity_Sold]]</f>
        <v>9720</v>
      </c>
      <c r="R112" s="6">
        <f>FactSales[[#This Row],[Unit_Cost]]*FactSales[[#This Row],[Quantity_Sold]]</f>
        <v>6600</v>
      </c>
      <c r="S112" s="6">
        <f>FactSales[[#This Row],[Sales_Amount]]-FactSales[[#This Row],[Total_Cost]]</f>
        <v>3120</v>
      </c>
      <c r="T112" s="6" t="str">
        <f>_xlfn.XLOOKUP(FactSales[[#This Row],[Customer_ID]],DimCustomer[Customer_ID],DimCustomer[Customer_Name])</f>
        <v>Tanvir Akter</v>
      </c>
      <c r="U112" s="6" t="str">
        <f>_xlfn.XLOOKUP(FactSales[[#This Row],[Salesperson_ID]],DimSalesman[Salesperson_ID],DimSalesman[Salesperson_Name])</f>
        <v>Fahim Mia</v>
      </c>
      <c r="V112" s="6" t="str">
        <f>_xlfn.XLOOKUP(FactSales[[#This Row],[Region_ID]],DimRegion[Region_ID],DimRegion[Region_Name])</f>
        <v>Sylhet</v>
      </c>
      <c r="W112" s="6" t="str">
        <f>_xlfn.XLOOKUP(FactSales[[#This Row],[Store_ID]],DimStore[Store_ID],DimStore[Store_Name])</f>
        <v>Sylhet Upashahar Store</v>
      </c>
    </row>
    <row r="113" spans="1:23">
      <c r="A113" s="4" t="s">
        <v>1109</v>
      </c>
      <c r="B113" s="5">
        <v>46103</v>
      </c>
      <c r="C113" s="4" t="s">
        <v>165</v>
      </c>
      <c r="D113" s="4" t="s">
        <v>32</v>
      </c>
      <c r="E113" s="4" t="s">
        <v>650</v>
      </c>
      <c r="F113" s="4" t="s">
        <v>931</v>
      </c>
      <c r="G113" s="4" t="s">
        <v>882</v>
      </c>
      <c r="H113" s="4">
        <v>3</v>
      </c>
      <c r="I113" s="7">
        <v>0.05</v>
      </c>
      <c r="J113" s="6">
        <v>6224</v>
      </c>
      <c r="K113" s="4">
        <v>4</v>
      </c>
      <c r="L113" s="8">
        <f t="shared" si="1"/>
        <v>3.8</v>
      </c>
      <c r="M113" s="6" t="str">
        <f>_xlfn.XLOOKUP(FactSales[[#This Row],[Product_ID]],DimProduct[Product_ID],DimProduct[Product_Name])</f>
        <v>Toy Car Set</v>
      </c>
      <c r="N113" s="6" t="str">
        <f>_xlfn.XLOOKUP(FactSales[[#This Row],[Product_ID]],DimProduct[Product_ID],DimProduct[Category])</f>
        <v>Kids &amp; Toys</v>
      </c>
      <c r="O113" s="6">
        <f>_xlfn.XLOOKUP(FactSales[[#This Row],[Product_ID]],DimProduct[Product_ID],DimProduct[Unit_Price])</f>
        <v>1820</v>
      </c>
      <c r="P113" s="6">
        <f>_xlfn.XLOOKUP(FactSales[[#This Row],[Product_ID]],DimProduct[Product_ID],DimProduct[Unit_Cost])</f>
        <v>1000</v>
      </c>
      <c r="Q113" s="6">
        <f>FactSales[[#This Row],[Unit_Price]]*FactSales[[#This Row],[Quantity_Sold]]</f>
        <v>5460</v>
      </c>
      <c r="R113" s="6">
        <f>FactSales[[#This Row],[Unit_Cost]]*FactSales[[#This Row],[Quantity_Sold]]</f>
        <v>3000</v>
      </c>
      <c r="S113" s="6">
        <f>FactSales[[#This Row],[Sales_Amount]]-FactSales[[#This Row],[Total_Cost]]</f>
        <v>2460</v>
      </c>
      <c r="T113" s="6" t="str">
        <f>_xlfn.XLOOKUP(FactSales[[#This Row],[Customer_ID]],DimCustomer[Customer_ID],DimCustomer[Customer_Name])</f>
        <v>Mehedi Khan</v>
      </c>
      <c r="U113" s="6" t="str">
        <f>_xlfn.XLOOKUP(FactSales[[#This Row],[Salesperson_ID]],DimSalesman[Salesperson_ID],DimSalesman[Salesperson_Name])</f>
        <v>Sadia Islam</v>
      </c>
      <c r="V113" s="6" t="str">
        <f>_xlfn.XLOOKUP(FactSales[[#This Row],[Region_ID]],DimRegion[Region_ID],DimRegion[Region_Name])</f>
        <v>Chattogram</v>
      </c>
      <c r="W113" s="6" t="str">
        <f>_xlfn.XLOOKUP(FactSales[[#This Row],[Store_ID]],DimStore[Store_ID],DimStore[Store_Name])</f>
        <v>Chattogram Halishahar Store</v>
      </c>
    </row>
    <row r="114" spans="1:23">
      <c r="A114" s="4" t="s">
        <v>1110</v>
      </c>
      <c r="B114" s="5">
        <v>45713</v>
      </c>
      <c r="C114" s="4" t="s">
        <v>115</v>
      </c>
      <c r="D114" s="4" t="s">
        <v>27</v>
      </c>
      <c r="E114" s="4" t="s">
        <v>626</v>
      </c>
      <c r="F114" s="4" t="s">
        <v>912</v>
      </c>
      <c r="G114" s="4" t="s">
        <v>755</v>
      </c>
      <c r="H114" s="4">
        <v>1</v>
      </c>
      <c r="I114" s="7">
        <v>0.12</v>
      </c>
      <c r="J114" s="6">
        <v>3540</v>
      </c>
      <c r="K114" s="4">
        <v>1</v>
      </c>
      <c r="L114" s="8">
        <f t="shared" si="1"/>
        <v>4.5999999999999996</v>
      </c>
      <c r="M114" s="6" t="str">
        <f>_xlfn.XLOOKUP(FactSales[[#This Row],[Product_ID]],DimProduct[Product_ID],DimProduct[Product_Name])</f>
        <v>Wireless Mouse</v>
      </c>
      <c r="N114" s="6" t="str">
        <f>_xlfn.XLOOKUP(FactSales[[#This Row],[Product_ID]],DimProduct[Product_ID],DimProduct[Category])</f>
        <v>Electronics</v>
      </c>
      <c r="O114" s="6">
        <f>_xlfn.XLOOKUP(FactSales[[#This Row],[Product_ID]],DimProduct[Product_ID],DimProduct[Unit_Price])</f>
        <v>3340</v>
      </c>
      <c r="P114" s="6">
        <f>_xlfn.XLOOKUP(FactSales[[#This Row],[Product_ID]],DimProduct[Product_ID],DimProduct[Unit_Cost])</f>
        <v>2270</v>
      </c>
      <c r="Q114" s="6">
        <f>FactSales[[#This Row],[Unit_Price]]*FactSales[[#This Row],[Quantity_Sold]]</f>
        <v>3340</v>
      </c>
      <c r="R114" s="6">
        <f>FactSales[[#This Row],[Unit_Cost]]*FactSales[[#This Row],[Quantity_Sold]]</f>
        <v>2270</v>
      </c>
      <c r="S114" s="6">
        <f>FactSales[[#This Row],[Sales_Amount]]-FactSales[[#This Row],[Total_Cost]]</f>
        <v>1070</v>
      </c>
      <c r="T114" s="6" t="str">
        <f>_xlfn.XLOOKUP(FactSales[[#This Row],[Customer_ID]],DimCustomer[Customer_ID],DimCustomer[Customer_Name])</f>
        <v>Hasan Islam</v>
      </c>
      <c r="U114" s="6" t="str">
        <f>_xlfn.XLOOKUP(FactSales[[#This Row],[Salesperson_ID]],DimSalesman[Salesperson_ID],DimSalesman[Salesperson_Name])</f>
        <v>Mahmud Hossain</v>
      </c>
      <c r="V114" s="6" t="str">
        <f>_xlfn.XLOOKUP(FactSales[[#This Row],[Region_ID]],DimRegion[Region_ID],DimRegion[Region_Name])</f>
        <v>Dhaka</v>
      </c>
      <c r="W114" s="6" t="str">
        <f>_xlfn.XLOOKUP(FactSales[[#This Row],[Store_ID]],DimStore[Store_ID],DimStore[Store_Name])</f>
        <v>Dhaka Mirpur Store</v>
      </c>
    </row>
    <row r="115" spans="1:23">
      <c r="A115" s="4" t="s">
        <v>1111</v>
      </c>
      <c r="B115" s="5">
        <v>46072</v>
      </c>
      <c r="C115" s="4" t="s">
        <v>307</v>
      </c>
      <c r="D115" s="4" t="s">
        <v>42</v>
      </c>
      <c r="E115" s="4" t="s">
        <v>677</v>
      </c>
      <c r="F115" s="4" t="s">
        <v>947</v>
      </c>
      <c r="G115" s="4" t="s">
        <v>788</v>
      </c>
      <c r="H115" s="4">
        <v>2</v>
      </c>
      <c r="I115" s="7">
        <v>0.03</v>
      </c>
      <c r="J115" s="6">
        <v>3931</v>
      </c>
      <c r="K115" s="4">
        <v>3</v>
      </c>
      <c r="L115" s="8">
        <f t="shared" si="1"/>
        <v>4.2</v>
      </c>
      <c r="M115" s="6" t="str">
        <f>_xlfn.XLOOKUP(FactSales[[#This Row],[Product_ID]],DimProduct[Product_ID],DimProduct[Product_Name])</f>
        <v>Formal Shirt</v>
      </c>
      <c r="N115" s="6" t="str">
        <f>_xlfn.XLOOKUP(FactSales[[#This Row],[Product_ID]],DimProduct[Product_ID],DimProduct[Category])</f>
        <v>Fashion</v>
      </c>
      <c r="O115" s="6">
        <f>_xlfn.XLOOKUP(FactSales[[#This Row],[Product_ID]],DimProduct[Product_ID],DimProduct[Unit_Price])</f>
        <v>1820</v>
      </c>
      <c r="P115" s="6">
        <f>_xlfn.XLOOKUP(FactSales[[#This Row],[Product_ID]],DimProduct[Product_ID],DimProduct[Unit_Cost])</f>
        <v>1000</v>
      </c>
      <c r="Q115" s="6">
        <f>FactSales[[#This Row],[Unit_Price]]*FactSales[[#This Row],[Quantity_Sold]]</f>
        <v>3640</v>
      </c>
      <c r="R115" s="6">
        <f>FactSales[[#This Row],[Unit_Cost]]*FactSales[[#This Row],[Quantity_Sold]]</f>
        <v>2000</v>
      </c>
      <c r="S115" s="6">
        <f>FactSales[[#This Row],[Sales_Amount]]-FactSales[[#This Row],[Total_Cost]]</f>
        <v>1640</v>
      </c>
      <c r="T115" s="6" t="str">
        <f>_xlfn.XLOOKUP(FactSales[[#This Row],[Customer_ID]],DimCustomer[Customer_ID],DimCustomer[Customer_Name])</f>
        <v>Nayeem Hossain</v>
      </c>
      <c r="U115" s="6" t="str">
        <f>_xlfn.XLOOKUP(FactSales[[#This Row],[Salesperson_ID]],DimSalesman[Salesperson_ID],DimSalesman[Salesperson_Name])</f>
        <v>Farhana Rahman</v>
      </c>
      <c r="V115" s="6" t="str">
        <f>_xlfn.XLOOKUP(FactSales[[#This Row],[Region_ID]],DimRegion[Region_ID],DimRegion[Region_Name])</f>
        <v>Rajshahi</v>
      </c>
      <c r="W115" s="6" t="str">
        <f>_xlfn.XLOOKUP(FactSales[[#This Row],[Store_ID]],DimStore[Store_ID],DimStore[Store_Name])</f>
        <v>Rajshahi Railgate Store</v>
      </c>
    </row>
    <row r="116" spans="1:23">
      <c r="A116" s="4" t="s">
        <v>1112</v>
      </c>
      <c r="B116" s="5">
        <v>45722</v>
      </c>
      <c r="C116" s="4" t="s">
        <v>539</v>
      </c>
      <c r="D116" s="4" t="s">
        <v>57</v>
      </c>
      <c r="E116" s="4" t="s">
        <v>713</v>
      </c>
      <c r="F116" s="4" t="s">
        <v>976</v>
      </c>
      <c r="G116" s="4" t="s">
        <v>750</v>
      </c>
      <c r="H116" s="4">
        <v>6</v>
      </c>
      <c r="I116" s="7">
        <v>0.08</v>
      </c>
      <c r="J116" s="6">
        <v>22356</v>
      </c>
      <c r="K116" s="4">
        <v>6</v>
      </c>
      <c r="L116" s="8">
        <f t="shared" si="1"/>
        <v>3.1</v>
      </c>
      <c r="M116" s="6" t="str">
        <f>_xlfn.XLOOKUP(FactSales[[#This Row],[Product_ID]],DimProduct[Product_ID],DimProduct[Product_Name])</f>
        <v>Bluetooth Speaker</v>
      </c>
      <c r="N116" s="6" t="str">
        <f>_xlfn.XLOOKUP(FactSales[[#This Row],[Product_ID]],DimProduct[Product_ID],DimProduct[Category])</f>
        <v>Electronics</v>
      </c>
      <c r="O116" s="6">
        <f>_xlfn.XLOOKUP(FactSales[[#This Row],[Product_ID]],DimProduct[Product_ID],DimProduct[Unit_Price])</f>
        <v>3240</v>
      </c>
      <c r="P116" s="6">
        <f>_xlfn.XLOOKUP(FactSales[[#This Row],[Product_ID]],DimProduct[Product_ID],DimProduct[Unit_Cost])</f>
        <v>2200</v>
      </c>
      <c r="Q116" s="6">
        <f>FactSales[[#This Row],[Unit_Price]]*FactSales[[#This Row],[Quantity_Sold]]</f>
        <v>19440</v>
      </c>
      <c r="R116" s="6">
        <f>FactSales[[#This Row],[Unit_Cost]]*FactSales[[#This Row],[Quantity_Sold]]</f>
        <v>13200</v>
      </c>
      <c r="S116" s="6">
        <f>FactSales[[#This Row],[Sales_Amount]]-FactSales[[#This Row],[Total_Cost]]</f>
        <v>6240</v>
      </c>
      <c r="T116" s="6" t="str">
        <f>_xlfn.XLOOKUP(FactSales[[#This Row],[Customer_ID]],DimCustomer[Customer_ID],DimCustomer[Customer_Name])</f>
        <v>Shakib Islam</v>
      </c>
      <c r="U116" s="6" t="str">
        <f>_xlfn.XLOOKUP(FactSales[[#This Row],[Salesperson_ID]],DimSalesman[Salesperson_ID],DimSalesman[Salesperson_Name])</f>
        <v>Nayeem Rahman</v>
      </c>
      <c r="V116" s="6" t="str">
        <f>_xlfn.XLOOKUP(FactSales[[#This Row],[Region_ID]],DimRegion[Region_ID],DimRegion[Region_Name])</f>
        <v>Rangpur</v>
      </c>
      <c r="W116" s="6" t="str">
        <f>_xlfn.XLOOKUP(FactSales[[#This Row],[Store_ID]],DimStore[Store_ID],DimStore[Store_Name])</f>
        <v>Rangpur Jahaj Company Store</v>
      </c>
    </row>
    <row r="117" spans="1:23">
      <c r="A117" s="4" t="s">
        <v>1113</v>
      </c>
      <c r="B117" s="5">
        <v>46106</v>
      </c>
      <c r="C117" s="4" t="s">
        <v>174</v>
      </c>
      <c r="D117" s="4" t="s">
        <v>32</v>
      </c>
      <c r="E117" s="4" t="s">
        <v>644</v>
      </c>
      <c r="F117" s="4" t="s">
        <v>929</v>
      </c>
      <c r="G117" s="4" t="s">
        <v>755</v>
      </c>
      <c r="H117" s="4">
        <v>4</v>
      </c>
      <c r="I117" s="7">
        <v>0.08</v>
      </c>
      <c r="J117" s="6">
        <v>15230</v>
      </c>
      <c r="K117" s="4">
        <v>4</v>
      </c>
      <c r="L117" s="8">
        <f t="shared" si="1"/>
        <v>3.7</v>
      </c>
      <c r="M117" s="6" t="str">
        <f>_xlfn.XLOOKUP(FactSales[[#This Row],[Product_ID]],DimProduct[Product_ID],DimProduct[Product_Name])</f>
        <v>Wireless Mouse</v>
      </c>
      <c r="N117" s="6" t="str">
        <f>_xlfn.XLOOKUP(FactSales[[#This Row],[Product_ID]],DimProduct[Product_ID],DimProduct[Category])</f>
        <v>Electronics</v>
      </c>
      <c r="O117" s="6">
        <f>_xlfn.XLOOKUP(FactSales[[#This Row],[Product_ID]],DimProduct[Product_ID],DimProduct[Unit_Price])</f>
        <v>3340</v>
      </c>
      <c r="P117" s="6">
        <f>_xlfn.XLOOKUP(FactSales[[#This Row],[Product_ID]],DimProduct[Product_ID],DimProduct[Unit_Cost])</f>
        <v>2270</v>
      </c>
      <c r="Q117" s="6">
        <f>FactSales[[#This Row],[Unit_Price]]*FactSales[[#This Row],[Quantity_Sold]]</f>
        <v>13360</v>
      </c>
      <c r="R117" s="6">
        <f>FactSales[[#This Row],[Unit_Cost]]*FactSales[[#This Row],[Quantity_Sold]]</f>
        <v>9080</v>
      </c>
      <c r="S117" s="6">
        <f>FactSales[[#This Row],[Sales_Amount]]-FactSales[[#This Row],[Total_Cost]]</f>
        <v>4280</v>
      </c>
      <c r="T117" s="6" t="str">
        <f>_xlfn.XLOOKUP(FactSales[[#This Row],[Customer_ID]],DimCustomer[Customer_ID],DimCustomer[Customer_Name])</f>
        <v>Jannat Ahmed</v>
      </c>
      <c r="U117" s="6" t="str">
        <f>_xlfn.XLOOKUP(FactSales[[#This Row],[Salesperson_ID]],DimSalesman[Salesperson_ID],DimSalesman[Salesperson_Name])</f>
        <v>Nabila Mia</v>
      </c>
      <c r="V117" s="6" t="str">
        <f>_xlfn.XLOOKUP(FactSales[[#This Row],[Region_ID]],DimRegion[Region_ID],DimRegion[Region_Name])</f>
        <v>Chattogram</v>
      </c>
      <c r="W117" s="6" t="str">
        <f>_xlfn.XLOOKUP(FactSales[[#This Row],[Store_ID]],DimStore[Store_ID],DimStore[Store_Name])</f>
        <v>Chattogram Panchlaish Store</v>
      </c>
    </row>
    <row r="118" spans="1:23">
      <c r="A118" s="4" t="s">
        <v>1114</v>
      </c>
      <c r="B118" s="5">
        <v>46058</v>
      </c>
      <c r="C118" s="4" t="s">
        <v>564</v>
      </c>
      <c r="D118" s="4" t="s">
        <v>62</v>
      </c>
      <c r="E118" s="4" t="s">
        <v>740</v>
      </c>
      <c r="F118" s="4" t="s">
        <v>979</v>
      </c>
      <c r="G118" s="4" t="s">
        <v>758</v>
      </c>
      <c r="H118" s="4">
        <v>4</v>
      </c>
      <c r="I118" s="7">
        <v>0.18</v>
      </c>
      <c r="J118" s="6">
        <v>12269</v>
      </c>
      <c r="K118" s="4">
        <v>3</v>
      </c>
      <c r="L118" s="8">
        <f t="shared" si="1"/>
        <v>3.8</v>
      </c>
      <c r="M118" s="6" t="str">
        <f>_xlfn.XLOOKUP(FactSales[[#This Row],[Product_ID]],DimProduct[Product_ID],DimProduct[Product_Name])</f>
        <v>Power Bank</v>
      </c>
      <c r="N118" s="6" t="str">
        <f>_xlfn.XLOOKUP(FactSales[[#This Row],[Product_ID]],DimProduct[Product_ID],DimProduct[Category])</f>
        <v>Electronics</v>
      </c>
      <c r="O118" s="6">
        <f>_xlfn.XLOOKUP(FactSales[[#This Row],[Product_ID]],DimProduct[Product_ID],DimProduct[Unit_Price])</f>
        <v>2840</v>
      </c>
      <c r="P118" s="6">
        <f>_xlfn.XLOOKUP(FactSales[[#This Row],[Product_ID]],DimProduct[Product_ID],DimProduct[Unit_Cost])</f>
        <v>1930</v>
      </c>
      <c r="Q118" s="6">
        <f>FactSales[[#This Row],[Unit_Price]]*FactSales[[#This Row],[Quantity_Sold]]</f>
        <v>11360</v>
      </c>
      <c r="R118" s="6">
        <f>FactSales[[#This Row],[Unit_Cost]]*FactSales[[#This Row],[Quantity_Sold]]</f>
        <v>7720</v>
      </c>
      <c r="S118" s="6">
        <f>FactSales[[#This Row],[Sales_Amount]]-FactSales[[#This Row],[Total_Cost]]</f>
        <v>3640</v>
      </c>
      <c r="T118" s="6" t="str">
        <f>_xlfn.XLOOKUP(FactSales[[#This Row],[Customer_ID]],DimCustomer[Customer_ID],DimCustomer[Customer_Name])</f>
        <v>Mim Ahmed</v>
      </c>
      <c r="U118" s="6" t="str">
        <f>_xlfn.XLOOKUP(FactSales[[#This Row],[Salesperson_ID]],DimSalesman[Salesperson_ID],DimSalesman[Salesperson_Name])</f>
        <v>Rahim Rahman</v>
      </c>
      <c r="V118" s="6" t="str">
        <f>_xlfn.XLOOKUP(FactSales[[#This Row],[Region_ID]],DimRegion[Region_ID],DimRegion[Region_Name])</f>
        <v>Mymensingh</v>
      </c>
      <c r="W118" s="6" t="str">
        <f>_xlfn.XLOOKUP(FactSales[[#This Row],[Store_ID]],DimStore[Store_ID],DimStore[Store_Name])</f>
        <v>Mymensingh Maskanda Store</v>
      </c>
    </row>
    <row r="119" spans="1:23">
      <c r="A119" s="4" t="s">
        <v>1115</v>
      </c>
      <c r="B119" s="5">
        <v>45802</v>
      </c>
      <c r="C119" s="4" t="s">
        <v>413</v>
      </c>
      <c r="D119" s="4" t="s">
        <v>47</v>
      </c>
      <c r="E119" s="4" t="s">
        <v>689</v>
      </c>
      <c r="F119" s="4" t="s">
        <v>952</v>
      </c>
      <c r="G119" s="4" t="s">
        <v>808</v>
      </c>
      <c r="H119" s="4">
        <v>1</v>
      </c>
      <c r="I119" s="7">
        <v>0</v>
      </c>
      <c r="J119" s="6">
        <v>1864</v>
      </c>
      <c r="K119" s="4">
        <v>5</v>
      </c>
      <c r="L119" s="8">
        <f t="shared" si="1"/>
        <v>3.6</v>
      </c>
      <c r="M119" s="6" t="str">
        <f>_xlfn.XLOOKUP(FactSales[[#This Row],[Product_ID]],DimProduct[Product_ID],DimProduct[Product_Name])</f>
        <v>Lentil 1kg</v>
      </c>
      <c r="N119" s="6" t="str">
        <f>_xlfn.XLOOKUP(FactSales[[#This Row],[Product_ID]],DimProduct[Product_ID],DimProduct[Category])</f>
        <v>Grocery</v>
      </c>
      <c r="O119" s="6">
        <f>_xlfn.XLOOKUP(FactSales[[#This Row],[Product_ID]],DimProduct[Product_ID],DimProduct[Unit_Price])</f>
        <v>1710</v>
      </c>
      <c r="P119" s="6">
        <f>_xlfn.XLOOKUP(FactSales[[#This Row],[Product_ID]],DimProduct[Product_ID],DimProduct[Unit_Cost])</f>
        <v>1330</v>
      </c>
      <c r="Q119" s="6">
        <f>FactSales[[#This Row],[Unit_Price]]*FactSales[[#This Row],[Quantity_Sold]]</f>
        <v>1710</v>
      </c>
      <c r="R119" s="6">
        <f>FactSales[[#This Row],[Unit_Cost]]*FactSales[[#This Row],[Quantity_Sold]]</f>
        <v>1330</v>
      </c>
      <c r="S119" s="6">
        <f>FactSales[[#This Row],[Sales_Amount]]-FactSales[[#This Row],[Total_Cost]]</f>
        <v>380</v>
      </c>
      <c r="T119" s="6" t="str">
        <f>_xlfn.XLOOKUP(FactSales[[#This Row],[Customer_ID]],DimCustomer[Customer_ID],DimCustomer[Customer_Name])</f>
        <v>Samiha Sultana</v>
      </c>
      <c r="U119" s="6" t="str">
        <f>_xlfn.XLOOKUP(FactSales[[#This Row],[Salesperson_ID]],DimSalesman[Salesperson_ID],DimSalesman[Salesperson_Name])</f>
        <v>Samiha Islam</v>
      </c>
      <c r="V119" s="6" t="str">
        <f>_xlfn.XLOOKUP(FactSales[[#This Row],[Region_ID]],DimRegion[Region_ID],DimRegion[Region_Name])</f>
        <v>Khulna</v>
      </c>
      <c r="W119" s="6" t="str">
        <f>_xlfn.XLOOKUP(FactSales[[#This Row],[Store_ID]],DimStore[Store_ID],DimStore[Store_Name])</f>
        <v>Khulna Daulatpur Store</v>
      </c>
    </row>
    <row r="120" spans="1:23">
      <c r="A120" s="4" t="s">
        <v>1116</v>
      </c>
      <c r="B120" s="5">
        <v>46010</v>
      </c>
      <c r="C120" s="4" t="s">
        <v>530</v>
      </c>
      <c r="D120" s="4" t="s">
        <v>57</v>
      </c>
      <c r="E120" s="4" t="s">
        <v>725</v>
      </c>
      <c r="F120" s="4" t="s">
        <v>968</v>
      </c>
      <c r="G120" s="4" t="s">
        <v>768</v>
      </c>
      <c r="H120" s="4">
        <v>3</v>
      </c>
      <c r="I120" s="7">
        <v>0.18</v>
      </c>
      <c r="J120" s="6">
        <v>24840</v>
      </c>
      <c r="K120" s="4">
        <v>9</v>
      </c>
      <c r="L120" s="8">
        <f t="shared" si="1"/>
        <v>1.9</v>
      </c>
      <c r="M120" s="6" t="str">
        <f>_xlfn.XLOOKUP(FactSales[[#This Row],[Product_ID]],DimProduct[Product_ID],DimProduct[Product_Name])</f>
        <v>Electric Kettle</v>
      </c>
      <c r="N120" s="6" t="str">
        <f>_xlfn.XLOOKUP(FactSales[[#This Row],[Product_ID]],DimProduct[Product_ID],DimProduct[Category])</f>
        <v>Home Appliance</v>
      </c>
      <c r="O120" s="6">
        <f>_xlfn.XLOOKUP(FactSales[[#This Row],[Product_ID]],DimProduct[Product_ID],DimProduct[Unit_Price])</f>
        <v>7200</v>
      </c>
      <c r="P120" s="6">
        <f>_xlfn.XLOOKUP(FactSales[[#This Row],[Product_ID]],DimProduct[Product_ID],DimProduct[Unit_Cost])</f>
        <v>5040</v>
      </c>
      <c r="Q120" s="6">
        <f>FactSales[[#This Row],[Unit_Price]]*FactSales[[#This Row],[Quantity_Sold]]</f>
        <v>21600</v>
      </c>
      <c r="R120" s="6">
        <f>FactSales[[#This Row],[Unit_Cost]]*FactSales[[#This Row],[Quantity_Sold]]</f>
        <v>15120</v>
      </c>
      <c r="S120" s="6">
        <f>FactSales[[#This Row],[Sales_Amount]]-FactSales[[#This Row],[Total_Cost]]</f>
        <v>6480</v>
      </c>
      <c r="T120" s="6" t="str">
        <f>_xlfn.XLOOKUP(FactSales[[#This Row],[Customer_ID]],DimCustomer[Customer_ID],DimCustomer[Customer_Name])</f>
        <v>Nayeem Mia</v>
      </c>
      <c r="U120" s="6" t="str">
        <f>_xlfn.XLOOKUP(FactSales[[#This Row],[Salesperson_ID]],DimSalesman[Salesperson_ID],DimSalesman[Salesperson_Name])</f>
        <v>Morshed Ahmed</v>
      </c>
      <c r="V120" s="6" t="str">
        <f>_xlfn.XLOOKUP(FactSales[[#This Row],[Region_ID]],DimRegion[Region_ID],DimRegion[Region_Name])</f>
        <v>Rangpur</v>
      </c>
      <c r="W120" s="6" t="str">
        <f>_xlfn.XLOOKUP(FactSales[[#This Row],[Store_ID]],DimStore[Store_ID],DimStore[Store_Name])</f>
        <v>Rangpur Central Road Store</v>
      </c>
    </row>
    <row r="121" spans="1:23">
      <c r="A121" s="4" t="s">
        <v>1117</v>
      </c>
      <c r="B121" s="5">
        <v>45713</v>
      </c>
      <c r="C121" s="4" t="s">
        <v>372</v>
      </c>
      <c r="D121" s="4" t="s">
        <v>47</v>
      </c>
      <c r="E121" s="4" t="s">
        <v>683</v>
      </c>
      <c r="F121" s="4" t="s">
        <v>953</v>
      </c>
      <c r="G121" s="4" t="s">
        <v>838</v>
      </c>
      <c r="H121" s="4">
        <v>5</v>
      </c>
      <c r="I121" s="7">
        <v>0.12</v>
      </c>
      <c r="J121" s="6">
        <v>6595</v>
      </c>
      <c r="K121" s="4">
        <v>4</v>
      </c>
      <c r="L121" s="8">
        <f t="shared" si="1"/>
        <v>3.7</v>
      </c>
      <c r="M121" s="6" t="str">
        <f>_xlfn.XLOOKUP(FactSales[[#This Row],[Product_ID]],DimProduct[Product_ID],DimProduct[Product_Name])</f>
        <v>Formal Shoe</v>
      </c>
      <c r="N121" s="6" t="str">
        <f>_xlfn.XLOOKUP(FactSales[[#This Row],[Product_ID]],DimProduct[Product_ID],DimProduct[Category])</f>
        <v>Footwear</v>
      </c>
      <c r="O121" s="6">
        <f>_xlfn.XLOOKUP(FactSales[[#This Row],[Product_ID]],DimProduct[Product_ID],DimProduct[Unit_Price])</f>
        <v>1210</v>
      </c>
      <c r="P121" s="6">
        <f>_xlfn.XLOOKUP(FactSales[[#This Row],[Product_ID]],DimProduct[Product_ID],DimProduct[Unit_Cost])</f>
        <v>730</v>
      </c>
      <c r="Q121" s="6">
        <f>FactSales[[#This Row],[Unit_Price]]*FactSales[[#This Row],[Quantity_Sold]]</f>
        <v>6050</v>
      </c>
      <c r="R121" s="6">
        <f>FactSales[[#This Row],[Unit_Cost]]*FactSales[[#This Row],[Quantity_Sold]]</f>
        <v>3650</v>
      </c>
      <c r="S121" s="6">
        <f>FactSales[[#This Row],[Sales_Amount]]-FactSales[[#This Row],[Total_Cost]]</f>
        <v>2400</v>
      </c>
      <c r="T121" s="6" t="str">
        <f>_xlfn.XLOOKUP(FactSales[[#This Row],[Customer_ID]],DimCustomer[Customer_ID],DimCustomer[Customer_Name])</f>
        <v>Mahmud Chowdhury</v>
      </c>
      <c r="U121" s="6" t="str">
        <f>_xlfn.XLOOKUP(FactSales[[#This Row],[Salesperson_ID]],DimSalesman[Salesperson_ID],DimSalesman[Salesperson_Name])</f>
        <v>Nusrat Akter</v>
      </c>
      <c r="V121" s="6" t="str">
        <f>_xlfn.XLOOKUP(FactSales[[#This Row],[Region_ID]],DimRegion[Region_ID],DimRegion[Region_Name])</f>
        <v>Khulna</v>
      </c>
      <c r="W121" s="6" t="str">
        <f>_xlfn.XLOOKUP(FactSales[[#This Row],[Store_ID]],DimStore[Store_ID],DimStore[Store_Name])</f>
        <v>Khulna Sonadanga Store</v>
      </c>
    </row>
    <row r="122" spans="1:23">
      <c r="A122" s="4" t="s">
        <v>1118</v>
      </c>
      <c r="B122" s="5">
        <v>45726</v>
      </c>
      <c r="C122" s="4" t="s">
        <v>601</v>
      </c>
      <c r="D122" s="4" t="s">
        <v>62</v>
      </c>
      <c r="E122" s="4" t="s">
        <v>740</v>
      </c>
      <c r="F122" s="4" t="s">
        <v>978</v>
      </c>
      <c r="G122" s="4" t="s">
        <v>768</v>
      </c>
      <c r="H122" s="4">
        <v>2</v>
      </c>
      <c r="I122" s="7">
        <v>0.18</v>
      </c>
      <c r="J122" s="6">
        <v>15552</v>
      </c>
      <c r="K122" s="4">
        <v>4</v>
      </c>
      <c r="L122" s="8">
        <f t="shared" si="1"/>
        <v>3.5</v>
      </c>
      <c r="M122" s="6" t="str">
        <f>_xlfn.XLOOKUP(FactSales[[#This Row],[Product_ID]],DimProduct[Product_ID],DimProduct[Product_Name])</f>
        <v>Electric Kettle</v>
      </c>
      <c r="N122" s="6" t="str">
        <f>_xlfn.XLOOKUP(FactSales[[#This Row],[Product_ID]],DimProduct[Product_ID],DimProduct[Category])</f>
        <v>Home Appliance</v>
      </c>
      <c r="O122" s="6">
        <f>_xlfn.XLOOKUP(FactSales[[#This Row],[Product_ID]],DimProduct[Product_ID],DimProduct[Unit_Price])</f>
        <v>7200</v>
      </c>
      <c r="P122" s="6">
        <f>_xlfn.XLOOKUP(FactSales[[#This Row],[Product_ID]],DimProduct[Product_ID],DimProduct[Unit_Cost])</f>
        <v>5040</v>
      </c>
      <c r="Q122" s="6">
        <f>FactSales[[#This Row],[Unit_Price]]*FactSales[[#This Row],[Quantity_Sold]]</f>
        <v>14400</v>
      </c>
      <c r="R122" s="6">
        <f>FactSales[[#This Row],[Unit_Cost]]*FactSales[[#This Row],[Quantity_Sold]]</f>
        <v>10080</v>
      </c>
      <c r="S122" s="6">
        <f>FactSales[[#This Row],[Sales_Amount]]-FactSales[[#This Row],[Total_Cost]]</f>
        <v>4320</v>
      </c>
      <c r="T122" s="6" t="str">
        <f>_xlfn.XLOOKUP(FactSales[[#This Row],[Customer_ID]],DimCustomer[Customer_ID],DimCustomer[Customer_Name])</f>
        <v>Tania Islam</v>
      </c>
      <c r="U122" s="6" t="str">
        <f>_xlfn.XLOOKUP(FactSales[[#This Row],[Salesperson_ID]],DimSalesman[Salesperson_ID],DimSalesman[Salesperson_Name])</f>
        <v>Sajib Rahman</v>
      </c>
      <c r="V122" s="6" t="str">
        <f>_xlfn.XLOOKUP(FactSales[[#This Row],[Region_ID]],DimRegion[Region_ID],DimRegion[Region_Name])</f>
        <v>Mymensingh</v>
      </c>
      <c r="W122" s="6" t="str">
        <f>_xlfn.XLOOKUP(FactSales[[#This Row],[Store_ID]],DimStore[Store_ID],DimStore[Store_Name])</f>
        <v>Mymensingh Maskanda Store</v>
      </c>
    </row>
    <row r="123" spans="1:23">
      <c r="A123" s="4" t="s">
        <v>1119</v>
      </c>
      <c r="B123" s="5">
        <v>45729</v>
      </c>
      <c r="C123" s="4" t="s">
        <v>276</v>
      </c>
      <c r="D123" s="4" t="s">
        <v>37</v>
      </c>
      <c r="E123" s="4" t="s">
        <v>656</v>
      </c>
      <c r="F123" s="4" t="s">
        <v>932</v>
      </c>
      <c r="G123" s="4" t="s">
        <v>768</v>
      </c>
      <c r="H123" s="4">
        <v>7</v>
      </c>
      <c r="I123" s="7">
        <v>0.15</v>
      </c>
      <c r="J123" s="6">
        <v>53928</v>
      </c>
      <c r="K123" s="4">
        <v>5</v>
      </c>
      <c r="L123" s="8">
        <f t="shared" si="1"/>
        <v>3.3</v>
      </c>
      <c r="M123" s="6" t="str">
        <f>_xlfn.XLOOKUP(FactSales[[#This Row],[Product_ID]],DimProduct[Product_ID],DimProduct[Product_Name])</f>
        <v>Electric Kettle</v>
      </c>
      <c r="N123" s="6" t="str">
        <f>_xlfn.XLOOKUP(FactSales[[#This Row],[Product_ID]],DimProduct[Product_ID],DimProduct[Category])</f>
        <v>Home Appliance</v>
      </c>
      <c r="O123" s="6">
        <f>_xlfn.XLOOKUP(FactSales[[#This Row],[Product_ID]],DimProduct[Product_ID],DimProduct[Unit_Price])</f>
        <v>7200</v>
      </c>
      <c r="P123" s="6">
        <f>_xlfn.XLOOKUP(FactSales[[#This Row],[Product_ID]],DimProduct[Product_ID],DimProduct[Unit_Cost])</f>
        <v>5040</v>
      </c>
      <c r="Q123" s="6">
        <f>FactSales[[#This Row],[Unit_Price]]*FactSales[[#This Row],[Quantity_Sold]]</f>
        <v>50400</v>
      </c>
      <c r="R123" s="6">
        <f>FactSales[[#This Row],[Unit_Cost]]*FactSales[[#This Row],[Quantity_Sold]]</f>
        <v>35280</v>
      </c>
      <c r="S123" s="6">
        <f>FactSales[[#This Row],[Sales_Amount]]-FactSales[[#This Row],[Total_Cost]]</f>
        <v>15120</v>
      </c>
      <c r="T123" s="6" t="str">
        <f>_xlfn.XLOOKUP(FactSales[[#This Row],[Customer_ID]],DimCustomer[Customer_ID],DimCustomer[Customer_Name])</f>
        <v>Samiha Ahmed</v>
      </c>
      <c r="U123" s="6" t="str">
        <f>_xlfn.XLOOKUP(FactSales[[#This Row],[Salesperson_ID]],DimSalesman[Salesperson_ID],DimSalesman[Salesperson_Name])</f>
        <v>Morshed Chowdhury</v>
      </c>
      <c r="V123" s="6" t="str">
        <f>_xlfn.XLOOKUP(FactSales[[#This Row],[Region_ID]],DimRegion[Region_ID],DimRegion[Region_Name])</f>
        <v>Sylhet</v>
      </c>
      <c r="W123" s="6" t="str">
        <f>_xlfn.XLOOKUP(FactSales[[#This Row],[Store_ID]],DimStore[Store_ID],DimStore[Store_Name])</f>
        <v>Sylhet Ambarkhana Store</v>
      </c>
    </row>
    <row r="124" spans="1:23">
      <c r="A124" s="4" t="s">
        <v>1120</v>
      </c>
      <c r="B124" s="5">
        <v>45814</v>
      </c>
      <c r="C124" s="4" t="s">
        <v>577</v>
      </c>
      <c r="D124" s="4" t="s">
        <v>62</v>
      </c>
      <c r="E124" s="4" t="s">
        <v>740</v>
      </c>
      <c r="F124" s="4" t="s">
        <v>987</v>
      </c>
      <c r="G124" s="4" t="s">
        <v>773</v>
      </c>
      <c r="H124" s="4">
        <v>3</v>
      </c>
      <c r="I124" s="7">
        <v>0.12</v>
      </c>
      <c r="J124" s="6">
        <v>24073</v>
      </c>
      <c r="K124" s="4">
        <v>8</v>
      </c>
      <c r="L124" s="8">
        <f t="shared" si="1"/>
        <v>2.4</v>
      </c>
      <c r="M124" s="6" t="str">
        <f>_xlfn.XLOOKUP(FactSales[[#This Row],[Product_ID]],DimProduct[Product_ID],DimProduct[Product_Name])</f>
        <v>Rice Cooker</v>
      </c>
      <c r="N124" s="6" t="str">
        <f>_xlfn.XLOOKUP(FactSales[[#This Row],[Product_ID]],DimProduct[Product_ID],DimProduct[Category])</f>
        <v>Home Appliance</v>
      </c>
      <c r="O124" s="6">
        <f>_xlfn.XLOOKUP(FactSales[[#This Row],[Product_ID]],DimProduct[Product_ID],DimProduct[Unit_Price])</f>
        <v>7430</v>
      </c>
      <c r="P124" s="6">
        <f>_xlfn.XLOOKUP(FactSales[[#This Row],[Product_ID]],DimProduct[Product_ID],DimProduct[Unit_Cost])</f>
        <v>5200</v>
      </c>
      <c r="Q124" s="6">
        <f>FactSales[[#This Row],[Unit_Price]]*FactSales[[#This Row],[Quantity_Sold]]</f>
        <v>22290</v>
      </c>
      <c r="R124" s="6">
        <f>FactSales[[#This Row],[Unit_Cost]]*FactSales[[#This Row],[Quantity_Sold]]</f>
        <v>15600</v>
      </c>
      <c r="S124" s="6">
        <f>FactSales[[#This Row],[Sales_Amount]]-FactSales[[#This Row],[Total_Cost]]</f>
        <v>6690</v>
      </c>
      <c r="T124" s="6" t="str">
        <f>_xlfn.XLOOKUP(FactSales[[#This Row],[Customer_ID]],DimCustomer[Customer_ID],DimCustomer[Customer_Name])</f>
        <v>Tanjim Khan</v>
      </c>
      <c r="U124" s="6" t="str">
        <f>_xlfn.XLOOKUP(FactSales[[#This Row],[Salesperson_ID]],DimSalesman[Salesperson_ID],DimSalesman[Salesperson_Name])</f>
        <v>Tanvir Chowdhury</v>
      </c>
      <c r="V124" s="6" t="str">
        <f>_xlfn.XLOOKUP(FactSales[[#This Row],[Region_ID]],DimRegion[Region_ID],DimRegion[Region_Name])</f>
        <v>Mymensingh</v>
      </c>
      <c r="W124" s="6" t="str">
        <f>_xlfn.XLOOKUP(FactSales[[#This Row],[Store_ID]],DimStore[Store_ID],DimStore[Store_Name])</f>
        <v>Mymensingh Maskanda Store</v>
      </c>
    </row>
    <row r="125" spans="1:23">
      <c r="A125" s="4" t="s">
        <v>1121</v>
      </c>
      <c r="B125" s="5">
        <v>46104</v>
      </c>
      <c r="C125" s="4" t="s">
        <v>217</v>
      </c>
      <c r="D125" s="4" t="s">
        <v>37</v>
      </c>
      <c r="E125" s="4" t="s">
        <v>659</v>
      </c>
      <c r="F125" s="4" t="s">
        <v>934</v>
      </c>
      <c r="G125" s="4" t="s">
        <v>862</v>
      </c>
      <c r="H125" s="4">
        <v>3</v>
      </c>
      <c r="I125" s="7">
        <v>0.05</v>
      </c>
      <c r="J125" s="6">
        <v>3563</v>
      </c>
      <c r="K125" s="4">
        <v>1</v>
      </c>
      <c r="L125" s="8">
        <f t="shared" si="1"/>
        <v>4.8</v>
      </c>
      <c r="M125" s="6" t="str">
        <f>_xlfn.XLOOKUP(FactSales[[#This Row],[Product_ID]],DimProduct[Product_ID],DimProduct[Product_Name])</f>
        <v>Dumbbell Set</v>
      </c>
      <c r="N125" s="6" t="str">
        <f>_xlfn.XLOOKUP(FactSales[[#This Row],[Product_ID]],DimProduct[Product_ID],DimProduct[Category])</f>
        <v>Sports</v>
      </c>
      <c r="O125" s="6">
        <f>_xlfn.XLOOKUP(FactSales[[#This Row],[Product_ID]],DimProduct[Product_ID],DimProduct[Unit_Price])</f>
        <v>1110</v>
      </c>
      <c r="P125" s="6">
        <f>_xlfn.XLOOKUP(FactSales[[#This Row],[Product_ID]],DimProduct[Product_ID],DimProduct[Unit_Cost])</f>
        <v>690</v>
      </c>
      <c r="Q125" s="6">
        <f>FactSales[[#This Row],[Unit_Price]]*FactSales[[#This Row],[Quantity_Sold]]</f>
        <v>3330</v>
      </c>
      <c r="R125" s="6">
        <f>FactSales[[#This Row],[Unit_Cost]]*FactSales[[#This Row],[Quantity_Sold]]</f>
        <v>2070</v>
      </c>
      <c r="S125" s="6">
        <f>FactSales[[#This Row],[Sales_Amount]]-FactSales[[#This Row],[Total_Cost]]</f>
        <v>1260</v>
      </c>
      <c r="T125" s="6" t="str">
        <f>_xlfn.XLOOKUP(FactSales[[#This Row],[Customer_ID]],DimCustomer[Customer_ID],DimCustomer[Customer_Name])</f>
        <v>Karim Khan</v>
      </c>
      <c r="U125" s="6" t="str">
        <f>_xlfn.XLOOKUP(FactSales[[#This Row],[Salesperson_ID]],DimSalesman[Salesperson_ID],DimSalesman[Salesperson_Name])</f>
        <v>Hasan Mia</v>
      </c>
      <c r="V125" s="6" t="str">
        <f>_xlfn.XLOOKUP(FactSales[[#This Row],[Region_ID]],DimRegion[Region_ID],DimRegion[Region_Name])</f>
        <v>Sylhet</v>
      </c>
      <c r="W125" s="6" t="str">
        <f>_xlfn.XLOOKUP(FactSales[[#This Row],[Store_ID]],DimStore[Store_ID],DimStore[Store_Name])</f>
        <v>Sylhet South Surma Store</v>
      </c>
    </row>
    <row r="126" spans="1:23">
      <c r="A126" s="4" t="s">
        <v>1122</v>
      </c>
      <c r="B126" s="5">
        <v>45970</v>
      </c>
      <c r="C126" s="4" t="s">
        <v>462</v>
      </c>
      <c r="D126" s="4" t="s">
        <v>52</v>
      </c>
      <c r="E126" s="4" t="s">
        <v>707</v>
      </c>
      <c r="F126" s="4" t="s">
        <v>964</v>
      </c>
      <c r="G126" s="4" t="s">
        <v>775</v>
      </c>
      <c r="H126" s="4">
        <v>2</v>
      </c>
      <c r="I126" s="7">
        <v>0.08</v>
      </c>
      <c r="J126" s="6">
        <v>5443</v>
      </c>
      <c r="K126" s="4">
        <v>8</v>
      </c>
      <c r="L126" s="8">
        <f t="shared" si="1"/>
        <v>2.5</v>
      </c>
      <c r="M126" s="6" t="str">
        <f>_xlfn.XLOOKUP(FactSales[[#This Row],[Product_ID]],DimProduct[Product_ID],DimProduct[Product_Name])</f>
        <v>Blender Machine</v>
      </c>
      <c r="N126" s="6" t="str">
        <f>_xlfn.XLOOKUP(FactSales[[#This Row],[Product_ID]],DimProduct[Product_ID],DimProduct[Category])</f>
        <v>Home Appliance</v>
      </c>
      <c r="O126" s="6">
        <f>_xlfn.XLOOKUP(FactSales[[#This Row],[Product_ID]],DimProduct[Product_ID],DimProduct[Unit_Price])</f>
        <v>2430</v>
      </c>
      <c r="P126" s="6">
        <f>_xlfn.XLOOKUP(FactSales[[#This Row],[Product_ID]],DimProduct[Product_ID],DimProduct[Unit_Cost])</f>
        <v>1700</v>
      </c>
      <c r="Q126" s="6">
        <f>FactSales[[#This Row],[Unit_Price]]*FactSales[[#This Row],[Quantity_Sold]]</f>
        <v>4860</v>
      </c>
      <c r="R126" s="6">
        <f>FactSales[[#This Row],[Unit_Cost]]*FactSales[[#This Row],[Quantity_Sold]]</f>
        <v>3400</v>
      </c>
      <c r="S126" s="6">
        <f>FactSales[[#This Row],[Sales_Amount]]-FactSales[[#This Row],[Total_Cost]]</f>
        <v>1460</v>
      </c>
      <c r="T126" s="6" t="str">
        <f>_xlfn.XLOOKUP(FactSales[[#This Row],[Customer_ID]],DimCustomer[Customer_ID],DimCustomer[Customer_Name])</f>
        <v>Sajib Islam</v>
      </c>
      <c r="U126" s="6" t="str">
        <f>_xlfn.XLOOKUP(FactSales[[#This Row],[Salesperson_ID]],DimSalesman[Salesperson_ID],DimSalesman[Salesperson_Name])</f>
        <v>Shaila Uddin</v>
      </c>
      <c r="V126" s="6" t="str">
        <f>_xlfn.XLOOKUP(FactSales[[#This Row],[Region_ID]],DimRegion[Region_ID],DimRegion[Region_Name])</f>
        <v>Barishal</v>
      </c>
      <c r="W126" s="6" t="str">
        <f>_xlfn.XLOOKUP(FactSales[[#This Row],[Store_ID]],DimStore[Store_ID],DimStore[Store_Name])</f>
        <v>Barishal Chowmatha Store</v>
      </c>
    </row>
    <row r="127" spans="1:23">
      <c r="A127" s="4" t="s">
        <v>1123</v>
      </c>
      <c r="B127" s="5">
        <v>45736</v>
      </c>
      <c r="C127" s="4" t="s">
        <v>366</v>
      </c>
      <c r="D127" s="4" t="s">
        <v>47</v>
      </c>
      <c r="E127" s="4" t="s">
        <v>695</v>
      </c>
      <c r="F127" s="4" t="s">
        <v>953</v>
      </c>
      <c r="G127" s="4" t="s">
        <v>765</v>
      </c>
      <c r="H127" s="4">
        <v>4</v>
      </c>
      <c r="I127" s="7">
        <v>0.18</v>
      </c>
      <c r="J127" s="6">
        <v>21320</v>
      </c>
      <c r="K127" s="4">
        <v>5</v>
      </c>
      <c r="L127" s="8">
        <f t="shared" si="1"/>
        <v>3.2</v>
      </c>
      <c r="M127" s="6" t="str">
        <f>_xlfn.XLOOKUP(FactSales[[#This Row],[Product_ID]],DimProduct[Product_ID],DimProduct[Product_Name])</f>
        <v>USB-C Hub</v>
      </c>
      <c r="N127" s="6" t="str">
        <f>_xlfn.XLOOKUP(FactSales[[#This Row],[Product_ID]],DimProduct[Product_ID],DimProduct[Category])</f>
        <v>Electronics</v>
      </c>
      <c r="O127" s="6">
        <f>_xlfn.XLOOKUP(FactSales[[#This Row],[Product_ID]],DimProduct[Product_ID],DimProduct[Unit_Price])</f>
        <v>4890</v>
      </c>
      <c r="P127" s="6">
        <f>_xlfn.XLOOKUP(FactSales[[#This Row],[Product_ID]],DimProduct[Product_ID],DimProduct[Unit_Cost])</f>
        <v>3330</v>
      </c>
      <c r="Q127" s="6">
        <f>FactSales[[#This Row],[Unit_Price]]*FactSales[[#This Row],[Quantity_Sold]]</f>
        <v>19560</v>
      </c>
      <c r="R127" s="6">
        <f>FactSales[[#This Row],[Unit_Cost]]*FactSales[[#This Row],[Quantity_Sold]]</f>
        <v>13320</v>
      </c>
      <c r="S127" s="6">
        <f>FactSales[[#This Row],[Sales_Amount]]-FactSales[[#This Row],[Total_Cost]]</f>
        <v>6240</v>
      </c>
      <c r="T127" s="6" t="str">
        <f>_xlfn.XLOOKUP(FactSales[[#This Row],[Customer_ID]],DimCustomer[Customer_ID],DimCustomer[Customer_Name])</f>
        <v>Sajib Hossain</v>
      </c>
      <c r="U127" s="6" t="str">
        <f>_xlfn.XLOOKUP(FactSales[[#This Row],[Salesperson_ID]],DimSalesman[Salesperson_ID],DimSalesman[Salesperson_Name])</f>
        <v>Nusrat Akter</v>
      </c>
      <c r="V127" s="6" t="str">
        <f>_xlfn.XLOOKUP(FactSales[[#This Row],[Region_ID]],DimRegion[Region_ID],DimRegion[Region_Name])</f>
        <v>Khulna</v>
      </c>
      <c r="W127" s="6" t="str">
        <f>_xlfn.XLOOKUP(FactSales[[#This Row],[Store_ID]],DimStore[Store_ID],DimStore[Store_Name])</f>
        <v>Khulna Shibbari Store</v>
      </c>
    </row>
    <row r="128" spans="1:23">
      <c r="A128" s="4" t="s">
        <v>1124</v>
      </c>
      <c r="B128" s="5">
        <v>45875</v>
      </c>
      <c r="C128" s="4" t="s">
        <v>127</v>
      </c>
      <c r="D128" s="4" t="s">
        <v>27</v>
      </c>
      <c r="E128" s="4" t="s">
        <v>634</v>
      </c>
      <c r="F128" s="4" t="s">
        <v>918</v>
      </c>
      <c r="G128" s="4" t="s">
        <v>859</v>
      </c>
      <c r="H128" s="4">
        <v>6</v>
      </c>
      <c r="I128" s="7">
        <v>0.12</v>
      </c>
      <c r="J128" s="6">
        <v>17363</v>
      </c>
      <c r="K128" s="4">
        <v>2</v>
      </c>
      <c r="L128" s="8">
        <f t="shared" si="1"/>
        <v>4.3</v>
      </c>
      <c r="M128" s="6" t="str">
        <f>_xlfn.XLOOKUP(FactSales[[#This Row],[Product_ID]],DimProduct[Product_ID],DimProduct[Product_Name])</f>
        <v>Yoga Mat</v>
      </c>
      <c r="N128" s="6" t="str">
        <f>_xlfn.XLOOKUP(FactSales[[#This Row],[Product_ID]],DimProduct[Product_ID],DimProduct[Category])</f>
        <v>Sports</v>
      </c>
      <c r="O128" s="6">
        <f>_xlfn.XLOOKUP(FactSales[[#This Row],[Product_ID]],DimProduct[Product_ID],DimProduct[Unit_Price])</f>
        <v>2730</v>
      </c>
      <c r="P128" s="6">
        <f>_xlfn.XLOOKUP(FactSales[[#This Row],[Product_ID]],DimProduct[Product_ID],DimProduct[Unit_Cost])</f>
        <v>1690</v>
      </c>
      <c r="Q128" s="6">
        <f>FactSales[[#This Row],[Unit_Price]]*FactSales[[#This Row],[Quantity_Sold]]</f>
        <v>16380</v>
      </c>
      <c r="R128" s="6">
        <f>FactSales[[#This Row],[Unit_Cost]]*FactSales[[#This Row],[Quantity_Sold]]</f>
        <v>10140</v>
      </c>
      <c r="S128" s="6">
        <f>FactSales[[#This Row],[Sales_Amount]]-FactSales[[#This Row],[Total_Cost]]</f>
        <v>6240</v>
      </c>
      <c r="T128" s="6" t="str">
        <f>_xlfn.XLOOKUP(FactSales[[#This Row],[Customer_ID]],DimCustomer[Customer_ID],DimCustomer[Customer_Name])</f>
        <v>Sadia Islam</v>
      </c>
      <c r="U128" s="6" t="str">
        <f>_xlfn.XLOOKUP(FactSales[[#This Row],[Salesperson_ID]],DimSalesman[Salesperson_ID],DimSalesman[Salesperson_Name])</f>
        <v>Tania Sultana</v>
      </c>
      <c r="V128" s="6" t="str">
        <f>_xlfn.XLOOKUP(FactSales[[#This Row],[Region_ID]],DimRegion[Region_ID],DimRegion[Region_Name])</f>
        <v>Dhaka</v>
      </c>
      <c r="W128" s="6" t="str">
        <f>_xlfn.XLOOKUP(FactSales[[#This Row],[Store_ID]],DimStore[Store_ID],DimStore[Store_Name])</f>
        <v>Dhaka Motijheel Store</v>
      </c>
    </row>
    <row r="129" spans="1:23">
      <c r="A129" s="4" t="s">
        <v>1125</v>
      </c>
      <c r="B129" s="5">
        <v>45955</v>
      </c>
      <c r="C129" s="4" t="s">
        <v>601</v>
      </c>
      <c r="D129" s="4" t="s">
        <v>62</v>
      </c>
      <c r="E129" s="4" t="s">
        <v>731</v>
      </c>
      <c r="F129" s="4" t="s">
        <v>981</v>
      </c>
      <c r="G129" s="4" t="s">
        <v>781</v>
      </c>
      <c r="H129" s="4">
        <v>1</v>
      </c>
      <c r="I129" s="7">
        <v>0.18</v>
      </c>
      <c r="J129" s="6">
        <v>3359</v>
      </c>
      <c r="K129" s="4">
        <v>10</v>
      </c>
      <c r="L129" s="8">
        <f t="shared" si="1"/>
        <v>1.6</v>
      </c>
      <c r="M129" s="6" t="str">
        <f>_xlfn.XLOOKUP(FactSales[[#This Row],[Product_ID]],DimProduct[Product_ID],DimProduct[Product_Name])</f>
        <v>Table Fan</v>
      </c>
      <c r="N129" s="6" t="str">
        <f>_xlfn.XLOOKUP(FactSales[[#This Row],[Product_ID]],DimProduct[Product_ID],DimProduct[Category])</f>
        <v>Home Appliance</v>
      </c>
      <c r="O129" s="6">
        <f>_xlfn.XLOOKUP(FactSales[[#This Row],[Product_ID]],DimProduct[Product_ID],DimProduct[Unit_Price])</f>
        <v>3110</v>
      </c>
      <c r="P129" s="6">
        <f>_xlfn.XLOOKUP(FactSales[[#This Row],[Product_ID]],DimProduct[Product_ID],DimProduct[Unit_Cost])</f>
        <v>2180</v>
      </c>
      <c r="Q129" s="6">
        <f>FactSales[[#This Row],[Unit_Price]]*FactSales[[#This Row],[Quantity_Sold]]</f>
        <v>3110</v>
      </c>
      <c r="R129" s="6">
        <f>FactSales[[#This Row],[Unit_Cost]]*FactSales[[#This Row],[Quantity_Sold]]</f>
        <v>2180</v>
      </c>
      <c r="S129" s="6">
        <f>FactSales[[#This Row],[Sales_Amount]]-FactSales[[#This Row],[Total_Cost]]</f>
        <v>930</v>
      </c>
      <c r="T129" s="6" t="str">
        <f>_xlfn.XLOOKUP(FactSales[[#This Row],[Customer_ID]],DimCustomer[Customer_ID],DimCustomer[Customer_Name])</f>
        <v>Tania Islam</v>
      </c>
      <c r="U129" s="6" t="str">
        <f>_xlfn.XLOOKUP(FactSales[[#This Row],[Salesperson_ID]],DimSalesman[Salesperson_ID],DimSalesman[Salesperson_Name])</f>
        <v>Morshed Islam</v>
      </c>
      <c r="V129" s="6" t="str">
        <f>_xlfn.XLOOKUP(FactSales[[#This Row],[Region_ID]],DimRegion[Region_ID],DimRegion[Region_Name])</f>
        <v>Mymensingh</v>
      </c>
      <c r="W129" s="6" t="str">
        <f>_xlfn.XLOOKUP(FactSales[[#This Row],[Store_ID]],DimStore[Store_ID],DimStore[Store_Name])</f>
        <v>Mymensingh Town Hall Store</v>
      </c>
    </row>
    <row r="130" spans="1:23">
      <c r="A130" s="4" t="s">
        <v>1126</v>
      </c>
      <c r="B130" s="5">
        <v>45902</v>
      </c>
      <c r="C130" s="4" t="s">
        <v>183</v>
      </c>
      <c r="D130" s="4" t="s">
        <v>32</v>
      </c>
      <c r="E130" s="4" t="s">
        <v>644</v>
      </c>
      <c r="F130" s="4" t="s">
        <v>929</v>
      </c>
      <c r="G130" s="4" t="s">
        <v>750</v>
      </c>
      <c r="H130" s="4">
        <v>5</v>
      </c>
      <c r="I130" s="7">
        <v>0.18</v>
      </c>
      <c r="J130" s="6">
        <v>18468</v>
      </c>
      <c r="K130" s="4">
        <v>4</v>
      </c>
      <c r="L130" s="8">
        <f t="shared" ref="L130:L193" si="2">MAX(1,MIN(5,ROUND(5.2-(K130*0.32)-(I130*2.2),1)))</f>
        <v>3.5</v>
      </c>
      <c r="M130" s="6" t="str">
        <f>_xlfn.XLOOKUP(FactSales[[#This Row],[Product_ID]],DimProduct[Product_ID],DimProduct[Product_Name])</f>
        <v>Bluetooth Speaker</v>
      </c>
      <c r="N130" s="6" t="str">
        <f>_xlfn.XLOOKUP(FactSales[[#This Row],[Product_ID]],DimProduct[Product_ID],DimProduct[Category])</f>
        <v>Electronics</v>
      </c>
      <c r="O130" s="6">
        <f>_xlfn.XLOOKUP(FactSales[[#This Row],[Product_ID]],DimProduct[Product_ID],DimProduct[Unit_Price])</f>
        <v>3240</v>
      </c>
      <c r="P130" s="6">
        <f>_xlfn.XLOOKUP(FactSales[[#This Row],[Product_ID]],DimProduct[Product_ID],DimProduct[Unit_Cost])</f>
        <v>2200</v>
      </c>
      <c r="Q130" s="6">
        <f>FactSales[[#This Row],[Unit_Price]]*FactSales[[#This Row],[Quantity_Sold]]</f>
        <v>16200</v>
      </c>
      <c r="R130" s="6">
        <f>FactSales[[#This Row],[Unit_Cost]]*FactSales[[#This Row],[Quantity_Sold]]</f>
        <v>11000</v>
      </c>
      <c r="S130" s="6">
        <f>FactSales[[#This Row],[Sales_Amount]]-FactSales[[#This Row],[Total_Cost]]</f>
        <v>5200</v>
      </c>
      <c r="T130" s="6" t="str">
        <f>_xlfn.XLOOKUP(FactSales[[#This Row],[Customer_ID]],DimCustomer[Customer_ID],DimCustomer[Customer_Name])</f>
        <v>Tanjim Akter</v>
      </c>
      <c r="U130" s="6" t="str">
        <f>_xlfn.XLOOKUP(FactSales[[#This Row],[Salesperson_ID]],DimSalesman[Salesperson_ID],DimSalesman[Salesperson_Name])</f>
        <v>Nabila Mia</v>
      </c>
      <c r="V130" s="6" t="str">
        <f>_xlfn.XLOOKUP(FactSales[[#This Row],[Region_ID]],DimRegion[Region_ID],DimRegion[Region_Name])</f>
        <v>Chattogram</v>
      </c>
      <c r="W130" s="6" t="str">
        <f>_xlfn.XLOOKUP(FactSales[[#This Row],[Store_ID]],DimStore[Store_ID],DimStore[Store_Name])</f>
        <v>Chattogram Panchlaish Store</v>
      </c>
    </row>
    <row r="131" spans="1:23">
      <c r="A131" s="4" t="s">
        <v>1127</v>
      </c>
      <c r="B131" s="5">
        <v>45807</v>
      </c>
      <c r="C131" s="4" t="s">
        <v>257</v>
      </c>
      <c r="D131" s="4" t="s">
        <v>37</v>
      </c>
      <c r="E131" s="4" t="s">
        <v>656</v>
      </c>
      <c r="F131" s="4" t="s">
        <v>934</v>
      </c>
      <c r="G131" s="4" t="s">
        <v>810</v>
      </c>
      <c r="H131" s="4">
        <v>4</v>
      </c>
      <c r="I131" s="7">
        <v>0.05</v>
      </c>
      <c r="J131" s="6">
        <v>1883</v>
      </c>
      <c r="K131" s="4">
        <v>1</v>
      </c>
      <c r="L131" s="8">
        <f t="shared" si="2"/>
        <v>4.8</v>
      </c>
      <c r="M131" s="6" t="str">
        <f>_xlfn.XLOOKUP(FactSales[[#This Row],[Product_ID]],DimProduct[Product_ID],DimProduct[Product_Name])</f>
        <v>Flour 2kg</v>
      </c>
      <c r="N131" s="6" t="str">
        <f>_xlfn.XLOOKUP(FactSales[[#This Row],[Product_ID]],DimProduct[Product_ID],DimProduct[Category])</f>
        <v>Grocery</v>
      </c>
      <c r="O131" s="6">
        <f>_xlfn.XLOOKUP(FactSales[[#This Row],[Product_ID]],DimProduct[Product_ID],DimProduct[Unit_Price])</f>
        <v>440</v>
      </c>
      <c r="P131" s="6">
        <f>_xlfn.XLOOKUP(FactSales[[#This Row],[Product_ID]],DimProduct[Product_ID],DimProduct[Unit_Cost])</f>
        <v>340</v>
      </c>
      <c r="Q131" s="6">
        <f>FactSales[[#This Row],[Unit_Price]]*FactSales[[#This Row],[Quantity_Sold]]</f>
        <v>1760</v>
      </c>
      <c r="R131" s="6">
        <f>FactSales[[#This Row],[Unit_Cost]]*FactSales[[#This Row],[Quantity_Sold]]</f>
        <v>1360</v>
      </c>
      <c r="S131" s="6">
        <f>FactSales[[#This Row],[Sales_Amount]]-FactSales[[#This Row],[Total_Cost]]</f>
        <v>400</v>
      </c>
      <c r="T131" s="6" t="str">
        <f>_xlfn.XLOOKUP(FactSales[[#This Row],[Customer_ID]],DimCustomer[Customer_ID],DimCustomer[Customer_Name])</f>
        <v>Sadia Sultana</v>
      </c>
      <c r="U131" s="6" t="str">
        <f>_xlfn.XLOOKUP(FactSales[[#This Row],[Salesperson_ID]],DimSalesman[Salesperson_ID],DimSalesman[Salesperson_Name])</f>
        <v>Hasan Mia</v>
      </c>
      <c r="V131" s="6" t="str">
        <f>_xlfn.XLOOKUP(FactSales[[#This Row],[Region_ID]],DimRegion[Region_ID],DimRegion[Region_Name])</f>
        <v>Sylhet</v>
      </c>
      <c r="W131" s="6" t="str">
        <f>_xlfn.XLOOKUP(FactSales[[#This Row],[Store_ID]],DimStore[Store_ID],DimStore[Store_Name])</f>
        <v>Sylhet Ambarkhana Store</v>
      </c>
    </row>
    <row r="132" spans="1:23">
      <c r="A132" s="4" t="s">
        <v>1128</v>
      </c>
      <c r="B132" s="5">
        <v>45928</v>
      </c>
      <c r="C132" s="4" t="s">
        <v>427</v>
      </c>
      <c r="D132" s="4" t="s">
        <v>52</v>
      </c>
      <c r="E132" s="4" t="s">
        <v>701</v>
      </c>
      <c r="F132" s="4" t="s">
        <v>964</v>
      </c>
      <c r="G132" s="4" t="s">
        <v>765</v>
      </c>
      <c r="H132" s="4">
        <v>2</v>
      </c>
      <c r="I132" s="7">
        <v>0.08</v>
      </c>
      <c r="J132" s="6">
        <v>10954</v>
      </c>
      <c r="K132" s="4">
        <v>4</v>
      </c>
      <c r="L132" s="8">
        <f t="shared" si="2"/>
        <v>3.7</v>
      </c>
      <c r="M132" s="6" t="str">
        <f>_xlfn.XLOOKUP(FactSales[[#This Row],[Product_ID]],DimProduct[Product_ID],DimProduct[Product_Name])</f>
        <v>USB-C Hub</v>
      </c>
      <c r="N132" s="6" t="str">
        <f>_xlfn.XLOOKUP(FactSales[[#This Row],[Product_ID]],DimProduct[Product_ID],DimProduct[Category])</f>
        <v>Electronics</v>
      </c>
      <c r="O132" s="6">
        <f>_xlfn.XLOOKUP(FactSales[[#This Row],[Product_ID]],DimProduct[Product_ID],DimProduct[Unit_Price])</f>
        <v>4890</v>
      </c>
      <c r="P132" s="6">
        <f>_xlfn.XLOOKUP(FactSales[[#This Row],[Product_ID]],DimProduct[Product_ID],DimProduct[Unit_Cost])</f>
        <v>3330</v>
      </c>
      <c r="Q132" s="6">
        <f>FactSales[[#This Row],[Unit_Price]]*FactSales[[#This Row],[Quantity_Sold]]</f>
        <v>9780</v>
      </c>
      <c r="R132" s="6">
        <f>FactSales[[#This Row],[Unit_Cost]]*FactSales[[#This Row],[Quantity_Sold]]</f>
        <v>6660</v>
      </c>
      <c r="S132" s="6">
        <f>FactSales[[#This Row],[Sales_Amount]]-FactSales[[#This Row],[Total_Cost]]</f>
        <v>3120</v>
      </c>
      <c r="T132" s="6" t="str">
        <f>_xlfn.XLOOKUP(FactSales[[#This Row],[Customer_ID]],DimCustomer[Customer_ID],DimCustomer[Customer_Name])</f>
        <v>Nabila Khan</v>
      </c>
      <c r="U132" s="6" t="str">
        <f>_xlfn.XLOOKUP(FactSales[[#This Row],[Salesperson_ID]],DimSalesman[Salesperson_ID],DimSalesman[Salesperson_Name])</f>
        <v>Shaila Uddin</v>
      </c>
      <c r="V132" s="6" t="str">
        <f>_xlfn.XLOOKUP(FactSales[[#This Row],[Region_ID]],DimRegion[Region_ID],DimRegion[Region_Name])</f>
        <v>Barishal</v>
      </c>
      <c r="W132" s="6" t="str">
        <f>_xlfn.XLOOKUP(FactSales[[#This Row],[Store_ID]],DimStore[Store_ID],DimStore[Store_Name])</f>
        <v>Barishal Sadar Road Store</v>
      </c>
    </row>
    <row r="133" spans="1:23">
      <c r="A133" s="4" t="s">
        <v>1129</v>
      </c>
      <c r="B133" s="5">
        <v>45698</v>
      </c>
      <c r="C133" s="4" t="s">
        <v>454</v>
      </c>
      <c r="D133" s="4" t="s">
        <v>52</v>
      </c>
      <c r="E133" s="4" t="s">
        <v>707</v>
      </c>
      <c r="F133" s="4" t="s">
        <v>964</v>
      </c>
      <c r="G133" s="4" t="s">
        <v>882</v>
      </c>
      <c r="H133" s="4">
        <v>10</v>
      </c>
      <c r="I133" s="7">
        <v>7.0000000000000007E-2</v>
      </c>
      <c r="J133" s="6">
        <v>20384</v>
      </c>
      <c r="K133" s="4">
        <v>3</v>
      </c>
      <c r="L133" s="8">
        <f t="shared" si="2"/>
        <v>4.0999999999999996</v>
      </c>
      <c r="M133" s="6" t="str">
        <f>_xlfn.XLOOKUP(FactSales[[#This Row],[Product_ID]],DimProduct[Product_ID],DimProduct[Product_Name])</f>
        <v>Toy Car Set</v>
      </c>
      <c r="N133" s="6" t="str">
        <f>_xlfn.XLOOKUP(FactSales[[#This Row],[Product_ID]],DimProduct[Product_ID],DimProduct[Category])</f>
        <v>Kids &amp; Toys</v>
      </c>
      <c r="O133" s="6">
        <f>_xlfn.XLOOKUP(FactSales[[#This Row],[Product_ID]],DimProduct[Product_ID],DimProduct[Unit_Price])</f>
        <v>1820</v>
      </c>
      <c r="P133" s="6">
        <f>_xlfn.XLOOKUP(FactSales[[#This Row],[Product_ID]],DimProduct[Product_ID],DimProduct[Unit_Cost])</f>
        <v>1000</v>
      </c>
      <c r="Q133" s="6">
        <f>FactSales[[#This Row],[Unit_Price]]*FactSales[[#This Row],[Quantity_Sold]]</f>
        <v>18200</v>
      </c>
      <c r="R133" s="6">
        <f>FactSales[[#This Row],[Unit_Cost]]*FactSales[[#This Row],[Quantity_Sold]]</f>
        <v>10000</v>
      </c>
      <c r="S133" s="6">
        <f>FactSales[[#This Row],[Sales_Amount]]-FactSales[[#This Row],[Total_Cost]]</f>
        <v>8200</v>
      </c>
      <c r="T133" s="6" t="str">
        <f>_xlfn.XLOOKUP(FactSales[[#This Row],[Customer_ID]],DimCustomer[Customer_ID],DimCustomer[Customer_Name])</f>
        <v>Nabila Uddin</v>
      </c>
      <c r="U133" s="6" t="str">
        <f>_xlfn.XLOOKUP(FactSales[[#This Row],[Salesperson_ID]],DimSalesman[Salesperson_ID],DimSalesman[Salesperson_Name])</f>
        <v>Shaila Uddin</v>
      </c>
      <c r="V133" s="6" t="str">
        <f>_xlfn.XLOOKUP(FactSales[[#This Row],[Region_ID]],DimRegion[Region_ID],DimRegion[Region_Name])</f>
        <v>Barishal</v>
      </c>
      <c r="W133" s="6" t="str">
        <f>_xlfn.XLOOKUP(FactSales[[#This Row],[Store_ID]],DimStore[Store_ID],DimStore[Store_Name])</f>
        <v>Barishal Chowmatha Store</v>
      </c>
    </row>
    <row r="134" spans="1:23">
      <c r="A134" s="4" t="s">
        <v>1130</v>
      </c>
      <c r="B134" s="5">
        <v>45927</v>
      </c>
      <c r="C134" s="4" t="s">
        <v>210</v>
      </c>
      <c r="D134" s="4" t="s">
        <v>32</v>
      </c>
      <c r="E134" s="4" t="s">
        <v>650</v>
      </c>
      <c r="F134" s="4" t="s">
        <v>931</v>
      </c>
      <c r="G134" s="4" t="s">
        <v>871</v>
      </c>
      <c r="H134" s="4">
        <v>3</v>
      </c>
      <c r="I134" s="7">
        <v>0.02</v>
      </c>
      <c r="J134" s="6">
        <v>1163</v>
      </c>
      <c r="K134" s="4">
        <v>4</v>
      </c>
      <c r="L134" s="8">
        <f t="shared" si="2"/>
        <v>3.9</v>
      </c>
      <c r="M134" s="6" t="str">
        <f>_xlfn.XLOOKUP(FactSales[[#This Row],[Product_ID]],DimProduct[Product_ID],DimProduct[Product_Name])</f>
        <v>Office File Set</v>
      </c>
      <c r="N134" s="6" t="str">
        <f>_xlfn.XLOOKUP(FactSales[[#This Row],[Product_ID]],DimProduct[Product_ID],DimProduct[Category])</f>
        <v>Stationery</v>
      </c>
      <c r="O134" s="6">
        <f>_xlfn.XLOOKUP(FactSales[[#This Row],[Product_ID]],DimProduct[Product_ID],DimProduct[Unit_Price])</f>
        <v>340</v>
      </c>
      <c r="P134" s="6">
        <f>_xlfn.XLOOKUP(FactSales[[#This Row],[Product_ID]],DimProduct[Product_ID],DimProduct[Unit_Cost])</f>
        <v>170</v>
      </c>
      <c r="Q134" s="6">
        <f>FactSales[[#This Row],[Unit_Price]]*FactSales[[#This Row],[Quantity_Sold]]</f>
        <v>1020</v>
      </c>
      <c r="R134" s="6">
        <f>FactSales[[#This Row],[Unit_Cost]]*FactSales[[#This Row],[Quantity_Sold]]</f>
        <v>510</v>
      </c>
      <c r="S134" s="6">
        <f>FactSales[[#This Row],[Sales_Amount]]-FactSales[[#This Row],[Total_Cost]]</f>
        <v>510</v>
      </c>
      <c r="T134" s="6" t="str">
        <f>_xlfn.XLOOKUP(FactSales[[#This Row],[Customer_ID]],DimCustomer[Customer_ID],DimCustomer[Customer_Name])</f>
        <v>Imran Uddin</v>
      </c>
      <c r="U134" s="6" t="str">
        <f>_xlfn.XLOOKUP(FactSales[[#This Row],[Salesperson_ID]],DimSalesman[Salesperson_ID],DimSalesman[Salesperson_Name])</f>
        <v>Sadia Islam</v>
      </c>
      <c r="V134" s="6" t="str">
        <f>_xlfn.XLOOKUP(FactSales[[#This Row],[Region_ID]],DimRegion[Region_ID],DimRegion[Region_Name])</f>
        <v>Chattogram</v>
      </c>
      <c r="W134" s="6" t="str">
        <f>_xlfn.XLOOKUP(FactSales[[#This Row],[Store_ID]],DimStore[Store_ID],DimStore[Store_Name])</f>
        <v>Chattogram Halishahar Store</v>
      </c>
    </row>
    <row r="135" spans="1:23">
      <c r="A135" s="4" t="s">
        <v>1131</v>
      </c>
      <c r="B135" s="5">
        <v>45886</v>
      </c>
      <c r="C135" s="4" t="s">
        <v>195</v>
      </c>
      <c r="D135" s="4" t="s">
        <v>32</v>
      </c>
      <c r="E135" s="4" t="s">
        <v>644</v>
      </c>
      <c r="F135" s="4" t="s">
        <v>927</v>
      </c>
      <c r="G135" s="4" t="s">
        <v>903</v>
      </c>
      <c r="H135" s="4">
        <v>3</v>
      </c>
      <c r="I135" s="7">
        <v>7.0000000000000007E-2</v>
      </c>
      <c r="J135" s="6">
        <v>14467</v>
      </c>
      <c r="K135" s="4">
        <v>8</v>
      </c>
      <c r="L135" s="8">
        <f t="shared" si="2"/>
        <v>2.5</v>
      </c>
      <c r="M135" s="6" t="str">
        <f>_xlfn.XLOOKUP(FactSales[[#This Row],[Product_ID]],DimProduct[Product_ID],DimProduct[Product_Name])</f>
        <v>Bookshelf</v>
      </c>
      <c r="N135" s="6" t="str">
        <f>_xlfn.XLOOKUP(FactSales[[#This Row],[Product_ID]],DimProduct[Product_ID],DimProduct[Category])</f>
        <v>Furniture</v>
      </c>
      <c r="O135" s="6">
        <f>_xlfn.XLOOKUP(FactSales[[#This Row],[Product_ID]],DimProduct[Product_ID],DimProduct[Unit_Price])</f>
        <v>4230</v>
      </c>
      <c r="P135" s="6">
        <f>_xlfn.XLOOKUP(FactSales[[#This Row],[Product_ID]],DimProduct[Product_ID],DimProduct[Unit_Cost])</f>
        <v>3050</v>
      </c>
      <c r="Q135" s="6">
        <f>FactSales[[#This Row],[Unit_Price]]*FactSales[[#This Row],[Quantity_Sold]]</f>
        <v>12690</v>
      </c>
      <c r="R135" s="6">
        <f>FactSales[[#This Row],[Unit_Cost]]*FactSales[[#This Row],[Quantity_Sold]]</f>
        <v>9150</v>
      </c>
      <c r="S135" s="6">
        <f>FactSales[[#This Row],[Sales_Amount]]-FactSales[[#This Row],[Total_Cost]]</f>
        <v>3540</v>
      </c>
      <c r="T135" s="6" t="str">
        <f>_xlfn.XLOOKUP(FactSales[[#This Row],[Customer_ID]],DimCustomer[Customer_ID],DimCustomer[Customer_Name])</f>
        <v>Jannat Islam</v>
      </c>
      <c r="U135" s="6" t="str">
        <f>_xlfn.XLOOKUP(FactSales[[#This Row],[Salesperson_ID]],DimSalesman[Salesperson_ID],DimSalesman[Salesperson_Name])</f>
        <v>Shakib Ahmed</v>
      </c>
      <c r="V135" s="6" t="str">
        <f>_xlfn.XLOOKUP(FactSales[[#This Row],[Region_ID]],DimRegion[Region_ID],DimRegion[Region_Name])</f>
        <v>Chattogram</v>
      </c>
      <c r="W135" s="6" t="str">
        <f>_xlfn.XLOOKUP(FactSales[[#This Row],[Store_ID]],DimStore[Store_ID],DimStore[Store_Name])</f>
        <v>Chattogram Panchlaish Store</v>
      </c>
    </row>
    <row r="136" spans="1:23">
      <c r="A136" s="4" t="s">
        <v>1132</v>
      </c>
      <c r="B136" s="5">
        <v>45800</v>
      </c>
      <c r="C136" s="4" t="s">
        <v>462</v>
      </c>
      <c r="D136" s="4" t="s">
        <v>52</v>
      </c>
      <c r="E136" s="4" t="s">
        <v>707</v>
      </c>
      <c r="F136" s="4" t="s">
        <v>965</v>
      </c>
      <c r="G136" s="4" t="s">
        <v>750</v>
      </c>
      <c r="H136" s="4">
        <v>2</v>
      </c>
      <c r="I136" s="7">
        <v>0.1</v>
      </c>
      <c r="J136" s="6">
        <v>7258</v>
      </c>
      <c r="K136" s="4">
        <v>7</v>
      </c>
      <c r="L136" s="8">
        <f t="shared" si="2"/>
        <v>2.7</v>
      </c>
      <c r="M136" s="6" t="str">
        <f>_xlfn.XLOOKUP(FactSales[[#This Row],[Product_ID]],DimProduct[Product_ID],DimProduct[Product_Name])</f>
        <v>Bluetooth Speaker</v>
      </c>
      <c r="N136" s="6" t="str">
        <f>_xlfn.XLOOKUP(FactSales[[#This Row],[Product_ID]],DimProduct[Product_ID],DimProduct[Category])</f>
        <v>Electronics</v>
      </c>
      <c r="O136" s="6">
        <f>_xlfn.XLOOKUP(FactSales[[#This Row],[Product_ID]],DimProduct[Product_ID],DimProduct[Unit_Price])</f>
        <v>3240</v>
      </c>
      <c r="P136" s="6">
        <f>_xlfn.XLOOKUP(FactSales[[#This Row],[Product_ID]],DimProduct[Product_ID],DimProduct[Unit_Cost])</f>
        <v>2200</v>
      </c>
      <c r="Q136" s="6">
        <f>FactSales[[#This Row],[Unit_Price]]*FactSales[[#This Row],[Quantity_Sold]]</f>
        <v>6480</v>
      </c>
      <c r="R136" s="6">
        <f>FactSales[[#This Row],[Unit_Cost]]*FactSales[[#This Row],[Quantity_Sold]]</f>
        <v>4400</v>
      </c>
      <c r="S136" s="6">
        <f>FactSales[[#This Row],[Sales_Amount]]-FactSales[[#This Row],[Total_Cost]]</f>
        <v>2080</v>
      </c>
      <c r="T136" s="6" t="str">
        <f>_xlfn.XLOOKUP(FactSales[[#This Row],[Customer_ID]],DimCustomer[Customer_ID],DimCustomer[Customer_Name])</f>
        <v>Sajib Islam</v>
      </c>
      <c r="U136" s="6" t="str">
        <f>_xlfn.XLOOKUP(FactSales[[#This Row],[Salesperson_ID]],DimSalesman[Salesperson_ID],DimSalesman[Salesperson_Name])</f>
        <v>Mehedi Khan</v>
      </c>
      <c r="V136" s="6" t="str">
        <f>_xlfn.XLOOKUP(FactSales[[#This Row],[Region_ID]],DimRegion[Region_ID],DimRegion[Region_Name])</f>
        <v>Barishal</v>
      </c>
      <c r="W136" s="6" t="str">
        <f>_xlfn.XLOOKUP(FactSales[[#This Row],[Store_ID]],DimStore[Store_ID],DimStore[Store_Name])</f>
        <v>Barishal Chowmatha Store</v>
      </c>
    </row>
    <row r="137" spans="1:23">
      <c r="A137" s="4" t="s">
        <v>1133</v>
      </c>
      <c r="B137" s="5">
        <v>45779</v>
      </c>
      <c r="C137" s="4" t="s">
        <v>297</v>
      </c>
      <c r="D137" s="4" t="s">
        <v>42</v>
      </c>
      <c r="E137" s="4" t="s">
        <v>671</v>
      </c>
      <c r="F137" s="4" t="s">
        <v>944</v>
      </c>
      <c r="G137" s="4" t="s">
        <v>778</v>
      </c>
      <c r="H137" s="4">
        <v>3</v>
      </c>
      <c r="I137" s="7">
        <v>0.15</v>
      </c>
      <c r="J137" s="6">
        <v>14774</v>
      </c>
      <c r="K137" s="4">
        <v>7</v>
      </c>
      <c r="L137" s="8">
        <f t="shared" si="2"/>
        <v>2.6</v>
      </c>
      <c r="M137" s="6" t="str">
        <f>_xlfn.XLOOKUP(FactSales[[#This Row],[Product_ID]],DimProduct[Product_ID],DimProduct[Product_Name])</f>
        <v>Steam Iron</v>
      </c>
      <c r="N137" s="6" t="str">
        <f>_xlfn.XLOOKUP(FactSales[[#This Row],[Product_ID]],DimProduct[Product_ID],DimProduct[Category])</f>
        <v>Home Appliance</v>
      </c>
      <c r="O137" s="6">
        <f>_xlfn.XLOOKUP(FactSales[[#This Row],[Product_ID]],DimProduct[Product_ID],DimProduct[Unit_Price])</f>
        <v>4560</v>
      </c>
      <c r="P137" s="6">
        <f>_xlfn.XLOOKUP(FactSales[[#This Row],[Product_ID]],DimProduct[Product_ID],DimProduct[Unit_Cost])</f>
        <v>3190</v>
      </c>
      <c r="Q137" s="6">
        <f>FactSales[[#This Row],[Unit_Price]]*FactSales[[#This Row],[Quantity_Sold]]</f>
        <v>13680</v>
      </c>
      <c r="R137" s="6">
        <f>FactSales[[#This Row],[Unit_Cost]]*FactSales[[#This Row],[Quantity_Sold]]</f>
        <v>9570</v>
      </c>
      <c r="S137" s="6">
        <f>FactSales[[#This Row],[Sales_Amount]]-FactSales[[#This Row],[Total_Cost]]</f>
        <v>4110</v>
      </c>
      <c r="T137" s="6" t="str">
        <f>_xlfn.XLOOKUP(FactSales[[#This Row],[Customer_ID]],DimCustomer[Customer_ID],DimCustomer[Customer_Name])</f>
        <v>Tanjim Akter</v>
      </c>
      <c r="U137" s="6" t="str">
        <f>_xlfn.XLOOKUP(FactSales[[#This Row],[Salesperson_ID]],DimSalesman[Salesperson_ID],DimSalesman[Salesperson_Name])</f>
        <v>Karim Khan</v>
      </c>
      <c r="V137" s="6" t="str">
        <f>_xlfn.XLOOKUP(FactSales[[#This Row],[Region_ID]],DimRegion[Region_ID],DimRegion[Region_Name])</f>
        <v>Rajshahi</v>
      </c>
      <c r="W137" s="6" t="str">
        <f>_xlfn.XLOOKUP(FactSales[[#This Row],[Store_ID]],DimStore[Store_ID],DimStore[Store_Name])</f>
        <v>Rajshahi Kazla Store</v>
      </c>
    </row>
    <row r="138" spans="1:23">
      <c r="A138" s="4" t="s">
        <v>1134</v>
      </c>
      <c r="B138" s="5">
        <v>46148</v>
      </c>
      <c r="C138" s="4" t="s">
        <v>483</v>
      </c>
      <c r="D138" s="4" t="s">
        <v>52</v>
      </c>
      <c r="E138" s="4" t="s">
        <v>698</v>
      </c>
      <c r="F138" s="4" t="s">
        <v>964</v>
      </c>
      <c r="G138" s="4" t="s">
        <v>838</v>
      </c>
      <c r="H138" s="4">
        <v>1</v>
      </c>
      <c r="I138" s="7">
        <v>0.05</v>
      </c>
      <c r="J138" s="6">
        <v>1355</v>
      </c>
      <c r="K138" s="4">
        <v>4</v>
      </c>
      <c r="L138" s="8">
        <f t="shared" si="2"/>
        <v>3.8</v>
      </c>
      <c r="M138" s="6" t="str">
        <f>_xlfn.XLOOKUP(FactSales[[#This Row],[Product_ID]],DimProduct[Product_ID],DimProduct[Product_Name])</f>
        <v>Formal Shoe</v>
      </c>
      <c r="N138" s="6" t="str">
        <f>_xlfn.XLOOKUP(FactSales[[#This Row],[Product_ID]],DimProduct[Product_ID],DimProduct[Category])</f>
        <v>Footwear</v>
      </c>
      <c r="O138" s="6">
        <f>_xlfn.XLOOKUP(FactSales[[#This Row],[Product_ID]],DimProduct[Product_ID],DimProduct[Unit_Price])</f>
        <v>1210</v>
      </c>
      <c r="P138" s="6">
        <f>_xlfn.XLOOKUP(FactSales[[#This Row],[Product_ID]],DimProduct[Product_ID],DimProduct[Unit_Cost])</f>
        <v>730</v>
      </c>
      <c r="Q138" s="6">
        <f>FactSales[[#This Row],[Unit_Price]]*FactSales[[#This Row],[Quantity_Sold]]</f>
        <v>1210</v>
      </c>
      <c r="R138" s="6">
        <f>FactSales[[#This Row],[Unit_Cost]]*FactSales[[#This Row],[Quantity_Sold]]</f>
        <v>730</v>
      </c>
      <c r="S138" s="6">
        <f>FactSales[[#This Row],[Sales_Amount]]-FactSales[[#This Row],[Total_Cost]]</f>
        <v>480</v>
      </c>
      <c r="T138" s="6" t="str">
        <f>_xlfn.XLOOKUP(FactSales[[#This Row],[Customer_ID]],DimCustomer[Customer_ID],DimCustomer[Customer_Name])</f>
        <v>Rumana Chowdhury</v>
      </c>
      <c r="U138" s="6" t="str">
        <f>_xlfn.XLOOKUP(FactSales[[#This Row],[Salesperson_ID]],DimSalesman[Salesperson_ID],DimSalesman[Salesperson_Name])</f>
        <v>Shaila Uddin</v>
      </c>
      <c r="V138" s="6" t="str">
        <f>_xlfn.XLOOKUP(FactSales[[#This Row],[Region_ID]],DimRegion[Region_ID],DimRegion[Region_Name])</f>
        <v>Barishal</v>
      </c>
      <c r="W138" s="6" t="str">
        <f>_xlfn.XLOOKUP(FactSales[[#This Row],[Store_ID]],DimStore[Store_ID],DimStore[Store_Name])</f>
        <v>Barishal Nathullabad Store</v>
      </c>
    </row>
    <row r="139" spans="1:23">
      <c r="A139" s="4" t="s">
        <v>1135</v>
      </c>
      <c r="B139" s="5">
        <v>45795</v>
      </c>
      <c r="C139" s="4" t="s">
        <v>289</v>
      </c>
      <c r="D139" s="4" t="s">
        <v>42</v>
      </c>
      <c r="E139" s="4" t="s">
        <v>671</v>
      </c>
      <c r="F139" s="4" t="s">
        <v>949</v>
      </c>
      <c r="G139" s="4" t="s">
        <v>816</v>
      </c>
      <c r="H139" s="4">
        <v>3</v>
      </c>
      <c r="I139" s="7">
        <v>0.03</v>
      </c>
      <c r="J139" s="6">
        <v>4147</v>
      </c>
      <c r="K139" s="4">
        <v>3</v>
      </c>
      <c r="L139" s="8">
        <f t="shared" si="2"/>
        <v>4.2</v>
      </c>
      <c r="M139" s="6" t="str">
        <f>_xlfn.XLOOKUP(FactSales[[#This Row],[Product_ID]],DimProduct[Product_ID],DimProduct[Product_Name])</f>
        <v>Face Wash</v>
      </c>
      <c r="N139" s="6" t="str">
        <f>_xlfn.XLOOKUP(FactSales[[#This Row],[Product_ID]],DimProduct[Product_ID],DimProduct[Category])</f>
        <v>Beauty &amp; Personal Care</v>
      </c>
      <c r="O139" s="6">
        <f>_xlfn.XLOOKUP(FactSales[[#This Row],[Product_ID]],DimProduct[Product_ID],DimProduct[Unit_Price])</f>
        <v>1280</v>
      </c>
      <c r="P139" s="6">
        <f>_xlfn.XLOOKUP(FactSales[[#This Row],[Product_ID]],DimProduct[Product_ID],DimProduct[Unit_Cost])</f>
        <v>740</v>
      </c>
      <c r="Q139" s="6">
        <f>FactSales[[#This Row],[Unit_Price]]*FactSales[[#This Row],[Quantity_Sold]]</f>
        <v>3840</v>
      </c>
      <c r="R139" s="6">
        <f>FactSales[[#This Row],[Unit_Cost]]*FactSales[[#This Row],[Quantity_Sold]]</f>
        <v>2220</v>
      </c>
      <c r="S139" s="6">
        <f>FactSales[[#This Row],[Sales_Amount]]-FactSales[[#This Row],[Total_Cost]]</f>
        <v>1620</v>
      </c>
      <c r="T139" s="6" t="str">
        <f>_xlfn.XLOOKUP(FactSales[[#This Row],[Customer_ID]],DimCustomer[Customer_ID],DimCustomer[Customer_Name])</f>
        <v>Mehedi Hossain</v>
      </c>
      <c r="U139" s="6" t="str">
        <f>_xlfn.XLOOKUP(FactSales[[#This Row],[Salesperson_ID]],DimSalesman[Salesperson_ID],DimSalesman[Salesperson_Name])</f>
        <v>Mahmud Chowdhury</v>
      </c>
      <c r="V139" s="6" t="str">
        <f>_xlfn.XLOOKUP(FactSales[[#This Row],[Region_ID]],DimRegion[Region_ID],DimRegion[Region_Name])</f>
        <v>Rajshahi</v>
      </c>
      <c r="W139" s="6" t="str">
        <f>_xlfn.XLOOKUP(FactSales[[#This Row],[Store_ID]],DimStore[Store_ID],DimStore[Store_Name])</f>
        <v>Rajshahi Kazla Store</v>
      </c>
    </row>
    <row r="140" spans="1:23">
      <c r="A140" s="4" t="s">
        <v>1136</v>
      </c>
      <c r="B140" s="5">
        <v>46187</v>
      </c>
      <c r="C140" s="4" t="s">
        <v>220</v>
      </c>
      <c r="D140" s="4" t="s">
        <v>37</v>
      </c>
      <c r="E140" s="4" t="s">
        <v>656</v>
      </c>
      <c r="F140" s="4" t="s">
        <v>936</v>
      </c>
      <c r="G140" s="4" t="s">
        <v>890</v>
      </c>
      <c r="H140" s="4">
        <v>8</v>
      </c>
      <c r="I140" s="7">
        <v>0.12</v>
      </c>
      <c r="J140" s="6">
        <v>7190</v>
      </c>
      <c r="K140" s="4">
        <v>6</v>
      </c>
      <c r="L140" s="8">
        <f t="shared" si="2"/>
        <v>3</v>
      </c>
      <c r="M140" s="6" t="str">
        <f>_xlfn.XLOOKUP(FactSales[[#This Row],[Product_ID]],DimProduct[Product_ID],DimProduct[Product_Name])</f>
        <v>Kids Story Book</v>
      </c>
      <c r="N140" s="6" t="str">
        <f>_xlfn.XLOOKUP(FactSales[[#This Row],[Product_ID]],DimProduct[Product_ID],DimProduct[Category])</f>
        <v>Kids &amp; Toys</v>
      </c>
      <c r="O140" s="6">
        <f>_xlfn.XLOOKUP(FactSales[[#This Row],[Product_ID]],DimProduct[Product_ID],DimProduct[Unit_Price])</f>
        <v>840</v>
      </c>
      <c r="P140" s="6">
        <f>_xlfn.XLOOKUP(FactSales[[#This Row],[Product_ID]],DimProduct[Product_ID],DimProduct[Unit_Cost])</f>
        <v>460</v>
      </c>
      <c r="Q140" s="6">
        <f>FactSales[[#This Row],[Unit_Price]]*FactSales[[#This Row],[Quantity_Sold]]</f>
        <v>6720</v>
      </c>
      <c r="R140" s="6">
        <f>FactSales[[#This Row],[Unit_Cost]]*FactSales[[#This Row],[Quantity_Sold]]</f>
        <v>3680</v>
      </c>
      <c r="S140" s="6">
        <f>FactSales[[#This Row],[Sales_Amount]]-FactSales[[#This Row],[Total_Cost]]</f>
        <v>3040</v>
      </c>
      <c r="T140" s="6" t="str">
        <f>_xlfn.XLOOKUP(FactSales[[#This Row],[Customer_ID]],DimCustomer[Customer_ID],DimCustomer[Customer_Name])</f>
        <v>Rafi Hossain</v>
      </c>
      <c r="U140" s="6" t="str">
        <f>_xlfn.XLOOKUP(FactSales[[#This Row],[Salesperson_ID]],DimSalesman[Salesperson_ID],DimSalesman[Salesperson_Name])</f>
        <v>Mehedi Chowdhury</v>
      </c>
      <c r="V140" s="6" t="str">
        <f>_xlfn.XLOOKUP(FactSales[[#This Row],[Region_ID]],DimRegion[Region_ID],DimRegion[Region_Name])</f>
        <v>Sylhet</v>
      </c>
      <c r="W140" s="6" t="str">
        <f>_xlfn.XLOOKUP(FactSales[[#This Row],[Store_ID]],DimStore[Store_ID],DimStore[Store_Name])</f>
        <v>Sylhet Ambarkhana Store</v>
      </c>
    </row>
    <row r="141" spans="1:23">
      <c r="A141" s="4" t="s">
        <v>1137</v>
      </c>
      <c r="B141" s="5">
        <v>46140</v>
      </c>
      <c r="C141" s="4" t="s">
        <v>360</v>
      </c>
      <c r="D141" s="4" t="s">
        <v>47</v>
      </c>
      <c r="E141" s="4" t="s">
        <v>686</v>
      </c>
      <c r="F141" s="4" t="s">
        <v>955</v>
      </c>
      <c r="G141" s="4" t="s">
        <v>821</v>
      </c>
      <c r="H141" s="4">
        <v>5</v>
      </c>
      <c r="I141" s="7">
        <v>0.05</v>
      </c>
      <c r="J141" s="6">
        <v>9047</v>
      </c>
      <c r="K141" s="4">
        <v>3</v>
      </c>
      <c r="L141" s="8">
        <f t="shared" si="2"/>
        <v>4.0999999999999996</v>
      </c>
      <c r="M141" s="6" t="str">
        <f>_xlfn.XLOOKUP(FactSales[[#This Row],[Product_ID]],DimProduct[Product_ID],DimProduct[Product_Name])</f>
        <v>Shampoo 375ml</v>
      </c>
      <c r="N141" s="6" t="str">
        <f>_xlfn.XLOOKUP(FactSales[[#This Row],[Product_ID]],DimProduct[Product_ID],DimProduct[Category])</f>
        <v>Beauty &amp; Personal Care</v>
      </c>
      <c r="O141" s="6">
        <f>_xlfn.XLOOKUP(FactSales[[#This Row],[Product_ID]],DimProduct[Product_ID],DimProduct[Unit_Price])</f>
        <v>1660</v>
      </c>
      <c r="P141" s="6">
        <f>_xlfn.XLOOKUP(FactSales[[#This Row],[Product_ID]],DimProduct[Product_ID],DimProduct[Unit_Cost])</f>
        <v>960</v>
      </c>
      <c r="Q141" s="6">
        <f>FactSales[[#This Row],[Unit_Price]]*FactSales[[#This Row],[Quantity_Sold]]</f>
        <v>8300</v>
      </c>
      <c r="R141" s="6">
        <f>FactSales[[#This Row],[Unit_Cost]]*FactSales[[#This Row],[Quantity_Sold]]</f>
        <v>4800</v>
      </c>
      <c r="S141" s="6">
        <f>FactSales[[#This Row],[Sales_Amount]]-FactSales[[#This Row],[Total_Cost]]</f>
        <v>3500</v>
      </c>
      <c r="T141" s="6" t="str">
        <f>_xlfn.XLOOKUP(FactSales[[#This Row],[Customer_ID]],DimCustomer[Customer_ID],DimCustomer[Customer_Name])</f>
        <v>Arif Sultana</v>
      </c>
      <c r="U141" s="6" t="str">
        <f>_xlfn.XLOOKUP(FactSales[[#This Row],[Salesperson_ID]],DimSalesman[Salesperson_ID],DimSalesman[Salesperson_Name])</f>
        <v>Tania Chowdhury</v>
      </c>
      <c r="V141" s="6" t="str">
        <f>_xlfn.XLOOKUP(FactSales[[#This Row],[Region_ID]],DimRegion[Region_ID],DimRegion[Region_Name])</f>
        <v>Khulna</v>
      </c>
      <c r="W141" s="6" t="str">
        <f>_xlfn.XLOOKUP(FactSales[[#This Row],[Store_ID]],DimStore[Store_ID],DimStore[Store_Name])</f>
        <v>Khulna Khalishpur Store</v>
      </c>
    </row>
    <row r="142" spans="1:23">
      <c r="A142" s="4" t="s">
        <v>1138</v>
      </c>
      <c r="B142" s="5">
        <v>45844</v>
      </c>
      <c r="C142" s="4" t="s">
        <v>535</v>
      </c>
      <c r="D142" s="4" t="s">
        <v>57</v>
      </c>
      <c r="E142" s="4" t="s">
        <v>716</v>
      </c>
      <c r="F142" s="4" t="s">
        <v>976</v>
      </c>
      <c r="G142" s="4" t="s">
        <v>871</v>
      </c>
      <c r="H142" s="4">
        <v>3</v>
      </c>
      <c r="I142" s="7">
        <v>0.03</v>
      </c>
      <c r="J142" s="6">
        <v>1173</v>
      </c>
      <c r="K142" s="4">
        <v>7</v>
      </c>
      <c r="L142" s="8">
        <f t="shared" si="2"/>
        <v>2.9</v>
      </c>
      <c r="M142" s="6" t="str">
        <f>_xlfn.XLOOKUP(FactSales[[#This Row],[Product_ID]],DimProduct[Product_ID],DimProduct[Product_Name])</f>
        <v>Office File Set</v>
      </c>
      <c r="N142" s="6" t="str">
        <f>_xlfn.XLOOKUP(FactSales[[#This Row],[Product_ID]],DimProduct[Product_ID],DimProduct[Category])</f>
        <v>Stationery</v>
      </c>
      <c r="O142" s="6">
        <f>_xlfn.XLOOKUP(FactSales[[#This Row],[Product_ID]],DimProduct[Product_ID],DimProduct[Unit_Price])</f>
        <v>340</v>
      </c>
      <c r="P142" s="6">
        <f>_xlfn.XLOOKUP(FactSales[[#This Row],[Product_ID]],DimProduct[Product_ID],DimProduct[Unit_Cost])</f>
        <v>170</v>
      </c>
      <c r="Q142" s="6">
        <f>FactSales[[#This Row],[Unit_Price]]*FactSales[[#This Row],[Quantity_Sold]]</f>
        <v>1020</v>
      </c>
      <c r="R142" s="6">
        <f>FactSales[[#This Row],[Unit_Cost]]*FactSales[[#This Row],[Quantity_Sold]]</f>
        <v>510</v>
      </c>
      <c r="S142" s="6">
        <f>FactSales[[#This Row],[Sales_Amount]]-FactSales[[#This Row],[Total_Cost]]</f>
        <v>510</v>
      </c>
      <c r="T142" s="6" t="str">
        <f>_xlfn.XLOOKUP(FactSales[[#This Row],[Customer_ID]],DimCustomer[Customer_ID],DimCustomer[Customer_Name])</f>
        <v>Shuvo Uddin</v>
      </c>
      <c r="U142" s="6" t="str">
        <f>_xlfn.XLOOKUP(FactSales[[#This Row],[Salesperson_ID]],DimSalesman[Salesperson_ID],DimSalesman[Salesperson_Name])</f>
        <v>Nayeem Rahman</v>
      </c>
      <c r="V142" s="6" t="str">
        <f>_xlfn.XLOOKUP(FactSales[[#This Row],[Region_ID]],DimRegion[Region_ID],DimRegion[Region_Name])</f>
        <v>Rangpur</v>
      </c>
      <c r="W142" s="6" t="str">
        <f>_xlfn.XLOOKUP(FactSales[[#This Row],[Store_ID]],DimStore[Store_ID],DimStore[Store_Name])</f>
        <v>Rangpur Shapla Chattar Store</v>
      </c>
    </row>
    <row r="143" spans="1:23">
      <c r="A143" s="4" t="s">
        <v>1139</v>
      </c>
      <c r="B143" s="5">
        <v>46052</v>
      </c>
      <c r="C143" s="4" t="s">
        <v>599</v>
      </c>
      <c r="D143" s="4" t="s">
        <v>62</v>
      </c>
      <c r="E143" s="4" t="s">
        <v>740</v>
      </c>
      <c r="F143" s="4" t="s">
        <v>978</v>
      </c>
      <c r="G143" s="4" t="s">
        <v>765</v>
      </c>
      <c r="H143" s="4">
        <v>1</v>
      </c>
      <c r="I143" s="7">
        <v>0.08</v>
      </c>
      <c r="J143" s="6">
        <v>5281</v>
      </c>
      <c r="K143" s="4">
        <v>6</v>
      </c>
      <c r="L143" s="8">
        <f t="shared" si="2"/>
        <v>3.1</v>
      </c>
      <c r="M143" s="6" t="str">
        <f>_xlfn.XLOOKUP(FactSales[[#This Row],[Product_ID]],DimProduct[Product_ID],DimProduct[Product_Name])</f>
        <v>USB-C Hub</v>
      </c>
      <c r="N143" s="6" t="str">
        <f>_xlfn.XLOOKUP(FactSales[[#This Row],[Product_ID]],DimProduct[Product_ID],DimProduct[Category])</f>
        <v>Electronics</v>
      </c>
      <c r="O143" s="6">
        <f>_xlfn.XLOOKUP(FactSales[[#This Row],[Product_ID]],DimProduct[Product_ID],DimProduct[Unit_Price])</f>
        <v>4890</v>
      </c>
      <c r="P143" s="6">
        <f>_xlfn.XLOOKUP(FactSales[[#This Row],[Product_ID]],DimProduct[Product_ID],DimProduct[Unit_Cost])</f>
        <v>3330</v>
      </c>
      <c r="Q143" s="6">
        <f>FactSales[[#This Row],[Unit_Price]]*FactSales[[#This Row],[Quantity_Sold]]</f>
        <v>4890</v>
      </c>
      <c r="R143" s="6">
        <f>FactSales[[#This Row],[Unit_Cost]]*FactSales[[#This Row],[Quantity_Sold]]</f>
        <v>3330</v>
      </c>
      <c r="S143" s="6">
        <f>FactSales[[#This Row],[Sales_Amount]]-FactSales[[#This Row],[Total_Cost]]</f>
        <v>1560</v>
      </c>
      <c r="T143" s="6" t="str">
        <f>_xlfn.XLOOKUP(FactSales[[#This Row],[Customer_ID]],DimCustomer[Customer_ID],DimCustomer[Customer_Name])</f>
        <v>Tamanna Hossain</v>
      </c>
      <c r="U143" s="6" t="str">
        <f>_xlfn.XLOOKUP(FactSales[[#This Row],[Salesperson_ID]],DimSalesman[Salesperson_ID],DimSalesman[Salesperson_Name])</f>
        <v>Sajib Rahman</v>
      </c>
      <c r="V143" s="6" t="str">
        <f>_xlfn.XLOOKUP(FactSales[[#This Row],[Region_ID]],DimRegion[Region_ID],DimRegion[Region_Name])</f>
        <v>Mymensingh</v>
      </c>
      <c r="W143" s="6" t="str">
        <f>_xlfn.XLOOKUP(FactSales[[#This Row],[Store_ID]],DimStore[Store_ID],DimStore[Store_Name])</f>
        <v>Mymensingh Maskanda Store</v>
      </c>
    </row>
    <row r="144" spans="1:23">
      <c r="A144" s="4" t="s">
        <v>1140</v>
      </c>
      <c r="B144" s="5">
        <v>45811</v>
      </c>
      <c r="C144" s="4" t="s">
        <v>329</v>
      </c>
      <c r="D144" s="4" t="s">
        <v>42</v>
      </c>
      <c r="E144" s="4" t="s">
        <v>680</v>
      </c>
      <c r="F144" s="4" t="s">
        <v>950</v>
      </c>
      <c r="G144" s="4" t="s">
        <v>784</v>
      </c>
      <c r="H144" s="4">
        <v>3</v>
      </c>
      <c r="I144" s="7">
        <v>0.05</v>
      </c>
      <c r="J144" s="6">
        <v>6059</v>
      </c>
      <c r="K144" s="4">
        <v>2</v>
      </c>
      <c r="L144" s="8">
        <f t="shared" si="2"/>
        <v>4.5</v>
      </c>
      <c r="M144" s="6" t="str">
        <f>_xlfn.XLOOKUP(FactSales[[#This Row],[Product_ID]],DimProduct[Product_ID],DimProduct[Product_Name])</f>
        <v>Cotton T-Shirt</v>
      </c>
      <c r="N144" s="6" t="str">
        <f>_xlfn.XLOOKUP(FactSales[[#This Row],[Product_ID]],DimProduct[Product_ID],DimProduct[Category])</f>
        <v>Fashion</v>
      </c>
      <c r="O144" s="6">
        <f>_xlfn.XLOOKUP(FactSales[[#This Row],[Product_ID]],DimProduct[Product_ID],DimProduct[Unit_Price])</f>
        <v>1870</v>
      </c>
      <c r="P144" s="6">
        <f>_xlfn.XLOOKUP(FactSales[[#This Row],[Product_ID]],DimProduct[Product_ID],DimProduct[Unit_Cost])</f>
        <v>1030</v>
      </c>
      <c r="Q144" s="6">
        <f>FactSales[[#This Row],[Unit_Price]]*FactSales[[#This Row],[Quantity_Sold]]</f>
        <v>5610</v>
      </c>
      <c r="R144" s="6">
        <f>FactSales[[#This Row],[Unit_Cost]]*FactSales[[#This Row],[Quantity_Sold]]</f>
        <v>3090</v>
      </c>
      <c r="S144" s="6">
        <f>FactSales[[#This Row],[Sales_Amount]]-FactSales[[#This Row],[Total_Cost]]</f>
        <v>2520</v>
      </c>
      <c r="T144" s="6" t="str">
        <f>_xlfn.XLOOKUP(FactSales[[#This Row],[Customer_ID]],DimCustomer[Customer_ID],DimCustomer[Customer_Name])</f>
        <v>Mim Chowdhury</v>
      </c>
      <c r="U144" s="6" t="str">
        <f>_xlfn.XLOOKUP(FactSales[[#This Row],[Salesperson_ID]],DimSalesman[Salesperson_ID],DimSalesman[Salesperson_Name])</f>
        <v>Mim Rahman</v>
      </c>
      <c r="V144" s="6" t="str">
        <f>_xlfn.XLOOKUP(FactSales[[#This Row],[Region_ID]],DimRegion[Region_ID],DimRegion[Region_Name])</f>
        <v>Rajshahi</v>
      </c>
      <c r="W144" s="6" t="str">
        <f>_xlfn.XLOOKUP(FactSales[[#This Row],[Store_ID]],DimStore[Store_ID],DimStore[Store_Name])</f>
        <v>Rajshahi Lakshmipur Store</v>
      </c>
    </row>
    <row r="145" spans="1:23">
      <c r="A145" s="4" t="s">
        <v>1141</v>
      </c>
      <c r="B145" s="5">
        <v>45791</v>
      </c>
      <c r="C145" s="4" t="s">
        <v>124</v>
      </c>
      <c r="D145" s="4" t="s">
        <v>27</v>
      </c>
      <c r="E145" s="4" t="s">
        <v>634</v>
      </c>
      <c r="F145" s="4" t="s">
        <v>912</v>
      </c>
      <c r="G145" s="4" t="s">
        <v>755</v>
      </c>
      <c r="H145" s="4">
        <v>6</v>
      </c>
      <c r="I145" s="7">
        <v>0.18</v>
      </c>
      <c r="J145" s="6">
        <v>21242</v>
      </c>
      <c r="K145" s="4">
        <v>2</v>
      </c>
      <c r="L145" s="8">
        <f t="shared" si="2"/>
        <v>4.2</v>
      </c>
      <c r="M145" s="6" t="str">
        <f>_xlfn.XLOOKUP(FactSales[[#This Row],[Product_ID]],DimProduct[Product_ID],DimProduct[Product_Name])</f>
        <v>Wireless Mouse</v>
      </c>
      <c r="N145" s="6" t="str">
        <f>_xlfn.XLOOKUP(FactSales[[#This Row],[Product_ID]],DimProduct[Product_ID],DimProduct[Category])</f>
        <v>Electronics</v>
      </c>
      <c r="O145" s="6">
        <f>_xlfn.XLOOKUP(FactSales[[#This Row],[Product_ID]],DimProduct[Product_ID],DimProduct[Unit_Price])</f>
        <v>3340</v>
      </c>
      <c r="P145" s="6">
        <f>_xlfn.XLOOKUP(FactSales[[#This Row],[Product_ID]],DimProduct[Product_ID],DimProduct[Unit_Cost])</f>
        <v>2270</v>
      </c>
      <c r="Q145" s="6">
        <f>FactSales[[#This Row],[Unit_Price]]*FactSales[[#This Row],[Quantity_Sold]]</f>
        <v>20040</v>
      </c>
      <c r="R145" s="6">
        <f>FactSales[[#This Row],[Unit_Cost]]*FactSales[[#This Row],[Quantity_Sold]]</f>
        <v>13620</v>
      </c>
      <c r="S145" s="6">
        <f>FactSales[[#This Row],[Sales_Amount]]-FactSales[[#This Row],[Total_Cost]]</f>
        <v>6420</v>
      </c>
      <c r="T145" s="6" t="str">
        <f>_xlfn.XLOOKUP(FactSales[[#This Row],[Customer_ID]],DimCustomer[Customer_ID],DimCustomer[Customer_Name])</f>
        <v>Rafi Khan</v>
      </c>
      <c r="U145" s="6" t="str">
        <f>_xlfn.XLOOKUP(FactSales[[#This Row],[Salesperson_ID]],DimSalesman[Salesperson_ID],DimSalesman[Salesperson_Name])</f>
        <v>Mahmud Hossain</v>
      </c>
      <c r="V145" s="6" t="str">
        <f>_xlfn.XLOOKUP(FactSales[[#This Row],[Region_ID]],DimRegion[Region_ID],DimRegion[Region_Name])</f>
        <v>Dhaka</v>
      </c>
      <c r="W145" s="6" t="str">
        <f>_xlfn.XLOOKUP(FactSales[[#This Row],[Store_ID]],DimStore[Store_ID],DimStore[Store_Name])</f>
        <v>Dhaka Motijheel Store</v>
      </c>
    </row>
    <row r="146" spans="1:23">
      <c r="A146" s="4" t="s">
        <v>1142</v>
      </c>
      <c r="B146" s="5">
        <v>45702</v>
      </c>
      <c r="C146" s="4" t="s">
        <v>145</v>
      </c>
      <c r="D146" s="4" t="s">
        <v>27</v>
      </c>
      <c r="E146" s="4" t="s">
        <v>630</v>
      </c>
      <c r="F146" s="4" t="s">
        <v>919</v>
      </c>
      <c r="G146" s="4" t="s">
        <v>784</v>
      </c>
      <c r="H146" s="4">
        <v>4</v>
      </c>
      <c r="I146" s="7">
        <v>0.1</v>
      </c>
      <c r="J146" s="6">
        <v>7929</v>
      </c>
      <c r="K146" s="4">
        <v>2</v>
      </c>
      <c r="L146" s="8">
        <f t="shared" si="2"/>
        <v>4.3</v>
      </c>
      <c r="M146" s="6" t="str">
        <f>_xlfn.XLOOKUP(FactSales[[#This Row],[Product_ID]],DimProduct[Product_ID],DimProduct[Product_Name])</f>
        <v>Cotton T-Shirt</v>
      </c>
      <c r="N146" s="6" t="str">
        <f>_xlfn.XLOOKUP(FactSales[[#This Row],[Product_ID]],DimProduct[Product_ID],DimProduct[Category])</f>
        <v>Fashion</v>
      </c>
      <c r="O146" s="6">
        <f>_xlfn.XLOOKUP(FactSales[[#This Row],[Product_ID]],DimProduct[Product_ID],DimProduct[Unit_Price])</f>
        <v>1870</v>
      </c>
      <c r="P146" s="6">
        <f>_xlfn.XLOOKUP(FactSales[[#This Row],[Product_ID]],DimProduct[Product_ID],DimProduct[Unit_Cost])</f>
        <v>1030</v>
      </c>
      <c r="Q146" s="6">
        <f>FactSales[[#This Row],[Unit_Price]]*FactSales[[#This Row],[Quantity_Sold]]</f>
        <v>7480</v>
      </c>
      <c r="R146" s="6">
        <f>FactSales[[#This Row],[Unit_Cost]]*FactSales[[#This Row],[Quantity_Sold]]</f>
        <v>4120</v>
      </c>
      <c r="S146" s="6">
        <f>FactSales[[#This Row],[Sales_Amount]]-FactSales[[#This Row],[Total_Cost]]</f>
        <v>3360</v>
      </c>
      <c r="T146" s="6" t="str">
        <f>_xlfn.XLOOKUP(FactSales[[#This Row],[Customer_ID]],DimCustomer[Customer_ID],DimCustomer[Customer_Name])</f>
        <v>Nabila Sultana</v>
      </c>
      <c r="U146" s="6" t="str">
        <f>_xlfn.XLOOKUP(FactSales[[#This Row],[Salesperson_ID]],DimSalesman[Salesperson_ID],DimSalesman[Salesperson_Name])</f>
        <v>Imran Mia</v>
      </c>
      <c r="V146" s="6" t="str">
        <f>_xlfn.XLOOKUP(FactSales[[#This Row],[Region_ID]],DimRegion[Region_ID],DimRegion[Region_Name])</f>
        <v>Dhaka</v>
      </c>
      <c r="W146" s="6" t="str">
        <f>_xlfn.XLOOKUP(FactSales[[#This Row],[Store_ID]],DimStore[Store_ID],DimStore[Store_Name])</f>
        <v>Dhaka Uttara Store</v>
      </c>
    </row>
    <row r="147" spans="1:23">
      <c r="A147" s="4" t="s">
        <v>1143</v>
      </c>
      <c r="B147" s="5">
        <v>45758</v>
      </c>
      <c r="C147" s="4" t="s">
        <v>515</v>
      </c>
      <c r="D147" s="4" t="s">
        <v>57</v>
      </c>
      <c r="E147" s="4" t="s">
        <v>725</v>
      </c>
      <c r="F147" s="4" t="s">
        <v>977</v>
      </c>
      <c r="G147" s="4" t="s">
        <v>887</v>
      </c>
      <c r="H147" s="4">
        <v>3</v>
      </c>
      <c r="I147" s="7">
        <v>0.1</v>
      </c>
      <c r="J147" s="6">
        <v>7762</v>
      </c>
      <c r="K147" s="4">
        <v>9</v>
      </c>
      <c r="L147" s="8">
        <f t="shared" si="2"/>
        <v>2.1</v>
      </c>
      <c r="M147" s="6" t="str">
        <f>_xlfn.XLOOKUP(FactSales[[#This Row],[Product_ID]],DimProduct[Product_ID],DimProduct[Product_Name])</f>
        <v>Color Pencil Set</v>
      </c>
      <c r="N147" s="6" t="str">
        <f>_xlfn.XLOOKUP(FactSales[[#This Row],[Product_ID]],DimProduct[Product_ID],DimProduct[Category])</f>
        <v>Kids &amp; Toys</v>
      </c>
      <c r="O147" s="6">
        <f>_xlfn.XLOOKUP(FactSales[[#This Row],[Product_ID]],DimProduct[Product_ID],DimProduct[Unit_Price])</f>
        <v>2250</v>
      </c>
      <c r="P147" s="6">
        <f>_xlfn.XLOOKUP(FactSales[[#This Row],[Product_ID]],DimProduct[Product_ID],DimProduct[Unit_Cost])</f>
        <v>1240</v>
      </c>
      <c r="Q147" s="6">
        <f>FactSales[[#This Row],[Unit_Price]]*FactSales[[#This Row],[Quantity_Sold]]</f>
        <v>6750</v>
      </c>
      <c r="R147" s="6">
        <f>FactSales[[#This Row],[Unit_Cost]]*FactSales[[#This Row],[Quantity_Sold]]</f>
        <v>3720</v>
      </c>
      <c r="S147" s="6">
        <f>FactSales[[#This Row],[Sales_Amount]]-FactSales[[#This Row],[Total_Cost]]</f>
        <v>3030</v>
      </c>
      <c r="T147" s="6" t="str">
        <f>_xlfn.XLOOKUP(FactSales[[#This Row],[Customer_ID]],DimCustomer[Customer_ID],DimCustomer[Customer_Name])</f>
        <v>Rumana Hossain</v>
      </c>
      <c r="U147" s="6" t="str">
        <f>_xlfn.XLOOKUP(FactSales[[#This Row],[Salesperson_ID]],DimSalesman[Salesperson_ID],DimSalesman[Salesperson_Name])</f>
        <v>Tania Hossain</v>
      </c>
      <c r="V147" s="6" t="str">
        <f>_xlfn.XLOOKUP(FactSales[[#This Row],[Region_ID]],DimRegion[Region_ID],DimRegion[Region_Name])</f>
        <v>Rangpur</v>
      </c>
      <c r="W147" s="6" t="str">
        <f>_xlfn.XLOOKUP(FactSales[[#This Row],[Store_ID]],DimStore[Store_ID],DimStore[Store_Name])</f>
        <v>Rangpur Central Road Store</v>
      </c>
    </row>
    <row r="148" spans="1:23">
      <c r="A148" s="4" t="s">
        <v>1144</v>
      </c>
      <c r="B148" s="5">
        <v>46076</v>
      </c>
      <c r="C148" s="4" t="s">
        <v>292</v>
      </c>
      <c r="D148" s="4" t="s">
        <v>42</v>
      </c>
      <c r="E148" s="4" t="s">
        <v>674</v>
      </c>
      <c r="F148" s="4" t="s">
        <v>949</v>
      </c>
      <c r="G148" s="4" t="s">
        <v>882</v>
      </c>
      <c r="H148" s="4">
        <v>2</v>
      </c>
      <c r="I148" s="7">
        <v>0.03</v>
      </c>
      <c r="J148" s="6">
        <v>3931</v>
      </c>
      <c r="K148" s="4">
        <v>3</v>
      </c>
      <c r="L148" s="8">
        <f t="shared" si="2"/>
        <v>4.2</v>
      </c>
      <c r="M148" s="6" t="str">
        <f>_xlfn.XLOOKUP(FactSales[[#This Row],[Product_ID]],DimProduct[Product_ID],DimProduct[Product_Name])</f>
        <v>Toy Car Set</v>
      </c>
      <c r="N148" s="6" t="str">
        <f>_xlfn.XLOOKUP(FactSales[[#This Row],[Product_ID]],DimProduct[Product_ID],DimProduct[Category])</f>
        <v>Kids &amp; Toys</v>
      </c>
      <c r="O148" s="6">
        <f>_xlfn.XLOOKUP(FactSales[[#This Row],[Product_ID]],DimProduct[Product_ID],DimProduct[Unit_Price])</f>
        <v>1820</v>
      </c>
      <c r="P148" s="6">
        <f>_xlfn.XLOOKUP(FactSales[[#This Row],[Product_ID]],DimProduct[Product_ID],DimProduct[Unit_Cost])</f>
        <v>1000</v>
      </c>
      <c r="Q148" s="6">
        <f>FactSales[[#This Row],[Unit_Price]]*FactSales[[#This Row],[Quantity_Sold]]</f>
        <v>3640</v>
      </c>
      <c r="R148" s="6">
        <f>FactSales[[#This Row],[Unit_Cost]]*FactSales[[#This Row],[Quantity_Sold]]</f>
        <v>2000</v>
      </c>
      <c r="S148" s="6">
        <f>FactSales[[#This Row],[Sales_Amount]]-FactSales[[#This Row],[Total_Cost]]</f>
        <v>1640</v>
      </c>
      <c r="T148" s="6" t="str">
        <f>_xlfn.XLOOKUP(FactSales[[#This Row],[Customer_ID]],DimCustomer[Customer_ID],DimCustomer[Customer_Name])</f>
        <v>Morshed Rahman</v>
      </c>
      <c r="U148" s="6" t="str">
        <f>_xlfn.XLOOKUP(FactSales[[#This Row],[Salesperson_ID]],DimSalesman[Salesperson_ID],DimSalesman[Salesperson_Name])</f>
        <v>Mahmud Chowdhury</v>
      </c>
      <c r="V148" s="6" t="str">
        <f>_xlfn.XLOOKUP(FactSales[[#This Row],[Region_ID]],DimRegion[Region_ID],DimRegion[Region_Name])</f>
        <v>Rajshahi</v>
      </c>
      <c r="W148" s="6" t="str">
        <f>_xlfn.XLOOKUP(FactSales[[#This Row],[Store_ID]],DimStore[Store_ID],DimStore[Store_Name])</f>
        <v>Rajshahi Uposhohor Store</v>
      </c>
    </row>
    <row r="149" spans="1:23">
      <c r="A149" s="4" t="s">
        <v>1145</v>
      </c>
      <c r="B149" s="5">
        <v>45981</v>
      </c>
      <c r="C149" s="4" t="s">
        <v>195</v>
      </c>
      <c r="D149" s="4" t="s">
        <v>32</v>
      </c>
      <c r="E149" s="4" t="s">
        <v>638</v>
      </c>
      <c r="F149" s="4" t="s">
        <v>927</v>
      </c>
      <c r="G149" s="4" t="s">
        <v>834</v>
      </c>
      <c r="H149" s="4">
        <v>2</v>
      </c>
      <c r="I149" s="7">
        <v>0.03</v>
      </c>
      <c r="J149" s="6">
        <v>8003</v>
      </c>
      <c r="K149" s="4">
        <v>2</v>
      </c>
      <c r="L149" s="8">
        <f t="shared" si="2"/>
        <v>4.5</v>
      </c>
      <c r="M149" s="6" t="str">
        <f>_xlfn.XLOOKUP(FactSales[[#This Row],[Product_ID]],DimProduct[Product_ID],DimProduct[Product_Name])</f>
        <v>Running Shoe</v>
      </c>
      <c r="N149" s="6" t="str">
        <f>_xlfn.XLOOKUP(FactSales[[#This Row],[Product_ID]],DimProduct[Product_ID],DimProduct[Category])</f>
        <v>Footwear</v>
      </c>
      <c r="O149" s="6">
        <f>_xlfn.XLOOKUP(FactSales[[#This Row],[Product_ID]],DimProduct[Product_ID],DimProduct[Unit_Price])</f>
        <v>3510</v>
      </c>
      <c r="P149" s="6">
        <f>_xlfn.XLOOKUP(FactSales[[#This Row],[Product_ID]],DimProduct[Product_ID],DimProduct[Unit_Cost])</f>
        <v>2110</v>
      </c>
      <c r="Q149" s="6">
        <f>FactSales[[#This Row],[Unit_Price]]*FactSales[[#This Row],[Quantity_Sold]]</f>
        <v>7020</v>
      </c>
      <c r="R149" s="6">
        <f>FactSales[[#This Row],[Unit_Cost]]*FactSales[[#This Row],[Quantity_Sold]]</f>
        <v>4220</v>
      </c>
      <c r="S149" s="6">
        <f>FactSales[[#This Row],[Sales_Amount]]-FactSales[[#This Row],[Total_Cost]]</f>
        <v>2800</v>
      </c>
      <c r="T149" s="6" t="str">
        <f>_xlfn.XLOOKUP(FactSales[[#This Row],[Customer_ID]],DimCustomer[Customer_ID],DimCustomer[Customer_Name])</f>
        <v>Jannat Islam</v>
      </c>
      <c r="U149" s="6" t="str">
        <f>_xlfn.XLOOKUP(FactSales[[#This Row],[Salesperson_ID]],DimSalesman[Salesperson_ID],DimSalesman[Salesperson_Name])</f>
        <v>Shakib Ahmed</v>
      </c>
      <c r="V149" s="6" t="str">
        <f>_xlfn.XLOOKUP(FactSales[[#This Row],[Region_ID]],DimRegion[Region_ID],DimRegion[Region_Name])</f>
        <v>Chattogram</v>
      </c>
      <c r="W149" s="6" t="str">
        <f>_xlfn.XLOOKUP(FactSales[[#This Row],[Store_ID]],DimStore[Store_ID],DimStore[Store_Name])</f>
        <v>Chattogram Agrabad Store</v>
      </c>
    </row>
    <row r="150" spans="1:23">
      <c r="A150" s="4" t="s">
        <v>1146</v>
      </c>
      <c r="B150" s="5">
        <v>46091</v>
      </c>
      <c r="C150" s="4" t="s">
        <v>254</v>
      </c>
      <c r="D150" s="4" t="s">
        <v>37</v>
      </c>
      <c r="E150" s="4" t="s">
        <v>665</v>
      </c>
      <c r="F150" s="4" t="s">
        <v>936</v>
      </c>
      <c r="G150" s="4" t="s">
        <v>765</v>
      </c>
      <c r="H150" s="4">
        <v>5</v>
      </c>
      <c r="I150" s="7">
        <v>0.12</v>
      </c>
      <c r="J150" s="6">
        <v>26162</v>
      </c>
      <c r="K150" s="4">
        <v>5</v>
      </c>
      <c r="L150" s="8">
        <f t="shared" si="2"/>
        <v>3.3</v>
      </c>
      <c r="M150" s="6" t="str">
        <f>_xlfn.XLOOKUP(FactSales[[#This Row],[Product_ID]],DimProduct[Product_ID],DimProduct[Product_Name])</f>
        <v>USB-C Hub</v>
      </c>
      <c r="N150" s="6" t="str">
        <f>_xlfn.XLOOKUP(FactSales[[#This Row],[Product_ID]],DimProduct[Product_ID],DimProduct[Category])</f>
        <v>Electronics</v>
      </c>
      <c r="O150" s="6">
        <f>_xlfn.XLOOKUP(FactSales[[#This Row],[Product_ID]],DimProduct[Product_ID],DimProduct[Unit_Price])</f>
        <v>4890</v>
      </c>
      <c r="P150" s="6">
        <f>_xlfn.XLOOKUP(FactSales[[#This Row],[Product_ID]],DimProduct[Product_ID],DimProduct[Unit_Cost])</f>
        <v>3330</v>
      </c>
      <c r="Q150" s="6">
        <f>FactSales[[#This Row],[Unit_Price]]*FactSales[[#This Row],[Quantity_Sold]]</f>
        <v>24450</v>
      </c>
      <c r="R150" s="6">
        <f>FactSales[[#This Row],[Unit_Cost]]*FactSales[[#This Row],[Quantity_Sold]]</f>
        <v>16650</v>
      </c>
      <c r="S150" s="6">
        <f>FactSales[[#This Row],[Sales_Amount]]-FactSales[[#This Row],[Total_Cost]]</f>
        <v>7800</v>
      </c>
      <c r="T150" s="6" t="str">
        <f>_xlfn.XLOOKUP(FactSales[[#This Row],[Customer_ID]],DimCustomer[Customer_ID],DimCustomer[Customer_Name])</f>
        <v>Fahim Akter</v>
      </c>
      <c r="U150" s="6" t="str">
        <f>_xlfn.XLOOKUP(FactSales[[#This Row],[Salesperson_ID]],DimSalesman[Salesperson_ID],DimSalesman[Salesperson_Name])</f>
        <v>Mehedi Chowdhury</v>
      </c>
      <c r="V150" s="6" t="str">
        <f>_xlfn.XLOOKUP(FactSales[[#This Row],[Region_ID]],DimRegion[Region_ID],DimRegion[Region_Name])</f>
        <v>Sylhet</v>
      </c>
      <c r="W150" s="6" t="str">
        <f>_xlfn.XLOOKUP(FactSales[[#This Row],[Store_ID]],DimStore[Store_ID],DimStore[Store_Name])</f>
        <v>Sylhet Upashahar Store</v>
      </c>
    </row>
    <row r="151" spans="1:23">
      <c r="A151" s="4" t="s">
        <v>1147</v>
      </c>
      <c r="B151" s="5">
        <v>46037</v>
      </c>
      <c r="C151" s="4" t="s">
        <v>320</v>
      </c>
      <c r="D151" s="4" t="s">
        <v>42</v>
      </c>
      <c r="E151" s="4" t="s">
        <v>680</v>
      </c>
      <c r="F151" s="4" t="s">
        <v>949</v>
      </c>
      <c r="G151" s="4" t="s">
        <v>790</v>
      </c>
      <c r="H151" s="4">
        <v>3</v>
      </c>
      <c r="I151" s="7">
        <v>0.1</v>
      </c>
      <c r="J151" s="6">
        <v>6448</v>
      </c>
      <c r="K151" s="4">
        <v>4</v>
      </c>
      <c r="L151" s="8">
        <f t="shared" si="2"/>
        <v>3.7</v>
      </c>
      <c r="M151" s="6" t="str">
        <f>_xlfn.XLOOKUP(FactSales[[#This Row],[Product_ID]],DimProduct[Product_ID],DimProduct[Product_Name])</f>
        <v>Women Kurti</v>
      </c>
      <c r="N151" s="6" t="str">
        <f>_xlfn.XLOOKUP(FactSales[[#This Row],[Product_ID]],DimProduct[Product_ID],DimProduct[Category])</f>
        <v>Fashion</v>
      </c>
      <c r="O151" s="6">
        <f>_xlfn.XLOOKUP(FactSales[[#This Row],[Product_ID]],DimProduct[Product_ID],DimProduct[Unit_Price])</f>
        <v>1990</v>
      </c>
      <c r="P151" s="6">
        <f>_xlfn.XLOOKUP(FactSales[[#This Row],[Product_ID]],DimProduct[Product_ID],DimProduct[Unit_Cost])</f>
        <v>1090</v>
      </c>
      <c r="Q151" s="6">
        <f>FactSales[[#This Row],[Unit_Price]]*FactSales[[#This Row],[Quantity_Sold]]</f>
        <v>5970</v>
      </c>
      <c r="R151" s="6">
        <f>FactSales[[#This Row],[Unit_Cost]]*FactSales[[#This Row],[Quantity_Sold]]</f>
        <v>3270</v>
      </c>
      <c r="S151" s="6">
        <f>FactSales[[#This Row],[Sales_Amount]]-FactSales[[#This Row],[Total_Cost]]</f>
        <v>2700</v>
      </c>
      <c r="T151" s="6" t="str">
        <f>_xlfn.XLOOKUP(FactSales[[#This Row],[Customer_ID]],DimCustomer[Customer_ID],DimCustomer[Customer_Name])</f>
        <v>Shuvo Sultana</v>
      </c>
      <c r="U151" s="6" t="str">
        <f>_xlfn.XLOOKUP(FactSales[[#This Row],[Salesperson_ID]],DimSalesman[Salesperson_ID],DimSalesman[Salesperson_Name])</f>
        <v>Mahmud Chowdhury</v>
      </c>
      <c r="V151" s="6" t="str">
        <f>_xlfn.XLOOKUP(FactSales[[#This Row],[Region_ID]],DimRegion[Region_ID],DimRegion[Region_Name])</f>
        <v>Rajshahi</v>
      </c>
      <c r="W151" s="6" t="str">
        <f>_xlfn.XLOOKUP(FactSales[[#This Row],[Store_ID]],DimStore[Store_ID],DimStore[Store_Name])</f>
        <v>Rajshahi Lakshmipur Store</v>
      </c>
    </row>
    <row r="152" spans="1:23">
      <c r="A152" s="4" t="s">
        <v>1148</v>
      </c>
      <c r="B152" s="5">
        <v>46065</v>
      </c>
      <c r="C152" s="4" t="s">
        <v>381</v>
      </c>
      <c r="D152" s="4" t="s">
        <v>47</v>
      </c>
      <c r="E152" s="4" t="s">
        <v>695</v>
      </c>
      <c r="F152" s="4" t="s">
        <v>954</v>
      </c>
      <c r="G152" s="4" t="s">
        <v>859</v>
      </c>
      <c r="H152" s="4">
        <v>4</v>
      </c>
      <c r="I152" s="7">
        <v>0.03</v>
      </c>
      <c r="J152" s="6">
        <v>11903</v>
      </c>
      <c r="K152" s="4">
        <v>3</v>
      </c>
      <c r="L152" s="8">
        <f t="shared" si="2"/>
        <v>4.2</v>
      </c>
      <c r="M152" s="6" t="str">
        <f>_xlfn.XLOOKUP(FactSales[[#This Row],[Product_ID]],DimProduct[Product_ID],DimProduct[Product_Name])</f>
        <v>Yoga Mat</v>
      </c>
      <c r="N152" s="6" t="str">
        <f>_xlfn.XLOOKUP(FactSales[[#This Row],[Product_ID]],DimProduct[Product_ID],DimProduct[Category])</f>
        <v>Sports</v>
      </c>
      <c r="O152" s="6">
        <f>_xlfn.XLOOKUP(FactSales[[#This Row],[Product_ID]],DimProduct[Product_ID],DimProduct[Unit_Price])</f>
        <v>2730</v>
      </c>
      <c r="P152" s="6">
        <f>_xlfn.XLOOKUP(FactSales[[#This Row],[Product_ID]],DimProduct[Product_ID],DimProduct[Unit_Cost])</f>
        <v>1690</v>
      </c>
      <c r="Q152" s="6">
        <f>FactSales[[#This Row],[Unit_Price]]*FactSales[[#This Row],[Quantity_Sold]]</f>
        <v>10920</v>
      </c>
      <c r="R152" s="6">
        <f>FactSales[[#This Row],[Unit_Cost]]*FactSales[[#This Row],[Quantity_Sold]]</f>
        <v>6760</v>
      </c>
      <c r="S152" s="6">
        <f>FactSales[[#This Row],[Sales_Amount]]-FactSales[[#This Row],[Total_Cost]]</f>
        <v>4160</v>
      </c>
      <c r="T152" s="6" t="str">
        <f>_xlfn.XLOOKUP(FactSales[[#This Row],[Customer_ID]],DimCustomer[Customer_ID],DimCustomer[Customer_Name])</f>
        <v>Nabila Islam</v>
      </c>
      <c r="U152" s="6" t="str">
        <f>_xlfn.XLOOKUP(FactSales[[#This Row],[Salesperson_ID]],DimSalesman[Salesperson_ID],DimSalesman[Salesperson_Name])</f>
        <v>Sadia Sultana</v>
      </c>
      <c r="V152" s="6" t="str">
        <f>_xlfn.XLOOKUP(FactSales[[#This Row],[Region_ID]],DimRegion[Region_ID],DimRegion[Region_Name])</f>
        <v>Khulna</v>
      </c>
      <c r="W152" s="6" t="str">
        <f>_xlfn.XLOOKUP(FactSales[[#This Row],[Store_ID]],DimStore[Store_ID],DimStore[Store_Name])</f>
        <v>Khulna Shibbari Store</v>
      </c>
    </row>
    <row r="153" spans="1:23">
      <c r="A153" s="4" t="s">
        <v>1149</v>
      </c>
      <c r="B153" s="5">
        <v>46004</v>
      </c>
      <c r="C153" s="4" t="s">
        <v>225</v>
      </c>
      <c r="D153" s="4" t="s">
        <v>37</v>
      </c>
      <c r="E153" s="4" t="s">
        <v>656</v>
      </c>
      <c r="F153" s="4" t="s">
        <v>939</v>
      </c>
      <c r="G153" s="4" t="s">
        <v>781</v>
      </c>
      <c r="H153" s="4">
        <v>7</v>
      </c>
      <c r="I153" s="7">
        <v>0.08</v>
      </c>
      <c r="J153" s="6">
        <v>23294</v>
      </c>
      <c r="K153" s="4">
        <v>3</v>
      </c>
      <c r="L153" s="8">
        <f t="shared" si="2"/>
        <v>4.0999999999999996</v>
      </c>
      <c r="M153" s="6" t="str">
        <f>_xlfn.XLOOKUP(FactSales[[#This Row],[Product_ID]],DimProduct[Product_ID],DimProduct[Product_Name])</f>
        <v>Table Fan</v>
      </c>
      <c r="N153" s="6" t="str">
        <f>_xlfn.XLOOKUP(FactSales[[#This Row],[Product_ID]],DimProduct[Product_ID],DimProduct[Category])</f>
        <v>Home Appliance</v>
      </c>
      <c r="O153" s="6">
        <f>_xlfn.XLOOKUP(FactSales[[#This Row],[Product_ID]],DimProduct[Product_ID],DimProduct[Unit_Price])</f>
        <v>3110</v>
      </c>
      <c r="P153" s="6">
        <f>_xlfn.XLOOKUP(FactSales[[#This Row],[Product_ID]],DimProduct[Product_ID],DimProduct[Unit_Cost])</f>
        <v>2180</v>
      </c>
      <c r="Q153" s="6">
        <f>FactSales[[#This Row],[Unit_Price]]*FactSales[[#This Row],[Quantity_Sold]]</f>
        <v>21770</v>
      </c>
      <c r="R153" s="6">
        <f>FactSales[[#This Row],[Unit_Cost]]*FactSales[[#This Row],[Quantity_Sold]]</f>
        <v>15260</v>
      </c>
      <c r="S153" s="6">
        <f>FactSales[[#This Row],[Sales_Amount]]-FactSales[[#This Row],[Total_Cost]]</f>
        <v>6510</v>
      </c>
      <c r="T153" s="6" t="str">
        <f>_xlfn.XLOOKUP(FactSales[[#This Row],[Customer_ID]],DimCustomer[Customer_ID],DimCustomer[Customer_Name])</f>
        <v>Tania Akter</v>
      </c>
      <c r="U153" s="6" t="str">
        <f>_xlfn.XLOOKUP(FactSales[[#This Row],[Salesperson_ID]],DimSalesman[Salesperson_ID],DimSalesman[Salesperson_Name])</f>
        <v>Fahim Mia</v>
      </c>
      <c r="V153" s="6" t="str">
        <f>_xlfn.XLOOKUP(FactSales[[#This Row],[Region_ID]],DimRegion[Region_ID],DimRegion[Region_Name])</f>
        <v>Sylhet</v>
      </c>
      <c r="W153" s="6" t="str">
        <f>_xlfn.XLOOKUP(FactSales[[#This Row],[Store_ID]],DimStore[Store_ID],DimStore[Store_Name])</f>
        <v>Sylhet Ambarkhana Store</v>
      </c>
    </row>
    <row r="154" spans="1:23">
      <c r="A154" s="4" t="s">
        <v>1150</v>
      </c>
      <c r="B154" s="5">
        <v>46140</v>
      </c>
      <c r="C154" s="4" t="s">
        <v>251</v>
      </c>
      <c r="D154" s="4" t="s">
        <v>37</v>
      </c>
      <c r="E154" s="4" t="s">
        <v>653</v>
      </c>
      <c r="F154" s="4" t="s">
        <v>932</v>
      </c>
      <c r="G154" s="4" t="s">
        <v>871</v>
      </c>
      <c r="H154" s="4">
        <v>7</v>
      </c>
      <c r="I154" s="7">
        <v>0</v>
      </c>
      <c r="J154" s="6">
        <v>2547</v>
      </c>
      <c r="K154" s="4">
        <v>4</v>
      </c>
      <c r="L154" s="8">
        <f t="shared" si="2"/>
        <v>3.9</v>
      </c>
      <c r="M154" s="6" t="str">
        <f>_xlfn.XLOOKUP(FactSales[[#This Row],[Product_ID]],DimProduct[Product_ID],DimProduct[Product_Name])</f>
        <v>Office File Set</v>
      </c>
      <c r="N154" s="6" t="str">
        <f>_xlfn.XLOOKUP(FactSales[[#This Row],[Product_ID]],DimProduct[Product_ID],DimProduct[Category])</f>
        <v>Stationery</v>
      </c>
      <c r="O154" s="6">
        <f>_xlfn.XLOOKUP(FactSales[[#This Row],[Product_ID]],DimProduct[Product_ID],DimProduct[Unit_Price])</f>
        <v>340</v>
      </c>
      <c r="P154" s="6">
        <f>_xlfn.XLOOKUP(FactSales[[#This Row],[Product_ID]],DimProduct[Product_ID],DimProduct[Unit_Cost])</f>
        <v>170</v>
      </c>
      <c r="Q154" s="6">
        <f>FactSales[[#This Row],[Unit_Price]]*FactSales[[#This Row],[Quantity_Sold]]</f>
        <v>2380</v>
      </c>
      <c r="R154" s="6">
        <f>FactSales[[#This Row],[Unit_Cost]]*FactSales[[#This Row],[Quantity_Sold]]</f>
        <v>1190</v>
      </c>
      <c r="S154" s="6">
        <f>FactSales[[#This Row],[Sales_Amount]]-FactSales[[#This Row],[Total_Cost]]</f>
        <v>1190</v>
      </c>
      <c r="T154" s="6" t="str">
        <f>_xlfn.XLOOKUP(FactSales[[#This Row],[Customer_ID]],DimCustomer[Customer_ID],DimCustomer[Customer_Name])</f>
        <v>Rasel Islam</v>
      </c>
      <c r="U154" s="6" t="str">
        <f>_xlfn.XLOOKUP(FactSales[[#This Row],[Salesperson_ID]],DimSalesman[Salesperson_ID],DimSalesman[Salesperson_Name])</f>
        <v>Morshed Chowdhury</v>
      </c>
      <c r="V154" s="6" t="str">
        <f>_xlfn.XLOOKUP(FactSales[[#This Row],[Region_ID]],DimRegion[Region_ID],DimRegion[Region_Name])</f>
        <v>Sylhet</v>
      </c>
      <c r="W154" s="6" t="str">
        <f>_xlfn.XLOOKUP(FactSales[[#This Row],[Store_ID]],DimStore[Store_ID],DimStore[Store_Name])</f>
        <v>Sylhet Zindabazar Store</v>
      </c>
    </row>
    <row r="155" spans="1:23">
      <c r="A155" s="4" t="s">
        <v>1151</v>
      </c>
      <c r="B155" s="5">
        <v>46068</v>
      </c>
      <c r="C155" s="4" t="s">
        <v>202</v>
      </c>
      <c r="D155" s="4" t="s">
        <v>32</v>
      </c>
      <c r="E155" s="4" t="s">
        <v>638</v>
      </c>
      <c r="F155" s="4" t="s">
        <v>931</v>
      </c>
      <c r="G155" s="4" t="s">
        <v>778</v>
      </c>
      <c r="H155" s="4">
        <v>3</v>
      </c>
      <c r="I155" s="7">
        <v>0.18</v>
      </c>
      <c r="J155" s="6">
        <v>15595</v>
      </c>
      <c r="K155" s="4">
        <v>7</v>
      </c>
      <c r="L155" s="8">
        <f t="shared" si="2"/>
        <v>2.6</v>
      </c>
      <c r="M155" s="6" t="str">
        <f>_xlfn.XLOOKUP(FactSales[[#This Row],[Product_ID]],DimProduct[Product_ID],DimProduct[Product_Name])</f>
        <v>Steam Iron</v>
      </c>
      <c r="N155" s="6" t="str">
        <f>_xlfn.XLOOKUP(FactSales[[#This Row],[Product_ID]],DimProduct[Product_ID],DimProduct[Category])</f>
        <v>Home Appliance</v>
      </c>
      <c r="O155" s="6">
        <f>_xlfn.XLOOKUP(FactSales[[#This Row],[Product_ID]],DimProduct[Product_ID],DimProduct[Unit_Price])</f>
        <v>4560</v>
      </c>
      <c r="P155" s="6">
        <f>_xlfn.XLOOKUP(FactSales[[#This Row],[Product_ID]],DimProduct[Product_ID],DimProduct[Unit_Cost])</f>
        <v>3190</v>
      </c>
      <c r="Q155" s="6">
        <f>FactSales[[#This Row],[Unit_Price]]*FactSales[[#This Row],[Quantity_Sold]]</f>
        <v>13680</v>
      </c>
      <c r="R155" s="6">
        <f>FactSales[[#This Row],[Unit_Cost]]*FactSales[[#This Row],[Quantity_Sold]]</f>
        <v>9570</v>
      </c>
      <c r="S155" s="6">
        <f>FactSales[[#This Row],[Sales_Amount]]-FactSales[[#This Row],[Total_Cost]]</f>
        <v>4110</v>
      </c>
      <c r="T155" s="6" t="str">
        <f>_xlfn.XLOOKUP(FactSales[[#This Row],[Customer_ID]],DimCustomer[Customer_ID],DimCustomer[Customer_Name])</f>
        <v>Shuvo Uddin</v>
      </c>
      <c r="U155" s="6" t="str">
        <f>_xlfn.XLOOKUP(FactSales[[#This Row],[Salesperson_ID]],DimSalesman[Salesperson_ID],DimSalesman[Salesperson_Name])</f>
        <v>Sadia Islam</v>
      </c>
      <c r="V155" s="6" t="str">
        <f>_xlfn.XLOOKUP(FactSales[[#This Row],[Region_ID]],DimRegion[Region_ID],DimRegion[Region_Name])</f>
        <v>Chattogram</v>
      </c>
      <c r="W155" s="6" t="str">
        <f>_xlfn.XLOOKUP(FactSales[[#This Row],[Store_ID]],DimStore[Store_ID],DimStore[Store_Name])</f>
        <v>Chattogram Agrabad Store</v>
      </c>
    </row>
    <row r="156" spans="1:23">
      <c r="A156" s="4" t="s">
        <v>1152</v>
      </c>
      <c r="B156" s="5">
        <v>45837</v>
      </c>
      <c r="C156" s="4" t="s">
        <v>416</v>
      </c>
      <c r="D156" s="4" t="s">
        <v>47</v>
      </c>
      <c r="E156" s="4" t="s">
        <v>695</v>
      </c>
      <c r="F156" s="4" t="s">
        <v>952</v>
      </c>
      <c r="G156" s="4" t="s">
        <v>897</v>
      </c>
      <c r="H156" s="4">
        <v>3</v>
      </c>
      <c r="I156" s="7">
        <v>0.1</v>
      </c>
      <c r="J156" s="6">
        <v>38194</v>
      </c>
      <c r="K156" s="4">
        <v>9</v>
      </c>
      <c r="L156" s="8">
        <f t="shared" si="2"/>
        <v>2.1</v>
      </c>
      <c r="M156" s="6" t="str">
        <f>_xlfn.XLOOKUP(FactSales[[#This Row],[Product_ID]],DimProduct[Product_ID],DimProduct[Product_Name])</f>
        <v>Study Table</v>
      </c>
      <c r="N156" s="6" t="str">
        <f>_xlfn.XLOOKUP(FactSales[[#This Row],[Product_ID]],DimProduct[Product_ID],DimProduct[Category])</f>
        <v>Furniture</v>
      </c>
      <c r="O156" s="6">
        <f>_xlfn.XLOOKUP(FactSales[[#This Row],[Product_ID]],DimProduct[Product_ID],DimProduct[Unit_Price])</f>
        <v>11680</v>
      </c>
      <c r="P156" s="6">
        <f>_xlfn.XLOOKUP(FactSales[[#This Row],[Product_ID]],DimProduct[Product_ID],DimProduct[Unit_Cost])</f>
        <v>8410</v>
      </c>
      <c r="Q156" s="6">
        <f>FactSales[[#This Row],[Unit_Price]]*FactSales[[#This Row],[Quantity_Sold]]</f>
        <v>35040</v>
      </c>
      <c r="R156" s="6">
        <f>FactSales[[#This Row],[Unit_Cost]]*FactSales[[#This Row],[Quantity_Sold]]</f>
        <v>25230</v>
      </c>
      <c r="S156" s="6">
        <f>FactSales[[#This Row],[Sales_Amount]]-FactSales[[#This Row],[Total_Cost]]</f>
        <v>9810</v>
      </c>
      <c r="T156" s="6" t="str">
        <f>_xlfn.XLOOKUP(FactSales[[#This Row],[Customer_ID]],DimCustomer[Customer_ID],DimCustomer[Customer_Name])</f>
        <v>Ayesha Ahmed</v>
      </c>
      <c r="U156" s="6" t="str">
        <f>_xlfn.XLOOKUP(FactSales[[#This Row],[Salesperson_ID]],DimSalesman[Salesperson_ID],DimSalesman[Salesperson_Name])</f>
        <v>Samiha Islam</v>
      </c>
      <c r="V156" s="6" t="str">
        <f>_xlfn.XLOOKUP(FactSales[[#This Row],[Region_ID]],DimRegion[Region_ID],DimRegion[Region_Name])</f>
        <v>Khulna</v>
      </c>
      <c r="W156" s="6" t="str">
        <f>_xlfn.XLOOKUP(FactSales[[#This Row],[Store_ID]],DimStore[Store_ID],DimStore[Store_Name])</f>
        <v>Khulna Shibbari Store</v>
      </c>
    </row>
    <row r="157" spans="1:23">
      <c r="A157" s="4" t="s">
        <v>1153</v>
      </c>
      <c r="B157" s="5">
        <v>45895</v>
      </c>
      <c r="C157" s="4" t="s">
        <v>372</v>
      </c>
      <c r="D157" s="4" t="s">
        <v>47</v>
      </c>
      <c r="E157" s="4" t="s">
        <v>683</v>
      </c>
      <c r="F157" s="4" t="s">
        <v>956</v>
      </c>
      <c r="G157" s="4" t="s">
        <v>797</v>
      </c>
      <c r="H157" s="4">
        <v>3</v>
      </c>
      <c r="I157" s="7">
        <v>0.03</v>
      </c>
      <c r="J157" s="6">
        <v>8567</v>
      </c>
      <c r="K157" s="4">
        <v>3</v>
      </c>
      <c r="L157" s="8">
        <f t="shared" si="2"/>
        <v>4.2</v>
      </c>
      <c r="M157" s="6" t="str">
        <f>_xlfn.XLOOKUP(FactSales[[#This Row],[Product_ID]],DimProduct[Product_ID],DimProduct[Product_Name])</f>
        <v>Leather Belt</v>
      </c>
      <c r="N157" s="6" t="str">
        <f>_xlfn.XLOOKUP(FactSales[[#This Row],[Product_ID]],DimProduct[Product_ID],DimProduct[Category])</f>
        <v>Fashion</v>
      </c>
      <c r="O157" s="6">
        <f>_xlfn.XLOOKUP(FactSales[[#This Row],[Product_ID]],DimProduct[Product_ID],DimProduct[Unit_Price])</f>
        <v>2620</v>
      </c>
      <c r="P157" s="6">
        <f>_xlfn.XLOOKUP(FactSales[[#This Row],[Product_ID]],DimProduct[Product_ID],DimProduct[Unit_Cost])</f>
        <v>1440</v>
      </c>
      <c r="Q157" s="6">
        <f>FactSales[[#This Row],[Unit_Price]]*FactSales[[#This Row],[Quantity_Sold]]</f>
        <v>7860</v>
      </c>
      <c r="R157" s="6">
        <f>FactSales[[#This Row],[Unit_Cost]]*FactSales[[#This Row],[Quantity_Sold]]</f>
        <v>4320</v>
      </c>
      <c r="S157" s="6">
        <f>FactSales[[#This Row],[Sales_Amount]]-FactSales[[#This Row],[Total_Cost]]</f>
        <v>3540</v>
      </c>
      <c r="T157" s="6" t="str">
        <f>_xlfn.XLOOKUP(FactSales[[#This Row],[Customer_ID]],DimCustomer[Customer_ID],DimCustomer[Customer_Name])</f>
        <v>Mahmud Chowdhury</v>
      </c>
      <c r="U157" s="6" t="str">
        <f>_xlfn.XLOOKUP(FactSales[[#This Row],[Salesperson_ID]],DimSalesman[Salesperson_ID],DimSalesman[Salesperson_Name])</f>
        <v>Rafi Ahmed</v>
      </c>
      <c r="V157" s="6" t="str">
        <f>_xlfn.XLOOKUP(FactSales[[#This Row],[Region_ID]],DimRegion[Region_ID],DimRegion[Region_Name])</f>
        <v>Khulna</v>
      </c>
      <c r="W157" s="6" t="str">
        <f>_xlfn.XLOOKUP(FactSales[[#This Row],[Store_ID]],DimStore[Store_ID],DimStore[Store_Name])</f>
        <v>Khulna Sonadanga Store</v>
      </c>
    </row>
    <row r="158" spans="1:23">
      <c r="A158" s="4" t="s">
        <v>1154</v>
      </c>
      <c r="B158" s="5">
        <v>45940</v>
      </c>
      <c r="C158" s="4" t="s">
        <v>442</v>
      </c>
      <c r="D158" s="4" t="s">
        <v>52</v>
      </c>
      <c r="E158" s="4" t="s">
        <v>698</v>
      </c>
      <c r="F158" s="4" t="s">
        <v>961</v>
      </c>
      <c r="G158" s="4" t="s">
        <v>755</v>
      </c>
      <c r="H158" s="4">
        <v>4</v>
      </c>
      <c r="I158" s="7">
        <v>0.12</v>
      </c>
      <c r="J158" s="6">
        <v>14963</v>
      </c>
      <c r="K158" s="4">
        <v>4</v>
      </c>
      <c r="L158" s="8">
        <f t="shared" si="2"/>
        <v>3.7</v>
      </c>
      <c r="M158" s="6" t="str">
        <f>_xlfn.XLOOKUP(FactSales[[#This Row],[Product_ID]],DimProduct[Product_ID],DimProduct[Product_Name])</f>
        <v>Wireless Mouse</v>
      </c>
      <c r="N158" s="6" t="str">
        <f>_xlfn.XLOOKUP(FactSales[[#This Row],[Product_ID]],DimProduct[Product_ID],DimProduct[Category])</f>
        <v>Electronics</v>
      </c>
      <c r="O158" s="6">
        <f>_xlfn.XLOOKUP(FactSales[[#This Row],[Product_ID]],DimProduct[Product_ID],DimProduct[Unit_Price])</f>
        <v>3340</v>
      </c>
      <c r="P158" s="6">
        <f>_xlfn.XLOOKUP(FactSales[[#This Row],[Product_ID]],DimProduct[Product_ID],DimProduct[Unit_Cost])</f>
        <v>2270</v>
      </c>
      <c r="Q158" s="6">
        <f>FactSales[[#This Row],[Unit_Price]]*FactSales[[#This Row],[Quantity_Sold]]</f>
        <v>13360</v>
      </c>
      <c r="R158" s="6">
        <f>FactSales[[#This Row],[Unit_Cost]]*FactSales[[#This Row],[Quantity_Sold]]</f>
        <v>9080</v>
      </c>
      <c r="S158" s="6">
        <f>FactSales[[#This Row],[Sales_Amount]]-FactSales[[#This Row],[Total_Cost]]</f>
        <v>4280</v>
      </c>
      <c r="T158" s="6" t="str">
        <f>_xlfn.XLOOKUP(FactSales[[#This Row],[Customer_ID]],DimCustomer[Customer_ID],DimCustomer[Customer_Name])</f>
        <v>Rasel Chowdhury</v>
      </c>
      <c r="U158" s="6" t="str">
        <f>_xlfn.XLOOKUP(FactSales[[#This Row],[Salesperson_ID]],DimSalesman[Salesperson_ID],DimSalesman[Salesperson_Name])</f>
        <v>Shaila Akter</v>
      </c>
      <c r="V158" s="6" t="str">
        <f>_xlfn.XLOOKUP(FactSales[[#This Row],[Region_ID]],DimRegion[Region_ID],DimRegion[Region_Name])</f>
        <v>Barishal</v>
      </c>
      <c r="W158" s="6" t="str">
        <f>_xlfn.XLOOKUP(FactSales[[#This Row],[Store_ID]],DimStore[Store_ID],DimStore[Store_Name])</f>
        <v>Barishal Nathullabad Store</v>
      </c>
    </row>
    <row r="159" spans="1:23">
      <c r="A159" s="4" t="s">
        <v>1155</v>
      </c>
      <c r="B159" s="5">
        <v>45750</v>
      </c>
      <c r="C159" s="4" t="s">
        <v>329</v>
      </c>
      <c r="D159" s="4" t="s">
        <v>42</v>
      </c>
      <c r="E159" s="4" t="s">
        <v>668</v>
      </c>
      <c r="F159" s="4" t="s">
        <v>950</v>
      </c>
      <c r="G159" s="4" t="s">
        <v>844</v>
      </c>
      <c r="H159" s="4">
        <v>5</v>
      </c>
      <c r="I159" s="7">
        <v>0.12</v>
      </c>
      <c r="J159" s="6">
        <v>14472</v>
      </c>
      <c r="K159" s="4">
        <v>2</v>
      </c>
      <c r="L159" s="8">
        <f t="shared" si="2"/>
        <v>4.3</v>
      </c>
      <c r="M159" s="6" t="str">
        <f>_xlfn.XLOOKUP(FactSales[[#This Row],[Product_ID]],DimProduct[Product_ID],DimProduct[Product_Name])</f>
        <v>Kids Sneaker</v>
      </c>
      <c r="N159" s="6" t="str">
        <f>_xlfn.XLOOKUP(FactSales[[#This Row],[Product_ID]],DimProduct[Product_ID],DimProduct[Category])</f>
        <v>Footwear</v>
      </c>
      <c r="O159" s="6">
        <f>_xlfn.XLOOKUP(FactSales[[#This Row],[Product_ID]],DimProduct[Product_ID],DimProduct[Unit_Price])</f>
        <v>2680</v>
      </c>
      <c r="P159" s="6">
        <f>_xlfn.XLOOKUP(FactSales[[#This Row],[Product_ID]],DimProduct[Product_ID],DimProduct[Unit_Cost])</f>
        <v>1610</v>
      </c>
      <c r="Q159" s="6">
        <f>FactSales[[#This Row],[Unit_Price]]*FactSales[[#This Row],[Quantity_Sold]]</f>
        <v>13400</v>
      </c>
      <c r="R159" s="6">
        <f>FactSales[[#This Row],[Unit_Cost]]*FactSales[[#This Row],[Quantity_Sold]]</f>
        <v>8050</v>
      </c>
      <c r="S159" s="6">
        <f>FactSales[[#This Row],[Sales_Amount]]-FactSales[[#This Row],[Total_Cost]]</f>
        <v>5350</v>
      </c>
      <c r="T159" s="6" t="str">
        <f>_xlfn.XLOOKUP(FactSales[[#This Row],[Customer_ID]],DimCustomer[Customer_ID],DimCustomer[Customer_Name])</f>
        <v>Mim Chowdhury</v>
      </c>
      <c r="U159" s="6" t="str">
        <f>_xlfn.XLOOKUP(FactSales[[#This Row],[Salesperson_ID]],DimSalesman[Salesperson_ID],DimSalesman[Salesperson_Name])</f>
        <v>Mim Rahman</v>
      </c>
      <c r="V159" s="6" t="str">
        <f>_xlfn.XLOOKUP(FactSales[[#This Row],[Region_ID]],DimRegion[Region_ID],DimRegion[Region_Name])</f>
        <v>Rajshahi</v>
      </c>
      <c r="W159" s="6" t="str">
        <f>_xlfn.XLOOKUP(FactSales[[#This Row],[Store_ID]],DimStore[Store_ID],DimStore[Store_Name])</f>
        <v>Rajshahi Shaheb Bazar Store</v>
      </c>
    </row>
    <row r="160" spans="1:23">
      <c r="A160" s="4" t="s">
        <v>1156</v>
      </c>
      <c r="B160" s="5">
        <v>45857</v>
      </c>
      <c r="C160" s="4" t="s">
        <v>451</v>
      </c>
      <c r="D160" s="4" t="s">
        <v>52</v>
      </c>
      <c r="E160" s="4" t="s">
        <v>704</v>
      </c>
      <c r="F160" s="4" t="s">
        <v>961</v>
      </c>
      <c r="G160" s="4" t="s">
        <v>821</v>
      </c>
      <c r="H160" s="4">
        <v>2</v>
      </c>
      <c r="I160" s="7">
        <v>0.1</v>
      </c>
      <c r="J160" s="6">
        <v>3718</v>
      </c>
      <c r="K160" s="4">
        <v>4</v>
      </c>
      <c r="L160" s="8">
        <f t="shared" si="2"/>
        <v>3.7</v>
      </c>
      <c r="M160" s="6" t="str">
        <f>_xlfn.XLOOKUP(FactSales[[#This Row],[Product_ID]],DimProduct[Product_ID],DimProduct[Product_Name])</f>
        <v>Shampoo 375ml</v>
      </c>
      <c r="N160" s="6" t="str">
        <f>_xlfn.XLOOKUP(FactSales[[#This Row],[Product_ID]],DimProduct[Product_ID],DimProduct[Category])</f>
        <v>Beauty &amp; Personal Care</v>
      </c>
      <c r="O160" s="6">
        <f>_xlfn.XLOOKUP(FactSales[[#This Row],[Product_ID]],DimProduct[Product_ID],DimProduct[Unit_Price])</f>
        <v>1660</v>
      </c>
      <c r="P160" s="6">
        <f>_xlfn.XLOOKUP(FactSales[[#This Row],[Product_ID]],DimProduct[Product_ID],DimProduct[Unit_Cost])</f>
        <v>960</v>
      </c>
      <c r="Q160" s="6">
        <f>FactSales[[#This Row],[Unit_Price]]*FactSales[[#This Row],[Quantity_Sold]]</f>
        <v>3320</v>
      </c>
      <c r="R160" s="6">
        <f>FactSales[[#This Row],[Unit_Cost]]*FactSales[[#This Row],[Quantity_Sold]]</f>
        <v>1920</v>
      </c>
      <c r="S160" s="6">
        <f>FactSales[[#This Row],[Sales_Amount]]-FactSales[[#This Row],[Total_Cost]]</f>
        <v>1400</v>
      </c>
      <c r="T160" s="6" t="str">
        <f>_xlfn.XLOOKUP(FactSales[[#This Row],[Customer_ID]],DimCustomer[Customer_ID],DimCustomer[Customer_Name])</f>
        <v>Hasan Uddin</v>
      </c>
      <c r="U160" s="6" t="str">
        <f>_xlfn.XLOOKUP(FactSales[[#This Row],[Salesperson_ID]],DimSalesman[Salesperson_ID],DimSalesman[Salesperson_Name])</f>
        <v>Shaila Akter</v>
      </c>
      <c r="V160" s="6" t="str">
        <f>_xlfn.XLOOKUP(FactSales[[#This Row],[Region_ID]],DimRegion[Region_ID],DimRegion[Region_Name])</f>
        <v>Barishal</v>
      </c>
      <c r="W160" s="6" t="str">
        <f>_xlfn.XLOOKUP(FactSales[[#This Row],[Store_ID]],DimStore[Store_ID],DimStore[Store_Name])</f>
        <v>Barishal Rupatali Store</v>
      </c>
    </row>
    <row r="161" spans="1:23">
      <c r="A161" s="4" t="s">
        <v>1157</v>
      </c>
      <c r="B161" s="5">
        <v>45959</v>
      </c>
      <c r="C161" s="4" t="s">
        <v>528</v>
      </c>
      <c r="D161" s="4" t="s">
        <v>57</v>
      </c>
      <c r="E161" s="4" t="s">
        <v>713</v>
      </c>
      <c r="F161" s="4" t="s">
        <v>976</v>
      </c>
      <c r="G161" s="4" t="s">
        <v>755</v>
      </c>
      <c r="H161" s="4">
        <v>2</v>
      </c>
      <c r="I161" s="7">
        <v>0.08</v>
      </c>
      <c r="J161" s="6">
        <v>7682</v>
      </c>
      <c r="K161" s="4">
        <v>5</v>
      </c>
      <c r="L161" s="8">
        <f t="shared" si="2"/>
        <v>3.4</v>
      </c>
      <c r="M161" s="6" t="str">
        <f>_xlfn.XLOOKUP(FactSales[[#This Row],[Product_ID]],DimProduct[Product_ID],DimProduct[Product_Name])</f>
        <v>Wireless Mouse</v>
      </c>
      <c r="N161" s="6" t="str">
        <f>_xlfn.XLOOKUP(FactSales[[#This Row],[Product_ID]],DimProduct[Product_ID],DimProduct[Category])</f>
        <v>Electronics</v>
      </c>
      <c r="O161" s="6">
        <f>_xlfn.XLOOKUP(FactSales[[#This Row],[Product_ID]],DimProduct[Product_ID],DimProduct[Unit_Price])</f>
        <v>3340</v>
      </c>
      <c r="P161" s="6">
        <f>_xlfn.XLOOKUP(FactSales[[#This Row],[Product_ID]],DimProduct[Product_ID],DimProduct[Unit_Cost])</f>
        <v>2270</v>
      </c>
      <c r="Q161" s="6">
        <f>FactSales[[#This Row],[Unit_Price]]*FactSales[[#This Row],[Quantity_Sold]]</f>
        <v>6680</v>
      </c>
      <c r="R161" s="6">
        <f>FactSales[[#This Row],[Unit_Cost]]*FactSales[[#This Row],[Quantity_Sold]]</f>
        <v>4540</v>
      </c>
      <c r="S161" s="6">
        <f>FactSales[[#This Row],[Sales_Amount]]-FactSales[[#This Row],[Total_Cost]]</f>
        <v>2140</v>
      </c>
      <c r="T161" s="6" t="str">
        <f>_xlfn.XLOOKUP(FactSales[[#This Row],[Customer_ID]],DimCustomer[Customer_ID],DimCustomer[Customer_Name])</f>
        <v>Tamanna Mia</v>
      </c>
      <c r="U161" s="6" t="str">
        <f>_xlfn.XLOOKUP(FactSales[[#This Row],[Salesperson_ID]],DimSalesman[Salesperson_ID],DimSalesman[Salesperson_Name])</f>
        <v>Nayeem Rahman</v>
      </c>
      <c r="V161" s="6" t="str">
        <f>_xlfn.XLOOKUP(FactSales[[#This Row],[Region_ID]],DimRegion[Region_ID],DimRegion[Region_Name])</f>
        <v>Rangpur</v>
      </c>
      <c r="W161" s="6" t="str">
        <f>_xlfn.XLOOKUP(FactSales[[#This Row],[Store_ID]],DimStore[Store_ID],DimStore[Store_Name])</f>
        <v>Rangpur Jahaj Company Store</v>
      </c>
    </row>
    <row r="162" spans="1:23">
      <c r="A162" s="4" t="s">
        <v>1158</v>
      </c>
      <c r="B162" s="5">
        <v>46044</v>
      </c>
      <c r="C162" s="4" t="s">
        <v>404</v>
      </c>
      <c r="D162" s="4" t="s">
        <v>47</v>
      </c>
      <c r="E162" s="4" t="s">
        <v>695</v>
      </c>
      <c r="F162" s="4" t="s">
        <v>954</v>
      </c>
      <c r="G162" s="4" t="s">
        <v>841</v>
      </c>
      <c r="H162" s="4">
        <v>3</v>
      </c>
      <c r="I162" s="7">
        <v>0.05</v>
      </c>
      <c r="J162" s="6">
        <v>10529</v>
      </c>
      <c r="K162" s="4">
        <v>3</v>
      </c>
      <c r="L162" s="8">
        <f t="shared" si="2"/>
        <v>4.0999999999999996</v>
      </c>
      <c r="M162" s="6" t="str">
        <f>_xlfn.XLOOKUP(FactSales[[#This Row],[Product_ID]],DimProduct[Product_ID],DimProduct[Product_Name])</f>
        <v>Ladies Sandal</v>
      </c>
      <c r="N162" s="6" t="str">
        <f>_xlfn.XLOOKUP(FactSales[[#This Row],[Product_ID]],DimProduct[Product_ID],DimProduct[Category])</f>
        <v>Footwear</v>
      </c>
      <c r="O162" s="6">
        <f>_xlfn.XLOOKUP(FactSales[[#This Row],[Product_ID]],DimProduct[Product_ID],DimProduct[Unit_Price])</f>
        <v>3220</v>
      </c>
      <c r="P162" s="6">
        <f>_xlfn.XLOOKUP(FactSales[[#This Row],[Product_ID]],DimProduct[Product_ID],DimProduct[Unit_Cost])</f>
        <v>1930</v>
      </c>
      <c r="Q162" s="6">
        <f>FactSales[[#This Row],[Unit_Price]]*FactSales[[#This Row],[Quantity_Sold]]</f>
        <v>9660</v>
      </c>
      <c r="R162" s="6">
        <f>FactSales[[#This Row],[Unit_Cost]]*FactSales[[#This Row],[Quantity_Sold]]</f>
        <v>5790</v>
      </c>
      <c r="S162" s="6">
        <f>FactSales[[#This Row],[Sales_Amount]]-FactSales[[#This Row],[Total_Cost]]</f>
        <v>3870</v>
      </c>
      <c r="T162" s="6" t="str">
        <f>_xlfn.XLOOKUP(FactSales[[#This Row],[Customer_ID]],DimCustomer[Customer_ID],DimCustomer[Customer_Name])</f>
        <v>Ayesha Sultana</v>
      </c>
      <c r="U162" s="6" t="str">
        <f>_xlfn.XLOOKUP(FactSales[[#This Row],[Salesperson_ID]],DimSalesman[Salesperson_ID],DimSalesman[Salesperson_Name])</f>
        <v>Sadia Sultana</v>
      </c>
      <c r="V162" s="6" t="str">
        <f>_xlfn.XLOOKUP(FactSales[[#This Row],[Region_ID]],DimRegion[Region_ID],DimRegion[Region_Name])</f>
        <v>Khulna</v>
      </c>
      <c r="W162" s="6" t="str">
        <f>_xlfn.XLOOKUP(FactSales[[#This Row],[Store_ID]],DimStore[Store_ID],DimStore[Store_Name])</f>
        <v>Khulna Shibbari Store</v>
      </c>
    </row>
    <row r="163" spans="1:23">
      <c r="A163" s="4" t="s">
        <v>1159</v>
      </c>
      <c r="B163" s="5">
        <v>46151</v>
      </c>
      <c r="C163" s="4" t="s">
        <v>604</v>
      </c>
      <c r="D163" s="4" t="s">
        <v>62</v>
      </c>
      <c r="E163" s="4" t="s">
        <v>737</v>
      </c>
      <c r="F163" s="4" t="s">
        <v>985</v>
      </c>
      <c r="G163" s="4" t="s">
        <v>878</v>
      </c>
      <c r="H163" s="4">
        <v>1</v>
      </c>
      <c r="I163" s="7">
        <v>0.03</v>
      </c>
      <c r="J163" s="6">
        <v>907</v>
      </c>
      <c r="K163" s="4">
        <v>1</v>
      </c>
      <c r="L163" s="8">
        <f t="shared" si="2"/>
        <v>4.8</v>
      </c>
      <c r="M163" s="6" t="str">
        <f>_xlfn.XLOOKUP(FactSales[[#This Row],[Product_ID]],DimProduct[Product_ID],DimProduct[Product_Name])</f>
        <v>Building Blocks</v>
      </c>
      <c r="N163" s="6" t="str">
        <f>_xlfn.XLOOKUP(FactSales[[#This Row],[Product_ID]],DimProduct[Product_ID],DimProduct[Category])</f>
        <v>Kids &amp; Toys</v>
      </c>
      <c r="O163" s="6">
        <f>_xlfn.XLOOKUP(FactSales[[#This Row],[Product_ID]],DimProduct[Product_ID],DimProduct[Unit_Price])</f>
        <v>840</v>
      </c>
      <c r="P163" s="6">
        <f>_xlfn.XLOOKUP(FactSales[[#This Row],[Product_ID]],DimProduct[Product_ID],DimProduct[Unit_Cost])</f>
        <v>460</v>
      </c>
      <c r="Q163" s="6">
        <f>FactSales[[#This Row],[Unit_Price]]*FactSales[[#This Row],[Quantity_Sold]]</f>
        <v>840</v>
      </c>
      <c r="R163" s="6">
        <f>FactSales[[#This Row],[Unit_Cost]]*FactSales[[#This Row],[Quantity_Sold]]</f>
        <v>460</v>
      </c>
      <c r="S163" s="6">
        <f>FactSales[[#This Row],[Sales_Amount]]-FactSales[[#This Row],[Total_Cost]]</f>
        <v>380</v>
      </c>
      <c r="T163" s="6" t="str">
        <f>_xlfn.XLOOKUP(FactSales[[#This Row],[Customer_ID]],DimCustomer[Customer_ID],DimCustomer[Customer_Name])</f>
        <v>Shamim Rahman</v>
      </c>
      <c r="U163" s="6" t="str">
        <f>_xlfn.XLOOKUP(FactSales[[#This Row],[Salesperson_ID]],DimSalesman[Salesperson_ID],DimSalesman[Salesperson_Name])</f>
        <v>Tamanna Sultana</v>
      </c>
      <c r="V163" s="6" t="str">
        <f>_xlfn.XLOOKUP(FactSales[[#This Row],[Region_ID]],DimRegion[Region_ID],DimRegion[Region_Name])</f>
        <v>Mymensingh</v>
      </c>
      <c r="W163" s="6" t="str">
        <f>_xlfn.XLOOKUP(FactSales[[#This Row],[Store_ID]],DimStore[Store_ID],DimStore[Store_Name])</f>
        <v>Mymensingh Kewatkhali Store</v>
      </c>
    </row>
    <row r="164" spans="1:23">
      <c r="A164" s="4" t="s">
        <v>1160</v>
      </c>
      <c r="B164" s="5">
        <v>45981</v>
      </c>
      <c r="C164" s="4" t="s">
        <v>537</v>
      </c>
      <c r="D164" s="4" t="s">
        <v>57</v>
      </c>
      <c r="E164" s="4" t="s">
        <v>716</v>
      </c>
      <c r="F164" s="4" t="s">
        <v>977</v>
      </c>
      <c r="G164" s="4" t="s">
        <v>844</v>
      </c>
      <c r="H164" s="4">
        <v>2</v>
      </c>
      <c r="I164" s="7">
        <v>7.0000000000000007E-2</v>
      </c>
      <c r="J164" s="6">
        <v>6164</v>
      </c>
      <c r="K164" s="4">
        <v>6</v>
      </c>
      <c r="L164" s="8">
        <f t="shared" si="2"/>
        <v>3.1</v>
      </c>
      <c r="M164" s="6" t="str">
        <f>_xlfn.XLOOKUP(FactSales[[#This Row],[Product_ID]],DimProduct[Product_ID],DimProduct[Product_Name])</f>
        <v>Kids Sneaker</v>
      </c>
      <c r="N164" s="6" t="str">
        <f>_xlfn.XLOOKUP(FactSales[[#This Row],[Product_ID]],DimProduct[Product_ID],DimProduct[Category])</f>
        <v>Footwear</v>
      </c>
      <c r="O164" s="6">
        <f>_xlfn.XLOOKUP(FactSales[[#This Row],[Product_ID]],DimProduct[Product_ID],DimProduct[Unit_Price])</f>
        <v>2680</v>
      </c>
      <c r="P164" s="6">
        <f>_xlfn.XLOOKUP(FactSales[[#This Row],[Product_ID]],DimProduct[Product_ID],DimProduct[Unit_Cost])</f>
        <v>1610</v>
      </c>
      <c r="Q164" s="6">
        <f>FactSales[[#This Row],[Unit_Price]]*FactSales[[#This Row],[Quantity_Sold]]</f>
        <v>5360</v>
      </c>
      <c r="R164" s="6">
        <f>FactSales[[#This Row],[Unit_Cost]]*FactSales[[#This Row],[Quantity_Sold]]</f>
        <v>3220</v>
      </c>
      <c r="S164" s="6">
        <f>FactSales[[#This Row],[Sales_Amount]]-FactSales[[#This Row],[Total_Cost]]</f>
        <v>2140</v>
      </c>
      <c r="T164" s="6" t="str">
        <f>_xlfn.XLOOKUP(FactSales[[#This Row],[Customer_ID]],DimCustomer[Customer_ID],DimCustomer[Customer_Name])</f>
        <v>Mim Sultana</v>
      </c>
      <c r="U164" s="6" t="str">
        <f>_xlfn.XLOOKUP(FactSales[[#This Row],[Salesperson_ID]],DimSalesman[Salesperson_ID],DimSalesman[Salesperson_Name])</f>
        <v>Tania Hossain</v>
      </c>
      <c r="V164" s="6" t="str">
        <f>_xlfn.XLOOKUP(FactSales[[#This Row],[Region_ID]],DimRegion[Region_ID],DimRegion[Region_Name])</f>
        <v>Rangpur</v>
      </c>
      <c r="W164" s="6" t="str">
        <f>_xlfn.XLOOKUP(FactSales[[#This Row],[Store_ID]],DimStore[Store_ID],DimStore[Store_Name])</f>
        <v>Rangpur Shapla Chattar Store</v>
      </c>
    </row>
    <row r="165" spans="1:23">
      <c r="A165" s="4" t="s">
        <v>1161</v>
      </c>
      <c r="B165" s="5">
        <v>46008</v>
      </c>
      <c r="C165" s="4" t="s">
        <v>375</v>
      </c>
      <c r="D165" s="4" t="s">
        <v>47</v>
      </c>
      <c r="E165" s="4" t="s">
        <v>689</v>
      </c>
      <c r="F165" s="4" t="s">
        <v>952</v>
      </c>
      <c r="G165" s="4" t="s">
        <v>781</v>
      </c>
      <c r="H165" s="4">
        <v>1</v>
      </c>
      <c r="I165" s="7">
        <v>0.15</v>
      </c>
      <c r="J165" s="6">
        <v>3390</v>
      </c>
      <c r="K165" s="4">
        <v>5</v>
      </c>
      <c r="L165" s="8">
        <f t="shared" si="2"/>
        <v>3.3</v>
      </c>
      <c r="M165" s="6" t="str">
        <f>_xlfn.XLOOKUP(FactSales[[#This Row],[Product_ID]],DimProduct[Product_ID],DimProduct[Product_Name])</f>
        <v>Table Fan</v>
      </c>
      <c r="N165" s="6" t="str">
        <f>_xlfn.XLOOKUP(FactSales[[#This Row],[Product_ID]],DimProduct[Product_ID],DimProduct[Category])</f>
        <v>Home Appliance</v>
      </c>
      <c r="O165" s="6">
        <f>_xlfn.XLOOKUP(FactSales[[#This Row],[Product_ID]],DimProduct[Product_ID],DimProduct[Unit_Price])</f>
        <v>3110</v>
      </c>
      <c r="P165" s="6">
        <f>_xlfn.XLOOKUP(FactSales[[#This Row],[Product_ID]],DimProduct[Product_ID],DimProduct[Unit_Cost])</f>
        <v>2180</v>
      </c>
      <c r="Q165" s="6">
        <f>FactSales[[#This Row],[Unit_Price]]*FactSales[[#This Row],[Quantity_Sold]]</f>
        <v>3110</v>
      </c>
      <c r="R165" s="6">
        <f>FactSales[[#This Row],[Unit_Cost]]*FactSales[[#This Row],[Quantity_Sold]]</f>
        <v>2180</v>
      </c>
      <c r="S165" s="6">
        <f>FactSales[[#This Row],[Sales_Amount]]-FactSales[[#This Row],[Total_Cost]]</f>
        <v>930</v>
      </c>
      <c r="T165" s="6" t="str">
        <f>_xlfn.XLOOKUP(FactSales[[#This Row],[Customer_ID]],DimCustomer[Customer_ID],DimCustomer[Customer_Name])</f>
        <v>Jannat Rahman</v>
      </c>
      <c r="U165" s="6" t="str">
        <f>_xlfn.XLOOKUP(FactSales[[#This Row],[Salesperson_ID]],DimSalesman[Salesperson_ID],DimSalesman[Salesperson_Name])</f>
        <v>Samiha Islam</v>
      </c>
      <c r="V165" s="6" t="str">
        <f>_xlfn.XLOOKUP(FactSales[[#This Row],[Region_ID]],DimRegion[Region_ID],DimRegion[Region_Name])</f>
        <v>Khulna</v>
      </c>
      <c r="W165" s="6" t="str">
        <f>_xlfn.XLOOKUP(FactSales[[#This Row],[Store_ID]],DimStore[Store_ID],DimStore[Store_Name])</f>
        <v>Khulna Daulatpur Store</v>
      </c>
    </row>
    <row r="166" spans="1:23">
      <c r="A166" s="4" t="s">
        <v>1162</v>
      </c>
      <c r="B166" s="5">
        <v>45852</v>
      </c>
      <c r="C166" s="4" t="s">
        <v>451</v>
      </c>
      <c r="D166" s="4" t="s">
        <v>52</v>
      </c>
      <c r="E166" s="4" t="s">
        <v>701</v>
      </c>
      <c r="F166" s="4" t="s">
        <v>965</v>
      </c>
      <c r="G166" s="4" t="s">
        <v>765</v>
      </c>
      <c r="H166" s="4">
        <v>2</v>
      </c>
      <c r="I166" s="7">
        <v>0.1</v>
      </c>
      <c r="J166" s="6">
        <v>10954</v>
      </c>
      <c r="K166" s="4">
        <v>5</v>
      </c>
      <c r="L166" s="8">
        <f t="shared" si="2"/>
        <v>3.4</v>
      </c>
      <c r="M166" s="6" t="str">
        <f>_xlfn.XLOOKUP(FactSales[[#This Row],[Product_ID]],DimProduct[Product_ID],DimProduct[Product_Name])</f>
        <v>USB-C Hub</v>
      </c>
      <c r="N166" s="6" t="str">
        <f>_xlfn.XLOOKUP(FactSales[[#This Row],[Product_ID]],DimProduct[Product_ID],DimProduct[Category])</f>
        <v>Electronics</v>
      </c>
      <c r="O166" s="6">
        <f>_xlfn.XLOOKUP(FactSales[[#This Row],[Product_ID]],DimProduct[Product_ID],DimProduct[Unit_Price])</f>
        <v>4890</v>
      </c>
      <c r="P166" s="6">
        <f>_xlfn.XLOOKUP(FactSales[[#This Row],[Product_ID]],DimProduct[Product_ID],DimProduct[Unit_Cost])</f>
        <v>3330</v>
      </c>
      <c r="Q166" s="6">
        <f>FactSales[[#This Row],[Unit_Price]]*FactSales[[#This Row],[Quantity_Sold]]</f>
        <v>9780</v>
      </c>
      <c r="R166" s="6">
        <f>FactSales[[#This Row],[Unit_Cost]]*FactSales[[#This Row],[Quantity_Sold]]</f>
        <v>6660</v>
      </c>
      <c r="S166" s="6">
        <f>FactSales[[#This Row],[Sales_Amount]]-FactSales[[#This Row],[Total_Cost]]</f>
        <v>3120</v>
      </c>
      <c r="T166" s="6" t="str">
        <f>_xlfn.XLOOKUP(FactSales[[#This Row],[Customer_ID]],DimCustomer[Customer_ID],DimCustomer[Customer_Name])</f>
        <v>Hasan Uddin</v>
      </c>
      <c r="U166" s="6" t="str">
        <f>_xlfn.XLOOKUP(FactSales[[#This Row],[Salesperson_ID]],DimSalesman[Salesperson_ID],DimSalesman[Salesperson_Name])</f>
        <v>Mehedi Khan</v>
      </c>
      <c r="V166" s="6" t="str">
        <f>_xlfn.XLOOKUP(FactSales[[#This Row],[Region_ID]],DimRegion[Region_ID],DimRegion[Region_Name])</f>
        <v>Barishal</v>
      </c>
      <c r="W166" s="6" t="str">
        <f>_xlfn.XLOOKUP(FactSales[[#This Row],[Store_ID]],DimStore[Store_ID],DimStore[Store_Name])</f>
        <v>Barishal Sadar Road Store</v>
      </c>
    </row>
    <row r="167" spans="1:23">
      <c r="A167" s="4" t="s">
        <v>1163</v>
      </c>
      <c r="B167" s="5">
        <v>46022</v>
      </c>
      <c r="C167" s="4" t="s">
        <v>372</v>
      </c>
      <c r="D167" s="4" t="s">
        <v>47</v>
      </c>
      <c r="E167" s="4" t="s">
        <v>686</v>
      </c>
      <c r="F167" s="4" t="s">
        <v>953</v>
      </c>
      <c r="G167" s="4" t="s">
        <v>874</v>
      </c>
      <c r="H167" s="4">
        <v>1</v>
      </c>
      <c r="I167" s="7">
        <v>0</v>
      </c>
      <c r="J167" s="6">
        <v>1134</v>
      </c>
      <c r="K167" s="4">
        <v>4</v>
      </c>
      <c r="L167" s="8">
        <f t="shared" si="2"/>
        <v>3.9</v>
      </c>
      <c r="M167" s="6" t="str">
        <f>_xlfn.XLOOKUP(FactSales[[#This Row],[Product_ID]],DimProduct[Product_ID],DimProduct[Product_Name])</f>
        <v>Marker Set</v>
      </c>
      <c r="N167" s="6" t="str">
        <f>_xlfn.XLOOKUP(FactSales[[#This Row],[Product_ID]],DimProduct[Product_ID],DimProduct[Category])</f>
        <v>Stationery</v>
      </c>
      <c r="O167" s="6">
        <f>_xlfn.XLOOKUP(FactSales[[#This Row],[Product_ID]],DimProduct[Product_ID],DimProduct[Unit_Price])</f>
        <v>1040</v>
      </c>
      <c r="P167" s="6">
        <f>_xlfn.XLOOKUP(FactSales[[#This Row],[Product_ID]],DimProduct[Product_ID],DimProduct[Unit_Cost])</f>
        <v>520</v>
      </c>
      <c r="Q167" s="6">
        <f>FactSales[[#This Row],[Unit_Price]]*FactSales[[#This Row],[Quantity_Sold]]</f>
        <v>1040</v>
      </c>
      <c r="R167" s="6">
        <f>FactSales[[#This Row],[Unit_Cost]]*FactSales[[#This Row],[Quantity_Sold]]</f>
        <v>520</v>
      </c>
      <c r="S167" s="6">
        <f>FactSales[[#This Row],[Sales_Amount]]-FactSales[[#This Row],[Total_Cost]]</f>
        <v>520</v>
      </c>
      <c r="T167" s="6" t="str">
        <f>_xlfn.XLOOKUP(FactSales[[#This Row],[Customer_ID]],DimCustomer[Customer_ID],DimCustomer[Customer_Name])</f>
        <v>Mahmud Chowdhury</v>
      </c>
      <c r="U167" s="6" t="str">
        <f>_xlfn.XLOOKUP(FactSales[[#This Row],[Salesperson_ID]],DimSalesman[Salesperson_ID],DimSalesman[Salesperson_Name])</f>
        <v>Nusrat Akter</v>
      </c>
      <c r="V167" s="6" t="str">
        <f>_xlfn.XLOOKUP(FactSales[[#This Row],[Region_ID]],DimRegion[Region_ID],DimRegion[Region_Name])</f>
        <v>Khulna</v>
      </c>
      <c r="W167" s="6" t="str">
        <f>_xlfn.XLOOKUP(FactSales[[#This Row],[Store_ID]],DimStore[Store_ID],DimStore[Store_Name])</f>
        <v>Khulna Khalishpur Store</v>
      </c>
    </row>
    <row r="168" spans="1:23">
      <c r="A168" s="4" t="s">
        <v>1164</v>
      </c>
      <c r="B168" s="5">
        <v>45701</v>
      </c>
      <c r="C168" s="4" t="s">
        <v>207</v>
      </c>
      <c r="D168" s="4" t="s">
        <v>32</v>
      </c>
      <c r="E168" s="4" t="s">
        <v>647</v>
      </c>
      <c r="F168" s="4" t="s">
        <v>929</v>
      </c>
      <c r="G168" s="4" t="s">
        <v>750</v>
      </c>
      <c r="H168" s="4">
        <v>5</v>
      </c>
      <c r="I168" s="7">
        <v>0.12</v>
      </c>
      <c r="J168" s="6">
        <v>18468</v>
      </c>
      <c r="K168" s="4">
        <v>3</v>
      </c>
      <c r="L168" s="8">
        <f t="shared" si="2"/>
        <v>4</v>
      </c>
      <c r="M168" s="6" t="str">
        <f>_xlfn.XLOOKUP(FactSales[[#This Row],[Product_ID]],DimProduct[Product_ID],DimProduct[Product_Name])</f>
        <v>Bluetooth Speaker</v>
      </c>
      <c r="N168" s="6" t="str">
        <f>_xlfn.XLOOKUP(FactSales[[#This Row],[Product_ID]],DimProduct[Product_ID],DimProduct[Category])</f>
        <v>Electronics</v>
      </c>
      <c r="O168" s="6">
        <f>_xlfn.XLOOKUP(FactSales[[#This Row],[Product_ID]],DimProduct[Product_ID],DimProduct[Unit_Price])</f>
        <v>3240</v>
      </c>
      <c r="P168" s="6">
        <f>_xlfn.XLOOKUP(FactSales[[#This Row],[Product_ID]],DimProduct[Product_ID],DimProduct[Unit_Cost])</f>
        <v>2200</v>
      </c>
      <c r="Q168" s="6">
        <f>FactSales[[#This Row],[Unit_Price]]*FactSales[[#This Row],[Quantity_Sold]]</f>
        <v>16200</v>
      </c>
      <c r="R168" s="6">
        <f>FactSales[[#This Row],[Unit_Cost]]*FactSales[[#This Row],[Quantity_Sold]]</f>
        <v>11000</v>
      </c>
      <c r="S168" s="6">
        <f>FactSales[[#This Row],[Sales_Amount]]-FactSales[[#This Row],[Total_Cost]]</f>
        <v>5200</v>
      </c>
      <c r="T168" s="6" t="str">
        <f>_xlfn.XLOOKUP(FactSales[[#This Row],[Customer_ID]],DimCustomer[Customer_ID],DimCustomer[Customer_Name])</f>
        <v>Sadia Sultana</v>
      </c>
      <c r="U168" s="6" t="str">
        <f>_xlfn.XLOOKUP(FactSales[[#This Row],[Salesperson_ID]],DimSalesman[Salesperson_ID],DimSalesman[Salesperson_Name])</f>
        <v>Nabila Mia</v>
      </c>
      <c r="V168" s="6" t="str">
        <f>_xlfn.XLOOKUP(FactSales[[#This Row],[Region_ID]],DimRegion[Region_ID],DimRegion[Region_Name])</f>
        <v>Chattogram</v>
      </c>
      <c r="W168" s="6" t="str">
        <f>_xlfn.XLOOKUP(FactSales[[#This Row],[Store_ID]],DimStore[Store_ID],DimStore[Store_Name])</f>
        <v>Chattogram Nasirabad Store</v>
      </c>
    </row>
    <row r="169" spans="1:23">
      <c r="A169" s="4" t="s">
        <v>1165</v>
      </c>
      <c r="B169" s="5">
        <v>45885</v>
      </c>
      <c r="C169" s="4" t="s">
        <v>398</v>
      </c>
      <c r="D169" s="4" t="s">
        <v>47</v>
      </c>
      <c r="E169" s="4" t="s">
        <v>686</v>
      </c>
      <c r="F169" s="4" t="s">
        <v>956</v>
      </c>
      <c r="G169" s="4" t="s">
        <v>768</v>
      </c>
      <c r="H169" s="4">
        <v>4</v>
      </c>
      <c r="I169" s="7">
        <v>0.1</v>
      </c>
      <c r="J169" s="6">
        <v>31392</v>
      </c>
      <c r="K169" s="4">
        <v>4</v>
      </c>
      <c r="L169" s="8">
        <f t="shared" si="2"/>
        <v>3.7</v>
      </c>
      <c r="M169" s="6" t="str">
        <f>_xlfn.XLOOKUP(FactSales[[#This Row],[Product_ID]],DimProduct[Product_ID],DimProduct[Product_Name])</f>
        <v>Electric Kettle</v>
      </c>
      <c r="N169" s="6" t="str">
        <f>_xlfn.XLOOKUP(FactSales[[#This Row],[Product_ID]],DimProduct[Product_ID],DimProduct[Category])</f>
        <v>Home Appliance</v>
      </c>
      <c r="O169" s="6">
        <f>_xlfn.XLOOKUP(FactSales[[#This Row],[Product_ID]],DimProduct[Product_ID],DimProduct[Unit_Price])</f>
        <v>7200</v>
      </c>
      <c r="P169" s="6">
        <f>_xlfn.XLOOKUP(FactSales[[#This Row],[Product_ID]],DimProduct[Product_ID],DimProduct[Unit_Cost])</f>
        <v>5040</v>
      </c>
      <c r="Q169" s="6">
        <f>FactSales[[#This Row],[Unit_Price]]*FactSales[[#This Row],[Quantity_Sold]]</f>
        <v>28800</v>
      </c>
      <c r="R169" s="6">
        <f>FactSales[[#This Row],[Unit_Cost]]*FactSales[[#This Row],[Quantity_Sold]]</f>
        <v>20160</v>
      </c>
      <c r="S169" s="6">
        <f>FactSales[[#This Row],[Sales_Amount]]-FactSales[[#This Row],[Total_Cost]]</f>
        <v>8640</v>
      </c>
      <c r="T169" s="6" t="str">
        <f>_xlfn.XLOOKUP(FactSales[[#This Row],[Customer_ID]],DimCustomer[Customer_ID],DimCustomer[Customer_Name])</f>
        <v>Ayesha Akter</v>
      </c>
      <c r="U169" s="6" t="str">
        <f>_xlfn.XLOOKUP(FactSales[[#This Row],[Salesperson_ID]],DimSalesman[Salesperson_ID],DimSalesman[Salesperson_Name])</f>
        <v>Rafi Ahmed</v>
      </c>
      <c r="V169" s="6" t="str">
        <f>_xlfn.XLOOKUP(FactSales[[#This Row],[Region_ID]],DimRegion[Region_ID],DimRegion[Region_Name])</f>
        <v>Khulna</v>
      </c>
      <c r="W169" s="6" t="str">
        <f>_xlfn.XLOOKUP(FactSales[[#This Row],[Store_ID]],DimStore[Store_ID],DimStore[Store_Name])</f>
        <v>Khulna Khalishpur Store</v>
      </c>
    </row>
    <row r="170" spans="1:23">
      <c r="A170" s="4" t="s">
        <v>1166</v>
      </c>
      <c r="B170" s="5">
        <v>45691</v>
      </c>
      <c r="C170" s="4" t="s">
        <v>121</v>
      </c>
      <c r="D170" s="4" t="s">
        <v>27</v>
      </c>
      <c r="E170" s="4" t="s">
        <v>630</v>
      </c>
      <c r="F170" s="4" t="s">
        <v>918</v>
      </c>
      <c r="G170" s="4" t="s">
        <v>893</v>
      </c>
      <c r="H170" s="4">
        <v>3</v>
      </c>
      <c r="I170" s="7">
        <v>0.1</v>
      </c>
      <c r="J170" s="6">
        <v>13928</v>
      </c>
      <c r="K170" s="4">
        <v>6</v>
      </c>
      <c r="L170" s="8">
        <f t="shared" si="2"/>
        <v>3.1</v>
      </c>
      <c r="M170" s="6" t="str">
        <f>_xlfn.XLOOKUP(FactSales[[#This Row],[Product_ID]],DimProduct[Product_ID],DimProduct[Product_Name])</f>
        <v>Office Chair</v>
      </c>
      <c r="N170" s="6" t="str">
        <f>_xlfn.XLOOKUP(FactSales[[#This Row],[Product_ID]],DimProduct[Product_ID],DimProduct[Category])</f>
        <v>Furniture</v>
      </c>
      <c r="O170" s="6">
        <f>_xlfn.XLOOKUP(FactSales[[#This Row],[Product_ID]],DimProduct[Product_ID],DimProduct[Unit_Price])</f>
        <v>4380</v>
      </c>
      <c r="P170" s="6">
        <f>_xlfn.XLOOKUP(FactSales[[#This Row],[Product_ID]],DimProduct[Product_ID],DimProduct[Unit_Cost])</f>
        <v>3150</v>
      </c>
      <c r="Q170" s="6">
        <f>FactSales[[#This Row],[Unit_Price]]*FactSales[[#This Row],[Quantity_Sold]]</f>
        <v>13140</v>
      </c>
      <c r="R170" s="6">
        <f>FactSales[[#This Row],[Unit_Cost]]*FactSales[[#This Row],[Quantity_Sold]]</f>
        <v>9450</v>
      </c>
      <c r="S170" s="6">
        <f>FactSales[[#This Row],[Sales_Amount]]-FactSales[[#This Row],[Total_Cost]]</f>
        <v>3690</v>
      </c>
      <c r="T170" s="6" t="str">
        <f>_xlfn.XLOOKUP(FactSales[[#This Row],[Customer_ID]],DimCustomer[Customer_ID],DimCustomer[Customer_Name])</f>
        <v>Shakib Khan</v>
      </c>
      <c r="U170" s="6" t="str">
        <f>_xlfn.XLOOKUP(FactSales[[#This Row],[Salesperson_ID]],DimSalesman[Salesperson_ID],DimSalesman[Salesperson_Name])</f>
        <v>Tania Sultana</v>
      </c>
      <c r="V170" s="6" t="str">
        <f>_xlfn.XLOOKUP(FactSales[[#This Row],[Region_ID]],DimRegion[Region_ID],DimRegion[Region_Name])</f>
        <v>Dhaka</v>
      </c>
      <c r="W170" s="6" t="str">
        <f>_xlfn.XLOOKUP(FactSales[[#This Row],[Store_ID]],DimStore[Store_ID],DimStore[Store_Name])</f>
        <v>Dhaka Uttara Store</v>
      </c>
    </row>
    <row r="171" spans="1:23">
      <c r="A171" s="4" t="s">
        <v>1167</v>
      </c>
      <c r="B171" s="5">
        <v>45666</v>
      </c>
      <c r="C171" s="4" t="s">
        <v>559</v>
      </c>
      <c r="D171" s="4" t="s">
        <v>62</v>
      </c>
      <c r="E171" s="4" t="s">
        <v>740</v>
      </c>
      <c r="F171" s="4" t="s">
        <v>983</v>
      </c>
      <c r="G171" s="4" t="s">
        <v>773</v>
      </c>
      <c r="H171" s="4">
        <v>1</v>
      </c>
      <c r="I171" s="7">
        <v>0.1</v>
      </c>
      <c r="J171" s="6">
        <v>8024</v>
      </c>
      <c r="K171" s="4">
        <v>4</v>
      </c>
      <c r="L171" s="8">
        <f t="shared" si="2"/>
        <v>3.7</v>
      </c>
      <c r="M171" s="6" t="str">
        <f>_xlfn.XLOOKUP(FactSales[[#This Row],[Product_ID]],DimProduct[Product_ID],DimProduct[Product_Name])</f>
        <v>Rice Cooker</v>
      </c>
      <c r="N171" s="6" t="str">
        <f>_xlfn.XLOOKUP(FactSales[[#This Row],[Product_ID]],DimProduct[Product_ID],DimProduct[Category])</f>
        <v>Home Appliance</v>
      </c>
      <c r="O171" s="6">
        <f>_xlfn.XLOOKUP(FactSales[[#This Row],[Product_ID]],DimProduct[Product_ID],DimProduct[Unit_Price])</f>
        <v>7430</v>
      </c>
      <c r="P171" s="6">
        <f>_xlfn.XLOOKUP(FactSales[[#This Row],[Product_ID]],DimProduct[Product_ID],DimProduct[Unit_Cost])</f>
        <v>5200</v>
      </c>
      <c r="Q171" s="6">
        <f>FactSales[[#This Row],[Unit_Price]]*FactSales[[#This Row],[Quantity_Sold]]</f>
        <v>7430</v>
      </c>
      <c r="R171" s="6">
        <f>FactSales[[#This Row],[Unit_Cost]]*FactSales[[#This Row],[Quantity_Sold]]</f>
        <v>5200</v>
      </c>
      <c r="S171" s="6">
        <f>FactSales[[#This Row],[Sales_Amount]]-FactSales[[#This Row],[Total_Cost]]</f>
        <v>2230</v>
      </c>
      <c r="T171" s="6" t="str">
        <f>_xlfn.XLOOKUP(FactSales[[#This Row],[Customer_ID]],DimCustomer[Customer_ID],DimCustomer[Customer_Name])</f>
        <v>Morshed Sultana</v>
      </c>
      <c r="U171" s="6" t="str">
        <f>_xlfn.XLOOKUP(FactSales[[#This Row],[Salesperson_ID]],DimSalesman[Salesperson_ID],DimSalesman[Salesperson_Name])</f>
        <v>Fahim Hossain</v>
      </c>
      <c r="V171" s="6" t="str">
        <f>_xlfn.XLOOKUP(FactSales[[#This Row],[Region_ID]],DimRegion[Region_ID],DimRegion[Region_Name])</f>
        <v>Mymensingh</v>
      </c>
      <c r="W171" s="6" t="str">
        <f>_xlfn.XLOOKUP(FactSales[[#This Row],[Store_ID]],DimStore[Store_ID],DimStore[Store_Name])</f>
        <v>Mymensingh Maskanda Store</v>
      </c>
    </row>
    <row r="172" spans="1:23">
      <c r="A172" s="4" t="s">
        <v>1168</v>
      </c>
      <c r="B172" s="5">
        <v>45923</v>
      </c>
      <c r="C172" s="4" t="s">
        <v>533</v>
      </c>
      <c r="D172" s="4" t="s">
        <v>57</v>
      </c>
      <c r="E172" s="4" t="s">
        <v>713</v>
      </c>
      <c r="F172" s="4" t="s">
        <v>972</v>
      </c>
      <c r="G172" s="4" t="s">
        <v>778</v>
      </c>
      <c r="H172" s="4">
        <v>1</v>
      </c>
      <c r="I172" s="7">
        <v>0.12</v>
      </c>
      <c r="J172" s="6">
        <v>5244</v>
      </c>
      <c r="K172" s="4">
        <v>8</v>
      </c>
      <c r="L172" s="8">
        <f t="shared" si="2"/>
        <v>2.4</v>
      </c>
      <c r="M172" s="6" t="str">
        <f>_xlfn.XLOOKUP(FactSales[[#This Row],[Product_ID]],DimProduct[Product_ID],DimProduct[Product_Name])</f>
        <v>Steam Iron</v>
      </c>
      <c r="N172" s="6" t="str">
        <f>_xlfn.XLOOKUP(FactSales[[#This Row],[Product_ID]],DimProduct[Product_ID],DimProduct[Category])</f>
        <v>Home Appliance</v>
      </c>
      <c r="O172" s="6">
        <f>_xlfn.XLOOKUP(FactSales[[#This Row],[Product_ID]],DimProduct[Product_ID],DimProduct[Unit_Price])</f>
        <v>4560</v>
      </c>
      <c r="P172" s="6">
        <f>_xlfn.XLOOKUP(FactSales[[#This Row],[Product_ID]],DimProduct[Product_ID],DimProduct[Unit_Cost])</f>
        <v>3190</v>
      </c>
      <c r="Q172" s="6">
        <f>FactSales[[#This Row],[Unit_Price]]*FactSales[[#This Row],[Quantity_Sold]]</f>
        <v>4560</v>
      </c>
      <c r="R172" s="6">
        <f>FactSales[[#This Row],[Unit_Cost]]*FactSales[[#This Row],[Quantity_Sold]]</f>
        <v>3190</v>
      </c>
      <c r="S172" s="6">
        <f>FactSales[[#This Row],[Sales_Amount]]-FactSales[[#This Row],[Total_Cost]]</f>
        <v>1370</v>
      </c>
      <c r="T172" s="6" t="str">
        <f>_xlfn.XLOOKUP(FactSales[[#This Row],[Customer_ID]],DimCustomer[Customer_ID],DimCustomer[Customer_Name])</f>
        <v>Tania Mia</v>
      </c>
      <c r="U172" s="6" t="str">
        <f>_xlfn.XLOOKUP(FactSales[[#This Row],[Salesperson_ID]],DimSalesman[Salesperson_ID],DimSalesman[Salesperson_Name])</f>
        <v>Samiha Hossain</v>
      </c>
      <c r="V172" s="6" t="str">
        <f>_xlfn.XLOOKUP(FactSales[[#This Row],[Region_ID]],DimRegion[Region_ID],DimRegion[Region_Name])</f>
        <v>Rangpur</v>
      </c>
      <c r="W172" s="6" t="str">
        <f>_xlfn.XLOOKUP(FactSales[[#This Row],[Store_ID]],DimStore[Store_ID],DimStore[Store_Name])</f>
        <v>Rangpur Jahaj Company Store</v>
      </c>
    </row>
    <row r="173" spans="1:23">
      <c r="A173" s="4" t="s">
        <v>1169</v>
      </c>
      <c r="B173" s="5">
        <v>46087</v>
      </c>
      <c r="C173" s="4" t="s">
        <v>451</v>
      </c>
      <c r="D173" s="4" t="s">
        <v>52</v>
      </c>
      <c r="E173" s="4" t="s">
        <v>701</v>
      </c>
      <c r="F173" s="4" t="s">
        <v>964</v>
      </c>
      <c r="G173" s="4" t="s">
        <v>784</v>
      </c>
      <c r="H173" s="4">
        <v>5</v>
      </c>
      <c r="I173" s="7">
        <v>7.0000000000000007E-2</v>
      </c>
      <c r="J173" s="6">
        <v>10472</v>
      </c>
      <c r="K173" s="4">
        <v>7</v>
      </c>
      <c r="L173" s="8">
        <f t="shared" si="2"/>
        <v>2.8</v>
      </c>
      <c r="M173" s="6" t="str">
        <f>_xlfn.XLOOKUP(FactSales[[#This Row],[Product_ID]],DimProduct[Product_ID],DimProduct[Product_Name])</f>
        <v>Cotton T-Shirt</v>
      </c>
      <c r="N173" s="6" t="str">
        <f>_xlfn.XLOOKUP(FactSales[[#This Row],[Product_ID]],DimProduct[Product_ID],DimProduct[Category])</f>
        <v>Fashion</v>
      </c>
      <c r="O173" s="6">
        <f>_xlfn.XLOOKUP(FactSales[[#This Row],[Product_ID]],DimProduct[Product_ID],DimProduct[Unit_Price])</f>
        <v>1870</v>
      </c>
      <c r="P173" s="6">
        <f>_xlfn.XLOOKUP(FactSales[[#This Row],[Product_ID]],DimProduct[Product_ID],DimProduct[Unit_Cost])</f>
        <v>1030</v>
      </c>
      <c r="Q173" s="6">
        <f>FactSales[[#This Row],[Unit_Price]]*FactSales[[#This Row],[Quantity_Sold]]</f>
        <v>9350</v>
      </c>
      <c r="R173" s="6">
        <f>FactSales[[#This Row],[Unit_Cost]]*FactSales[[#This Row],[Quantity_Sold]]</f>
        <v>5150</v>
      </c>
      <c r="S173" s="6">
        <f>FactSales[[#This Row],[Sales_Amount]]-FactSales[[#This Row],[Total_Cost]]</f>
        <v>4200</v>
      </c>
      <c r="T173" s="6" t="str">
        <f>_xlfn.XLOOKUP(FactSales[[#This Row],[Customer_ID]],DimCustomer[Customer_ID],DimCustomer[Customer_Name])</f>
        <v>Hasan Uddin</v>
      </c>
      <c r="U173" s="6" t="str">
        <f>_xlfn.XLOOKUP(FactSales[[#This Row],[Salesperson_ID]],DimSalesman[Salesperson_ID],DimSalesman[Salesperson_Name])</f>
        <v>Shaila Uddin</v>
      </c>
      <c r="V173" s="6" t="str">
        <f>_xlfn.XLOOKUP(FactSales[[#This Row],[Region_ID]],DimRegion[Region_ID],DimRegion[Region_Name])</f>
        <v>Barishal</v>
      </c>
      <c r="W173" s="6" t="str">
        <f>_xlfn.XLOOKUP(FactSales[[#This Row],[Store_ID]],DimStore[Store_ID],DimStore[Store_Name])</f>
        <v>Barishal Sadar Road Store</v>
      </c>
    </row>
    <row r="174" spans="1:23">
      <c r="A174" s="4" t="s">
        <v>1170</v>
      </c>
      <c r="B174" s="5">
        <v>45892</v>
      </c>
      <c r="C174" s="4" t="s">
        <v>507</v>
      </c>
      <c r="D174" s="4" t="s">
        <v>57</v>
      </c>
      <c r="E174" s="4" t="s">
        <v>722</v>
      </c>
      <c r="F174" s="4" t="s">
        <v>970</v>
      </c>
      <c r="G174" s="4" t="s">
        <v>813</v>
      </c>
      <c r="H174" s="4">
        <v>5</v>
      </c>
      <c r="I174" s="7">
        <v>0.03</v>
      </c>
      <c r="J174" s="6">
        <v>12305</v>
      </c>
      <c r="K174" s="4">
        <v>7</v>
      </c>
      <c r="L174" s="8">
        <f t="shared" si="2"/>
        <v>2.9</v>
      </c>
      <c r="M174" s="6" t="str">
        <f>_xlfn.XLOOKUP(FactSales[[#This Row],[Product_ID]],DimProduct[Product_ID],DimProduct[Product_Name])</f>
        <v>Tea Pack 500g</v>
      </c>
      <c r="N174" s="6" t="str">
        <f>_xlfn.XLOOKUP(FactSales[[#This Row],[Product_ID]],DimProduct[Product_ID],DimProduct[Category])</f>
        <v>Grocery</v>
      </c>
      <c r="O174" s="6">
        <f>_xlfn.XLOOKUP(FactSales[[#This Row],[Product_ID]],DimProduct[Product_ID],DimProduct[Unit_Price])</f>
        <v>2140</v>
      </c>
      <c r="P174" s="6">
        <f>_xlfn.XLOOKUP(FactSales[[#This Row],[Product_ID]],DimProduct[Product_ID],DimProduct[Unit_Cost])</f>
        <v>1670</v>
      </c>
      <c r="Q174" s="6">
        <f>FactSales[[#This Row],[Unit_Price]]*FactSales[[#This Row],[Quantity_Sold]]</f>
        <v>10700</v>
      </c>
      <c r="R174" s="6">
        <f>FactSales[[#This Row],[Unit_Cost]]*FactSales[[#This Row],[Quantity_Sold]]</f>
        <v>8350</v>
      </c>
      <c r="S174" s="6">
        <f>FactSales[[#This Row],[Sales_Amount]]-FactSales[[#This Row],[Total_Cost]]</f>
        <v>2350</v>
      </c>
      <c r="T174" s="6" t="str">
        <f>_xlfn.XLOOKUP(FactSales[[#This Row],[Customer_ID]],DimCustomer[Customer_ID],DimCustomer[Customer_Name])</f>
        <v>Samiha Uddin</v>
      </c>
      <c r="U174" s="6" t="str">
        <f>_xlfn.XLOOKUP(FactSales[[#This Row],[Salesperson_ID]],DimSalesman[Salesperson_ID],DimSalesman[Salesperson_Name])</f>
        <v>Tanvir Islam</v>
      </c>
      <c r="V174" s="6" t="str">
        <f>_xlfn.XLOOKUP(FactSales[[#This Row],[Region_ID]],DimRegion[Region_ID],DimRegion[Region_Name])</f>
        <v>Rangpur</v>
      </c>
      <c r="W174" s="6" t="str">
        <f>_xlfn.XLOOKUP(FactSales[[#This Row],[Store_ID]],DimStore[Store_ID],DimStore[Store_Name])</f>
        <v>Rangpur Dhap Store</v>
      </c>
    </row>
    <row r="175" spans="1:23">
      <c r="A175" s="4" t="s">
        <v>1171</v>
      </c>
      <c r="B175" s="5">
        <v>45667</v>
      </c>
      <c r="C175" s="4" t="s">
        <v>503</v>
      </c>
      <c r="D175" s="4" t="s">
        <v>57</v>
      </c>
      <c r="E175" s="4" t="s">
        <v>716</v>
      </c>
      <c r="F175" s="4" t="s">
        <v>977</v>
      </c>
      <c r="G175" s="4" t="s">
        <v>758</v>
      </c>
      <c r="H175" s="4">
        <v>1</v>
      </c>
      <c r="I175" s="7">
        <v>0.15</v>
      </c>
      <c r="J175" s="6">
        <v>3266</v>
      </c>
      <c r="K175" s="4">
        <v>4</v>
      </c>
      <c r="L175" s="8">
        <f t="shared" si="2"/>
        <v>3.6</v>
      </c>
      <c r="M175" s="6" t="str">
        <f>_xlfn.XLOOKUP(FactSales[[#This Row],[Product_ID]],DimProduct[Product_ID],DimProduct[Product_Name])</f>
        <v>Power Bank</v>
      </c>
      <c r="N175" s="6" t="str">
        <f>_xlfn.XLOOKUP(FactSales[[#This Row],[Product_ID]],DimProduct[Product_ID],DimProduct[Category])</f>
        <v>Electronics</v>
      </c>
      <c r="O175" s="6">
        <f>_xlfn.XLOOKUP(FactSales[[#This Row],[Product_ID]],DimProduct[Product_ID],DimProduct[Unit_Price])</f>
        <v>2840</v>
      </c>
      <c r="P175" s="6">
        <f>_xlfn.XLOOKUP(FactSales[[#This Row],[Product_ID]],DimProduct[Product_ID],DimProduct[Unit_Cost])</f>
        <v>1930</v>
      </c>
      <c r="Q175" s="6">
        <f>FactSales[[#This Row],[Unit_Price]]*FactSales[[#This Row],[Quantity_Sold]]</f>
        <v>2840</v>
      </c>
      <c r="R175" s="6">
        <f>FactSales[[#This Row],[Unit_Cost]]*FactSales[[#This Row],[Quantity_Sold]]</f>
        <v>1930</v>
      </c>
      <c r="S175" s="6">
        <f>FactSales[[#This Row],[Sales_Amount]]-FactSales[[#This Row],[Total_Cost]]</f>
        <v>910</v>
      </c>
      <c r="T175" s="6" t="str">
        <f>_xlfn.XLOOKUP(FactSales[[#This Row],[Customer_ID]],DimCustomer[Customer_ID],DimCustomer[Customer_Name])</f>
        <v>Hasan Rahman</v>
      </c>
      <c r="U175" s="6" t="str">
        <f>_xlfn.XLOOKUP(FactSales[[#This Row],[Salesperson_ID]],DimSalesman[Salesperson_ID],DimSalesman[Salesperson_Name])</f>
        <v>Tania Hossain</v>
      </c>
      <c r="V175" s="6" t="str">
        <f>_xlfn.XLOOKUP(FactSales[[#This Row],[Region_ID]],DimRegion[Region_ID],DimRegion[Region_Name])</f>
        <v>Rangpur</v>
      </c>
      <c r="W175" s="6" t="str">
        <f>_xlfn.XLOOKUP(FactSales[[#This Row],[Store_ID]],DimStore[Store_ID],DimStore[Store_Name])</f>
        <v>Rangpur Shapla Chattar Store</v>
      </c>
    </row>
    <row r="176" spans="1:23">
      <c r="A176" s="4" t="s">
        <v>1172</v>
      </c>
      <c r="B176" s="5">
        <v>46156</v>
      </c>
      <c r="C176" s="4" t="s">
        <v>273</v>
      </c>
      <c r="D176" s="4" t="s">
        <v>37</v>
      </c>
      <c r="E176" s="4" t="s">
        <v>665</v>
      </c>
      <c r="F176" s="4" t="s">
        <v>939</v>
      </c>
      <c r="G176" s="4" t="s">
        <v>847</v>
      </c>
      <c r="H176" s="4">
        <v>2</v>
      </c>
      <c r="I176" s="7">
        <v>0.12</v>
      </c>
      <c r="J176" s="6">
        <v>4002</v>
      </c>
      <c r="K176" s="4">
        <v>3</v>
      </c>
      <c r="L176" s="8">
        <f t="shared" si="2"/>
        <v>4</v>
      </c>
      <c r="M176" s="6" t="str">
        <f>_xlfn.XLOOKUP(FactSales[[#This Row],[Product_ID]],DimProduct[Product_ID],DimProduct[Product_Name])</f>
        <v>Casual Loafer</v>
      </c>
      <c r="N176" s="6" t="str">
        <f>_xlfn.XLOOKUP(FactSales[[#This Row],[Product_ID]],DimProduct[Product_ID],DimProduct[Category])</f>
        <v>Footwear</v>
      </c>
      <c r="O176" s="6">
        <f>_xlfn.XLOOKUP(FactSales[[#This Row],[Product_ID]],DimProduct[Product_ID],DimProduct[Unit_Price])</f>
        <v>1870</v>
      </c>
      <c r="P176" s="6">
        <f>_xlfn.XLOOKUP(FactSales[[#This Row],[Product_ID]],DimProduct[Product_ID],DimProduct[Unit_Cost])</f>
        <v>1120</v>
      </c>
      <c r="Q176" s="6">
        <f>FactSales[[#This Row],[Unit_Price]]*FactSales[[#This Row],[Quantity_Sold]]</f>
        <v>3740</v>
      </c>
      <c r="R176" s="6">
        <f>FactSales[[#This Row],[Unit_Cost]]*FactSales[[#This Row],[Quantity_Sold]]</f>
        <v>2240</v>
      </c>
      <c r="S176" s="6">
        <f>FactSales[[#This Row],[Sales_Amount]]-FactSales[[#This Row],[Total_Cost]]</f>
        <v>1500</v>
      </c>
      <c r="T176" s="6" t="str">
        <f>_xlfn.XLOOKUP(FactSales[[#This Row],[Customer_ID]],DimCustomer[Customer_ID],DimCustomer[Customer_Name])</f>
        <v>Imran Chowdhury</v>
      </c>
      <c r="U176" s="6" t="str">
        <f>_xlfn.XLOOKUP(FactSales[[#This Row],[Salesperson_ID]],DimSalesman[Salesperson_ID],DimSalesman[Salesperson_Name])</f>
        <v>Fahim Mia</v>
      </c>
      <c r="V176" s="6" t="str">
        <f>_xlfn.XLOOKUP(FactSales[[#This Row],[Region_ID]],DimRegion[Region_ID],DimRegion[Region_Name])</f>
        <v>Sylhet</v>
      </c>
      <c r="W176" s="6" t="str">
        <f>_xlfn.XLOOKUP(FactSales[[#This Row],[Store_ID]],DimStore[Store_ID],DimStore[Store_Name])</f>
        <v>Sylhet Upashahar Store</v>
      </c>
    </row>
    <row r="177" spans="1:23">
      <c r="A177" s="4" t="s">
        <v>1173</v>
      </c>
      <c r="B177" s="5">
        <v>45918</v>
      </c>
      <c r="C177" s="4" t="s">
        <v>210</v>
      </c>
      <c r="D177" s="4" t="s">
        <v>32</v>
      </c>
      <c r="E177" s="4" t="s">
        <v>641</v>
      </c>
      <c r="F177" s="4" t="s">
        <v>922</v>
      </c>
      <c r="G177" s="4" t="s">
        <v>762</v>
      </c>
      <c r="H177" s="4">
        <v>2</v>
      </c>
      <c r="I177" s="7">
        <v>0.08</v>
      </c>
      <c r="J177" s="6">
        <v>8824</v>
      </c>
      <c r="K177" s="4">
        <v>5</v>
      </c>
      <c r="L177" s="8">
        <f t="shared" si="2"/>
        <v>3.4</v>
      </c>
      <c r="M177" s="6" t="str">
        <f>_xlfn.XLOOKUP(FactSales[[#This Row],[Product_ID]],DimProduct[Product_ID],DimProduct[Product_Name])</f>
        <v>Smart Watch</v>
      </c>
      <c r="N177" s="6" t="str">
        <f>_xlfn.XLOOKUP(FactSales[[#This Row],[Product_ID]],DimProduct[Product_ID],DimProduct[Category])</f>
        <v>Electronics</v>
      </c>
      <c r="O177" s="6">
        <f>_xlfn.XLOOKUP(FactSales[[#This Row],[Product_ID]],DimProduct[Product_ID],DimProduct[Unit_Price])</f>
        <v>3870</v>
      </c>
      <c r="P177" s="6">
        <f>_xlfn.XLOOKUP(FactSales[[#This Row],[Product_ID]],DimProduct[Product_ID],DimProduct[Unit_Cost])</f>
        <v>2630</v>
      </c>
      <c r="Q177" s="6">
        <f>FactSales[[#This Row],[Unit_Price]]*FactSales[[#This Row],[Quantity_Sold]]</f>
        <v>7740</v>
      </c>
      <c r="R177" s="6">
        <f>FactSales[[#This Row],[Unit_Cost]]*FactSales[[#This Row],[Quantity_Sold]]</f>
        <v>5260</v>
      </c>
      <c r="S177" s="6">
        <f>FactSales[[#This Row],[Sales_Amount]]-FactSales[[#This Row],[Total_Cost]]</f>
        <v>2480</v>
      </c>
      <c r="T177" s="6" t="str">
        <f>_xlfn.XLOOKUP(FactSales[[#This Row],[Customer_ID]],DimCustomer[Customer_ID],DimCustomer[Customer_Name])</f>
        <v>Imran Uddin</v>
      </c>
      <c r="U177" s="6" t="str">
        <f>_xlfn.XLOOKUP(FactSales[[#This Row],[Salesperson_ID]],DimSalesman[Salesperson_ID],DimSalesman[Salesperson_Name])</f>
        <v>Rafi Sultana</v>
      </c>
      <c r="V177" s="6" t="str">
        <f>_xlfn.XLOOKUP(FactSales[[#This Row],[Region_ID]],DimRegion[Region_ID],DimRegion[Region_Name])</f>
        <v>Chattogram</v>
      </c>
      <c r="W177" s="6" t="str">
        <f>_xlfn.XLOOKUP(FactSales[[#This Row],[Store_ID]],DimStore[Store_ID],DimStore[Store_Name])</f>
        <v>Chattogram GEC Store</v>
      </c>
    </row>
    <row r="178" spans="1:23">
      <c r="A178" s="4" t="s">
        <v>1174</v>
      </c>
      <c r="B178" s="5">
        <v>45921</v>
      </c>
      <c r="C178" s="4" t="s">
        <v>609</v>
      </c>
      <c r="D178" s="4" t="s">
        <v>62</v>
      </c>
      <c r="E178" s="4" t="s">
        <v>734</v>
      </c>
      <c r="F178" s="4" t="s">
        <v>981</v>
      </c>
      <c r="G178" s="4" t="s">
        <v>775</v>
      </c>
      <c r="H178" s="4">
        <v>2</v>
      </c>
      <c r="I178" s="7">
        <v>0.15</v>
      </c>
      <c r="J178" s="6">
        <v>5249</v>
      </c>
      <c r="K178" s="4">
        <v>9</v>
      </c>
      <c r="L178" s="8">
        <f t="shared" si="2"/>
        <v>2</v>
      </c>
      <c r="M178" s="6" t="str">
        <f>_xlfn.XLOOKUP(FactSales[[#This Row],[Product_ID]],DimProduct[Product_ID],DimProduct[Product_Name])</f>
        <v>Blender Machine</v>
      </c>
      <c r="N178" s="6" t="str">
        <f>_xlfn.XLOOKUP(FactSales[[#This Row],[Product_ID]],DimProduct[Product_ID],DimProduct[Category])</f>
        <v>Home Appliance</v>
      </c>
      <c r="O178" s="6">
        <f>_xlfn.XLOOKUP(FactSales[[#This Row],[Product_ID]],DimProduct[Product_ID],DimProduct[Unit_Price])</f>
        <v>2430</v>
      </c>
      <c r="P178" s="6">
        <f>_xlfn.XLOOKUP(FactSales[[#This Row],[Product_ID]],DimProduct[Product_ID],DimProduct[Unit_Cost])</f>
        <v>1700</v>
      </c>
      <c r="Q178" s="6">
        <f>FactSales[[#This Row],[Unit_Price]]*FactSales[[#This Row],[Quantity_Sold]]</f>
        <v>4860</v>
      </c>
      <c r="R178" s="6">
        <f>FactSales[[#This Row],[Unit_Cost]]*FactSales[[#This Row],[Quantity_Sold]]</f>
        <v>3400</v>
      </c>
      <c r="S178" s="6">
        <f>FactSales[[#This Row],[Sales_Amount]]-FactSales[[#This Row],[Total_Cost]]</f>
        <v>1460</v>
      </c>
      <c r="T178" s="6" t="str">
        <f>_xlfn.XLOOKUP(FactSales[[#This Row],[Customer_ID]],DimCustomer[Customer_ID],DimCustomer[Customer_Name])</f>
        <v>Farhana Islam</v>
      </c>
      <c r="U178" s="6" t="str">
        <f>_xlfn.XLOOKUP(FactSales[[#This Row],[Salesperson_ID]],DimSalesman[Salesperson_ID],DimSalesman[Salesperson_Name])</f>
        <v>Morshed Islam</v>
      </c>
      <c r="V178" s="6" t="str">
        <f>_xlfn.XLOOKUP(FactSales[[#This Row],[Region_ID]],DimRegion[Region_ID],DimRegion[Region_Name])</f>
        <v>Mymensingh</v>
      </c>
      <c r="W178" s="6" t="str">
        <f>_xlfn.XLOOKUP(FactSales[[#This Row],[Store_ID]],DimStore[Store_ID],DimStore[Store_Name])</f>
        <v>Mymensingh Charpara Store</v>
      </c>
    </row>
    <row r="179" spans="1:23">
      <c r="A179" s="4" t="s">
        <v>1175</v>
      </c>
      <c r="B179" s="5">
        <v>45836</v>
      </c>
      <c r="C179" s="4" t="s">
        <v>335</v>
      </c>
      <c r="D179" s="4" t="s">
        <v>42</v>
      </c>
      <c r="E179" s="4" t="s">
        <v>680</v>
      </c>
      <c r="F179" s="4" t="s">
        <v>950</v>
      </c>
      <c r="G179" s="4" t="s">
        <v>831</v>
      </c>
      <c r="H179" s="4">
        <v>8</v>
      </c>
      <c r="I179" s="7">
        <v>7.0000000000000007E-2</v>
      </c>
      <c r="J179" s="6">
        <v>10886</v>
      </c>
      <c r="K179" s="4">
        <v>6</v>
      </c>
      <c r="L179" s="8">
        <f t="shared" si="2"/>
        <v>3.1</v>
      </c>
      <c r="M179" s="6" t="str">
        <f>_xlfn.XLOOKUP(FactSales[[#This Row],[Product_ID]],DimProduct[Product_ID],DimProduct[Product_Name])</f>
        <v>Perfume Spray</v>
      </c>
      <c r="N179" s="6" t="str">
        <f>_xlfn.XLOOKUP(FactSales[[#This Row],[Product_ID]],DimProduct[Product_ID],DimProduct[Category])</f>
        <v>Beauty &amp; Personal Care</v>
      </c>
      <c r="O179" s="6">
        <f>_xlfn.XLOOKUP(FactSales[[#This Row],[Product_ID]],DimProduct[Product_ID],DimProduct[Unit_Price])</f>
        <v>1260</v>
      </c>
      <c r="P179" s="6">
        <f>_xlfn.XLOOKUP(FactSales[[#This Row],[Product_ID]],DimProduct[Product_ID],DimProduct[Unit_Cost])</f>
        <v>730</v>
      </c>
      <c r="Q179" s="6">
        <f>FactSales[[#This Row],[Unit_Price]]*FactSales[[#This Row],[Quantity_Sold]]</f>
        <v>10080</v>
      </c>
      <c r="R179" s="6">
        <f>FactSales[[#This Row],[Unit_Cost]]*FactSales[[#This Row],[Quantity_Sold]]</f>
        <v>5840</v>
      </c>
      <c r="S179" s="6">
        <f>FactSales[[#This Row],[Sales_Amount]]-FactSales[[#This Row],[Total_Cost]]</f>
        <v>4240</v>
      </c>
      <c r="T179" s="6" t="str">
        <f>_xlfn.XLOOKUP(FactSales[[#This Row],[Customer_ID]],DimCustomer[Customer_ID],DimCustomer[Customer_Name])</f>
        <v>Shuvo Khan</v>
      </c>
      <c r="U179" s="6" t="str">
        <f>_xlfn.XLOOKUP(FactSales[[#This Row],[Salesperson_ID]],DimSalesman[Salesperson_ID],DimSalesman[Salesperson_Name])</f>
        <v>Mim Rahman</v>
      </c>
      <c r="V179" s="6" t="str">
        <f>_xlfn.XLOOKUP(FactSales[[#This Row],[Region_ID]],DimRegion[Region_ID],DimRegion[Region_Name])</f>
        <v>Rajshahi</v>
      </c>
      <c r="W179" s="6" t="str">
        <f>_xlfn.XLOOKUP(FactSales[[#This Row],[Store_ID]],DimStore[Store_ID],DimStore[Store_Name])</f>
        <v>Rajshahi Lakshmipur Store</v>
      </c>
    </row>
    <row r="180" spans="1:23">
      <c r="A180" s="4" t="s">
        <v>1176</v>
      </c>
      <c r="B180" s="5">
        <v>46115</v>
      </c>
      <c r="C180" s="4" t="s">
        <v>449</v>
      </c>
      <c r="D180" s="4" t="s">
        <v>52</v>
      </c>
      <c r="E180" s="4" t="s">
        <v>710</v>
      </c>
      <c r="F180" s="4" t="s">
        <v>964</v>
      </c>
      <c r="G180" s="4" t="s">
        <v>859</v>
      </c>
      <c r="H180" s="4">
        <v>7</v>
      </c>
      <c r="I180" s="7">
        <v>0.12</v>
      </c>
      <c r="J180" s="6">
        <v>21403</v>
      </c>
      <c r="K180" s="4">
        <v>4</v>
      </c>
      <c r="L180" s="8">
        <f t="shared" si="2"/>
        <v>3.7</v>
      </c>
      <c r="M180" s="6" t="str">
        <f>_xlfn.XLOOKUP(FactSales[[#This Row],[Product_ID]],DimProduct[Product_ID],DimProduct[Product_Name])</f>
        <v>Yoga Mat</v>
      </c>
      <c r="N180" s="6" t="str">
        <f>_xlfn.XLOOKUP(FactSales[[#This Row],[Product_ID]],DimProduct[Product_ID],DimProduct[Category])</f>
        <v>Sports</v>
      </c>
      <c r="O180" s="6">
        <f>_xlfn.XLOOKUP(FactSales[[#This Row],[Product_ID]],DimProduct[Product_ID],DimProduct[Unit_Price])</f>
        <v>2730</v>
      </c>
      <c r="P180" s="6">
        <f>_xlfn.XLOOKUP(FactSales[[#This Row],[Product_ID]],DimProduct[Product_ID],DimProduct[Unit_Cost])</f>
        <v>1690</v>
      </c>
      <c r="Q180" s="6">
        <f>FactSales[[#This Row],[Unit_Price]]*FactSales[[#This Row],[Quantity_Sold]]</f>
        <v>19110</v>
      </c>
      <c r="R180" s="6">
        <f>FactSales[[#This Row],[Unit_Cost]]*FactSales[[#This Row],[Quantity_Sold]]</f>
        <v>11830</v>
      </c>
      <c r="S180" s="6">
        <f>FactSales[[#This Row],[Sales_Amount]]-FactSales[[#This Row],[Total_Cost]]</f>
        <v>7280</v>
      </c>
      <c r="T180" s="6" t="str">
        <f>_xlfn.XLOOKUP(FactSales[[#This Row],[Customer_ID]],DimCustomer[Customer_ID],DimCustomer[Customer_Name])</f>
        <v>Ayesha Islam</v>
      </c>
      <c r="U180" s="6" t="str">
        <f>_xlfn.XLOOKUP(FactSales[[#This Row],[Salesperson_ID]],DimSalesman[Salesperson_ID],DimSalesman[Salesperson_Name])</f>
        <v>Shaila Uddin</v>
      </c>
      <c r="V180" s="6" t="str">
        <f>_xlfn.XLOOKUP(FactSales[[#This Row],[Region_ID]],DimRegion[Region_ID],DimRegion[Region_Name])</f>
        <v>Barishal</v>
      </c>
      <c r="W180" s="6" t="str">
        <f>_xlfn.XLOOKUP(FactSales[[#This Row],[Store_ID]],DimStore[Store_ID],DimStore[Store_Name])</f>
        <v>Barishal Kawnia Store</v>
      </c>
    </row>
    <row r="181" spans="1:23">
      <c r="A181" s="4" t="s">
        <v>1177</v>
      </c>
      <c r="B181" s="5">
        <v>46072</v>
      </c>
      <c r="C181" s="4" t="s">
        <v>231</v>
      </c>
      <c r="D181" s="4" t="s">
        <v>37</v>
      </c>
      <c r="E181" s="4" t="s">
        <v>659</v>
      </c>
      <c r="F181" s="4" t="s">
        <v>938</v>
      </c>
      <c r="G181" s="4" t="s">
        <v>828</v>
      </c>
      <c r="H181" s="4">
        <v>5</v>
      </c>
      <c r="I181" s="7">
        <v>0.03</v>
      </c>
      <c r="J181" s="6">
        <v>7544</v>
      </c>
      <c r="K181" s="4">
        <v>5</v>
      </c>
      <c r="L181" s="8">
        <f t="shared" si="2"/>
        <v>3.5</v>
      </c>
      <c r="M181" s="6" t="str">
        <f>_xlfn.XLOOKUP(FactSales[[#This Row],[Product_ID]],DimProduct[Product_ID],DimProduct[Product_Name])</f>
        <v>Toothpaste Twin Pack</v>
      </c>
      <c r="N181" s="6" t="str">
        <f>_xlfn.XLOOKUP(FactSales[[#This Row],[Product_ID]],DimProduct[Product_ID],DimProduct[Category])</f>
        <v>Beauty &amp; Personal Care</v>
      </c>
      <c r="O181" s="6">
        <f>_xlfn.XLOOKUP(FactSales[[#This Row],[Product_ID]],DimProduct[Product_ID],DimProduct[Unit_Price])</f>
        <v>1410</v>
      </c>
      <c r="P181" s="6">
        <f>_xlfn.XLOOKUP(FactSales[[#This Row],[Product_ID]],DimProduct[Product_ID],DimProduct[Unit_Cost])</f>
        <v>820</v>
      </c>
      <c r="Q181" s="6">
        <f>FactSales[[#This Row],[Unit_Price]]*FactSales[[#This Row],[Quantity_Sold]]</f>
        <v>7050</v>
      </c>
      <c r="R181" s="6">
        <f>FactSales[[#This Row],[Unit_Cost]]*FactSales[[#This Row],[Quantity_Sold]]</f>
        <v>4100</v>
      </c>
      <c r="S181" s="6">
        <f>FactSales[[#This Row],[Sales_Amount]]-FactSales[[#This Row],[Total_Cost]]</f>
        <v>2950</v>
      </c>
      <c r="T181" s="6" t="str">
        <f>_xlfn.XLOOKUP(FactSales[[#This Row],[Customer_ID]],DimCustomer[Customer_ID],DimCustomer[Customer_Name])</f>
        <v>Shamim Akter</v>
      </c>
      <c r="U181" s="6" t="str">
        <f>_xlfn.XLOOKUP(FactSales[[#This Row],[Salesperson_ID]],DimSalesman[Salesperson_ID],DimSalesman[Salesperson_Name])</f>
        <v>Rasel Akter</v>
      </c>
      <c r="V181" s="6" t="str">
        <f>_xlfn.XLOOKUP(FactSales[[#This Row],[Region_ID]],DimRegion[Region_ID],DimRegion[Region_Name])</f>
        <v>Sylhet</v>
      </c>
      <c r="W181" s="6" t="str">
        <f>_xlfn.XLOOKUP(FactSales[[#This Row],[Store_ID]],DimStore[Store_ID],DimStore[Store_Name])</f>
        <v>Sylhet South Surma Store</v>
      </c>
    </row>
    <row r="182" spans="1:23">
      <c r="A182" s="4" t="s">
        <v>1178</v>
      </c>
      <c r="B182" s="5">
        <v>45956</v>
      </c>
      <c r="C182" s="4" t="s">
        <v>162</v>
      </c>
      <c r="D182" s="4" t="s">
        <v>32</v>
      </c>
      <c r="E182" s="4" t="s">
        <v>644</v>
      </c>
      <c r="F182" s="4" t="s">
        <v>924</v>
      </c>
      <c r="G182" s="4" t="s">
        <v>773</v>
      </c>
      <c r="H182" s="4">
        <v>4</v>
      </c>
      <c r="I182" s="7">
        <v>0.18</v>
      </c>
      <c r="J182" s="6">
        <v>33881</v>
      </c>
      <c r="K182" s="4">
        <v>6</v>
      </c>
      <c r="L182" s="8">
        <f t="shared" si="2"/>
        <v>2.9</v>
      </c>
      <c r="M182" s="6" t="str">
        <f>_xlfn.XLOOKUP(FactSales[[#This Row],[Product_ID]],DimProduct[Product_ID],DimProduct[Product_Name])</f>
        <v>Rice Cooker</v>
      </c>
      <c r="N182" s="6" t="str">
        <f>_xlfn.XLOOKUP(FactSales[[#This Row],[Product_ID]],DimProduct[Product_ID],DimProduct[Category])</f>
        <v>Home Appliance</v>
      </c>
      <c r="O182" s="6">
        <f>_xlfn.XLOOKUP(FactSales[[#This Row],[Product_ID]],DimProduct[Product_ID],DimProduct[Unit_Price])</f>
        <v>7430</v>
      </c>
      <c r="P182" s="6">
        <f>_xlfn.XLOOKUP(FactSales[[#This Row],[Product_ID]],DimProduct[Product_ID],DimProduct[Unit_Cost])</f>
        <v>5200</v>
      </c>
      <c r="Q182" s="6">
        <f>FactSales[[#This Row],[Unit_Price]]*FactSales[[#This Row],[Quantity_Sold]]</f>
        <v>29720</v>
      </c>
      <c r="R182" s="6">
        <f>FactSales[[#This Row],[Unit_Cost]]*FactSales[[#This Row],[Quantity_Sold]]</f>
        <v>20800</v>
      </c>
      <c r="S182" s="6">
        <f>FactSales[[#This Row],[Sales_Amount]]-FactSales[[#This Row],[Total_Cost]]</f>
        <v>8920</v>
      </c>
      <c r="T182" s="6" t="str">
        <f>_xlfn.XLOOKUP(FactSales[[#This Row],[Customer_ID]],DimCustomer[Customer_ID],DimCustomer[Customer_Name])</f>
        <v>Karim Rahman</v>
      </c>
      <c r="U182" s="6" t="str">
        <f>_xlfn.XLOOKUP(FactSales[[#This Row],[Salesperson_ID]],DimSalesman[Salesperson_ID],DimSalesman[Salesperson_Name])</f>
        <v>Rumana Khan</v>
      </c>
      <c r="V182" s="6" t="str">
        <f>_xlfn.XLOOKUP(FactSales[[#This Row],[Region_ID]],DimRegion[Region_ID],DimRegion[Region_Name])</f>
        <v>Chattogram</v>
      </c>
      <c r="W182" s="6" t="str">
        <f>_xlfn.XLOOKUP(FactSales[[#This Row],[Store_ID]],DimStore[Store_ID],DimStore[Store_Name])</f>
        <v>Chattogram Panchlaish Store</v>
      </c>
    </row>
    <row r="183" spans="1:23">
      <c r="A183" s="4" t="s">
        <v>1179</v>
      </c>
      <c r="B183" s="5">
        <v>46119</v>
      </c>
      <c r="C183" s="4" t="s">
        <v>612</v>
      </c>
      <c r="D183" s="4" t="s">
        <v>62</v>
      </c>
      <c r="E183" s="4" t="s">
        <v>734</v>
      </c>
      <c r="F183" s="4" t="s">
        <v>987</v>
      </c>
      <c r="G183" s="4" t="s">
        <v>816</v>
      </c>
      <c r="H183" s="4">
        <v>2</v>
      </c>
      <c r="I183" s="7">
        <v>0.03</v>
      </c>
      <c r="J183" s="6">
        <v>2765</v>
      </c>
      <c r="K183" s="4">
        <v>3</v>
      </c>
      <c r="L183" s="8">
        <f t="shared" si="2"/>
        <v>4.2</v>
      </c>
      <c r="M183" s="6" t="str">
        <f>_xlfn.XLOOKUP(FactSales[[#This Row],[Product_ID]],DimProduct[Product_ID],DimProduct[Product_Name])</f>
        <v>Face Wash</v>
      </c>
      <c r="N183" s="6" t="str">
        <f>_xlfn.XLOOKUP(FactSales[[#This Row],[Product_ID]],DimProduct[Product_ID],DimProduct[Category])</f>
        <v>Beauty &amp; Personal Care</v>
      </c>
      <c r="O183" s="6">
        <f>_xlfn.XLOOKUP(FactSales[[#This Row],[Product_ID]],DimProduct[Product_ID],DimProduct[Unit_Price])</f>
        <v>1280</v>
      </c>
      <c r="P183" s="6">
        <f>_xlfn.XLOOKUP(FactSales[[#This Row],[Product_ID]],DimProduct[Product_ID],DimProduct[Unit_Cost])</f>
        <v>740</v>
      </c>
      <c r="Q183" s="6">
        <f>FactSales[[#This Row],[Unit_Price]]*FactSales[[#This Row],[Quantity_Sold]]</f>
        <v>2560</v>
      </c>
      <c r="R183" s="6">
        <f>FactSales[[#This Row],[Unit_Cost]]*FactSales[[#This Row],[Quantity_Sold]]</f>
        <v>1480</v>
      </c>
      <c r="S183" s="6">
        <f>FactSales[[#This Row],[Sales_Amount]]-FactSales[[#This Row],[Total_Cost]]</f>
        <v>1080</v>
      </c>
      <c r="T183" s="6" t="str">
        <f>_xlfn.XLOOKUP(FactSales[[#This Row],[Customer_ID]],DimCustomer[Customer_ID],DimCustomer[Customer_Name])</f>
        <v>Shaila Ahmed</v>
      </c>
      <c r="U183" s="6" t="str">
        <f>_xlfn.XLOOKUP(FactSales[[#This Row],[Salesperson_ID]],DimSalesman[Salesperson_ID],DimSalesman[Salesperson_Name])</f>
        <v>Tanvir Chowdhury</v>
      </c>
      <c r="V183" s="6" t="str">
        <f>_xlfn.XLOOKUP(FactSales[[#This Row],[Region_ID]],DimRegion[Region_ID],DimRegion[Region_Name])</f>
        <v>Mymensingh</v>
      </c>
      <c r="W183" s="6" t="str">
        <f>_xlfn.XLOOKUP(FactSales[[#This Row],[Store_ID]],DimStore[Store_ID],DimStore[Store_Name])</f>
        <v>Mymensingh Charpara Store</v>
      </c>
    </row>
    <row r="184" spans="1:23">
      <c r="A184" s="4" t="s">
        <v>1180</v>
      </c>
      <c r="B184" s="5">
        <v>45739</v>
      </c>
      <c r="C184" s="4" t="s">
        <v>281</v>
      </c>
      <c r="D184" s="4" t="s">
        <v>37</v>
      </c>
      <c r="E184" s="4" t="s">
        <v>656</v>
      </c>
      <c r="F184" s="4" t="s">
        <v>941</v>
      </c>
      <c r="G184" s="4" t="s">
        <v>765</v>
      </c>
      <c r="H184" s="4">
        <v>2</v>
      </c>
      <c r="I184" s="7">
        <v>0.08</v>
      </c>
      <c r="J184" s="6">
        <v>10465</v>
      </c>
      <c r="K184" s="4">
        <v>6</v>
      </c>
      <c r="L184" s="8">
        <f t="shared" si="2"/>
        <v>3.1</v>
      </c>
      <c r="M184" s="6" t="str">
        <f>_xlfn.XLOOKUP(FactSales[[#This Row],[Product_ID]],DimProduct[Product_ID],DimProduct[Product_Name])</f>
        <v>USB-C Hub</v>
      </c>
      <c r="N184" s="6" t="str">
        <f>_xlfn.XLOOKUP(FactSales[[#This Row],[Product_ID]],DimProduct[Product_ID],DimProduct[Category])</f>
        <v>Electronics</v>
      </c>
      <c r="O184" s="6">
        <f>_xlfn.XLOOKUP(FactSales[[#This Row],[Product_ID]],DimProduct[Product_ID],DimProduct[Unit_Price])</f>
        <v>4890</v>
      </c>
      <c r="P184" s="6">
        <f>_xlfn.XLOOKUP(FactSales[[#This Row],[Product_ID]],DimProduct[Product_ID],DimProduct[Unit_Cost])</f>
        <v>3330</v>
      </c>
      <c r="Q184" s="6">
        <f>FactSales[[#This Row],[Unit_Price]]*FactSales[[#This Row],[Quantity_Sold]]</f>
        <v>9780</v>
      </c>
      <c r="R184" s="6">
        <f>FactSales[[#This Row],[Unit_Cost]]*FactSales[[#This Row],[Quantity_Sold]]</f>
        <v>6660</v>
      </c>
      <c r="S184" s="6">
        <f>FactSales[[#This Row],[Sales_Amount]]-FactSales[[#This Row],[Total_Cost]]</f>
        <v>3120</v>
      </c>
      <c r="T184" s="6" t="str">
        <f>_xlfn.XLOOKUP(FactSales[[#This Row],[Customer_ID]],DimCustomer[Customer_ID],DimCustomer[Customer_Name])</f>
        <v>Sajib Sultana</v>
      </c>
      <c r="U184" s="6" t="str">
        <f>_xlfn.XLOOKUP(FactSales[[#This Row],[Salesperson_ID]],DimSalesman[Salesperson_ID],DimSalesman[Salesperson_Name])</f>
        <v>Rumana Rahman</v>
      </c>
      <c r="V184" s="6" t="str">
        <f>_xlfn.XLOOKUP(FactSales[[#This Row],[Region_ID]],DimRegion[Region_ID],DimRegion[Region_Name])</f>
        <v>Sylhet</v>
      </c>
      <c r="W184" s="6" t="str">
        <f>_xlfn.XLOOKUP(FactSales[[#This Row],[Store_ID]],DimStore[Store_ID],DimStore[Store_Name])</f>
        <v>Sylhet Ambarkhana Store</v>
      </c>
    </row>
    <row r="185" spans="1:23">
      <c r="A185" s="4" t="s">
        <v>1181</v>
      </c>
      <c r="B185" s="5">
        <v>45743</v>
      </c>
      <c r="C185" s="4" t="s">
        <v>593</v>
      </c>
      <c r="D185" s="4" t="s">
        <v>62</v>
      </c>
      <c r="E185" s="4" t="s">
        <v>728</v>
      </c>
      <c r="F185" s="4" t="s">
        <v>978</v>
      </c>
      <c r="G185" s="4" t="s">
        <v>859</v>
      </c>
      <c r="H185" s="4">
        <v>3</v>
      </c>
      <c r="I185" s="7">
        <v>0.05</v>
      </c>
      <c r="J185" s="6">
        <v>8845</v>
      </c>
      <c r="K185" s="4">
        <v>6</v>
      </c>
      <c r="L185" s="8">
        <f t="shared" si="2"/>
        <v>3.2</v>
      </c>
      <c r="M185" s="6" t="str">
        <f>_xlfn.XLOOKUP(FactSales[[#This Row],[Product_ID]],DimProduct[Product_ID],DimProduct[Product_Name])</f>
        <v>Yoga Mat</v>
      </c>
      <c r="N185" s="6" t="str">
        <f>_xlfn.XLOOKUP(FactSales[[#This Row],[Product_ID]],DimProduct[Product_ID],DimProduct[Category])</f>
        <v>Sports</v>
      </c>
      <c r="O185" s="6">
        <f>_xlfn.XLOOKUP(FactSales[[#This Row],[Product_ID]],DimProduct[Product_ID],DimProduct[Unit_Price])</f>
        <v>2730</v>
      </c>
      <c r="P185" s="6">
        <f>_xlfn.XLOOKUP(FactSales[[#This Row],[Product_ID]],DimProduct[Product_ID],DimProduct[Unit_Cost])</f>
        <v>1690</v>
      </c>
      <c r="Q185" s="6">
        <f>FactSales[[#This Row],[Unit_Price]]*FactSales[[#This Row],[Quantity_Sold]]</f>
        <v>8190</v>
      </c>
      <c r="R185" s="6">
        <f>FactSales[[#This Row],[Unit_Cost]]*FactSales[[#This Row],[Quantity_Sold]]</f>
        <v>5070</v>
      </c>
      <c r="S185" s="6">
        <f>FactSales[[#This Row],[Sales_Amount]]-FactSales[[#This Row],[Total_Cost]]</f>
        <v>3120</v>
      </c>
      <c r="T185" s="6" t="str">
        <f>_xlfn.XLOOKUP(FactSales[[#This Row],[Customer_ID]],DimCustomer[Customer_ID],DimCustomer[Customer_Name])</f>
        <v>Nusrat Akter</v>
      </c>
      <c r="U185" s="6" t="str">
        <f>_xlfn.XLOOKUP(FactSales[[#This Row],[Salesperson_ID]],DimSalesman[Salesperson_ID],DimSalesman[Salesperson_Name])</f>
        <v>Sajib Rahman</v>
      </c>
      <c r="V185" s="6" t="str">
        <f>_xlfn.XLOOKUP(FactSales[[#This Row],[Region_ID]],DimRegion[Region_ID],DimRegion[Region_Name])</f>
        <v>Mymensingh</v>
      </c>
      <c r="W185" s="6" t="str">
        <f>_xlfn.XLOOKUP(FactSales[[#This Row],[Store_ID]],DimStore[Store_ID],DimStore[Store_Name])</f>
        <v>Mymensingh Ganginarpar Store</v>
      </c>
    </row>
    <row r="186" spans="1:23">
      <c r="A186" s="4" t="s">
        <v>1182</v>
      </c>
      <c r="B186" s="5">
        <v>45948</v>
      </c>
      <c r="C186" s="4" t="s">
        <v>205</v>
      </c>
      <c r="D186" s="4" t="s">
        <v>32</v>
      </c>
      <c r="E186" s="4" t="s">
        <v>647</v>
      </c>
      <c r="F186" s="4" t="s">
        <v>926</v>
      </c>
      <c r="G186" s="4" t="s">
        <v>765</v>
      </c>
      <c r="H186" s="4">
        <v>2</v>
      </c>
      <c r="I186" s="7">
        <v>0.1</v>
      </c>
      <c r="J186" s="6">
        <v>11149</v>
      </c>
      <c r="K186" s="4">
        <v>7</v>
      </c>
      <c r="L186" s="8">
        <f t="shared" si="2"/>
        <v>2.7</v>
      </c>
      <c r="M186" s="6" t="str">
        <f>_xlfn.XLOOKUP(FactSales[[#This Row],[Product_ID]],DimProduct[Product_ID],DimProduct[Product_Name])</f>
        <v>USB-C Hub</v>
      </c>
      <c r="N186" s="6" t="str">
        <f>_xlfn.XLOOKUP(FactSales[[#This Row],[Product_ID]],DimProduct[Product_ID],DimProduct[Category])</f>
        <v>Electronics</v>
      </c>
      <c r="O186" s="6">
        <f>_xlfn.XLOOKUP(FactSales[[#This Row],[Product_ID]],DimProduct[Product_ID],DimProduct[Unit_Price])</f>
        <v>4890</v>
      </c>
      <c r="P186" s="6">
        <f>_xlfn.XLOOKUP(FactSales[[#This Row],[Product_ID]],DimProduct[Product_ID],DimProduct[Unit_Cost])</f>
        <v>3330</v>
      </c>
      <c r="Q186" s="6">
        <f>FactSales[[#This Row],[Unit_Price]]*FactSales[[#This Row],[Quantity_Sold]]</f>
        <v>9780</v>
      </c>
      <c r="R186" s="6">
        <f>FactSales[[#This Row],[Unit_Cost]]*FactSales[[#This Row],[Quantity_Sold]]</f>
        <v>6660</v>
      </c>
      <c r="S186" s="6">
        <f>FactSales[[#This Row],[Sales_Amount]]-FactSales[[#This Row],[Total_Cost]]</f>
        <v>3120</v>
      </c>
      <c r="T186" s="6" t="str">
        <f>_xlfn.XLOOKUP(FactSales[[#This Row],[Customer_ID]],DimCustomer[Customer_ID],DimCustomer[Customer_Name])</f>
        <v>Mahmud Islam</v>
      </c>
      <c r="U186" s="6" t="str">
        <f>_xlfn.XLOOKUP(FactSales[[#This Row],[Salesperson_ID]],DimSalesman[Salesperson_ID],DimSalesman[Salesperson_Name])</f>
        <v>Rafi Akter</v>
      </c>
      <c r="V186" s="6" t="str">
        <f>_xlfn.XLOOKUP(FactSales[[#This Row],[Region_ID]],DimRegion[Region_ID],DimRegion[Region_Name])</f>
        <v>Chattogram</v>
      </c>
      <c r="W186" s="6" t="str">
        <f>_xlfn.XLOOKUP(FactSales[[#This Row],[Store_ID]],DimStore[Store_ID],DimStore[Store_Name])</f>
        <v>Chattogram Nasirabad Store</v>
      </c>
    </row>
    <row r="187" spans="1:23">
      <c r="A187" s="4" t="s">
        <v>1183</v>
      </c>
      <c r="B187" s="5">
        <v>46136</v>
      </c>
      <c r="C187" s="4" t="s">
        <v>76</v>
      </c>
      <c r="D187" s="4" t="s">
        <v>27</v>
      </c>
      <c r="E187" s="4" t="s">
        <v>626</v>
      </c>
      <c r="F187" s="4" t="s">
        <v>916</v>
      </c>
      <c r="G187" s="4" t="s">
        <v>878</v>
      </c>
      <c r="H187" s="4">
        <v>10</v>
      </c>
      <c r="I187" s="7">
        <v>7.0000000000000007E-2</v>
      </c>
      <c r="J187" s="6">
        <v>8904</v>
      </c>
      <c r="K187" s="4">
        <v>5</v>
      </c>
      <c r="L187" s="8">
        <f t="shared" si="2"/>
        <v>3.4</v>
      </c>
      <c r="M187" s="6" t="str">
        <f>_xlfn.XLOOKUP(FactSales[[#This Row],[Product_ID]],DimProduct[Product_ID],DimProduct[Product_Name])</f>
        <v>Building Blocks</v>
      </c>
      <c r="N187" s="6" t="str">
        <f>_xlfn.XLOOKUP(FactSales[[#This Row],[Product_ID]],DimProduct[Product_ID],DimProduct[Category])</f>
        <v>Kids &amp; Toys</v>
      </c>
      <c r="O187" s="6">
        <f>_xlfn.XLOOKUP(FactSales[[#This Row],[Product_ID]],DimProduct[Product_ID],DimProduct[Unit_Price])</f>
        <v>840</v>
      </c>
      <c r="P187" s="6">
        <f>_xlfn.XLOOKUP(FactSales[[#This Row],[Product_ID]],DimProduct[Product_ID],DimProduct[Unit_Cost])</f>
        <v>460</v>
      </c>
      <c r="Q187" s="6">
        <f>FactSales[[#This Row],[Unit_Price]]*FactSales[[#This Row],[Quantity_Sold]]</f>
        <v>8400</v>
      </c>
      <c r="R187" s="6">
        <f>FactSales[[#This Row],[Unit_Cost]]*FactSales[[#This Row],[Quantity_Sold]]</f>
        <v>4600</v>
      </c>
      <c r="S187" s="6">
        <f>FactSales[[#This Row],[Sales_Amount]]-FactSales[[#This Row],[Total_Cost]]</f>
        <v>3800</v>
      </c>
      <c r="T187" s="6" t="str">
        <f>_xlfn.XLOOKUP(FactSales[[#This Row],[Customer_ID]],DimCustomer[Customer_ID],DimCustomer[Customer_Name])</f>
        <v>Tamanna Hossain</v>
      </c>
      <c r="U187" s="6" t="str">
        <f>_xlfn.XLOOKUP(FactSales[[#This Row],[Salesperson_ID]],DimSalesman[Salesperson_ID],DimSalesman[Salesperson_Name])</f>
        <v>Rafi Islam</v>
      </c>
      <c r="V187" s="6" t="str">
        <f>_xlfn.XLOOKUP(FactSales[[#This Row],[Region_ID]],DimRegion[Region_ID],DimRegion[Region_Name])</f>
        <v>Dhaka</v>
      </c>
      <c r="W187" s="6" t="str">
        <f>_xlfn.XLOOKUP(FactSales[[#This Row],[Store_ID]],DimStore[Store_ID],DimStore[Store_Name])</f>
        <v>Dhaka Mirpur Store</v>
      </c>
    </row>
    <row r="188" spans="1:23">
      <c r="A188" s="4" t="s">
        <v>1184</v>
      </c>
      <c r="B188" s="5">
        <v>46125</v>
      </c>
      <c r="C188" s="4" t="s">
        <v>562</v>
      </c>
      <c r="D188" s="4" t="s">
        <v>62</v>
      </c>
      <c r="E188" s="4" t="s">
        <v>740</v>
      </c>
      <c r="F188" s="4" t="s">
        <v>979</v>
      </c>
      <c r="G188" s="4" t="s">
        <v>816</v>
      </c>
      <c r="H188" s="4">
        <v>5</v>
      </c>
      <c r="I188" s="7">
        <v>0.12</v>
      </c>
      <c r="J188" s="6">
        <v>6912</v>
      </c>
      <c r="K188" s="4">
        <v>2</v>
      </c>
      <c r="L188" s="8">
        <f t="shared" si="2"/>
        <v>4.3</v>
      </c>
      <c r="M188" s="6" t="str">
        <f>_xlfn.XLOOKUP(FactSales[[#This Row],[Product_ID]],DimProduct[Product_ID],DimProduct[Product_Name])</f>
        <v>Face Wash</v>
      </c>
      <c r="N188" s="6" t="str">
        <f>_xlfn.XLOOKUP(FactSales[[#This Row],[Product_ID]],DimProduct[Product_ID],DimProduct[Category])</f>
        <v>Beauty &amp; Personal Care</v>
      </c>
      <c r="O188" s="6">
        <f>_xlfn.XLOOKUP(FactSales[[#This Row],[Product_ID]],DimProduct[Product_ID],DimProduct[Unit_Price])</f>
        <v>1280</v>
      </c>
      <c r="P188" s="6">
        <f>_xlfn.XLOOKUP(FactSales[[#This Row],[Product_ID]],DimProduct[Product_ID],DimProduct[Unit_Cost])</f>
        <v>740</v>
      </c>
      <c r="Q188" s="6">
        <f>FactSales[[#This Row],[Unit_Price]]*FactSales[[#This Row],[Quantity_Sold]]</f>
        <v>6400</v>
      </c>
      <c r="R188" s="6">
        <f>FactSales[[#This Row],[Unit_Cost]]*FactSales[[#This Row],[Quantity_Sold]]</f>
        <v>3700</v>
      </c>
      <c r="S188" s="6">
        <f>FactSales[[#This Row],[Sales_Amount]]-FactSales[[#This Row],[Total_Cost]]</f>
        <v>2700</v>
      </c>
      <c r="T188" s="6" t="str">
        <f>_xlfn.XLOOKUP(FactSales[[#This Row],[Customer_ID]],DimCustomer[Customer_ID],DimCustomer[Customer_Name])</f>
        <v>Shamim Hossain</v>
      </c>
      <c r="U188" s="6" t="str">
        <f>_xlfn.XLOOKUP(FactSales[[#This Row],[Salesperson_ID]],DimSalesman[Salesperson_ID],DimSalesman[Salesperson_Name])</f>
        <v>Rahim Rahman</v>
      </c>
      <c r="V188" s="6" t="str">
        <f>_xlfn.XLOOKUP(FactSales[[#This Row],[Region_ID]],DimRegion[Region_ID],DimRegion[Region_Name])</f>
        <v>Mymensingh</v>
      </c>
      <c r="W188" s="6" t="str">
        <f>_xlfn.XLOOKUP(FactSales[[#This Row],[Store_ID]],DimStore[Store_ID],DimStore[Store_Name])</f>
        <v>Mymensingh Maskanda Store</v>
      </c>
    </row>
    <row r="189" spans="1:23">
      <c r="A189" s="4" t="s">
        <v>1185</v>
      </c>
      <c r="B189" s="5">
        <v>45749</v>
      </c>
      <c r="C189" s="4" t="s">
        <v>387</v>
      </c>
      <c r="D189" s="4" t="s">
        <v>47</v>
      </c>
      <c r="E189" s="4" t="s">
        <v>692</v>
      </c>
      <c r="F189" s="4" t="s">
        <v>956</v>
      </c>
      <c r="G189" s="4" t="s">
        <v>765</v>
      </c>
      <c r="H189" s="4">
        <v>3</v>
      </c>
      <c r="I189" s="7">
        <v>0.15</v>
      </c>
      <c r="J189" s="6">
        <v>15990</v>
      </c>
      <c r="K189" s="4">
        <v>4</v>
      </c>
      <c r="L189" s="8">
        <f t="shared" si="2"/>
        <v>3.6</v>
      </c>
      <c r="M189" s="6" t="str">
        <f>_xlfn.XLOOKUP(FactSales[[#This Row],[Product_ID]],DimProduct[Product_ID],DimProduct[Product_Name])</f>
        <v>USB-C Hub</v>
      </c>
      <c r="N189" s="6" t="str">
        <f>_xlfn.XLOOKUP(FactSales[[#This Row],[Product_ID]],DimProduct[Product_ID],DimProduct[Category])</f>
        <v>Electronics</v>
      </c>
      <c r="O189" s="6">
        <f>_xlfn.XLOOKUP(FactSales[[#This Row],[Product_ID]],DimProduct[Product_ID],DimProduct[Unit_Price])</f>
        <v>4890</v>
      </c>
      <c r="P189" s="6">
        <f>_xlfn.XLOOKUP(FactSales[[#This Row],[Product_ID]],DimProduct[Product_ID],DimProduct[Unit_Cost])</f>
        <v>3330</v>
      </c>
      <c r="Q189" s="6">
        <f>FactSales[[#This Row],[Unit_Price]]*FactSales[[#This Row],[Quantity_Sold]]</f>
        <v>14670</v>
      </c>
      <c r="R189" s="6">
        <f>FactSales[[#This Row],[Unit_Cost]]*FactSales[[#This Row],[Quantity_Sold]]</f>
        <v>9990</v>
      </c>
      <c r="S189" s="6">
        <f>FactSales[[#This Row],[Sales_Amount]]-FactSales[[#This Row],[Total_Cost]]</f>
        <v>4680</v>
      </c>
      <c r="T189" s="6" t="str">
        <f>_xlfn.XLOOKUP(FactSales[[#This Row],[Customer_ID]],DimCustomer[Customer_ID],DimCustomer[Customer_Name])</f>
        <v>Nayeem Chowdhury</v>
      </c>
      <c r="U189" s="6" t="str">
        <f>_xlfn.XLOOKUP(FactSales[[#This Row],[Salesperson_ID]],DimSalesman[Salesperson_ID],DimSalesman[Salesperson_Name])</f>
        <v>Rafi Ahmed</v>
      </c>
      <c r="V189" s="6" t="str">
        <f>_xlfn.XLOOKUP(FactSales[[#This Row],[Region_ID]],DimRegion[Region_ID],DimRegion[Region_Name])</f>
        <v>Khulna</v>
      </c>
      <c r="W189" s="6" t="str">
        <f>_xlfn.XLOOKUP(FactSales[[#This Row],[Store_ID]],DimStore[Store_ID],DimStore[Store_Name])</f>
        <v>Khulna Boyra Store</v>
      </c>
    </row>
    <row r="190" spans="1:23">
      <c r="A190" s="4" t="s">
        <v>1186</v>
      </c>
      <c r="B190" s="5">
        <v>45797</v>
      </c>
      <c r="C190" s="4" t="s">
        <v>366</v>
      </c>
      <c r="D190" s="4" t="s">
        <v>47</v>
      </c>
      <c r="E190" s="4" t="s">
        <v>689</v>
      </c>
      <c r="F190" s="4" t="s">
        <v>952</v>
      </c>
      <c r="G190" s="4" t="s">
        <v>750</v>
      </c>
      <c r="H190" s="4">
        <v>2</v>
      </c>
      <c r="I190" s="7">
        <v>0.15</v>
      </c>
      <c r="J190" s="6">
        <v>7063</v>
      </c>
      <c r="K190" s="4">
        <v>1</v>
      </c>
      <c r="L190" s="8">
        <f t="shared" si="2"/>
        <v>4.5999999999999996</v>
      </c>
      <c r="M190" s="6" t="str">
        <f>_xlfn.XLOOKUP(FactSales[[#This Row],[Product_ID]],DimProduct[Product_ID],DimProduct[Product_Name])</f>
        <v>Bluetooth Speaker</v>
      </c>
      <c r="N190" s="6" t="str">
        <f>_xlfn.XLOOKUP(FactSales[[#This Row],[Product_ID]],DimProduct[Product_ID],DimProduct[Category])</f>
        <v>Electronics</v>
      </c>
      <c r="O190" s="6">
        <f>_xlfn.XLOOKUP(FactSales[[#This Row],[Product_ID]],DimProduct[Product_ID],DimProduct[Unit_Price])</f>
        <v>3240</v>
      </c>
      <c r="P190" s="6">
        <f>_xlfn.XLOOKUP(FactSales[[#This Row],[Product_ID]],DimProduct[Product_ID],DimProduct[Unit_Cost])</f>
        <v>2200</v>
      </c>
      <c r="Q190" s="6">
        <f>FactSales[[#This Row],[Unit_Price]]*FactSales[[#This Row],[Quantity_Sold]]</f>
        <v>6480</v>
      </c>
      <c r="R190" s="6">
        <f>FactSales[[#This Row],[Unit_Cost]]*FactSales[[#This Row],[Quantity_Sold]]</f>
        <v>4400</v>
      </c>
      <c r="S190" s="6">
        <f>FactSales[[#This Row],[Sales_Amount]]-FactSales[[#This Row],[Total_Cost]]</f>
        <v>2080</v>
      </c>
      <c r="T190" s="6" t="str">
        <f>_xlfn.XLOOKUP(FactSales[[#This Row],[Customer_ID]],DimCustomer[Customer_ID],DimCustomer[Customer_Name])</f>
        <v>Sajib Hossain</v>
      </c>
      <c r="U190" s="6" t="str">
        <f>_xlfn.XLOOKUP(FactSales[[#This Row],[Salesperson_ID]],DimSalesman[Salesperson_ID],DimSalesman[Salesperson_Name])</f>
        <v>Samiha Islam</v>
      </c>
      <c r="V190" s="6" t="str">
        <f>_xlfn.XLOOKUP(FactSales[[#This Row],[Region_ID]],DimRegion[Region_ID],DimRegion[Region_Name])</f>
        <v>Khulna</v>
      </c>
      <c r="W190" s="6" t="str">
        <f>_xlfn.XLOOKUP(FactSales[[#This Row],[Store_ID]],DimStore[Store_ID],DimStore[Store_Name])</f>
        <v>Khulna Daulatpur Store</v>
      </c>
    </row>
    <row r="191" spans="1:23">
      <c r="A191" s="4" t="s">
        <v>1187</v>
      </c>
      <c r="B191" s="5">
        <v>46098</v>
      </c>
      <c r="C191" s="4" t="s">
        <v>612</v>
      </c>
      <c r="D191" s="4" t="s">
        <v>62</v>
      </c>
      <c r="E191" s="4" t="s">
        <v>737</v>
      </c>
      <c r="F191" s="4" t="s">
        <v>981</v>
      </c>
      <c r="G191" s="4" t="s">
        <v>750</v>
      </c>
      <c r="H191" s="4">
        <v>6</v>
      </c>
      <c r="I191" s="7">
        <v>0.1</v>
      </c>
      <c r="J191" s="6">
        <v>20995</v>
      </c>
      <c r="K191" s="4">
        <v>3</v>
      </c>
      <c r="L191" s="8">
        <f t="shared" si="2"/>
        <v>4</v>
      </c>
      <c r="M191" s="6" t="str">
        <f>_xlfn.XLOOKUP(FactSales[[#This Row],[Product_ID]],DimProduct[Product_ID],DimProduct[Product_Name])</f>
        <v>Bluetooth Speaker</v>
      </c>
      <c r="N191" s="6" t="str">
        <f>_xlfn.XLOOKUP(FactSales[[#This Row],[Product_ID]],DimProduct[Product_ID],DimProduct[Category])</f>
        <v>Electronics</v>
      </c>
      <c r="O191" s="6">
        <f>_xlfn.XLOOKUP(FactSales[[#This Row],[Product_ID]],DimProduct[Product_ID],DimProduct[Unit_Price])</f>
        <v>3240</v>
      </c>
      <c r="P191" s="6">
        <f>_xlfn.XLOOKUP(FactSales[[#This Row],[Product_ID]],DimProduct[Product_ID],DimProduct[Unit_Cost])</f>
        <v>2200</v>
      </c>
      <c r="Q191" s="6">
        <f>FactSales[[#This Row],[Unit_Price]]*FactSales[[#This Row],[Quantity_Sold]]</f>
        <v>19440</v>
      </c>
      <c r="R191" s="6">
        <f>FactSales[[#This Row],[Unit_Cost]]*FactSales[[#This Row],[Quantity_Sold]]</f>
        <v>13200</v>
      </c>
      <c r="S191" s="6">
        <f>FactSales[[#This Row],[Sales_Amount]]-FactSales[[#This Row],[Total_Cost]]</f>
        <v>6240</v>
      </c>
      <c r="T191" s="6" t="str">
        <f>_xlfn.XLOOKUP(FactSales[[#This Row],[Customer_ID]],DimCustomer[Customer_ID],DimCustomer[Customer_Name])</f>
        <v>Shaila Ahmed</v>
      </c>
      <c r="U191" s="6" t="str">
        <f>_xlfn.XLOOKUP(FactSales[[#This Row],[Salesperson_ID]],DimSalesman[Salesperson_ID],DimSalesman[Salesperson_Name])</f>
        <v>Morshed Islam</v>
      </c>
      <c r="V191" s="6" t="str">
        <f>_xlfn.XLOOKUP(FactSales[[#This Row],[Region_ID]],DimRegion[Region_ID],DimRegion[Region_Name])</f>
        <v>Mymensingh</v>
      </c>
      <c r="W191" s="6" t="str">
        <f>_xlfn.XLOOKUP(FactSales[[#This Row],[Store_ID]],DimStore[Store_ID],DimStore[Store_Name])</f>
        <v>Mymensingh Kewatkhali Store</v>
      </c>
    </row>
    <row r="192" spans="1:23">
      <c r="A192" s="4" t="s">
        <v>1188</v>
      </c>
      <c r="B192" s="5">
        <v>46105</v>
      </c>
      <c r="C192" s="4" t="s">
        <v>124</v>
      </c>
      <c r="D192" s="4" t="s">
        <v>27</v>
      </c>
      <c r="E192" s="4" t="s">
        <v>626</v>
      </c>
      <c r="F192" s="4" t="s">
        <v>914</v>
      </c>
      <c r="G192" s="4" t="s">
        <v>781</v>
      </c>
      <c r="H192" s="4">
        <v>2</v>
      </c>
      <c r="I192" s="7">
        <v>0.15</v>
      </c>
      <c r="J192" s="6">
        <v>6593</v>
      </c>
      <c r="K192" s="4">
        <v>5</v>
      </c>
      <c r="L192" s="8">
        <f t="shared" si="2"/>
        <v>3.3</v>
      </c>
      <c r="M192" s="6" t="str">
        <f>_xlfn.XLOOKUP(FactSales[[#This Row],[Product_ID]],DimProduct[Product_ID],DimProduct[Product_Name])</f>
        <v>Table Fan</v>
      </c>
      <c r="N192" s="6" t="str">
        <f>_xlfn.XLOOKUP(FactSales[[#This Row],[Product_ID]],DimProduct[Product_ID],DimProduct[Category])</f>
        <v>Home Appliance</v>
      </c>
      <c r="O192" s="6">
        <f>_xlfn.XLOOKUP(FactSales[[#This Row],[Product_ID]],DimProduct[Product_ID],DimProduct[Unit_Price])</f>
        <v>3110</v>
      </c>
      <c r="P192" s="6">
        <f>_xlfn.XLOOKUP(FactSales[[#This Row],[Product_ID]],DimProduct[Product_ID],DimProduct[Unit_Cost])</f>
        <v>2180</v>
      </c>
      <c r="Q192" s="6">
        <f>FactSales[[#This Row],[Unit_Price]]*FactSales[[#This Row],[Quantity_Sold]]</f>
        <v>6220</v>
      </c>
      <c r="R192" s="6">
        <f>FactSales[[#This Row],[Unit_Cost]]*FactSales[[#This Row],[Quantity_Sold]]</f>
        <v>4360</v>
      </c>
      <c r="S192" s="6">
        <f>FactSales[[#This Row],[Sales_Amount]]-FactSales[[#This Row],[Total_Cost]]</f>
        <v>1860</v>
      </c>
      <c r="T192" s="6" t="str">
        <f>_xlfn.XLOOKUP(FactSales[[#This Row],[Customer_ID]],DimCustomer[Customer_ID],DimCustomer[Customer_Name])</f>
        <v>Rafi Khan</v>
      </c>
      <c r="U192" s="6" t="str">
        <f>_xlfn.XLOOKUP(FactSales[[#This Row],[Salesperson_ID]],DimSalesman[Salesperson_ID],DimSalesman[Salesperson_Name])</f>
        <v>Rasel Rahman</v>
      </c>
      <c r="V192" s="6" t="str">
        <f>_xlfn.XLOOKUP(FactSales[[#This Row],[Region_ID]],DimRegion[Region_ID],DimRegion[Region_Name])</f>
        <v>Dhaka</v>
      </c>
      <c r="W192" s="6" t="str">
        <f>_xlfn.XLOOKUP(FactSales[[#This Row],[Store_ID]],DimStore[Store_ID],DimStore[Store_Name])</f>
        <v>Dhaka Mirpur Store</v>
      </c>
    </row>
    <row r="193" spans="1:23">
      <c r="A193" s="4" t="s">
        <v>1189</v>
      </c>
      <c r="B193" s="5">
        <v>45936</v>
      </c>
      <c r="C193" s="4" t="s">
        <v>186</v>
      </c>
      <c r="D193" s="4" t="s">
        <v>32</v>
      </c>
      <c r="E193" s="4" t="s">
        <v>641</v>
      </c>
      <c r="F193" s="4" t="s">
        <v>929</v>
      </c>
      <c r="G193" s="4" t="s">
        <v>859</v>
      </c>
      <c r="H193" s="4">
        <v>2</v>
      </c>
      <c r="I193" s="7">
        <v>0.12</v>
      </c>
      <c r="J193" s="6">
        <v>6224</v>
      </c>
      <c r="K193" s="4">
        <v>4</v>
      </c>
      <c r="L193" s="8">
        <f t="shared" si="2"/>
        <v>3.7</v>
      </c>
      <c r="M193" s="6" t="str">
        <f>_xlfn.XLOOKUP(FactSales[[#This Row],[Product_ID]],DimProduct[Product_ID],DimProduct[Product_Name])</f>
        <v>Yoga Mat</v>
      </c>
      <c r="N193" s="6" t="str">
        <f>_xlfn.XLOOKUP(FactSales[[#This Row],[Product_ID]],DimProduct[Product_ID],DimProduct[Category])</f>
        <v>Sports</v>
      </c>
      <c r="O193" s="6">
        <f>_xlfn.XLOOKUP(FactSales[[#This Row],[Product_ID]],DimProduct[Product_ID],DimProduct[Unit_Price])</f>
        <v>2730</v>
      </c>
      <c r="P193" s="6">
        <f>_xlfn.XLOOKUP(FactSales[[#This Row],[Product_ID]],DimProduct[Product_ID],DimProduct[Unit_Cost])</f>
        <v>1690</v>
      </c>
      <c r="Q193" s="6">
        <f>FactSales[[#This Row],[Unit_Price]]*FactSales[[#This Row],[Quantity_Sold]]</f>
        <v>5460</v>
      </c>
      <c r="R193" s="6">
        <f>FactSales[[#This Row],[Unit_Cost]]*FactSales[[#This Row],[Quantity_Sold]]</f>
        <v>3380</v>
      </c>
      <c r="S193" s="6">
        <f>FactSales[[#This Row],[Sales_Amount]]-FactSales[[#This Row],[Total_Cost]]</f>
        <v>2080</v>
      </c>
      <c r="T193" s="6" t="str">
        <f>_xlfn.XLOOKUP(FactSales[[#This Row],[Customer_ID]],DimCustomer[Customer_ID],DimCustomer[Customer_Name])</f>
        <v>Ayesha Sultana</v>
      </c>
      <c r="U193" s="6" t="str">
        <f>_xlfn.XLOOKUP(FactSales[[#This Row],[Salesperson_ID]],DimSalesman[Salesperson_ID],DimSalesman[Salesperson_Name])</f>
        <v>Nabila Mia</v>
      </c>
      <c r="V193" s="6" t="str">
        <f>_xlfn.XLOOKUP(FactSales[[#This Row],[Region_ID]],DimRegion[Region_ID],DimRegion[Region_Name])</f>
        <v>Chattogram</v>
      </c>
      <c r="W193" s="6" t="str">
        <f>_xlfn.XLOOKUP(FactSales[[#This Row],[Store_ID]],DimStore[Store_ID],DimStore[Store_Name])</f>
        <v>Chattogram GEC Store</v>
      </c>
    </row>
    <row r="194" spans="1:23">
      <c r="A194" s="4" t="s">
        <v>1190</v>
      </c>
      <c r="B194" s="5">
        <v>45954</v>
      </c>
      <c r="C194" s="4" t="s">
        <v>393</v>
      </c>
      <c r="D194" s="4" t="s">
        <v>47</v>
      </c>
      <c r="E194" s="4" t="s">
        <v>686</v>
      </c>
      <c r="F194" s="4" t="s">
        <v>952</v>
      </c>
      <c r="G194" s="4" t="s">
        <v>762</v>
      </c>
      <c r="H194" s="4">
        <v>1</v>
      </c>
      <c r="I194" s="7">
        <v>0.15</v>
      </c>
      <c r="J194" s="6">
        <v>4218</v>
      </c>
      <c r="K194" s="4">
        <v>2</v>
      </c>
      <c r="L194" s="8">
        <f t="shared" ref="L194:L257" si="3">MAX(1,MIN(5,ROUND(5.2-(K194*0.32)-(I194*2.2),1)))</f>
        <v>4.2</v>
      </c>
      <c r="M194" s="6" t="str">
        <f>_xlfn.XLOOKUP(FactSales[[#This Row],[Product_ID]],DimProduct[Product_ID],DimProduct[Product_Name])</f>
        <v>Smart Watch</v>
      </c>
      <c r="N194" s="6" t="str">
        <f>_xlfn.XLOOKUP(FactSales[[#This Row],[Product_ID]],DimProduct[Product_ID],DimProduct[Category])</f>
        <v>Electronics</v>
      </c>
      <c r="O194" s="6">
        <f>_xlfn.XLOOKUP(FactSales[[#This Row],[Product_ID]],DimProduct[Product_ID],DimProduct[Unit_Price])</f>
        <v>3870</v>
      </c>
      <c r="P194" s="6">
        <f>_xlfn.XLOOKUP(FactSales[[#This Row],[Product_ID]],DimProduct[Product_ID],DimProduct[Unit_Cost])</f>
        <v>2630</v>
      </c>
      <c r="Q194" s="6">
        <f>FactSales[[#This Row],[Unit_Price]]*FactSales[[#This Row],[Quantity_Sold]]</f>
        <v>3870</v>
      </c>
      <c r="R194" s="6">
        <f>FactSales[[#This Row],[Unit_Cost]]*FactSales[[#This Row],[Quantity_Sold]]</f>
        <v>2630</v>
      </c>
      <c r="S194" s="6">
        <f>FactSales[[#This Row],[Sales_Amount]]-FactSales[[#This Row],[Total_Cost]]</f>
        <v>1240</v>
      </c>
      <c r="T194" s="6" t="str">
        <f>_xlfn.XLOOKUP(FactSales[[#This Row],[Customer_ID]],DimCustomer[Customer_ID],DimCustomer[Customer_Name])</f>
        <v>Imran Uddin</v>
      </c>
      <c r="U194" s="6" t="str">
        <f>_xlfn.XLOOKUP(FactSales[[#This Row],[Salesperson_ID]],DimSalesman[Salesperson_ID],DimSalesman[Salesperson_Name])</f>
        <v>Samiha Islam</v>
      </c>
      <c r="V194" s="6" t="str">
        <f>_xlfn.XLOOKUP(FactSales[[#This Row],[Region_ID]],DimRegion[Region_ID],DimRegion[Region_Name])</f>
        <v>Khulna</v>
      </c>
      <c r="W194" s="6" t="str">
        <f>_xlfn.XLOOKUP(FactSales[[#This Row],[Store_ID]],DimStore[Store_ID],DimStore[Store_Name])</f>
        <v>Khulna Khalishpur Store</v>
      </c>
    </row>
    <row r="195" spans="1:23">
      <c r="A195" s="4" t="s">
        <v>1191</v>
      </c>
      <c r="B195" s="5">
        <v>45680</v>
      </c>
      <c r="C195" s="4" t="s">
        <v>567</v>
      </c>
      <c r="D195" s="4" t="s">
        <v>62</v>
      </c>
      <c r="E195" s="4" t="s">
        <v>734</v>
      </c>
      <c r="F195" s="4" t="s">
        <v>978</v>
      </c>
      <c r="G195" s="4" t="s">
        <v>758</v>
      </c>
      <c r="H195" s="4">
        <v>1</v>
      </c>
      <c r="I195" s="7">
        <v>0.08</v>
      </c>
      <c r="J195" s="6">
        <v>3067</v>
      </c>
      <c r="K195" s="4">
        <v>3</v>
      </c>
      <c r="L195" s="8">
        <f t="shared" si="3"/>
        <v>4.0999999999999996</v>
      </c>
      <c r="M195" s="6" t="str">
        <f>_xlfn.XLOOKUP(FactSales[[#This Row],[Product_ID]],DimProduct[Product_ID],DimProduct[Product_Name])</f>
        <v>Power Bank</v>
      </c>
      <c r="N195" s="6" t="str">
        <f>_xlfn.XLOOKUP(FactSales[[#This Row],[Product_ID]],DimProduct[Product_ID],DimProduct[Category])</f>
        <v>Electronics</v>
      </c>
      <c r="O195" s="6">
        <f>_xlfn.XLOOKUP(FactSales[[#This Row],[Product_ID]],DimProduct[Product_ID],DimProduct[Unit_Price])</f>
        <v>2840</v>
      </c>
      <c r="P195" s="6">
        <f>_xlfn.XLOOKUP(FactSales[[#This Row],[Product_ID]],DimProduct[Product_ID],DimProduct[Unit_Cost])</f>
        <v>1930</v>
      </c>
      <c r="Q195" s="6">
        <f>FactSales[[#This Row],[Unit_Price]]*FactSales[[#This Row],[Quantity_Sold]]</f>
        <v>2840</v>
      </c>
      <c r="R195" s="6">
        <f>FactSales[[#This Row],[Unit_Cost]]*FactSales[[#This Row],[Quantity_Sold]]</f>
        <v>1930</v>
      </c>
      <c r="S195" s="6">
        <f>FactSales[[#This Row],[Sales_Amount]]-FactSales[[#This Row],[Total_Cost]]</f>
        <v>910</v>
      </c>
      <c r="T195" s="6" t="str">
        <f>_xlfn.XLOOKUP(FactSales[[#This Row],[Customer_ID]],DimCustomer[Customer_ID],DimCustomer[Customer_Name])</f>
        <v>Shakib Mia</v>
      </c>
      <c r="U195" s="6" t="str">
        <f>_xlfn.XLOOKUP(FactSales[[#This Row],[Salesperson_ID]],DimSalesman[Salesperson_ID],DimSalesman[Salesperson_Name])</f>
        <v>Sajib Rahman</v>
      </c>
      <c r="V195" s="6" t="str">
        <f>_xlfn.XLOOKUP(FactSales[[#This Row],[Region_ID]],DimRegion[Region_ID],DimRegion[Region_Name])</f>
        <v>Mymensingh</v>
      </c>
      <c r="W195" s="6" t="str">
        <f>_xlfn.XLOOKUP(FactSales[[#This Row],[Store_ID]],DimStore[Store_ID],DimStore[Store_Name])</f>
        <v>Mymensingh Charpara Store</v>
      </c>
    </row>
    <row r="196" spans="1:23">
      <c r="A196" s="4" t="s">
        <v>1192</v>
      </c>
      <c r="B196" s="5">
        <v>45666</v>
      </c>
      <c r="C196" s="4" t="s">
        <v>378</v>
      </c>
      <c r="D196" s="4" t="s">
        <v>47</v>
      </c>
      <c r="E196" s="4" t="s">
        <v>686</v>
      </c>
      <c r="F196" s="4" t="s">
        <v>958</v>
      </c>
      <c r="G196" s="4" t="s">
        <v>784</v>
      </c>
      <c r="H196" s="4">
        <v>1</v>
      </c>
      <c r="I196" s="7">
        <v>0.05</v>
      </c>
      <c r="J196" s="6">
        <v>2038</v>
      </c>
      <c r="K196" s="4">
        <v>4</v>
      </c>
      <c r="L196" s="8">
        <f t="shared" si="3"/>
        <v>3.8</v>
      </c>
      <c r="M196" s="6" t="str">
        <f>_xlfn.XLOOKUP(FactSales[[#This Row],[Product_ID]],DimProduct[Product_ID],DimProduct[Product_Name])</f>
        <v>Cotton T-Shirt</v>
      </c>
      <c r="N196" s="6" t="str">
        <f>_xlfn.XLOOKUP(FactSales[[#This Row],[Product_ID]],DimProduct[Product_ID],DimProduct[Category])</f>
        <v>Fashion</v>
      </c>
      <c r="O196" s="6">
        <f>_xlfn.XLOOKUP(FactSales[[#This Row],[Product_ID]],DimProduct[Product_ID],DimProduct[Unit_Price])</f>
        <v>1870</v>
      </c>
      <c r="P196" s="6">
        <f>_xlfn.XLOOKUP(FactSales[[#This Row],[Product_ID]],DimProduct[Product_ID],DimProduct[Unit_Cost])</f>
        <v>1030</v>
      </c>
      <c r="Q196" s="6">
        <f>FactSales[[#This Row],[Unit_Price]]*FactSales[[#This Row],[Quantity_Sold]]</f>
        <v>1870</v>
      </c>
      <c r="R196" s="6">
        <f>FactSales[[#This Row],[Unit_Cost]]*FactSales[[#This Row],[Quantity_Sold]]</f>
        <v>1030</v>
      </c>
      <c r="S196" s="6">
        <f>FactSales[[#This Row],[Sales_Amount]]-FactSales[[#This Row],[Total_Cost]]</f>
        <v>840</v>
      </c>
      <c r="T196" s="6" t="str">
        <f>_xlfn.XLOOKUP(FactSales[[#This Row],[Customer_ID]],DimCustomer[Customer_ID],DimCustomer[Customer_Name])</f>
        <v>Arif Akter</v>
      </c>
      <c r="U196" s="6" t="str">
        <f>_xlfn.XLOOKUP(FactSales[[#This Row],[Salesperson_ID]],DimSalesman[Salesperson_ID],DimSalesman[Salesperson_Name])</f>
        <v>Fahim Uddin</v>
      </c>
      <c r="V196" s="6" t="str">
        <f>_xlfn.XLOOKUP(FactSales[[#This Row],[Region_ID]],DimRegion[Region_ID],DimRegion[Region_Name])</f>
        <v>Khulna</v>
      </c>
      <c r="W196" s="6" t="str">
        <f>_xlfn.XLOOKUP(FactSales[[#This Row],[Store_ID]],DimStore[Store_ID],DimStore[Store_Name])</f>
        <v>Khulna Khalishpur Store</v>
      </c>
    </row>
    <row r="197" spans="1:23">
      <c r="A197" s="4" t="s">
        <v>1193</v>
      </c>
      <c r="B197" s="5">
        <v>45690</v>
      </c>
      <c r="C197" s="4" t="s">
        <v>510</v>
      </c>
      <c r="D197" s="4" t="s">
        <v>57</v>
      </c>
      <c r="E197" s="4" t="s">
        <v>722</v>
      </c>
      <c r="F197" s="4" t="s">
        <v>972</v>
      </c>
      <c r="G197" s="4" t="s">
        <v>788</v>
      </c>
      <c r="H197" s="4">
        <v>2</v>
      </c>
      <c r="I197" s="7">
        <v>0.05</v>
      </c>
      <c r="J197" s="6">
        <v>4186</v>
      </c>
      <c r="K197" s="4">
        <v>6</v>
      </c>
      <c r="L197" s="8">
        <f t="shared" si="3"/>
        <v>3.2</v>
      </c>
      <c r="M197" s="6" t="str">
        <f>_xlfn.XLOOKUP(FactSales[[#This Row],[Product_ID]],DimProduct[Product_ID],DimProduct[Product_Name])</f>
        <v>Formal Shirt</v>
      </c>
      <c r="N197" s="6" t="str">
        <f>_xlfn.XLOOKUP(FactSales[[#This Row],[Product_ID]],DimProduct[Product_ID],DimProduct[Category])</f>
        <v>Fashion</v>
      </c>
      <c r="O197" s="6">
        <f>_xlfn.XLOOKUP(FactSales[[#This Row],[Product_ID]],DimProduct[Product_ID],DimProduct[Unit_Price])</f>
        <v>1820</v>
      </c>
      <c r="P197" s="6">
        <f>_xlfn.XLOOKUP(FactSales[[#This Row],[Product_ID]],DimProduct[Product_ID],DimProduct[Unit_Cost])</f>
        <v>1000</v>
      </c>
      <c r="Q197" s="6">
        <f>FactSales[[#This Row],[Unit_Price]]*FactSales[[#This Row],[Quantity_Sold]]</f>
        <v>3640</v>
      </c>
      <c r="R197" s="6">
        <f>FactSales[[#This Row],[Unit_Cost]]*FactSales[[#This Row],[Quantity_Sold]]</f>
        <v>2000</v>
      </c>
      <c r="S197" s="6">
        <f>FactSales[[#This Row],[Sales_Amount]]-FactSales[[#This Row],[Total_Cost]]</f>
        <v>1640</v>
      </c>
      <c r="T197" s="6" t="str">
        <f>_xlfn.XLOOKUP(FactSales[[#This Row],[Customer_ID]],DimCustomer[Customer_ID],DimCustomer[Customer_Name])</f>
        <v>Farhana Hossain</v>
      </c>
      <c r="U197" s="6" t="str">
        <f>_xlfn.XLOOKUP(FactSales[[#This Row],[Salesperson_ID]],DimSalesman[Salesperson_ID],DimSalesman[Salesperson_Name])</f>
        <v>Samiha Hossain</v>
      </c>
      <c r="V197" s="6" t="str">
        <f>_xlfn.XLOOKUP(FactSales[[#This Row],[Region_ID]],DimRegion[Region_ID],DimRegion[Region_Name])</f>
        <v>Rangpur</v>
      </c>
      <c r="W197" s="6" t="str">
        <f>_xlfn.XLOOKUP(FactSales[[#This Row],[Store_ID]],DimStore[Store_ID],DimStore[Store_Name])</f>
        <v>Rangpur Dhap Store</v>
      </c>
    </row>
    <row r="198" spans="1:23">
      <c r="A198" s="4" t="s">
        <v>1194</v>
      </c>
      <c r="B198" s="5">
        <v>45843</v>
      </c>
      <c r="C198" s="4" t="s">
        <v>98</v>
      </c>
      <c r="D198" s="4" t="s">
        <v>27</v>
      </c>
      <c r="E198" s="4" t="s">
        <v>630</v>
      </c>
      <c r="F198" s="4" t="s">
        <v>912</v>
      </c>
      <c r="G198" s="4" t="s">
        <v>808</v>
      </c>
      <c r="H198" s="4">
        <v>1</v>
      </c>
      <c r="I198" s="7">
        <v>0.03</v>
      </c>
      <c r="J198" s="6">
        <v>1813</v>
      </c>
      <c r="K198" s="4">
        <v>3</v>
      </c>
      <c r="L198" s="8">
        <f t="shared" si="3"/>
        <v>4.2</v>
      </c>
      <c r="M198" s="6" t="str">
        <f>_xlfn.XLOOKUP(FactSales[[#This Row],[Product_ID]],DimProduct[Product_ID],DimProduct[Product_Name])</f>
        <v>Lentil 1kg</v>
      </c>
      <c r="N198" s="6" t="str">
        <f>_xlfn.XLOOKUP(FactSales[[#This Row],[Product_ID]],DimProduct[Product_ID],DimProduct[Category])</f>
        <v>Grocery</v>
      </c>
      <c r="O198" s="6">
        <f>_xlfn.XLOOKUP(FactSales[[#This Row],[Product_ID]],DimProduct[Product_ID],DimProduct[Unit_Price])</f>
        <v>1710</v>
      </c>
      <c r="P198" s="6">
        <f>_xlfn.XLOOKUP(FactSales[[#This Row],[Product_ID]],DimProduct[Product_ID],DimProduct[Unit_Cost])</f>
        <v>1330</v>
      </c>
      <c r="Q198" s="6">
        <f>FactSales[[#This Row],[Unit_Price]]*FactSales[[#This Row],[Quantity_Sold]]</f>
        <v>1710</v>
      </c>
      <c r="R198" s="6">
        <f>FactSales[[#This Row],[Unit_Cost]]*FactSales[[#This Row],[Quantity_Sold]]</f>
        <v>1330</v>
      </c>
      <c r="S198" s="6">
        <f>FactSales[[#This Row],[Sales_Amount]]-FactSales[[#This Row],[Total_Cost]]</f>
        <v>380</v>
      </c>
      <c r="T198" s="6" t="str">
        <f>_xlfn.XLOOKUP(FactSales[[#This Row],[Customer_ID]],DimCustomer[Customer_ID],DimCustomer[Customer_Name])</f>
        <v>Rumana Ahmed</v>
      </c>
      <c r="U198" s="6" t="str">
        <f>_xlfn.XLOOKUP(FactSales[[#This Row],[Salesperson_ID]],DimSalesman[Salesperson_ID],DimSalesman[Salesperson_Name])</f>
        <v>Mahmud Hossain</v>
      </c>
      <c r="V198" s="6" t="str">
        <f>_xlfn.XLOOKUP(FactSales[[#This Row],[Region_ID]],DimRegion[Region_ID],DimRegion[Region_Name])</f>
        <v>Dhaka</v>
      </c>
      <c r="W198" s="6" t="str">
        <f>_xlfn.XLOOKUP(FactSales[[#This Row],[Store_ID]],DimStore[Store_ID],DimStore[Store_Name])</f>
        <v>Dhaka Uttara Store</v>
      </c>
    </row>
    <row r="199" spans="1:23">
      <c r="A199" s="4" t="s">
        <v>1195</v>
      </c>
      <c r="B199" s="5">
        <v>46111</v>
      </c>
      <c r="C199" s="4" t="s">
        <v>214</v>
      </c>
      <c r="D199" s="4" t="s">
        <v>32</v>
      </c>
      <c r="E199" s="4" t="s">
        <v>641</v>
      </c>
      <c r="F199" s="4" t="s">
        <v>927</v>
      </c>
      <c r="G199" s="4" t="s">
        <v>859</v>
      </c>
      <c r="H199" s="4">
        <v>1</v>
      </c>
      <c r="I199" s="7">
        <v>0.05</v>
      </c>
      <c r="J199" s="6">
        <v>3112</v>
      </c>
      <c r="K199" s="4">
        <v>2</v>
      </c>
      <c r="L199" s="8">
        <f t="shared" si="3"/>
        <v>4.5</v>
      </c>
      <c r="M199" s="6" t="str">
        <f>_xlfn.XLOOKUP(FactSales[[#This Row],[Product_ID]],DimProduct[Product_ID],DimProduct[Product_Name])</f>
        <v>Yoga Mat</v>
      </c>
      <c r="N199" s="6" t="str">
        <f>_xlfn.XLOOKUP(FactSales[[#This Row],[Product_ID]],DimProduct[Product_ID],DimProduct[Category])</f>
        <v>Sports</v>
      </c>
      <c r="O199" s="6">
        <f>_xlfn.XLOOKUP(FactSales[[#This Row],[Product_ID]],DimProduct[Product_ID],DimProduct[Unit_Price])</f>
        <v>2730</v>
      </c>
      <c r="P199" s="6">
        <f>_xlfn.XLOOKUP(FactSales[[#This Row],[Product_ID]],DimProduct[Product_ID],DimProduct[Unit_Cost])</f>
        <v>1690</v>
      </c>
      <c r="Q199" s="6">
        <f>FactSales[[#This Row],[Unit_Price]]*FactSales[[#This Row],[Quantity_Sold]]</f>
        <v>2730</v>
      </c>
      <c r="R199" s="6">
        <f>FactSales[[#This Row],[Unit_Cost]]*FactSales[[#This Row],[Quantity_Sold]]</f>
        <v>1690</v>
      </c>
      <c r="S199" s="6">
        <f>FactSales[[#This Row],[Sales_Amount]]-FactSales[[#This Row],[Total_Cost]]</f>
        <v>1040</v>
      </c>
      <c r="T199" s="6" t="str">
        <f>_xlfn.XLOOKUP(FactSales[[#This Row],[Customer_ID]],DimCustomer[Customer_ID],DimCustomer[Customer_Name])</f>
        <v>Sadia Chowdhury</v>
      </c>
      <c r="U199" s="6" t="str">
        <f>_xlfn.XLOOKUP(FactSales[[#This Row],[Salesperson_ID]],DimSalesman[Salesperson_ID],DimSalesman[Salesperson_Name])</f>
        <v>Shakib Ahmed</v>
      </c>
      <c r="V199" s="6" t="str">
        <f>_xlfn.XLOOKUP(FactSales[[#This Row],[Region_ID]],DimRegion[Region_ID],DimRegion[Region_Name])</f>
        <v>Chattogram</v>
      </c>
      <c r="W199" s="6" t="str">
        <f>_xlfn.XLOOKUP(FactSales[[#This Row],[Store_ID]],DimStore[Store_ID],DimStore[Store_Name])</f>
        <v>Chattogram GEC Store</v>
      </c>
    </row>
    <row r="200" spans="1:23">
      <c r="A200" s="4" t="s">
        <v>1196</v>
      </c>
      <c r="B200" s="5">
        <v>45871</v>
      </c>
      <c r="C200" s="4" t="s">
        <v>609</v>
      </c>
      <c r="D200" s="4" t="s">
        <v>62</v>
      </c>
      <c r="E200" s="4" t="s">
        <v>728</v>
      </c>
      <c r="F200" s="4" t="s">
        <v>985</v>
      </c>
      <c r="G200" s="4" t="s">
        <v>834</v>
      </c>
      <c r="H200" s="4">
        <v>2</v>
      </c>
      <c r="I200" s="7">
        <v>7.0000000000000007E-2</v>
      </c>
      <c r="J200" s="6">
        <v>7582</v>
      </c>
      <c r="K200" s="4">
        <v>5</v>
      </c>
      <c r="L200" s="8">
        <f t="shared" si="3"/>
        <v>3.4</v>
      </c>
      <c r="M200" s="6" t="str">
        <f>_xlfn.XLOOKUP(FactSales[[#This Row],[Product_ID]],DimProduct[Product_ID],DimProduct[Product_Name])</f>
        <v>Running Shoe</v>
      </c>
      <c r="N200" s="6" t="str">
        <f>_xlfn.XLOOKUP(FactSales[[#This Row],[Product_ID]],DimProduct[Product_ID],DimProduct[Category])</f>
        <v>Footwear</v>
      </c>
      <c r="O200" s="6">
        <f>_xlfn.XLOOKUP(FactSales[[#This Row],[Product_ID]],DimProduct[Product_ID],DimProduct[Unit_Price])</f>
        <v>3510</v>
      </c>
      <c r="P200" s="6">
        <f>_xlfn.XLOOKUP(FactSales[[#This Row],[Product_ID]],DimProduct[Product_ID],DimProduct[Unit_Cost])</f>
        <v>2110</v>
      </c>
      <c r="Q200" s="6">
        <f>FactSales[[#This Row],[Unit_Price]]*FactSales[[#This Row],[Quantity_Sold]]</f>
        <v>7020</v>
      </c>
      <c r="R200" s="6">
        <f>FactSales[[#This Row],[Unit_Cost]]*FactSales[[#This Row],[Quantity_Sold]]</f>
        <v>4220</v>
      </c>
      <c r="S200" s="6">
        <f>FactSales[[#This Row],[Sales_Amount]]-FactSales[[#This Row],[Total_Cost]]</f>
        <v>2800</v>
      </c>
      <c r="T200" s="6" t="str">
        <f>_xlfn.XLOOKUP(FactSales[[#This Row],[Customer_ID]],DimCustomer[Customer_ID],DimCustomer[Customer_Name])</f>
        <v>Farhana Islam</v>
      </c>
      <c r="U200" s="6" t="str">
        <f>_xlfn.XLOOKUP(FactSales[[#This Row],[Salesperson_ID]],DimSalesman[Salesperson_ID],DimSalesman[Salesperson_Name])</f>
        <v>Tamanna Sultana</v>
      </c>
      <c r="V200" s="6" t="str">
        <f>_xlfn.XLOOKUP(FactSales[[#This Row],[Region_ID]],DimRegion[Region_ID],DimRegion[Region_Name])</f>
        <v>Mymensingh</v>
      </c>
      <c r="W200" s="6" t="str">
        <f>_xlfn.XLOOKUP(FactSales[[#This Row],[Store_ID]],DimStore[Store_ID],DimStore[Store_Name])</f>
        <v>Mymensingh Ganginarpar Store</v>
      </c>
    </row>
    <row r="201" spans="1:23">
      <c r="A201" s="4" t="s">
        <v>1197</v>
      </c>
      <c r="B201" s="5">
        <v>46150</v>
      </c>
      <c r="C201" s="4" t="s">
        <v>142</v>
      </c>
      <c r="D201" s="4" t="s">
        <v>27</v>
      </c>
      <c r="E201" s="4" t="s">
        <v>634</v>
      </c>
      <c r="F201" s="4" t="s">
        <v>919</v>
      </c>
      <c r="G201" s="4" t="s">
        <v>758</v>
      </c>
      <c r="H201" s="4">
        <v>3</v>
      </c>
      <c r="I201" s="7">
        <v>0.1</v>
      </c>
      <c r="J201" s="6">
        <v>9031</v>
      </c>
      <c r="K201" s="4">
        <v>2</v>
      </c>
      <c r="L201" s="8">
        <f t="shared" si="3"/>
        <v>4.3</v>
      </c>
      <c r="M201" s="6" t="str">
        <f>_xlfn.XLOOKUP(FactSales[[#This Row],[Product_ID]],DimProduct[Product_ID],DimProduct[Product_Name])</f>
        <v>Power Bank</v>
      </c>
      <c r="N201" s="6" t="str">
        <f>_xlfn.XLOOKUP(FactSales[[#This Row],[Product_ID]],DimProduct[Product_ID],DimProduct[Category])</f>
        <v>Electronics</v>
      </c>
      <c r="O201" s="6">
        <f>_xlfn.XLOOKUP(FactSales[[#This Row],[Product_ID]],DimProduct[Product_ID],DimProduct[Unit_Price])</f>
        <v>2840</v>
      </c>
      <c r="P201" s="6">
        <f>_xlfn.XLOOKUP(FactSales[[#This Row],[Product_ID]],DimProduct[Product_ID],DimProduct[Unit_Cost])</f>
        <v>1930</v>
      </c>
      <c r="Q201" s="6">
        <f>FactSales[[#This Row],[Unit_Price]]*FactSales[[#This Row],[Quantity_Sold]]</f>
        <v>8520</v>
      </c>
      <c r="R201" s="6">
        <f>FactSales[[#This Row],[Unit_Cost]]*FactSales[[#This Row],[Quantity_Sold]]</f>
        <v>5790</v>
      </c>
      <c r="S201" s="6">
        <f>FactSales[[#This Row],[Sales_Amount]]-FactSales[[#This Row],[Total_Cost]]</f>
        <v>2730</v>
      </c>
      <c r="T201" s="6" t="str">
        <f>_xlfn.XLOOKUP(FactSales[[#This Row],[Customer_ID]],DimCustomer[Customer_ID],DimCustomer[Customer_Name])</f>
        <v>Hasan Akter</v>
      </c>
      <c r="U201" s="6" t="str">
        <f>_xlfn.XLOOKUP(FactSales[[#This Row],[Salesperson_ID]],DimSalesman[Salesperson_ID],DimSalesman[Salesperson_Name])</f>
        <v>Imran Mia</v>
      </c>
      <c r="V201" s="6" t="str">
        <f>_xlfn.XLOOKUP(FactSales[[#This Row],[Region_ID]],DimRegion[Region_ID],DimRegion[Region_Name])</f>
        <v>Dhaka</v>
      </c>
      <c r="W201" s="6" t="str">
        <f>_xlfn.XLOOKUP(FactSales[[#This Row],[Store_ID]],DimStore[Store_ID],DimStore[Store_Name])</f>
        <v>Dhaka Motijheel Store</v>
      </c>
    </row>
    <row r="202" spans="1:23">
      <c r="A202" s="4" t="s">
        <v>1198</v>
      </c>
      <c r="B202" s="5">
        <v>46102</v>
      </c>
      <c r="C202" s="4" t="s">
        <v>427</v>
      </c>
      <c r="D202" s="4" t="s">
        <v>52</v>
      </c>
      <c r="E202" s="4" t="s">
        <v>701</v>
      </c>
      <c r="F202" s="4" t="s">
        <v>960</v>
      </c>
      <c r="G202" s="4" t="s">
        <v>765</v>
      </c>
      <c r="H202" s="4">
        <v>2</v>
      </c>
      <c r="I202" s="7">
        <v>0.12</v>
      </c>
      <c r="J202" s="6">
        <v>10954</v>
      </c>
      <c r="K202" s="4">
        <v>3</v>
      </c>
      <c r="L202" s="8">
        <f t="shared" si="3"/>
        <v>4</v>
      </c>
      <c r="M202" s="6" t="str">
        <f>_xlfn.XLOOKUP(FactSales[[#This Row],[Product_ID]],DimProduct[Product_ID],DimProduct[Product_Name])</f>
        <v>USB-C Hub</v>
      </c>
      <c r="N202" s="6" t="str">
        <f>_xlfn.XLOOKUP(FactSales[[#This Row],[Product_ID]],DimProduct[Product_ID],DimProduct[Category])</f>
        <v>Electronics</v>
      </c>
      <c r="O202" s="6">
        <f>_xlfn.XLOOKUP(FactSales[[#This Row],[Product_ID]],DimProduct[Product_ID],DimProduct[Unit_Price])</f>
        <v>4890</v>
      </c>
      <c r="P202" s="6">
        <f>_xlfn.XLOOKUP(FactSales[[#This Row],[Product_ID]],DimProduct[Product_ID],DimProduct[Unit_Cost])</f>
        <v>3330</v>
      </c>
      <c r="Q202" s="6">
        <f>FactSales[[#This Row],[Unit_Price]]*FactSales[[#This Row],[Quantity_Sold]]</f>
        <v>9780</v>
      </c>
      <c r="R202" s="6">
        <f>FactSales[[#This Row],[Unit_Cost]]*FactSales[[#This Row],[Quantity_Sold]]</f>
        <v>6660</v>
      </c>
      <c r="S202" s="6">
        <f>FactSales[[#This Row],[Sales_Amount]]-FactSales[[#This Row],[Total_Cost]]</f>
        <v>3120</v>
      </c>
      <c r="T202" s="6" t="str">
        <f>_xlfn.XLOOKUP(FactSales[[#This Row],[Customer_ID]],DimCustomer[Customer_ID],DimCustomer[Customer_Name])</f>
        <v>Nabila Khan</v>
      </c>
      <c r="U202" s="6" t="str">
        <f>_xlfn.XLOOKUP(FactSales[[#This Row],[Salesperson_ID]],DimSalesman[Salesperson_ID],DimSalesman[Salesperson_Name])</f>
        <v>Mim Akter</v>
      </c>
      <c r="V202" s="6" t="str">
        <f>_xlfn.XLOOKUP(FactSales[[#This Row],[Region_ID]],DimRegion[Region_ID],DimRegion[Region_Name])</f>
        <v>Barishal</v>
      </c>
      <c r="W202" s="6" t="str">
        <f>_xlfn.XLOOKUP(FactSales[[#This Row],[Store_ID]],DimStore[Store_ID],DimStore[Store_Name])</f>
        <v>Barishal Sadar Road Store</v>
      </c>
    </row>
    <row r="203" spans="1:23">
      <c r="A203" s="4" t="s">
        <v>1199</v>
      </c>
      <c r="B203" s="5">
        <v>46144</v>
      </c>
      <c r="C203" s="4" t="s">
        <v>286</v>
      </c>
      <c r="D203" s="4" t="s">
        <v>42</v>
      </c>
      <c r="E203" s="4" t="s">
        <v>668</v>
      </c>
      <c r="F203" s="4" t="s">
        <v>949</v>
      </c>
      <c r="G203" s="4" t="s">
        <v>862</v>
      </c>
      <c r="H203" s="4">
        <v>4</v>
      </c>
      <c r="I203" s="7">
        <v>0.05</v>
      </c>
      <c r="J203" s="6">
        <v>4795</v>
      </c>
      <c r="K203" s="4">
        <v>3</v>
      </c>
      <c r="L203" s="8">
        <f t="shared" si="3"/>
        <v>4.0999999999999996</v>
      </c>
      <c r="M203" s="6" t="str">
        <f>_xlfn.XLOOKUP(FactSales[[#This Row],[Product_ID]],DimProduct[Product_ID],DimProduct[Product_Name])</f>
        <v>Dumbbell Set</v>
      </c>
      <c r="N203" s="6" t="str">
        <f>_xlfn.XLOOKUP(FactSales[[#This Row],[Product_ID]],DimProduct[Product_ID],DimProduct[Category])</f>
        <v>Sports</v>
      </c>
      <c r="O203" s="6">
        <f>_xlfn.XLOOKUP(FactSales[[#This Row],[Product_ID]],DimProduct[Product_ID],DimProduct[Unit_Price])</f>
        <v>1110</v>
      </c>
      <c r="P203" s="6">
        <f>_xlfn.XLOOKUP(FactSales[[#This Row],[Product_ID]],DimProduct[Product_ID],DimProduct[Unit_Cost])</f>
        <v>690</v>
      </c>
      <c r="Q203" s="6">
        <f>FactSales[[#This Row],[Unit_Price]]*FactSales[[#This Row],[Quantity_Sold]]</f>
        <v>4440</v>
      </c>
      <c r="R203" s="6">
        <f>FactSales[[#This Row],[Unit_Cost]]*FactSales[[#This Row],[Quantity_Sold]]</f>
        <v>2760</v>
      </c>
      <c r="S203" s="6">
        <f>FactSales[[#This Row],[Sales_Amount]]-FactSales[[#This Row],[Total_Cost]]</f>
        <v>1680</v>
      </c>
      <c r="T203" s="6" t="str">
        <f>_xlfn.XLOOKUP(FactSales[[#This Row],[Customer_ID]],DimCustomer[Customer_ID],DimCustomer[Customer_Name])</f>
        <v>Mehedi Mia</v>
      </c>
      <c r="U203" s="6" t="str">
        <f>_xlfn.XLOOKUP(FactSales[[#This Row],[Salesperson_ID]],DimSalesman[Salesperson_ID],DimSalesman[Salesperson_Name])</f>
        <v>Mahmud Chowdhury</v>
      </c>
      <c r="V203" s="6" t="str">
        <f>_xlfn.XLOOKUP(FactSales[[#This Row],[Region_ID]],DimRegion[Region_ID],DimRegion[Region_Name])</f>
        <v>Rajshahi</v>
      </c>
      <c r="W203" s="6" t="str">
        <f>_xlfn.XLOOKUP(FactSales[[#This Row],[Store_ID]],DimStore[Store_ID],DimStore[Store_Name])</f>
        <v>Rajshahi Shaheb Bazar Store</v>
      </c>
    </row>
    <row r="204" spans="1:23">
      <c r="A204" s="4" t="s">
        <v>1200</v>
      </c>
      <c r="B204" s="5">
        <v>45751</v>
      </c>
      <c r="C204" s="4" t="s">
        <v>486</v>
      </c>
      <c r="D204" s="4" t="s">
        <v>52</v>
      </c>
      <c r="E204" s="4" t="s">
        <v>698</v>
      </c>
      <c r="F204" s="4" t="s">
        <v>961</v>
      </c>
      <c r="G204" s="4" t="s">
        <v>758</v>
      </c>
      <c r="H204" s="4">
        <v>5</v>
      </c>
      <c r="I204" s="7">
        <v>0.08</v>
      </c>
      <c r="J204" s="6">
        <v>15904</v>
      </c>
      <c r="K204" s="4">
        <v>7</v>
      </c>
      <c r="L204" s="8">
        <f t="shared" si="3"/>
        <v>2.8</v>
      </c>
      <c r="M204" s="6" t="str">
        <f>_xlfn.XLOOKUP(FactSales[[#This Row],[Product_ID]],DimProduct[Product_ID],DimProduct[Product_Name])</f>
        <v>Power Bank</v>
      </c>
      <c r="N204" s="6" t="str">
        <f>_xlfn.XLOOKUP(FactSales[[#This Row],[Product_ID]],DimProduct[Product_ID],DimProduct[Category])</f>
        <v>Electronics</v>
      </c>
      <c r="O204" s="6">
        <f>_xlfn.XLOOKUP(FactSales[[#This Row],[Product_ID]],DimProduct[Product_ID],DimProduct[Unit_Price])</f>
        <v>2840</v>
      </c>
      <c r="P204" s="6">
        <f>_xlfn.XLOOKUP(FactSales[[#This Row],[Product_ID]],DimProduct[Product_ID],DimProduct[Unit_Cost])</f>
        <v>1930</v>
      </c>
      <c r="Q204" s="6">
        <f>FactSales[[#This Row],[Unit_Price]]*FactSales[[#This Row],[Quantity_Sold]]</f>
        <v>14200</v>
      </c>
      <c r="R204" s="6">
        <f>FactSales[[#This Row],[Unit_Cost]]*FactSales[[#This Row],[Quantity_Sold]]</f>
        <v>9650</v>
      </c>
      <c r="S204" s="6">
        <f>FactSales[[#This Row],[Sales_Amount]]-FactSales[[#This Row],[Total_Cost]]</f>
        <v>4550</v>
      </c>
      <c r="T204" s="6" t="str">
        <f>_xlfn.XLOOKUP(FactSales[[#This Row],[Customer_ID]],DimCustomer[Customer_ID],DimCustomer[Customer_Name])</f>
        <v>Fahim Khan</v>
      </c>
      <c r="U204" s="6" t="str">
        <f>_xlfn.XLOOKUP(FactSales[[#This Row],[Salesperson_ID]],DimSalesman[Salesperson_ID],DimSalesman[Salesperson_Name])</f>
        <v>Shaila Akter</v>
      </c>
      <c r="V204" s="6" t="str">
        <f>_xlfn.XLOOKUP(FactSales[[#This Row],[Region_ID]],DimRegion[Region_ID],DimRegion[Region_Name])</f>
        <v>Barishal</v>
      </c>
      <c r="W204" s="6" t="str">
        <f>_xlfn.XLOOKUP(FactSales[[#This Row],[Store_ID]],DimStore[Store_ID],DimStore[Store_Name])</f>
        <v>Barishal Nathullabad Store</v>
      </c>
    </row>
    <row r="205" spans="1:23">
      <c r="A205" s="4" t="s">
        <v>1201</v>
      </c>
      <c r="B205" s="5">
        <v>46013</v>
      </c>
      <c r="C205" s="4" t="s">
        <v>159</v>
      </c>
      <c r="D205" s="4" t="s">
        <v>32</v>
      </c>
      <c r="E205" s="4" t="s">
        <v>647</v>
      </c>
      <c r="F205" s="4" t="s">
        <v>924</v>
      </c>
      <c r="G205" s="4" t="s">
        <v>773</v>
      </c>
      <c r="H205" s="4">
        <v>6</v>
      </c>
      <c r="I205" s="7">
        <v>0.1</v>
      </c>
      <c r="J205" s="6">
        <v>50821</v>
      </c>
      <c r="K205" s="4">
        <v>8</v>
      </c>
      <c r="L205" s="8">
        <f t="shared" si="3"/>
        <v>2.4</v>
      </c>
      <c r="M205" s="6" t="str">
        <f>_xlfn.XLOOKUP(FactSales[[#This Row],[Product_ID]],DimProduct[Product_ID],DimProduct[Product_Name])</f>
        <v>Rice Cooker</v>
      </c>
      <c r="N205" s="6" t="str">
        <f>_xlfn.XLOOKUP(FactSales[[#This Row],[Product_ID]],DimProduct[Product_ID],DimProduct[Category])</f>
        <v>Home Appliance</v>
      </c>
      <c r="O205" s="6">
        <f>_xlfn.XLOOKUP(FactSales[[#This Row],[Product_ID]],DimProduct[Product_ID],DimProduct[Unit_Price])</f>
        <v>7430</v>
      </c>
      <c r="P205" s="6">
        <f>_xlfn.XLOOKUP(FactSales[[#This Row],[Product_ID]],DimProduct[Product_ID],DimProduct[Unit_Cost])</f>
        <v>5200</v>
      </c>
      <c r="Q205" s="6">
        <f>FactSales[[#This Row],[Unit_Price]]*FactSales[[#This Row],[Quantity_Sold]]</f>
        <v>44580</v>
      </c>
      <c r="R205" s="6">
        <f>FactSales[[#This Row],[Unit_Cost]]*FactSales[[#This Row],[Quantity_Sold]]</f>
        <v>31200</v>
      </c>
      <c r="S205" s="6">
        <f>FactSales[[#This Row],[Sales_Amount]]-FactSales[[#This Row],[Total_Cost]]</f>
        <v>13380</v>
      </c>
      <c r="T205" s="6" t="str">
        <f>_xlfn.XLOOKUP(FactSales[[#This Row],[Customer_ID]],DimCustomer[Customer_ID],DimCustomer[Customer_Name])</f>
        <v>Shakib Mia</v>
      </c>
      <c r="U205" s="6" t="str">
        <f>_xlfn.XLOOKUP(FactSales[[#This Row],[Salesperson_ID]],DimSalesman[Salesperson_ID],DimSalesman[Salesperson_Name])</f>
        <v>Rumana Khan</v>
      </c>
      <c r="V205" s="6" t="str">
        <f>_xlfn.XLOOKUP(FactSales[[#This Row],[Region_ID]],DimRegion[Region_ID],DimRegion[Region_Name])</f>
        <v>Chattogram</v>
      </c>
      <c r="W205" s="6" t="str">
        <f>_xlfn.XLOOKUP(FactSales[[#This Row],[Store_ID]],DimStore[Store_ID],DimStore[Store_Name])</f>
        <v>Chattogram Nasirabad Store</v>
      </c>
    </row>
    <row r="206" spans="1:23">
      <c r="A206" s="4" t="s">
        <v>1202</v>
      </c>
      <c r="B206" s="5">
        <v>45914</v>
      </c>
      <c r="C206" s="4" t="s">
        <v>139</v>
      </c>
      <c r="D206" s="4" t="s">
        <v>27</v>
      </c>
      <c r="E206" s="4" t="s">
        <v>630</v>
      </c>
      <c r="F206" s="4" t="s">
        <v>916</v>
      </c>
      <c r="G206" s="4" t="s">
        <v>850</v>
      </c>
      <c r="H206" s="4">
        <v>6</v>
      </c>
      <c r="I206" s="7">
        <v>0.1</v>
      </c>
      <c r="J206" s="6">
        <v>16790</v>
      </c>
      <c r="K206" s="4">
        <v>1</v>
      </c>
      <c r="L206" s="8">
        <f t="shared" si="3"/>
        <v>4.7</v>
      </c>
      <c r="M206" s="6" t="str">
        <f>_xlfn.XLOOKUP(FactSales[[#This Row],[Product_ID]],DimProduct[Product_ID],DimProduct[Product_Name])</f>
        <v>Cricket Bat</v>
      </c>
      <c r="N206" s="6" t="str">
        <f>_xlfn.XLOOKUP(FactSales[[#This Row],[Product_ID]],DimProduct[Product_ID],DimProduct[Category])</f>
        <v>Sports</v>
      </c>
      <c r="O206" s="6">
        <f>_xlfn.XLOOKUP(FactSales[[#This Row],[Product_ID]],DimProduct[Product_ID],DimProduct[Unit_Price])</f>
        <v>2640</v>
      </c>
      <c r="P206" s="6">
        <f>_xlfn.XLOOKUP(FactSales[[#This Row],[Product_ID]],DimProduct[Product_ID],DimProduct[Unit_Cost])</f>
        <v>1640</v>
      </c>
      <c r="Q206" s="6">
        <f>FactSales[[#This Row],[Unit_Price]]*FactSales[[#This Row],[Quantity_Sold]]</f>
        <v>15840</v>
      </c>
      <c r="R206" s="6">
        <f>FactSales[[#This Row],[Unit_Cost]]*FactSales[[#This Row],[Quantity_Sold]]</f>
        <v>9840</v>
      </c>
      <c r="S206" s="6">
        <f>FactSales[[#This Row],[Sales_Amount]]-FactSales[[#This Row],[Total_Cost]]</f>
        <v>6000</v>
      </c>
      <c r="T206" s="6" t="str">
        <f>_xlfn.XLOOKUP(FactSales[[#This Row],[Customer_ID]],DimCustomer[Customer_ID],DimCustomer[Customer_Name])</f>
        <v>Nayeem Uddin</v>
      </c>
      <c r="U206" s="6" t="str">
        <f>_xlfn.XLOOKUP(FactSales[[#This Row],[Salesperson_ID]],DimSalesman[Salesperson_ID],DimSalesman[Salesperson_Name])</f>
        <v>Rafi Islam</v>
      </c>
      <c r="V206" s="6" t="str">
        <f>_xlfn.XLOOKUP(FactSales[[#This Row],[Region_ID]],DimRegion[Region_ID],DimRegion[Region_Name])</f>
        <v>Dhaka</v>
      </c>
      <c r="W206" s="6" t="str">
        <f>_xlfn.XLOOKUP(FactSales[[#This Row],[Store_ID]],DimStore[Store_ID],DimStore[Store_Name])</f>
        <v>Dhaka Uttara Store</v>
      </c>
    </row>
    <row r="207" spans="1:23">
      <c r="A207" s="4" t="s">
        <v>1203</v>
      </c>
      <c r="B207" s="5">
        <v>45989</v>
      </c>
      <c r="C207" s="4" t="s">
        <v>567</v>
      </c>
      <c r="D207" s="4" t="s">
        <v>62</v>
      </c>
      <c r="E207" s="4" t="s">
        <v>740</v>
      </c>
      <c r="F207" s="4" t="s">
        <v>979</v>
      </c>
      <c r="G207" s="4" t="s">
        <v>808</v>
      </c>
      <c r="H207" s="4">
        <v>4</v>
      </c>
      <c r="I207" s="7">
        <v>0.03</v>
      </c>
      <c r="J207" s="6">
        <v>7387</v>
      </c>
      <c r="K207" s="4">
        <v>2</v>
      </c>
      <c r="L207" s="8">
        <f t="shared" si="3"/>
        <v>4.5</v>
      </c>
      <c r="M207" s="6" t="str">
        <f>_xlfn.XLOOKUP(FactSales[[#This Row],[Product_ID]],DimProduct[Product_ID],DimProduct[Product_Name])</f>
        <v>Lentil 1kg</v>
      </c>
      <c r="N207" s="6" t="str">
        <f>_xlfn.XLOOKUP(FactSales[[#This Row],[Product_ID]],DimProduct[Product_ID],DimProduct[Category])</f>
        <v>Grocery</v>
      </c>
      <c r="O207" s="6">
        <f>_xlfn.XLOOKUP(FactSales[[#This Row],[Product_ID]],DimProduct[Product_ID],DimProduct[Unit_Price])</f>
        <v>1710</v>
      </c>
      <c r="P207" s="6">
        <f>_xlfn.XLOOKUP(FactSales[[#This Row],[Product_ID]],DimProduct[Product_ID],DimProduct[Unit_Cost])</f>
        <v>1330</v>
      </c>
      <c r="Q207" s="6">
        <f>FactSales[[#This Row],[Unit_Price]]*FactSales[[#This Row],[Quantity_Sold]]</f>
        <v>6840</v>
      </c>
      <c r="R207" s="6">
        <f>FactSales[[#This Row],[Unit_Cost]]*FactSales[[#This Row],[Quantity_Sold]]</f>
        <v>5320</v>
      </c>
      <c r="S207" s="6">
        <f>FactSales[[#This Row],[Sales_Amount]]-FactSales[[#This Row],[Total_Cost]]</f>
        <v>1520</v>
      </c>
      <c r="T207" s="6" t="str">
        <f>_xlfn.XLOOKUP(FactSales[[#This Row],[Customer_ID]],DimCustomer[Customer_ID],DimCustomer[Customer_Name])</f>
        <v>Shakib Mia</v>
      </c>
      <c r="U207" s="6" t="str">
        <f>_xlfn.XLOOKUP(FactSales[[#This Row],[Salesperson_ID]],DimSalesman[Salesperson_ID],DimSalesman[Salesperson_Name])</f>
        <v>Rahim Rahman</v>
      </c>
      <c r="V207" s="6" t="str">
        <f>_xlfn.XLOOKUP(FactSales[[#This Row],[Region_ID]],DimRegion[Region_ID],DimRegion[Region_Name])</f>
        <v>Mymensingh</v>
      </c>
      <c r="W207" s="6" t="str">
        <f>_xlfn.XLOOKUP(FactSales[[#This Row],[Store_ID]],DimStore[Store_ID],DimStore[Store_Name])</f>
        <v>Mymensingh Maskanda Store</v>
      </c>
    </row>
    <row r="208" spans="1:23">
      <c r="A208" s="4" t="s">
        <v>1204</v>
      </c>
      <c r="B208" s="5">
        <v>45927</v>
      </c>
      <c r="C208" s="4" t="s">
        <v>222</v>
      </c>
      <c r="D208" s="4" t="s">
        <v>37</v>
      </c>
      <c r="E208" s="4" t="s">
        <v>665</v>
      </c>
      <c r="F208" s="4" t="s">
        <v>934</v>
      </c>
      <c r="G208" s="4" t="s">
        <v>788</v>
      </c>
      <c r="H208" s="4">
        <v>3</v>
      </c>
      <c r="I208" s="7">
        <v>0.1</v>
      </c>
      <c r="J208" s="6">
        <v>5842</v>
      </c>
      <c r="K208" s="4">
        <v>6</v>
      </c>
      <c r="L208" s="8">
        <f t="shared" si="3"/>
        <v>3.1</v>
      </c>
      <c r="M208" s="6" t="str">
        <f>_xlfn.XLOOKUP(FactSales[[#This Row],[Product_ID]],DimProduct[Product_ID],DimProduct[Product_Name])</f>
        <v>Formal Shirt</v>
      </c>
      <c r="N208" s="6" t="str">
        <f>_xlfn.XLOOKUP(FactSales[[#This Row],[Product_ID]],DimProduct[Product_ID],DimProduct[Category])</f>
        <v>Fashion</v>
      </c>
      <c r="O208" s="6">
        <f>_xlfn.XLOOKUP(FactSales[[#This Row],[Product_ID]],DimProduct[Product_ID],DimProduct[Unit_Price])</f>
        <v>1820</v>
      </c>
      <c r="P208" s="6">
        <f>_xlfn.XLOOKUP(FactSales[[#This Row],[Product_ID]],DimProduct[Product_ID],DimProduct[Unit_Cost])</f>
        <v>1000</v>
      </c>
      <c r="Q208" s="6">
        <f>FactSales[[#This Row],[Unit_Price]]*FactSales[[#This Row],[Quantity_Sold]]</f>
        <v>5460</v>
      </c>
      <c r="R208" s="6">
        <f>FactSales[[#This Row],[Unit_Cost]]*FactSales[[#This Row],[Quantity_Sold]]</f>
        <v>3000</v>
      </c>
      <c r="S208" s="6">
        <f>FactSales[[#This Row],[Sales_Amount]]-FactSales[[#This Row],[Total_Cost]]</f>
        <v>2460</v>
      </c>
      <c r="T208" s="6" t="str">
        <f>_xlfn.XLOOKUP(FactSales[[#This Row],[Customer_ID]],DimCustomer[Customer_ID],DimCustomer[Customer_Name])</f>
        <v>Farhana Khan</v>
      </c>
      <c r="U208" s="6" t="str">
        <f>_xlfn.XLOOKUP(FactSales[[#This Row],[Salesperson_ID]],DimSalesman[Salesperson_ID],DimSalesman[Salesperson_Name])</f>
        <v>Hasan Mia</v>
      </c>
      <c r="V208" s="6" t="str">
        <f>_xlfn.XLOOKUP(FactSales[[#This Row],[Region_ID]],DimRegion[Region_ID],DimRegion[Region_Name])</f>
        <v>Sylhet</v>
      </c>
      <c r="W208" s="6" t="str">
        <f>_xlfn.XLOOKUP(FactSales[[#This Row],[Store_ID]],DimStore[Store_ID],DimStore[Store_Name])</f>
        <v>Sylhet Upashahar Store</v>
      </c>
    </row>
    <row r="209" spans="1:23">
      <c r="A209" s="4" t="s">
        <v>1205</v>
      </c>
      <c r="B209" s="5">
        <v>46030</v>
      </c>
      <c r="C209" s="4" t="s">
        <v>545</v>
      </c>
      <c r="D209" s="4" t="s">
        <v>57</v>
      </c>
      <c r="E209" s="4" t="s">
        <v>716</v>
      </c>
      <c r="F209" s="4" t="s">
        <v>968</v>
      </c>
      <c r="G209" s="4" t="s">
        <v>825</v>
      </c>
      <c r="H209" s="4">
        <v>4</v>
      </c>
      <c r="I209" s="7">
        <v>0.05</v>
      </c>
      <c r="J209" s="6">
        <v>5336</v>
      </c>
      <c r="K209" s="4">
        <v>6</v>
      </c>
      <c r="L209" s="8">
        <f t="shared" si="3"/>
        <v>3.2</v>
      </c>
      <c r="M209" s="6" t="str">
        <f>_xlfn.XLOOKUP(FactSales[[#This Row],[Product_ID]],DimProduct[Product_ID],DimProduct[Product_Name])</f>
        <v>Body Lotion</v>
      </c>
      <c r="N209" s="6" t="str">
        <f>_xlfn.XLOOKUP(FactSales[[#This Row],[Product_ID]],DimProduct[Product_ID],DimProduct[Category])</f>
        <v>Beauty &amp; Personal Care</v>
      </c>
      <c r="O209" s="6">
        <f>_xlfn.XLOOKUP(FactSales[[#This Row],[Product_ID]],DimProduct[Product_ID],DimProduct[Unit_Price])</f>
        <v>1160</v>
      </c>
      <c r="P209" s="6">
        <f>_xlfn.XLOOKUP(FactSales[[#This Row],[Product_ID]],DimProduct[Product_ID],DimProduct[Unit_Cost])</f>
        <v>670</v>
      </c>
      <c r="Q209" s="6">
        <f>FactSales[[#This Row],[Unit_Price]]*FactSales[[#This Row],[Quantity_Sold]]</f>
        <v>4640</v>
      </c>
      <c r="R209" s="6">
        <f>FactSales[[#This Row],[Unit_Cost]]*FactSales[[#This Row],[Quantity_Sold]]</f>
        <v>2680</v>
      </c>
      <c r="S209" s="6">
        <f>FactSales[[#This Row],[Sales_Amount]]-FactSales[[#This Row],[Total_Cost]]</f>
        <v>1960</v>
      </c>
      <c r="T209" s="6" t="str">
        <f>_xlfn.XLOOKUP(FactSales[[#This Row],[Customer_ID]],DimCustomer[Customer_ID],DimCustomer[Customer_Name])</f>
        <v>Shuvo Hossain</v>
      </c>
      <c r="U209" s="6" t="str">
        <f>_xlfn.XLOOKUP(FactSales[[#This Row],[Salesperson_ID]],DimSalesman[Salesperson_ID],DimSalesman[Salesperson_Name])</f>
        <v>Morshed Ahmed</v>
      </c>
      <c r="V209" s="6" t="str">
        <f>_xlfn.XLOOKUP(FactSales[[#This Row],[Region_ID]],DimRegion[Region_ID],DimRegion[Region_Name])</f>
        <v>Rangpur</v>
      </c>
      <c r="W209" s="6" t="str">
        <f>_xlfn.XLOOKUP(FactSales[[#This Row],[Store_ID]],DimStore[Store_ID],DimStore[Store_Name])</f>
        <v>Rangpur Shapla Chattar Store</v>
      </c>
    </row>
    <row r="210" spans="1:23">
      <c r="A210" s="4" t="s">
        <v>1206</v>
      </c>
      <c r="B210" s="5">
        <v>46054</v>
      </c>
      <c r="C210" s="4" t="s">
        <v>483</v>
      </c>
      <c r="D210" s="4" t="s">
        <v>52</v>
      </c>
      <c r="E210" s="4" t="s">
        <v>698</v>
      </c>
      <c r="F210" s="4" t="s">
        <v>966</v>
      </c>
      <c r="G210" s="4" t="s">
        <v>900</v>
      </c>
      <c r="H210" s="4">
        <v>1</v>
      </c>
      <c r="I210" s="7">
        <v>0.1</v>
      </c>
      <c r="J210" s="6">
        <v>5958</v>
      </c>
      <c r="K210" s="4">
        <v>7</v>
      </c>
      <c r="L210" s="8">
        <f t="shared" si="3"/>
        <v>2.7</v>
      </c>
      <c r="M210" s="6" t="str">
        <f>_xlfn.XLOOKUP(FactSales[[#This Row],[Product_ID]],DimProduct[Product_ID],DimProduct[Product_Name])</f>
        <v>Shoe Rack</v>
      </c>
      <c r="N210" s="6" t="str">
        <f>_xlfn.XLOOKUP(FactSales[[#This Row],[Product_ID]],DimProduct[Product_ID],DimProduct[Category])</f>
        <v>Furniture</v>
      </c>
      <c r="O210" s="6">
        <f>_xlfn.XLOOKUP(FactSales[[#This Row],[Product_ID]],DimProduct[Product_ID],DimProduct[Unit_Price])</f>
        <v>5320</v>
      </c>
      <c r="P210" s="6">
        <f>_xlfn.XLOOKUP(FactSales[[#This Row],[Product_ID]],DimProduct[Product_ID],DimProduct[Unit_Cost])</f>
        <v>3830</v>
      </c>
      <c r="Q210" s="6">
        <f>FactSales[[#This Row],[Unit_Price]]*FactSales[[#This Row],[Quantity_Sold]]</f>
        <v>5320</v>
      </c>
      <c r="R210" s="6">
        <f>FactSales[[#This Row],[Unit_Cost]]*FactSales[[#This Row],[Quantity_Sold]]</f>
        <v>3830</v>
      </c>
      <c r="S210" s="6">
        <f>FactSales[[#This Row],[Sales_Amount]]-FactSales[[#This Row],[Total_Cost]]</f>
        <v>1490</v>
      </c>
      <c r="T210" s="6" t="str">
        <f>_xlfn.XLOOKUP(FactSales[[#This Row],[Customer_ID]],DimCustomer[Customer_ID],DimCustomer[Customer_Name])</f>
        <v>Rumana Chowdhury</v>
      </c>
      <c r="U210" s="6" t="str">
        <f>_xlfn.XLOOKUP(FactSales[[#This Row],[Salesperson_ID]],DimSalesman[Salesperson_ID],DimSalesman[Salesperson_Name])</f>
        <v>Nayeem Akter</v>
      </c>
      <c r="V210" s="6" t="str">
        <f>_xlfn.XLOOKUP(FactSales[[#This Row],[Region_ID]],DimRegion[Region_ID],DimRegion[Region_Name])</f>
        <v>Barishal</v>
      </c>
      <c r="W210" s="6" t="str">
        <f>_xlfn.XLOOKUP(FactSales[[#This Row],[Store_ID]],DimStore[Store_ID],DimStore[Store_Name])</f>
        <v>Barishal Nathullabad Store</v>
      </c>
    </row>
    <row r="211" spans="1:23">
      <c r="A211" s="4" t="s">
        <v>1207</v>
      </c>
      <c r="B211" s="5">
        <v>45756</v>
      </c>
      <c r="C211" s="4" t="s">
        <v>384</v>
      </c>
      <c r="D211" s="4" t="s">
        <v>47</v>
      </c>
      <c r="E211" s="4" t="s">
        <v>692</v>
      </c>
      <c r="F211" s="4" t="s">
        <v>958</v>
      </c>
      <c r="G211" s="4" t="s">
        <v>773</v>
      </c>
      <c r="H211" s="4">
        <v>3</v>
      </c>
      <c r="I211" s="7">
        <v>0.08</v>
      </c>
      <c r="J211" s="6">
        <v>24296</v>
      </c>
      <c r="K211" s="4">
        <v>4</v>
      </c>
      <c r="L211" s="8">
        <f t="shared" si="3"/>
        <v>3.7</v>
      </c>
      <c r="M211" s="6" t="str">
        <f>_xlfn.XLOOKUP(FactSales[[#This Row],[Product_ID]],DimProduct[Product_ID],DimProduct[Product_Name])</f>
        <v>Rice Cooker</v>
      </c>
      <c r="N211" s="6" t="str">
        <f>_xlfn.XLOOKUP(FactSales[[#This Row],[Product_ID]],DimProduct[Product_ID],DimProduct[Category])</f>
        <v>Home Appliance</v>
      </c>
      <c r="O211" s="6">
        <f>_xlfn.XLOOKUP(FactSales[[#This Row],[Product_ID]],DimProduct[Product_ID],DimProduct[Unit_Price])</f>
        <v>7430</v>
      </c>
      <c r="P211" s="6">
        <f>_xlfn.XLOOKUP(FactSales[[#This Row],[Product_ID]],DimProduct[Product_ID],DimProduct[Unit_Cost])</f>
        <v>5200</v>
      </c>
      <c r="Q211" s="6">
        <f>FactSales[[#This Row],[Unit_Price]]*FactSales[[#This Row],[Quantity_Sold]]</f>
        <v>22290</v>
      </c>
      <c r="R211" s="6">
        <f>FactSales[[#This Row],[Unit_Cost]]*FactSales[[#This Row],[Quantity_Sold]]</f>
        <v>15600</v>
      </c>
      <c r="S211" s="6">
        <f>FactSales[[#This Row],[Sales_Amount]]-FactSales[[#This Row],[Total_Cost]]</f>
        <v>6690</v>
      </c>
      <c r="T211" s="6" t="str">
        <f>_xlfn.XLOOKUP(FactSales[[#This Row],[Customer_ID]],DimCustomer[Customer_ID],DimCustomer[Customer_Name])</f>
        <v>Rumana Islam</v>
      </c>
      <c r="U211" s="6" t="str">
        <f>_xlfn.XLOOKUP(FactSales[[#This Row],[Salesperson_ID]],DimSalesman[Salesperson_ID],DimSalesman[Salesperson_Name])</f>
        <v>Fahim Uddin</v>
      </c>
      <c r="V211" s="6" t="str">
        <f>_xlfn.XLOOKUP(FactSales[[#This Row],[Region_ID]],DimRegion[Region_ID],DimRegion[Region_Name])</f>
        <v>Khulna</v>
      </c>
      <c r="W211" s="6" t="str">
        <f>_xlfn.XLOOKUP(FactSales[[#This Row],[Store_ID]],DimStore[Store_ID],DimStore[Store_Name])</f>
        <v>Khulna Boyra Store</v>
      </c>
    </row>
    <row r="212" spans="1:23">
      <c r="A212" s="4" t="s">
        <v>1208</v>
      </c>
      <c r="B212" s="5">
        <v>45854</v>
      </c>
      <c r="C212" s="4" t="s">
        <v>231</v>
      </c>
      <c r="D212" s="4" t="s">
        <v>37</v>
      </c>
      <c r="E212" s="4" t="s">
        <v>653</v>
      </c>
      <c r="F212" s="4" t="s">
        <v>934</v>
      </c>
      <c r="G212" s="4" t="s">
        <v>755</v>
      </c>
      <c r="H212" s="4">
        <v>1</v>
      </c>
      <c r="I212" s="7">
        <v>0.18</v>
      </c>
      <c r="J212" s="6">
        <v>3574</v>
      </c>
      <c r="K212" s="4">
        <v>2</v>
      </c>
      <c r="L212" s="8">
        <f t="shared" si="3"/>
        <v>4.2</v>
      </c>
      <c r="M212" s="6" t="str">
        <f>_xlfn.XLOOKUP(FactSales[[#This Row],[Product_ID]],DimProduct[Product_ID],DimProduct[Product_Name])</f>
        <v>Wireless Mouse</v>
      </c>
      <c r="N212" s="6" t="str">
        <f>_xlfn.XLOOKUP(FactSales[[#This Row],[Product_ID]],DimProduct[Product_ID],DimProduct[Category])</f>
        <v>Electronics</v>
      </c>
      <c r="O212" s="6">
        <f>_xlfn.XLOOKUP(FactSales[[#This Row],[Product_ID]],DimProduct[Product_ID],DimProduct[Unit_Price])</f>
        <v>3340</v>
      </c>
      <c r="P212" s="6">
        <f>_xlfn.XLOOKUP(FactSales[[#This Row],[Product_ID]],DimProduct[Product_ID],DimProduct[Unit_Cost])</f>
        <v>2270</v>
      </c>
      <c r="Q212" s="6">
        <f>FactSales[[#This Row],[Unit_Price]]*FactSales[[#This Row],[Quantity_Sold]]</f>
        <v>3340</v>
      </c>
      <c r="R212" s="6">
        <f>FactSales[[#This Row],[Unit_Cost]]*FactSales[[#This Row],[Quantity_Sold]]</f>
        <v>2270</v>
      </c>
      <c r="S212" s="6">
        <f>FactSales[[#This Row],[Sales_Amount]]-FactSales[[#This Row],[Total_Cost]]</f>
        <v>1070</v>
      </c>
      <c r="T212" s="6" t="str">
        <f>_xlfn.XLOOKUP(FactSales[[#This Row],[Customer_ID]],DimCustomer[Customer_ID],DimCustomer[Customer_Name])</f>
        <v>Shamim Akter</v>
      </c>
      <c r="U212" s="6" t="str">
        <f>_xlfn.XLOOKUP(FactSales[[#This Row],[Salesperson_ID]],DimSalesman[Salesperson_ID],DimSalesman[Salesperson_Name])</f>
        <v>Hasan Mia</v>
      </c>
      <c r="V212" s="6" t="str">
        <f>_xlfn.XLOOKUP(FactSales[[#This Row],[Region_ID]],DimRegion[Region_ID],DimRegion[Region_Name])</f>
        <v>Sylhet</v>
      </c>
      <c r="W212" s="6" t="str">
        <f>_xlfn.XLOOKUP(FactSales[[#This Row],[Store_ID]],DimStore[Store_ID],DimStore[Store_Name])</f>
        <v>Sylhet Zindabazar Store</v>
      </c>
    </row>
    <row r="213" spans="1:23">
      <c r="A213" s="4" t="s">
        <v>1209</v>
      </c>
      <c r="B213" s="5">
        <v>45708</v>
      </c>
      <c r="C213" s="4" t="s">
        <v>590</v>
      </c>
      <c r="D213" s="4" t="s">
        <v>62</v>
      </c>
      <c r="E213" s="4" t="s">
        <v>740</v>
      </c>
      <c r="F213" s="4" t="s">
        <v>987</v>
      </c>
      <c r="G213" s="4" t="s">
        <v>816</v>
      </c>
      <c r="H213" s="4">
        <v>2</v>
      </c>
      <c r="I213" s="7">
        <v>0.12</v>
      </c>
      <c r="J213" s="6">
        <v>2765</v>
      </c>
      <c r="K213" s="4">
        <v>3</v>
      </c>
      <c r="L213" s="8">
        <f t="shared" si="3"/>
        <v>4</v>
      </c>
      <c r="M213" s="6" t="str">
        <f>_xlfn.XLOOKUP(FactSales[[#This Row],[Product_ID]],DimProduct[Product_ID],DimProduct[Product_Name])</f>
        <v>Face Wash</v>
      </c>
      <c r="N213" s="6" t="str">
        <f>_xlfn.XLOOKUP(FactSales[[#This Row],[Product_ID]],DimProduct[Product_ID],DimProduct[Category])</f>
        <v>Beauty &amp; Personal Care</v>
      </c>
      <c r="O213" s="6">
        <f>_xlfn.XLOOKUP(FactSales[[#This Row],[Product_ID]],DimProduct[Product_ID],DimProduct[Unit_Price])</f>
        <v>1280</v>
      </c>
      <c r="P213" s="6">
        <f>_xlfn.XLOOKUP(FactSales[[#This Row],[Product_ID]],DimProduct[Product_ID],DimProduct[Unit_Cost])</f>
        <v>740</v>
      </c>
      <c r="Q213" s="6">
        <f>FactSales[[#This Row],[Unit_Price]]*FactSales[[#This Row],[Quantity_Sold]]</f>
        <v>2560</v>
      </c>
      <c r="R213" s="6">
        <f>FactSales[[#This Row],[Unit_Cost]]*FactSales[[#This Row],[Quantity_Sold]]</f>
        <v>1480</v>
      </c>
      <c r="S213" s="6">
        <f>FactSales[[#This Row],[Sales_Amount]]-FactSales[[#This Row],[Total_Cost]]</f>
        <v>1080</v>
      </c>
      <c r="T213" s="6" t="str">
        <f>_xlfn.XLOOKUP(FactSales[[#This Row],[Customer_ID]],DimCustomer[Customer_ID],DimCustomer[Customer_Name])</f>
        <v>Rafi Akter</v>
      </c>
      <c r="U213" s="6" t="str">
        <f>_xlfn.XLOOKUP(FactSales[[#This Row],[Salesperson_ID]],DimSalesman[Salesperson_ID],DimSalesman[Salesperson_Name])</f>
        <v>Tanvir Chowdhury</v>
      </c>
      <c r="V213" s="6" t="str">
        <f>_xlfn.XLOOKUP(FactSales[[#This Row],[Region_ID]],DimRegion[Region_ID],DimRegion[Region_Name])</f>
        <v>Mymensingh</v>
      </c>
      <c r="W213" s="6" t="str">
        <f>_xlfn.XLOOKUP(FactSales[[#This Row],[Store_ID]],DimStore[Store_ID],DimStore[Store_Name])</f>
        <v>Mymensingh Maskanda Store</v>
      </c>
    </row>
    <row r="214" spans="1:23">
      <c r="A214" s="4" t="s">
        <v>1210</v>
      </c>
      <c r="B214" s="5">
        <v>45739</v>
      </c>
      <c r="C214" s="4" t="s">
        <v>148</v>
      </c>
      <c r="D214" s="4" t="s">
        <v>32</v>
      </c>
      <c r="E214" s="4" t="s">
        <v>641</v>
      </c>
      <c r="F214" s="4" t="s">
        <v>931</v>
      </c>
      <c r="G214" s="4" t="s">
        <v>794</v>
      </c>
      <c r="H214" s="4">
        <v>4</v>
      </c>
      <c r="I214" s="7">
        <v>0.03</v>
      </c>
      <c r="J214" s="6">
        <v>4013</v>
      </c>
      <c r="K214" s="4">
        <v>3</v>
      </c>
      <c r="L214" s="8">
        <f t="shared" si="3"/>
        <v>4.2</v>
      </c>
      <c r="M214" s="6" t="str">
        <f>_xlfn.XLOOKUP(FactSales[[#This Row],[Product_ID]],DimProduct[Product_ID],DimProduct[Product_Name])</f>
        <v>Denim Jeans</v>
      </c>
      <c r="N214" s="6" t="str">
        <f>_xlfn.XLOOKUP(FactSales[[#This Row],[Product_ID]],DimProduct[Product_ID],DimProduct[Category])</f>
        <v>Fashion</v>
      </c>
      <c r="O214" s="6">
        <f>_xlfn.XLOOKUP(FactSales[[#This Row],[Product_ID]],DimProduct[Product_ID],DimProduct[Unit_Price])</f>
        <v>880</v>
      </c>
      <c r="P214" s="6">
        <f>_xlfn.XLOOKUP(FactSales[[#This Row],[Product_ID]],DimProduct[Product_ID],DimProduct[Unit_Cost])</f>
        <v>480</v>
      </c>
      <c r="Q214" s="6">
        <f>FactSales[[#This Row],[Unit_Price]]*FactSales[[#This Row],[Quantity_Sold]]</f>
        <v>3520</v>
      </c>
      <c r="R214" s="6">
        <f>FactSales[[#This Row],[Unit_Cost]]*FactSales[[#This Row],[Quantity_Sold]]</f>
        <v>1920</v>
      </c>
      <c r="S214" s="6">
        <f>FactSales[[#This Row],[Sales_Amount]]-FactSales[[#This Row],[Total_Cost]]</f>
        <v>1600</v>
      </c>
      <c r="T214" s="6" t="str">
        <f>_xlfn.XLOOKUP(FactSales[[#This Row],[Customer_ID]],DimCustomer[Customer_ID],DimCustomer[Customer_Name])</f>
        <v>Shaila Sultana</v>
      </c>
      <c r="U214" s="6" t="str">
        <f>_xlfn.XLOOKUP(FactSales[[#This Row],[Salesperson_ID]],DimSalesman[Salesperson_ID],DimSalesman[Salesperson_Name])</f>
        <v>Sadia Islam</v>
      </c>
      <c r="V214" s="6" t="str">
        <f>_xlfn.XLOOKUP(FactSales[[#This Row],[Region_ID]],DimRegion[Region_ID],DimRegion[Region_Name])</f>
        <v>Chattogram</v>
      </c>
      <c r="W214" s="6" t="str">
        <f>_xlfn.XLOOKUP(FactSales[[#This Row],[Store_ID]],DimStore[Store_ID],DimStore[Store_Name])</f>
        <v>Chattogram GEC Store</v>
      </c>
    </row>
    <row r="215" spans="1:23">
      <c r="A215" s="4" t="s">
        <v>1211</v>
      </c>
      <c r="B215" s="5">
        <v>45699</v>
      </c>
      <c r="C215" s="4" t="s">
        <v>515</v>
      </c>
      <c r="D215" s="4" t="s">
        <v>57</v>
      </c>
      <c r="E215" s="4" t="s">
        <v>713</v>
      </c>
      <c r="F215" s="4" t="s">
        <v>976</v>
      </c>
      <c r="G215" s="4" t="s">
        <v>765</v>
      </c>
      <c r="H215" s="4">
        <v>4</v>
      </c>
      <c r="I215" s="7">
        <v>0.12</v>
      </c>
      <c r="J215" s="6">
        <v>22494</v>
      </c>
      <c r="K215" s="4">
        <v>8</v>
      </c>
      <c r="L215" s="8">
        <f t="shared" si="3"/>
        <v>2.4</v>
      </c>
      <c r="M215" s="6" t="str">
        <f>_xlfn.XLOOKUP(FactSales[[#This Row],[Product_ID]],DimProduct[Product_ID],DimProduct[Product_Name])</f>
        <v>USB-C Hub</v>
      </c>
      <c r="N215" s="6" t="str">
        <f>_xlfn.XLOOKUP(FactSales[[#This Row],[Product_ID]],DimProduct[Product_ID],DimProduct[Category])</f>
        <v>Electronics</v>
      </c>
      <c r="O215" s="6">
        <f>_xlfn.XLOOKUP(FactSales[[#This Row],[Product_ID]],DimProduct[Product_ID],DimProduct[Unit_Price])</f>
        <v>4890</v>
      </c>
      <c r="P215" s="6">
        <f>_xlfn.XLOOKUP(FactSales[[#This Row],[Product_ID]],DimProduct[Product_ID],DimProduct[Unit_Cost])</f>
        <v>3330</v>
      </c>
      <c r="Q215" s="6">
        <f>FactSales[[#This Row],[Unit_Price]]*FactSales[[#This Row],[Quantity_Sold]]</f>
        <v>19560</v>
      </c>
      <c r="R215" s="6">
        <f>FactSales[[#This Row],[Unit_Cost]]*FactSales[[#This Row],[Quantity_Sold]]</f>
        <v>13320</v>
      </c>
      <c r="S215" s="6">
        <f>FactSales[[#This Row],[Sales_Amount]]-FactSales[[#This Row],[Total_Cost]]</f>
        <v>6240</v>
      </c>
      <c r="T215" s="6" t="str">
        <f>_xlfn.XLOOKUP(FactSales[[#This Row],[Customer_ID]],DimCustomer[Customer_ID],DimCustomer[Customer_Name])</f>
        <v>Rumana Hossain</v>
      </c>
      <c r="U215" s="6" t="str">
        <f>_xlfn.XLOOKUP(FactSales[[#This Row],[Salesperson_ID]],DimSalesman[Salesperson_ID],DimSalesman[Salesperson_Name])</f>
        <v>Nayeem Rahman</v>
      </c>
      <c r="V215" s="6" t="str">
        <f>_xlfn.XLOOKUP(FactSales[[#This Row],[Region_ID]],DimRegion[Region_ID],DimRegion[Region_Name])</f>
        <v>Rangpur</v>
      </c>
      <c r="W215" s="6" t="str">
        <f>_xlfn.XLOOKUP(FactSales[[#This Row],[Store_ID]],DimStore[Store_ID],DimStore[Store_Name])</f>
        <v>Rangpur Jahaj Company Store</v>
      </c>
    </row>
    <row r="216" spans="1:23">
      <c r="A216" s="4" t="s">
        <v>1212</v>
      </c>
      <c r="B216" s="5">
        <v>45894</v>
      </c>
      <c r="C216" s="4" t="s">
        <v>165</v>
      </c>
      <c r="D216" s="4" t="s">
        <v>32</v>
      </c>
      <c r="E216" s="4" t="s">
        <v>650</v>
      </c>
      <c r="F216" s="4" t="s">
        <v>922</v>
      </c>
      <c r="G216" s="4" t="s">
        <v>755</v>
      </c>
      <c r="H216" s="4">
        <v>3</v>
      </c>
      <c r="I216" s="7">
        <v>0.1</v>
      </c>
      <c r="J216" s="6">
        <v>11423</v>
      </c>
      <c r="K216" s="4">
        <v>6</v>
      </c>
      <c r="L216" s="8">
        <f t="shared" si="3"/>
        <v>3.1</v>
      </c>
      <c r="M216" s="6" t="str">
        <f>_xlfn.XLOOKUP(FactSales[[#This Row],[Product_ID]],DimProduct[Product_ID],DimProduct[Product_Name])</f>
        <v>Wireless Mouse</v>
      </c>
      <c r="N216" s="6" t="str">
        <f>_xlfn.XLOOKUP(FactSales[[#This Row],[Product_ID]],DimProduct[Product_ID],DimProduct[Category])</f>
        <v>Electronics</v>
      </c>
      <c r="O216" s="6">
        <f>_xlfn.XLOOKUP(FactSales[[#This Row],[Product_ID]],DimProduct[Product_ID],DimProduct[Unit_Price])</f>
        <v>3340</v>
      </c>
      <c r="P216" s="6">
        <f>_xlfn.XLOOKUP(FactSales[[#This Row],[Product_ID]],DimProduct[Product_ID],DimProduct[Unit_Cost])</f>
        <v>2270</v>
      </c>
      <c r="Q216" s="6">
        <f>FactSales[[#This Row],[Unit_Price]]*FactSales[[#This Row],[Quantity_Sold]]</f>
        <v>10020</v>
      </c>
      <c r="R216" s="6">
        <f>FactSales[[#This Row],[Unit_Cost]]*FactSales[[#This Row],[Quantity_Sold]]</f>
        <v>6810</v>
      </c>
      <c r="S216" s="6">
        <f>FactSales[[#This Row],[Sales_Amount]]-FactSales[[#This Row],[Total_Cost]]</f>
        <v>3210</v>
      </c>
      <c r="T216" s="6" t="str">
        <f>_xlfn.XLOOKUP(FactSales[[#This Row],[Customer_ID]],DimCustomer[Customer_ID],DimCustomer[Customer_Name])</f>
        <v>Mehedi Khan</v>
      </c>
      <c r="U216" s="6" t="str">
        <f>_xlfn.XLOOKUP(FactSales[[#This Row],[Salesperson_ID]],DimSalesman[Salesperson_ID],DimSalesman[Salesperson_Name])</f>
        <v>Rafi Sultana</v>
      </c>
      <c r="V216" s="6" t="str">
        <f>_xlfn.XLOOKUP(FactSales[[#This Row],[Region_ID]],DimRegion[Region_ID],DimRegion[Region_Name])</f>
        <v>Chattogram</v>
      </c>
      <c r="W216" s="6" t="str">
        <f>_xlfn.XLOOKUP(FactSales[[#This Row],[Store_ID]],DimStore[Store_ID],DimStore[Store_Name])</f>
        <v>Chattogram Halishahar Store</v>
      </c>
    </row>
    <row r="217" spans="1:23">
      <c r="A217" s="4" t="s">
        <v>1213</v>
      </c>
      <c r="B217" s="5">
        <v>46024</v>
      </c>
      <c r="C217" s="4" t="s">
        <v>264</v>
      </c>
      <c r="D217" s="4" t="s">
        <v>37</v>
      </c>
      <c r="E217" s="4" t="s">
        <v>665</v>
      </c>
      <c r="F217" s="4" t="s">
        <v>938</v>
      </c>
      <c r="G217" s="4" t="s">
        <v>854</v>
      </c>
      <c r="H217" s="4">
        <v>3</v>
      </c>
      <c r="I217" s="7">
        <v>0.1</v>
      </c>
      <c r="J217" s="6">
        <v>11941</v>
      </c>
      <c r="K217" s="4">
        <v>5</v>
      </c>
      <c r="L217" s="8">
        <f t="shared" si="3"/>
        <v>3.4</v>
      </c>
      <c r="M217" s="6" t="str">
        <f>_xlfn.XLOOKUP(FactSales[[#This Row],[Product_ID]],DimProduct[Product_ID],DimProduct[Product_Name])</f>
        <v>Football</v>
      </c>
      <c r="N217" s="6" t="str">
        <f>_xlfn.XLOOKUP(FactSales[[#This Row],[Product_ID]],DimProduct[Product_ID],DimProduct[Category])</f>
        <v>Sports</v>
      </c>
      <c r="O217" s="6">
        <f>_xlfn.XLOOKUP(FactSales[[#This Row],[Product_ID]],DimProduct[Product_ID],DimProduct[Unit_Price])</f>
        <v>3720</v>
      </c>
      <c r="P217" s="6">
        <f>_xlfn.XLOOKUP(FactSales[[#This Row],[Product_ID]],DimProduct[Product_ID],DimProduct[Unit_Cost])</f>
        <v>2310</v>
      </c>
      <c r="Q217" s="6">
        <f>FactSales[[#This Row],[Unit_Price]]*FactSales[[#This Row],[Quantity_Sold]]</f>
        <v>11160</v>
      </c>
      <c r="R217" s="6">
        <f>FactSales[[#This Row],[Unit_Cost]]*FactSales[[#This Row],[Quantity_Sold]]</f>
        <v>6930</v>
      </c>
      <c r="S217" s="6">
        <f>FactSales[[#This Row],[Sales_Amount]]-FactSales[[#This Row],[Total_Cost]]</f>
        <v>4230</v>
      </c>
      <c r="T217" s="6" t="str">
        <f>_xlfn.XLOOKUP(FactSales[[#This Row],[Customer_ID]],DimCustomer[Customer_ID],DimCustomer[Customer_Name])</f>
        <v>Rafi Chowdhury</v>
      </c>
      <c r="U217" s="6" t="str">
        <f>_xlfn.XLOOKUP(FactSales[[#This Row],[Salesperson_ID]],DimSalesman[Salesperson_ID],DimSalesman[Salesperson_Name])</f>
        <v>Rasel Akter</v>
      </c>
      <c r="V217" s="6" t="str">
        <f>_xlfn.XLOOKUP(FactSales[[#This Row],[Region_ID]],DimRegion[Region_ID],DimRegion[Region_Name])</f>
        <v>Sylhet</v>
      </c>
      <c r="W217" s="6" t="str">
        <f>_xlfn.XLOOKUP(FactSales[[#This Row],[Store_ID]],DimStore[Store_ID],DimStore[Store_Name])</f>
        <v>Sylhet Upashahar Store</v>
      </c>
    </row>
    <row r="218" spans="1:23">
      <c r="A218" s="4" t="s">
        <v>1214</v>
      </c>
      <c r="B218" s="5">
        <v>46003</v>
      </c>
      <c r="C218" s="4" t="s">
        <v>162</v>
      </c>
      <c r="D218" s="4" t="s">
        <v>32</v>
      </c>
      <c r="E218" s="4" t="s">
        <v>641</v>
      </c>
      <c r="F218" s="4" t="s">
        <v>929</v>
      </c>
      <c r="G218" s="4" t="s">
        <v>781</v>
      </c>
      <c r="H218" s="4">
        <v>5</v>
      </c>
      <c r="I218" s="7">
        <v>0.18</v>
      </c>
      <c r="J218" s="6">
        <v>17727</v>
      </c>
      <c r="K218" s="4">
        <v>5</v>
      </c>
      <c r="L218" s="8">
        <f t="shared" si="3"/>
        <v>3.2</v>
      </c>
      <c r="M218" s="6" t="str">
        <f>_xlfn.XLOOKUP(FactSales[[#This Row],[Product_ID]],DimProduct[Product_ID],DimProduct[Product_Name])</f>
        <v>Table Fan</v>
      </c>
      <c r="N218" s="6" t="str">
        <f>_xlfn.XLOOKUP(FactSales[[#This Row],[Product_ID]],DimProduct[Product_ID],DimProduct[Category])</f>
        <v>Home Appliance</v>
      </c>
      <c r="O218" s="6">
        <f>_xlfn.XLOOKUP(FactSales[[#This Row],[Product_ID]],DimProduct[Product_ID],DimProduct[Unit_Price])</f>
        <v>3110</v>
      </c>
      <c r="P218" s="6">
        <f>_xlfn.XLOOKUP(FactSales[[#This Row],[Product_ID]],DimProduct[Product_ID],DimProduct[Unit_Cost])</f>
        <v>2180</v>
      </c>
      <c r="Q218" s="6">
        <f>FactSales[[#This Row],[Unit_Price]]*FactSales[[#This Row],[Quantity_Sold]]</f>
        <v>15550</v>
      </c>
      <c r="R218" s="6">
        <f>FactSales[[#This Row],[Unit_Cost]]*FactSales[[#This Row],[Quantity_Sold]]</f>
        <v>10900</v>
      </c>
      <c r="S218" s="6">
        <f>FactSales[[#This Row],[Sales_Amount]]-FactSales[[#This Row],[Total_Cost]]</f>
        <v>4650</v>
      </c>
      <c r="T218" s="6" t="str">
        <f>_xlfn.XLOOKUP(FactSales[[#This Row],[Customer_ID]],DimCustomer[Customer_ID],DimCustomer[Customer_Name])</f>
        <v>Karim Rahman</v>
      </c>
      <c r="U218" s="6" t="str">
        <f>_xlfn.XLOOKUP(FactSales[[#This Row],[Salesperson_ID]],DimSalesman[Salesperson_ID],DimSalesman[Salesperson_Name])</f>
        <v>Nabila Mia</v>
      </c>
      <c r="V218" s="6" t="str">
        <f>_xlfn.XLOOKUP(FactSales[[#This Row],[Region_ID]],DimRegion[Region_ID],DimRegion[Region_Name])</f>
        <v>Chattogram</v>
      </c>
      <c r="W218" s="6" t="str">
        <f>_xlfn.XLOOKUP(FactSales[[#This Row],[Store_ID]],DimStore[Store_ID],DimStore[Store_Name])</f>
        <v>Chattogram GEC Store</v>
      </c>
    </row>
    <row r="219" spans="1:23">
      <c r="A219" s="4" t="s">
        <v>1215</v>
      </c>
      <c r="B219" s="5">
        <v>46098</v>
      </c>
      <c r="C219" s="4" t="s">
        <v>468</v>
      </c>
      <c r="D219" s="4" t="s">
        <v>52</v>
      </c>
      <c r="E219" s="4" t="s">
        <v>704</v>
      </c>
      <c r="F219" s="4" t="s">
        <v>963</v>
      </c>
      <c r="G219" s="4" t="s">
        <v>781</v>
      </c>
      <c r="H219" s="4">
        <v>6</v>
      </c>
      <c r="I219" s="7">
        <v>0.18</v>
      </c>
      <c r="J219" s="6">
        <v>20899</v>
      </c>
      <c r="K219" s="4">
        <v>8</v>
      </c>
      <c r="L219" s="8">
        <f t="shared" si="3"/>
        <v>2.2000000000000002</v>
      </c>
      <c r="M219" s="6" t="str">
        <f>_xlfn.XLOOKUP(FactSales[[#This Row],[Product_ID]],DimProduct[Product_ID],DimProduct[Product_Name])</f>
        <v>Table Fan</v>
      </c>
      <c r="N219" s="6" t="str">
        <f>_xlfn.XLOOKUP(FactSales[[#This Row],[Product_ID]],DimProduct[Product_ID],DimProduct[Category])</f>
        <v>Home Appliance</v>
      </c>
      <c r="O219" s="6">
        <f>_xlfn.XLOOKUP(FactSales[[#This Row],[Product_ID]],DimProduct[Product_ID],DimProduct[Unit_Price])</f>
        <v>3110</v>
      </c>
      <c r="P219" s="6">
        <f>_xlfn.XLOOKUP(FactSales[[#This Row],[Product_ID]],DimProduct[Product_ID],DimProduct[Unit_Cost])</f>
        <v>2180</v>
      </c>
      <c r="Q219" s="6">
        <f>FactSales[[#This Row],[Unit_Price]]*FactSales[[#This Row],[Quantity_Sold]]</f>
        <v>18660</v>
      </c>
      <c r="R219" s="6">
        <f>FactSales[[#This Row],[Unit_Cost]]*FactSales[[#This Row],[Quantity_Sold]]</f>
        <v>13080</v>
      </c>
      <c r="S219" s="6">
        <f>FactSales[[#This Row],[Sales_Amount]]-FactSales[[#This Row],[Total_Cost]]</f>
        <v>5580</v>
      </c>
      <c r="T219" s="6" t="str">
        <f>_xlfn.XLOOKUP(FactSales[[#This Row],[Customer_ID]],DimCustomer[Customer_ID],DimCustomer[Customer_Name])</f>
        <v>Samiha Ahmed</v>
      </c>
      <c r="U219" s="6" t="str">
        <f>_xlfn.XLOOKUP(FactSales[[#This Row],[Salesperson_ID]],DimSalesman[Salesperson_ID],DimSalesman[Salesperson_Name])</f>
        <v>Rasel Uddin</v>
      </c>
      <c r="V219" s="6" t="str">
        <f>_xlfn.XLOOKUP(FactSales[[#This Row],[Region_ID]],DimRegion[Region_ID],DimRegion[Region_Name])</f>
        <v>Barishal</v>
      </c>
      <c r="W219" s="6" t="str">
        <f>_xlfn.XLOOKUP(FactSales[[#This Row],[Store_ID]],DimStore[Store_ID],DimStore[Store_Name])</f>
        <v>Barishal Rupatali Store</v>
      </c>
    </row>
    <row r="220" spans="1:23">
      <c r="A220" s="4" t="s">
        <v>1216</v>
      </c>
      <c r="B220" s="5">
        <v>45918</v>
      </c>
      <c r="C220" s="4" t="s">
        <v>335</v>
      </c>
      <c r="D220" s="4" t="s">
        <v>42</v>
      </c>
      <c r="E220" s="4" t="s">
        <v>680</v>
      </c>
      <c r="F220" s="4" t="s">
        <v>944</v>
      </c>
      <c r="G220" s="4" t="s">
        <v>778</v>
      </c>
      <c r="H220" s="4">
        <v>2</v>
      </c>
      <c r="I220" s="7">
        <v>0.15</v>
      </c>
      <c r="J220" s="6">
        <v>9850</v>
      </c>
      <c r="K220" s="4">
        <v>4</v>
      </c>
      <c r="L220" s="8">
        <f t="shared" si="3"/>
        <v>3.6</v>
      </c>
      <c r="M220" s="6" t="str">
        <f>_xlfn.XLOOKUP(FactSales[[#This Row],[Product_ID]],DimProduct[Product_ID],DimProduct[Product_Name])</f>
        <v>Steam Iron</v>
      </c>
      <c r="N220" s="6" t="str">
        <f>_xlfn.XLOOKUP(FactSales[[#This Row],[Product_ID]],DimProduct[Product_ID],DimProduct[Category])</f>
        <v>Home Appliance</v>
      </c>
      <c r="O220" s="6">
        <f>_xlfn.XLOOKUP(FactSales[[#This Row],[Product_ID]],DimProduct[Product_ID],DimProduct[Unit_Price])</f>
        <v>4560</v>
      </c>
      <c r="P220" s="6">
        <f>_xlfn.XLOOKUP(FactSales[[#This Row],[Product_ID]],DimProduct[Product_ID],DimProduct[Unit_Cost])</f>
        <v>3190</v>
      </c>
      <c r="Q220" s="6">
        <f>FactSales[[#This Row],[Unit_Price]]*FactSales[[#This Row],[Quantity_Sold]]</f>
        <v>9120</v>
      </c>
      <c r="R220" s="6">
        <f>FactSales[[#This Row],[Unit_Cost]]*FactSales[[#This Row],[Quantity_Sold]]</f>
        <v>6380</v>
      </c>
      <c r="S220" s="6">
        <f>FactSales[[#This Row],[Sales_Amount]]-FactSales[[#This Row],[Total_Cost]]</f>
        <v>2740</v>
      </c>
      <c r="T220" s="6" t="str">
        <f>_xlfn.XLOOKUP(FactSales[[#This Row],[Customer_ID]],DimCustomer[Customer_ID],DimCustomer[Customer_Name])</f>
        <v>Shuvo Khan</v>
      </c>
      <c r="U220" s="6" t="str">
        <f>_xlfn.XLOOKUP(FactSales[[#This Row],[Salesperson_ID]],DimSalesman[Salesperson_ID],DimSalesman[Salesperson_Name])</f>
        <v>Karim Khan</v>
      </c>
      <c r="V220" s="6" t="str">
        <f>_xlfn.XLOOKUP(FactSales[[#This Row],[Region_ID]],DimRegion[Region_ID],DimRegion[Region_Name])</f>
        <v>Rajshahi</v>
      </c>
      <c r="W220" s="6" t="str">
        <f>_xlfn.XLOOKUP(FactSales[[#This Row],[Store_ID]],DimStore[Store_ID],DimStore[Store_Name])</f>
        <v>Rajshahi Lakshmipur Store</v>
      </c>
    </row>
    <row r="221" spans="1:23">
      <c r="A221" s="4" t="s">
        <v>1217</v>
      </c>
      <c r="B221" s="5">
        <v>45967</v>
      </c>
      <c r="C221" s="4" t="s">
        <v>101</v>
      </c>
      <c r="D221" s="4" t="s">
        <v>27</v>
      </c>
      <c r="E221" s="4" t="s">
        <v>634</v>
      </c>
      <c r="F221" s="4" t="s">
        <v>912</v>
      </c>
      <c r="G221" s="4" t="s">
        <v>800</v>
      </c>
      <c r="H221" s="4">
        <v>1</v>
      </c>
      <c r="I221" s="7">
        <v>0.02</v>
      </c>
      <c r="J221" s="6">
        <v>1177</v>
      </c>
      <c r="K221" s="4">
        <v>3</v>
      </c>
      <c r="L221" s="8">
        <f t="shared" si="3"/>
        <v>4.2</v>
      </c>
      <c r="M221" s="6" t="str">
        <f>_xlfn.XLOOKUP(FactSales[[#This Row],[Product_ID]],DimProduct[Product_ID],DimProduct[Product_Name])</f>
        <v>Premium Rice 5kg</v>
      </c>
      <c r="N221" s="6" t="str">
        <f>_xlfn.XLOOKUP(FactSales[[#This Row],[Product_ID]],DimProduct[Product_ID],DimProduct[Category])</f>
        <v>Grocery</v>
      </c>
      <c r="O221" s="6">
        <f>_xlfn.XLOOKUP(FactSales[[#This Row],[Product_ID]],DimProduct[Product_ID],DimProduct[Unit_Price])</f>
        <v>1110</v>
      </c>
      <c r="P221" s="6">
        <f>_xlfn.XLOOKUP(FactSales[[#This Row],[Product_ID]],DimProduct[Product_ID],DimProduct[Unit_Cost])</f>
        <v>870</v>
      </c>
      <c r="Q221" s="6">
        <f>FactSales[[#This Row],[Unit_Price]]*FactSales[[#This Row],[Quantity_Sold]]</f>
        <v>1110</v>
      </c>
      <c r="R221" s="6">
        <f>FactSales[[#This Row],[Unit_Cost]]*FactSales[[#This Row],[Quantity_Sold]]</f>
        <v>870</v>
      </c>
      <c r="S221" s="6">
        <f>FactSales[[#This Row],[Sales_Amount]]-FactSales[[#This Row],[Total_Cost]]</f>
        <v>240</v>
      </c>
      <c r="T221" s="6" t="str">
        <f>_xlfn.XLOOKUP(FactSales[[#This Row],[Customer_ID]],DimCustomer[Customer_ID],DimCustomer[Customer_Name])</f>
        <v>Shamim Khan</v>
      </c>
      <c r="U221" s="6" t="str">
        <f>_xlfn.XLOOKUP(FactSales[[#This Row],[Salesperson_ID]],DimSalesman[Salesperson_ID],DimSalesman[Salesperson_Name])</f>
        <v>Mahmud Hossain</v>
      </c>
      <c r="V221" s="6" t="str">
        <f>_xlfn.XLOOKUP(FactSales[[#This Row],[Region_ID]],DimRegion[Region_ID],DimRegion[Region_Name])</f>
        <v>Dhaka</v>
      </c>
      <c r="W221" s="6" t="str">
        <f>_xlfn.XLOOKUP(FactSales[[#This Row],[Store_ID]],DimStore[Store_ID],DimStore[Store_Name])</f>
        <v>Dhaka Motijheel Store</v>
      </c>
    </row>
    <row r="222" spans="1:23">
      <c r="A222" s="4" t="s">
        <v>1218</v>
      </c>
      <c r="B222" s="5">
        <v>46181</v>
      </c>
      <c r="C222" s="4" t="s">
        <v>312</v>
      </c>
      <c r="D222" s="4" t="s">
        <v>42</v>
      </c>
      <c r="E222" s="4" t="s">
        <v>668</v>
      </c>
      <c r="F222" s="4" t="s">
        <v>950</v>
      </c>
      <c r="G222" s="4" t="s">
        <v>871</v>
      </c>
      <c r="H222" s="4">
        <v>3</v>
      </c>
      <c r="I222" s="7">
        <v>0.02</v>
      </c>
      <c r="J222" s="6">
        <v>1102</v>
      </c>
      <c r="K222" s="4">
        <v>6</v>
      </c>
      <c r="L222" s="8">
        <f t="shared" si="3"/>
        <v>3.2</v>
      </c>
      <c r="M222" s="6" t="str">
        <f>_xlfn.XLOOKUP(FactSales[[#This Row],[Product_ID]],DimProduct[Product_ID],DimProduct[Product_Name])</f>
        <v>Office File Set</v>
      </c>
      <c r="N222" s="6" t="str">
        <f>_xlfn.XLOOKUP(FactSales[[#This Row],[Product_ID]],DimProduct[Product_ID],DimProduct[Category])</f>
        <v>Stationery</v>
      </c>
      <c r="O222" s="6">
        <f>_xlfn.XLOOKUP(FactSales[[#This Row],[Product_ID]],DimProduct[Product_ID],DimProduct[Unit_Price])</f>
        <v>340</v>
      </c>
      <c r="P222" s="6">
        <f>_xlfn.XLOOKUP(FactSales[[#This Row],[Product_ID]],DimProduct[Product_ID],DimProduct[Unit_Cost])</f>
        <v>170</v>
      </c>
      <c r="Q222" s="6">
        <f>FactSales[[#This Row],[Unit_Price]]*FactSales[[#This Row],[Quantity_Sold]]</f>
        <v>1020</v>
      </c>
      <c r="R222" s="6">
        <f>FactSales[[#This Row],[Unit_Cost]]*FactSales[[#This Row],[Quantity_Sold]]</f>
        <v>510</v>
      </c>
      <c r="S222" s="6">
        <f>FactSales[[#This Row],[Sales_Amount]]-FactSales[[#This Row],[Total_Cost]]</f>
        <v>510</v>
      </c>
      <c r="T222" s="6" t="str">
        <f>_xlfn.XLOOKUP(FactSales[[#This Row],[Customer_ID]],DimCustomer[Customer_ID],DimCustomer[Customer_Name])</f>
        <v>Imran Uddin</v>
      </c>
      <c r="U222" s="6" t="str">
        <f>_xlfn.XLOOKUP(FactSales[[#This Row],[Salesperson_ID]],DimSalesman[Salesperson_ID],DimSalesman[Salesperson_Name])</f>
        <v>Mim Rahman</v>
      </c>
      <c r="V222" s="6" t="str">
        <f>_xlfn.XLOOKUP(FactSales[[#This Row],[Region_ID]],DimRegion[Region_ID],DimRegion[Region_Name])</f>
        <v>Rajshahi</v>
      </c>
      <c r="W222" s="6" t="str">
        <f>_xlfn.XLOOKUP(FactSales[[#This Row],[Store_ID]],DimStore[Store_ID],DimStore[Store_Name])</f>
        <v>Rajshahi Shaheb Bazar Store</v>
      </c>
    </row>
    <row r="223" spans="1:23">
      <c r="A223" s="4" t="s">
        <v>1219</v>
      </c>
      <c r="B223" s="5">
        <v>45913</v>
      </c>
      <c r="C223" s="4" t="s">
        <v>228</v>
      </c>
      <c r="D223" s="4" t="s">
        <v>37</v>
      </c>
      <c r="E223" s="4" t="s">
        <v>659</v>
      </c>
      <c r="F223" s="4" t="s">
        <v>936</v>
      </c>
      <c r="G223" s="4" t="s">
        <v>885</v>
      </c>
      <c r="H223" s="4">
        <v>1</v>
      </c>
      <c r="I223" s="7">
        <v>7.0000000000000007E-2</v>
      </c>
      <c r="J223" s="6">
        <v>2354</v>
      </c>
      <c r="K223" s="4">
        <v>4</v>
      </c>
      <c r="L223" s="8">
        <f t="shared" si="3"/>
        <v>3.8</v>
      </c>
      <c r="M223" s="6" t="str">
        <f>_xlfn.XLOOKUP(FactSales[[#This Row],[Product_ID]],DimProduct[Product_ID],DimProduct[Product_Name])</f>
        <v>Puzzle Board</v>
      </c>
      <c r="N223" s="6" t="str">
        <f>_xlfn.XLOOKUP(FactSales[[#This Row],[Product_ID]],DimProduct[Product_ID],DimProduct[Category])</f>
        <v>Kids &amp; Toys</v>
      </c>
      <c r="O223" s="6">
        <f>_xlfn.XLOOKUP(FactSales[[#This Row],[Product_ID]],DimProduct[Product_ID],DimProduct[Unit_Price])</f>
        <v>2200</v>
      </c>
      <c r="P223" s="6">
        <f>_xlfn.XLOOKUP(FactSales[[#This Row],[Product_ID]],DimProduct[Product_ID],DimProduct[Unit_Cost])</f>
        <v>1210</v>
      </c>
      <c r="Q223" s="6">
        <f>FactSales[[#This Row],[Unit_Price]]*FactSales[[#This Row],[Quantity_Sold]]</f>
        <v>2200</v>
      </c>
      <c r="R223" s="6">
        <f>FactSales[[#This Row],[Unit_Cost]]*FactSales[[#This Row],[Quantity_Sold]]</f>
        <v>1210</v>
      </c>
      <c r="S223" s="6">
        <f>FactSales[[#This Row],[Sales_Amount]]-FactSales[[#This Row],[Total_Cost]]</f>
        <v>990</v>
      </c>
      <c r="T223" s="6" t="str">
        <f>_xlfn.XLOOKUP(FactSales[[#This Row],[Customer_ID]],DimCustomer[Customer_ID],DimCustomer[Customer_Name])</f>
        <v>Shamim Mia</v>
      </c>
      <c r="U223" s="6" t="str">
        <f>_xlfn.XLOOKUP(FactSales[[#This Row],[Salesperson_ID]],DimSalesman[Salesperson_ID],DimSalesman[Salesperson_Name])</f>
        <v>Mehedi Chowdhury</v>
      </c>
      <c r="V223" s="6" t="str">
        <f>_xlfn.XLOOKUP(FactSales[[#This Row],[Region_ID]],DimRegion[Region_ID],DimRegion[Region_Name])</f>
        <v>Sylhet</v>
      </c>
      <c r="W223" s="6" t="str">
        <f>_xlfn.XLOOKUP(FactSales[[#This Row],[Store_ID]],DimStore[Store_ID],DimStore[Store_Name])</f>
        <v>Sylhet South Surma Store</v>
      </c>
    </row>
    <row r="224" spans="1:23">
      <c r="A224" s="4" t="s">
        <v>1220</v>
      </c>
      <c r="B224" s="5">
        <v>45737</v>
      </c>
      <c r="C224" s="4" t="s">
        <v>199</v>
      </c>
      <c r="D224" s="4" t="s">
        <v>32</v>
      </c>
      <c r="E224" s="4" t="s">
        <v>647</v>
      </c>
      <c r="F224" s="4" t="s">
        <v>929</v>
      </c>
      <c r="G224" s="4" t="s">
        <v>890</v>
      </c>
      <c r="H224" s="4">
        <v>5</v>
      </c>
      <c r="I224" s="7">
        <v>0.05</v>
      </c>
      <c r="J224" s="6">
        <v>4788</v>
      </c>
      <c r="K224" s="4">
        <v>1</v>
      </c>
      <c r="L224" s="8">
        <f t="shared" si="3"/>
        <v>4.8</v>
      </c>
      <c r="M224" s="6" t="str">
        <f>_xlfn.XLOOKUP(FactSales[[#This Row],[Product_ID]],DimProduct[Product_ID],DimProduct[Product_Name])</f>
        <v>Kids Story Book</v>
      </c>
      <c r="N224" s="6" t="str">
        <f>_xlfn.XLOOKUP(FactSales[[#This Row],[Product_ID]],DimProduct[Product_ID],DimProduct[Category])</f>
        <v>Kids &amp; Toys</v>
      </c>
      <c r="O224" s="6">
        <f>_xlfn.XLOOKUP(FactSales[[#This Row],[Product_ID]],DimProduct[Product_ID],DimProduct[Unit_Price])</f>
        <v>840</v>
      </c>
      <c r="P224" s="6">
        <f>_xlfn.XLOOKUP(FactSales[[#This Row],[Product_ID]],DimProduct[Product_ID],DimProduct[Unit_Cost])</f>
        <v>460</v>
      </c>
      <c r="Q224" s="6">
        <f>FactSales[[#This Row],[Unit_Price]]*FactSales[[#This Row],[Quantity_Sold]]</f>
        <v>4200</v>
      </c>
      <c r="R224" s="6">
        <f>FactSales[[#This Row],[Unit_Cost]]*FactSales[[#This Row],[Quantity_Sold]]</f>
        <v>2300</v>
      </c>
      <c r="S224" s="6">
        <f>FactSales[[#This Row],[Sales_Amount]]-FactSales[[#This Row],[Total_Cost]]</f>
        <v>1900</v>
      </c>
      <c r="T224" s="6" t="str">
        <f>_xlfn.XLOOKUP(FactSales[[#This Row],[Customer_ID]],DimCustomer[Customer_ID],DimCustomer[Customer_Name])</f>
        <v>Tanjim Rahman</v>
      </c>
      <c r="U224" s="6" t="str">
        <f>_xlfn.XLOOKUP(FactSales[[#This Row],[Salesperson_ID]],DimSalesman[Salesperson_ID],DimSalesman[Salesperson_Name])</f>
        <v>Nabila Mia</v>
      </c>
      <c r="V224" s="6" t="str">
        <f>_xlfn.XLOOKUP(FactSales[[#This Row],[Region_ID]],DimRegion[Region_ID],DimRegion[Region_Name])</f>
        <v>Chattogram</v>
      </c>
      <c r="W224" s="6" t="str">
        <f>_xlfn.XLOOKUP(FactSales[[#This Row],[Store_ID]],DimStore[Store_ID],DimStore[Store_Name])</f>
        <v>Chattogram Nasirabad Store</v>
      </c>
    </row>
    <row r="225" spans="1:23">
      <c r="A225" s="4" t="s">
        <v>1221</v>
      </c>
      <c r="B225" s="5">
        <v>46048</v>
      </c>
      <c r="C225" s="4" t="s">
        <v>202</v>
      </c>
      <c r="D225" s="4" t="s">
        <v>32</v>
      </c>
      <c r="E225" s="4" t="s">
        <v>644</v>
      </c>
      <c r="F225" s="4" t="s">
        <v>922</v>
      </c>
      <c r="G225" s="4" t="s">
        <v>850</v>
      </c>
      <c r="H225" s="4">
        <v>1</v>
      </c>
      <c r="I225" s="7">
        <v>0.03</v>
      </c>
      <c r="J225" s="6">
        <v>3010</v>
      </c>
      <c r="K225" s="4">
        <v>5</v>
      </c>
      <c r="L225" s="8">
        <f t="shared" si="3"/>
        <v>3.5</v>
      </c>
      <c r="M225" s="6" t="str">
        <f>_xlfn.XLOOKUP(FactSales[[#This Row],[Product_ID]],DimProduct[Product_ID],DimProduct[Product_Name])</f>
        <v>Cricket Bat</v>
      </c>
      <c r="N225" s="6" t="str">
        <f>_xlfn.XLOOKUP(FactSales[[#This Row],[Product_ID]],DimProduct[Product_ID],DimProduct[Category])</f>
        <v>Sports</v>
      </c>
      <c r="O225" s="6">
        <f>_xlfn.XLOOKUP(FactSales[[#This Row],[Product_ID]],DimProduct[Product_ID],DimProduct[Unit_Price])</f>
        <v>2640</v>
      </c>
      <c r="P225" s="6">
        <f>_xlfn.XLOOKUP(FactSales[[#This Row],[Product_ID]],DimProduct[Product_ID],DimProduct[Unit_Cost])</f>
        <v>1640</v>
      </c>
      <c r="Q225" s="6">
        <f>FactSales[[#This Row],[Unit_Price]]*FactSales[[#This Row],[Quantity_Sold]]</f>
        <v>2640</v>
      </c>
      <c r="R225" s="6">
        <f>FactSales[[#This Row],[Unit_Cost]]*FactSales[[#This Row],[Quantity_Sold]]</f>
        <v>1640</v>
      </c>
      <c r="S225" s="6">
        <f>FactSales[[#This Row],[Sales_Amount]]-FactSales[[#This Row],[Total_Cost]]</f>
        <v>1000</v>
      </c>
      <c r="T225" s="6" t="str">
        <f>_xlfn.XLOOKUP(FactSales[[#This Row],[Customer_ID]],DimCustomer[Customer_ID],DimCustomer[Customer_Name])</f>
        <v>Shuvo Uddin</v>
      </c>
      <c r="U225" s="6" t="str">
        <f>_xlfn.XLOOKUP(FactSales[[#This Row],[Salesperson_ID]],DimSalesman[Salesperson_ID],DimSalesman[Salesperson_Name])</f>
        <v>Rafi Sultana</v>
      </c>
      <c r="V225" s="6" t="str">
        <f>_xlfn.XLOOKUP(FactSales[[#This Row],[Region_ID]],DimRegion[Region_ID],DimRegion[Region_Name])</f>
        <v>Chattogram</v>
      </c>
      <c r="W225" s="6" t="str">
        <f>_xlfn.XLOOKUP(FactSales[[#This Row],[Store_ID]],DimStore[Store_ID],DimStore[Store_Name])</f>
        <v>Chattogram Panchlaish Store</v>
      </c>
    </row>
    <row r="226" spans="1:23">
      <c r="A226" s="4" t="s">
        <v>1222</v>
      </c>
      <c r="B226" s="5">
        <v>45781</v>
      </c>
      <c r="C226" s="4" t="s">
        <v>451</v>
      </c>
      <c r="D226" s="4" t="s">
        <v>52</v>
      </c>
      <c r="E226" s="4" t="s">
        <v>707</v>
      </c>
      <c r="F226" s="4" t="s">
        <v>964</v>
      </c>
      <c r="G226" s="4" t="s">
        <v>890</v>
      </c>
      <c r="H226" s="4">
        <v>5</v>
      </c>
      <c r="I226" s="7">
        <v>0.05</v>
      </c>
      <c r="J226" s="6">
        <v>4704</v>
      </c>
      <c r="K226" s="4">
        <v>5</v>
      </c>
      <c r="L226" s="8">
        <f t="shared" si="3"/>
        <v>3.5</v>
      </c>
      <c r="M226" s="6" t="str">
        <f>_xlfn.XLOOKUP(FactSales[[#This Row],[Product_ID]],DimProduct[Product_ID],DimProduct[Product_Name])</f>
        <v>Kids Story Book</v>
      </c>
      <c r="N226" s="6" t="str">
        <f>_xlfn.XLOOKUP(FactSales[[#This Row],[Product_ID]],DimProduct[Product_ID],DimProduct[Category])</f>
        <v>Kids &amp; Toys</v>
      </c>
      <c r="O226" s="6">
        <f>_xlfn.XLOOKUP(FactSales[[#This Row],[Product_ID]],DimProduct[Product_ID],DimProduct[Unit_Price])</f>
        <v>840</v>
      </c>
      <c r="P226" s="6">
        <f>_xlfn.XLOOKUP(FactSales[[#This Row],[Product_ID]],DimProduct[Product_ID],DimProduct[Unit_Cost])</f>
        <v>460</v>
      </c>
      <c r="Q226" s="6">
        <f>FactSales[[#This Row],[Unit_Price]]*FactSales[[#This Row],[Quantity_Sold]]</f>
        <v>4200</v>
      </c>
      <c r="R226" s="6">
        <f>FactSales[[#This Row],[Unit_Cost]]*FactSales[[#This Row],[Quantity_Sold]]</f>
        <v>2300</v>
      </c>
      <c r="S226" s="6">
        <f>FactSales[[#This Row],[Sales_Amount]]-FactSales[[#This Row],[Total_Cost]]</f>
        <v>1900</v>
      </c>
      <c r="T226" s="6" t="str">
        <f>_xlfn.XLOOKUP(FactSales[[#This Row],[Customer_ID]],DimCustomer[Customer_ID],DimCustomer[Customer_Name])</f>
        <v>Hasan Uddin</v>
      </c>
      <c r="U226" s="6" t="str">
        <f>_xlfn.XLOOKUP(FactSales[[#This Row],[Salesperson_ID]],DimSalesman[Salesperson_ID],DimSalesman[Salesperson_Name])</f>
        <v>Shaila Uddin</v>
      </c>
      <c r="V226" s="6" t="str">
        <f>_xlfn.XLOOKUP(FactSales[[#This Row],[Region_ID]],DimRegion[Region_ID],DimRegion[Region_Name])</f>
        <v>Barishal</v>
      </c>
      <c r="W226" s="6" t="str">
        <f>_xlfn.XLOOKUP(FactSales[[#This Row],[Store_ID]],DimStore[Store_ID],DimStore[Store_Name])</f>
        <v>Barishal Chowmatha Store</v>
      </c>
    </row>
    <row r="227" spans="1:23">
      <c r="A227" s="4" t="s">
        <v>1223</v>
      </c>
      <c r="B227" s="5">
        <v>45700</v>
      </c>
      <c r="C227" s="4" t="s">
        <v>133</v>
      </c>
      <c r="D227" s="4" t="s">
        <v>27</v>
      </c>
      <c r="E227" s="4" t="s">
        <v>630</v>
      </c>
      <c r="F227" s="4" t="s">
        <v>912</v>
      </c>
      <c r="G227" s="4" t="s">
        <v>768</v>
      </c>
      <c r="H227" s="4">
        <v>2</v>
      </c>
      <c r="I227" s="7">
        <v>0.18</v>
      </c>
      <c r="J227" s="6">
        <v>15264</v>
      </c>
      <c r="K227" s="4">
        <v>1</v>
      </c>
      <c r="L227" s="8">
        <f t="shared" si="3"/>
        <v>4.5</v>
      </c>
      <c r="M227" s="6" t="str">
        <f>_xlfn.XLOOKUP(FactSales[[#This Row],[Product_ID]],DimProduct[Product_ID],DimProduct[Product_Name])</f>
        <v>Electric Kettle</v>
      </c>
      <c r="N227" s="6" t="str">
        <f>_xlfn.XLOOKUP(FactSales[[#This Row],[Product_ID]],DimProduct[Product_ID],DimProduct[Category])</f>
        <v>Home Appliance</v>
      </c>
      <c r="O227" s="6">
        <f>_xlfn.XLOOKUP(FactSales[[#This Row],[Product_ID]],DimProduct[Product_ID],DimProduct[Unit_Price])</f>
        <v>7200</v>
      </c>
      <c r="P227" s="6">
        <f>_xlfn.XLOOKUP(FactSales[[#This Row],[Product_ID]],DimProduct[Product_ID],DimProduct[Unit_Cost])</f>
        <v>5040</v>
      </c>
      <c r="Q227" s="6">
        <f>FactSales[[#This Row],[Unit_Price]]*FactSales[[#This Row],[Quantity_Sold]]</f>
        <v>14400</v>
      </c>
      <c r="R227" s="6">
        <f>FactSales[[#This Row],[Unit_Cost]]*FactSales[[#This Row],[Quantity_Sold]]</f>
        <v>10080</v>
      </c>
      <c r="S227" s="6">
        <f>FactSales[[#This Row],[Sales_Amount]]-FactSales[[#This Row],[Total_Cost]]</f>
        <v>4320</v>
      </c>
      <c r="T227" s="6" t="str">
        <f>_xlfn.XLOOKUP(FactSales[[#This Row],[Customer_ID]],DimCustomer[Customer_ID],DimCustomer[Customer_Name])</f>
        <v>Tanjim Chowdhury</v>
      </c>
      <c r="U227" s="6" t="str">
        <f>_xlfn.XLOOKUP(FactSales[[#This Row],[Salesperson_ID]],DimSalesman[Salesperson_ID],DimSalesman[Salesperson_Name])</f>
        <v>Mahmud Hossain</v>
      </c>
      <c r="V227" s="6" t="str">
        <f>_xlfn.XLOOKUP(FactSales[[#This Row],[Region_ID]],DimRegion[Region_ID],DimRegion[Region_Name])</f>
        <v>Dhaka</v>
      </c>
      <c r="W227" s="6" t="str">
        <f>_xlfn.XLOOKUP(FactSales[[#This Row],[Store_ID]],DimStore[Store_ID],DimStore[Store_Name])</f>
        <v>Dhaka Uttara Store</v>
      </c>
    </row>
    <row r="228" spans="1:23">
      <c r="A228" s="4" t="s">
        <v>1224</v>
      </c>
      <c r="B228" s="5">
        <v>45709</v>
      </c>
      <c r="C228" s="4" t="s">
        <v>246</v>
      </c>
      <c r="D228" s="4" t="s">
        <v>37</v>
      </c>
      <c r="E228" s="4" t="s">
        <v>665</v>
      </c>
      <c r="F228" s="4" t="s">
        <v>941</v>
      </c>
      <c r="G228" s="4" t="s">
        <v>762</v>
      </c>
      <c r="H228" s="4">
        <v>3</v>
      </c>
      <c r="I228" s="7">
        <v>0.15</v>
      </c>
      <c r="J228" s="6">
        <v>12423</v>
      </c>
      <c r="K228" s="4">
        <v>6</v>
      </c>
      <c r="L228" s="8">
        <f t="shared" si="3"/>
        <v>3</v>
      </c>
      <c r="M228" s="6" t="str">
        <f>_xlfn.XLOOKUP(FactSales[[#This Row],[Product_ID]],DimProduct[Product_ID],DimProduct[Product_Name])</f>
        <v>Smart Watch</v>
      </c>
      <c r="N228" s="6" t="str">
        <f>_xlfn.XLOOKUP(FactSales[[#This Row],[Product_ID]],DimProduct[Product_ID],DimProduct[Category])</f>
        <v>Electronics</v>
      </c>
      <c r="O228" s="6">
        <f>_xlfn.XLOOKUP(FactSales[[#This Row],[Product_ID]],DimProduct[Product_ID],DimProduct[Unit_Price])</f>
        <v>3870</v>
      </c>
      <c r="P228" s="6">
        <f>_xlfn.XLOOKUP(FactSales[[#This Row],[Product_ID]],DimProduct[Product_ID],DimProduct[Unit_Cost])</f>
        <v>2630</v>
      </c>
      <c r="Q228" s="6">
        <f>FactSales[[#This Row],[Unit_Price]]*FactSales[[#This Row],[Quantity_Sold]]</f>
        <v>11610</v>
      </c>
      <c r="R228" s="6">
        <f>FactSales[[#This Row],[Unit_Cost]]*FactSales[[#This Row],[Quantity_Sold]]</f>
        <v>7890</v>
      </c>
      <c r="S228" s="6">
        <f>FactSales[[#This Row],[Sales_Amount]]-FactSales[[#This Row],[Total_Cost]]</f>
        <v>3720</v>
      </c>
      <c r="T228" s="6" t="str">
        <f>_xlfn.XLOOKUP(FactSales[[#This Row],[Customer_ID]],DimCustomer[Customer_ID],DimCustomer[Customer_Name])</f>
        <v>Shamim Akter</v>
      </c>
      <c r="U228" s="6" t="str">
        <f>_xlfn.XLOOKUP(FactSales[[#This Row],[Salesperson_ID]],DimSalesman[Salesperson_ID],DimSalesman[Salesperson_Name])</f>
        <v>Rumana Rahman</v>
      </c>
      <c r="V228" s="6" t="str">
        <f>_xlfn.XLOOKUP(FactSales[[#This Row],[Region_ID]],DimRegion[Region_ID],DimRegion[Region_Name])</f>
        <v>Sylhet</v>
      </c>
      <c r="W228" s="6" t="str">
        <f>_xlfn.XLOOKUP(FactSales[[#This Row],[Store_ID]],DimStore[Store_ID],DimStore[Store_Name])</f>
        <v>Sylhet Upashahar Store</v>
      </c>
    </row>
    <row r="229" spans="1:23">
      <c r="A229" s="4" t="s">
        <v>1225</v>
      </c>
      <c r="B229" s="5">
        <v>45809</v>
      </c>
      <c r="C229" s="4" t="s">
        <v>168</v>
      </c>
      <c r="D229" s="4" t="s">
        <v>32</v>
      </c>
      <c r="E229" s="4" t="s">
        <v>647</v>
      </c>
      <c r="F229" s="4" t="s">
        <v>926</v>
      </c>
      <c r="G229" s="4" t="s">
        <v>862</v>
      </c>
      <c r="H229" s="4">
        <v>1</v>
      </c>
      <c r="I229" s="7">
        <v>0.03</v>
      </c>
      <c r="J229" s="6">
        <v>1265</v>
      </c>
      <c r="K229" s="4">
        <v>4</v>
      </c>
      <c r="L229" s="8">
        <f t="shared" si="3"/>
        <v>3.9</v>
      </c>
      <c r="M229" s="6" t="str">
        <f>_xlfn.XLOOKUP(FactSales[[#This Row],[Product_ID]],DimProduct[Product_ID],DimProduct[Product_Name])</f>
        <v>Dumbbell Set</v>
      </c>
      <c r="N229" s="6" t="str">
        <f>_xlfn.XLOOKUP(FactSales[[#This Row],[Product_ID]],DimProduct[Product_ID],DimProduct[Category])</f>
        <v>Sports</v>
      </c>
      <c r="O229" s="6">
        <f>_xlfn.XLOOKUP(FactSales[[#This Row],[Product_ID]],DimProduct[Product_ID],DimProduct[Unit_Price])</f>
        <v>1110</v>
      </c>
      <c r="P229" s="6">
        <f>_xlfn.XLOOKUP(FactSales[[#This Row],[Product_ID]],DimProduct[Product_ID],DimProduct[Unit_Cost])</f>
        <v>690</v>
      </c>
      <c r="Q229" s="6">
        <f>FactSales[[#This Row],[Unit_Price]]*FactSales[[#This Row],[Quantity_Sold]]</f>
        <v>1110</v>
      </c>
      <c r="R229" s="6">
        <f>FactSales[[#This Row],[Unit_Cost]]*FactSales[[#This Row],[Quantity_Sold]]</f>
        <v>690</v>
      </c>
      <c r="S229" s="6">
        <f>FactSales[[#This Row],[Sales_Amount]]-FactSales[[#This Row],[Total_Cost]]</f>
        <v>420</v>
      </c>
      <c r="T229" s="6" t="str">
        <f>_xlfn.XLOOKUP(FactSales[[#This Row],[Customer_ID]],DimCustomer[Customer_ID],DimCustomer[Customer_Name])</f>
        <v>Mim Akter</v>
      </c>
      <c r="U229" s="6" t="str">
        <f>_xlfn.XLOOKUP(FactSales[[#This Row],[Salesperson_ID]],DimSalesman[Salesperson_ID],DimSalesman[Salesperson_Name])</f>
        <v>Rafi Akter</v>
      </c>
      <c r="V229" s="6" t="str">
        <f>_xlfn.XLOOKUP(FactSales[[#This Row],[Region_ID]],DimRegion[Region_ID],DimRegion[Region_Name])</f>
        <v>Chattogram</v>
      </c>
      <c r="W229" s="6" t="str">
        <f>_xlfn.XLOOKUP(FactSales[[#This Row],[Store_ID]],DimStore[Store_ID],DimStore[Store_Name])</f>
        <v>Chattogram Nasirabad Store</v>
      </c>
    </row>
    <row r="230" spans="1:23">
      <c r="A230" s="4" t="s">
        <v>1226</v>
      </c>
      <c r="B230" s="5">
        <v>45745</v>
      </c>
      <c r="C230" s="4" t="s">
        <v>596</v>
      </c>
      <c r="D230" s="4" t="s">
        <v>62</v>
      </c>
      <c r="E230" s="4" t="s">
        <v>728</v>
      </c>
      <c r="F230" s="4" t="s">
        <v>985</v>
      </c>
      <c r="G230" s="4" t="s">
        <v>781</v>
      </c>
      <c r="H230" s="4">
        <v>3</v>
      </c>
      <c r="I230" s="7">
        <v>0.1</v>
      </c>
      <c r="J230" s="6">
        <v>10076</v>
      </c>
      <c r="K230" s="4">
        <v>6</v>
      </c>
      <c r="L230" s="8">
        <f t="shared" si="3"/>
        <v>3.1</v>
      </c>
      <c r="M230" s="6" t="str">
        <f>_xlfn.XLOOKUP(FactSales[[#This Row],[Product_ID]],DimProduct[Product_ID],DimProduct[Product_Name])</f>
        <v>Table Fan</v>
      </c>
      <c r="N230" s="6" t="str">
        <f>_xlfn.XLOOKUP(FactSales[[#This Row],[Product_ID]],DimProduct[Product_ID],DimProduct[Category])</f>
        <v>Home Appliance</v>
      </c>
      <c r="O230" s="6">
        <f>_xlfn.XLOOKUP(FactSales[[#This Row],[Product_ID]],DimProduct[Product_ID],DimProduct[Unit_Price])</f>
        <v>3110</v>
      </c>
      <c r="P230" s="6">
        <f>_xlfn.XLOOKUP(FactSales[[#This Row],[Product_ID]],DimProduct[Product_ID],DimProduct[Unit_Cost])</f>
        <v>2180</v>
      </c>
      <c r="Q230" s="6">
        <f>FactSales[[#This Row],[Unit_Price]]*FactSales[[#This Row],[Quantity_Sold]]</f>
        <v>9330</v>
      </c>
      <c r="R230" s="6">
        <f>FactSales[[#This Row],[Unit_Cost]]*FactSales[[#This Row],[Quantity_Sold]]</f>
        <v>6540</v>
      </c>
      <c r="S230" s="6">
        <f>FactSales[[#This Row],[Sales_Amount]]-FactSales[[#This Row],[Total_Cost]]</f>
        <v>2790</v>
      </c>
      <c r="T230" s="6" t="str">
        <f>_xlfn.XLOOKUP(FactSales[[#This Row],[Customer_ID]],DimCustomer[Customer_ID],DimCustomer[Customer_Name])</f>
        <v>Hasan Sultana</v>
      </c>
      <c r="U230" s="6" t="str">
        <f>_xlfn.XLOOKUP(FactSales[[#This Row],[Salesperson_ID]],DimSalesman[Salesperson_ID],DimSalesman[Salesperson_Name])</f>
        <v>Tamanna Sultana</v>
      </c>
      <c r="V230" s="6" t="str">
        <f>_xlfn.XLOOKUP(FactSales[[#This Row],[Region_ID]],DimRegion[Region_ID],DimRegion[Region_Name])</f>
        <v>Mymensingh</v>
      </c>
      <c r="W230" s="6" t="str">
        <f>_xlfn.XLOOKUP(FactSales[[#This Row],[Store_ID]],DimStore[Store_ID],DimStore[Store_Name])</f>
        <v>Mymensingh Ganginarpar Store</v>
      </c>
    </row>
    <row r="231" spans="1:23">
      <c r="A231" s="4" t="s">
        <v>1227</v>
      </c>
      <c r="B231" s="5">
        <v>45910</v>
      </c>
      <c r="C231" s="4" t="s">
        <v>326</v>
      </c>
      <c r="D231" s="4" t="s">
        <v>42</v>
      </c>
      <c r="E231" s="4" t="s">
        <v>677</v>
      </c>
      <c r="F231" s="4" t="s">
        <v>950</v>
      </c>
      <c r="G231" s="4" t="s">
        <v>813</v>
      </c>
      <c r="H231" s="4">
        <v>1</v>
      </c>
      <c r="I231" s="7">
        <v>0.03</v>
      </c>
      <c r="J231" s="6">
        <v>2311</v>
      </c>
      <c r="K231" s="4">
        <v>2</v>
      </c>
      <c r="L231" s="8">
        <f t="shared" si="3"/>
        <v>4.5</v>
      </c>
      <c r="M231" s="6" t="str">
        <f>_xlfn.XLOOKUP(FactSales[[#This Row],[Product_ID]],DimProduct[Product_ID],DimProduct[Product_Name])</f>
        <v>Tea Pack 500g</v>
      </c>
      <c r="N231" s="6" t="str">
        <f>_xlfn.XLOOKUP(FactSales[[#This Row],[Product_ID]],DimProduct[Product_ID],DimProduct[Category])</f>
        <v>Grocery</v>
      </c>
      <c r="O231" s="6">
        <f>_xlfn.XLOOKUP(FactSales[[#This Row],[Product_ID]],DimProduct[Product_ID],DimProduct[Unit_Price])</f>
        <v>2140</v>
      </c>
      <c r="P231" s="6">
        <f>_xlfn.XLOOKUP(FactSales[[#This Row],[Product_ID]],DimProduct[Product_ID],DimProduct[Unit_Cost])</f>
        <v>1670</v>
      </c>
      <c r="Q231" s="6">
        <f>FactSales[[#This Row],[Unit_Price]]*FactSales[[#This Row],[Quantity_Sold]]</f>
        <v>2140</v>
      </c>
      <c r="R231" s="6">
        <f>FactSales[[#This Row],[Unit_Cost]]*FactSales[[#This Row],[Quantity_Sold]]</f>
        <v>1670</v>
      </c>
      <c r="S231" s="6">
        <f>FactSales[[#This Row],[Sales_Amount]]-FactSales[[#This Row],[Total_Cost]]</f>
        <v>470</v>
      </c>
      <c r="T231" s="6" t="str">
        <f>_xlfn.XLOOKUP(FactSales[[#This Row],[Customer_ID]],DimCustomer[Customer_ID],DimCustomer[Customer_Name])</f>
        <v>Hasan Rahman</v>
      </c>
      <c r="U231" s="6" t="str">
        <f>_xlfn.XLOOKUP(FactSales[[#This Row],[Salesperson_ID]],DimSalesman[Salesperson_ID],DimSalesman[Salesperson_Name])</f>
        <v>Mim Rahman</v>
      </c>
      <c r="V231" s="6" t="str">
        <f>_xlfn.XLOOKUP(FactSales[[#This Row],[Region_ID]],DimRegion[Region_ID],DimRegion[Region_Name])</f>
        <v>Rajshahi</v>
      </c>
      <c r="W231" s="6" t="str">
        <f>_xlfn.XLOOKUP(FactSales[[#This Row],[Store_ID]],DimStore[Store_ID],DimStore[Store_Name])</f>
        <v>Rajshahi Railgate Store</v>
      </c>
    </row>
    <row r="232" spans="1:23">
      <c r="A232" s="4" t="s">
        <v>1228</v>
      </c>
      <c r="B232" s="5">
        <v>46081</v>
      </c>
      <c r="C232" s="4" t="s">
        <v>513</v>
      </c>
      <c r="D232" s="4" t="s">
        <v>57</v>
      </c>
      <c r="E232" s="4" t="s">
        <v>725</v>
      </c>
      <c r="F232" s="4" t="s">
        <v>968</v>
      </c>
      <c r="G232" s="4" t="s">
        <v>758</v>
      </c>
      <c r="H232" s="4">
        <v>2</v>
      </c>
      <c r="I232" s="7">
        <v>0.12</v>
      </c>
      <c r="J232" s="6">
        <v>6532</v>
      </c>
      <c r="K232" s="4">
        <v>7</v>
      </c>
      <c r="L232" s="8">
        <f t="shared" si="3"/>
        <v>2.7</v>
      </c>
      <c r="M232" s="6" t="str">
        <f>_xlfn.XLOOKUP(FactSales[[#This Row],[Product_ID]],DimProduct[Product_ID],DimProduct[Product_Name])</f>
        <v>Power Bank</v>
      </c>
      <c r="N232" s="6" t="str">
        <f>_xlfn.XLOOKUP(FactSales[[#This Row],[Product_ID]],DimProduct[Product_ID],DimProduct[Category])</f>
        <v>Electronics</v>
      </c>
      <c r="O232" s="6">
        <f>_xlfn.XLOOKUP(FactSales[[#This Row],[Product_ID]],DimProduct[Product_ID],DimProduct[Unit_Price])</f>
        <v>2840</v>
      </c>
      <c r="P232" s="6">
        <f>_xlfn.XLOOKUP(FactSales[[#This Row],[Product_ID]],DimProduct[Product_ID],DimProduct[Unit_Cost])</f>
        <v>1930</v>
      </c>
      <c r="Q232" s="6">
        <f>FactSales[[#This Row],[Unit_Price]]*FactSales[[#This Row],[Quantity_Sold]]</f>
        <v>5680</v>
      </c>
      <c r="R232" s="6">
        <f>FactSales[[#This Row],[Unit_Cost]]*FactSales[[#This Row],[Quantity_Sold]]</f>
        <v>3860</v>
      </c>
      <c r="S232" s="6">
        <f>FactSales[[#This Row],[Sales_Amount]]-FactSales[[#This Row],[Total_Cost]]</f>
        <v>1820</v>
      </c>
      <c r="T232" s="6" t="str">
        <f>_xlfn.XLOOKUP(FactSales[[#This Row],[Customer_ID]],DimCustomer[Customer_ID],DimCustomer[Customer_Name])</f>
        <v>Arif Akter</v>
      </c>
      <c r="U232" s="6" t="str">
        <f>_xlfn.XLOOKUP(FactSales[[#This Row],[Salesperson_ID]],DimSalesman[Salesperson_ID],DimSalesman[Salesperson_Name])</f>
        <v>Morshed Ahmed</v>
      </c>
      <c r="V232" s="6" t="str">
        <f>_xlfn.XLOOKUP(FactSales[[#This Row],[Region_ID]],DimRegion[Region_ID],DimRegion[Region_Name])</f>
        <v>Rangpur</v>
      </c>
      <c r="W232" s="6" t="str">
        <f>_xlfn.XLOOKUP(FactSales[[#This Row],[Store_ID]],DimStore[Store_ID],DimStore[Store_Name])</f>
        <v>Rangpur Central Road Store</v>
      </c>
    </row>
    <row r="233" spans="1:23">
      <c r="A233" s="4" t="s">
        <v>1229</v>
      </c>
      <c r="B233" s="5">
        <v>46110</v>
      </c>
      <c r="C233" s="4" t="s">
        <v>145</v>
      </c>
      <c r="D233" s="4" t="s">
        <v>27</v>
      </c>
      <c r="E233" s="4" t="s">
        <v>626</v>
      </c>
      <c r="F233" s="4" t="s">
        <v>914</v>
      </c>
      <c r="G233" s="4" t="s">
        <v>905</v>
      </c>
      <c r="H233" s="4">
        <v>4</v>
      </c>
      <c r="I233" s="7">
        <v>0.03</v>
      </c>
      <c r="J233" s="6">
        <v>24889</v>
      </c>
      <c r="K233" s="4">
        <v>6</v>
      </c>
      <c r="L233" s="8">
        <f t="shared" si="3"/>
        <v>3.2</v>
      </c>
      <c r="M233" s="6" t="str">
        <f>_xlfn.XLOOKUP(FactSales[[#This Row],[Product_ID]],DimProduct[Product_ID],DimProduct[Product_Name])</f>
        <v>Bedside Table</v>
      </c>
      <c r="N233" s="6" t="str">
        <f>_xlfn.XLOOKUP(FactSales[[#This Row],[Product_ID]],DimProduct[Product_ID],DimProduct[Category])</f>
        <v>Furniture</v>
      </c>
      <c r="O233" s="6">
        <f>_xlfn.XLOOKUP(FactSales[[#This Row],[Product_ID]],DimProduct[Product_ID],DimProduct[Unit_Price])</f>
        <v>5870</v>
      </c>
      <c r="P233" s="6">
        <f>_xlfn.XLOOKUP(FactSales[[#This Row],[Product_ID]],DimProduct[Product_ID],DimProduct[Unit_Cost])</f>
        <v>4230</v>
      </c>
      <c r="Q233" s="6">
        <f>FactSales[[#This Row],[Unit_Price]]*FactSales[[#This Row],[Quantity_Sold]]</f>
        <v>23480</v>
      </c>
      <c r="R233" s="6">
        <f>FactSales[[#This Row],[Unit_Cost]]*FactSales[[#This Row],[Quantity_Sold]]</f>
        <v>16920</v>
      </c>
      <c r="S233" s="6">
        <f>FactSales[[#This Row],[Sales_Amount]]-FactSales[[#This Row],[Total_Cost]]</f>
        <v>6560</v>
      </c>
      <c r="T233" s="6" t="str">
        <f>_xlfn.XLOOKUP(FactSales[[#This Row],[Customer_ID]],DimCustomer[Customer_ID],DimCustomer[Customer_Name])</f>
        <v>Nabila Sultana</v>
      </c>
      <c r="U233" s="6" t="str">
        <f>_xlfn.XLOOKUP(FactSales[[#This Row],[Salesperson_ID]],DimSalesman[Salesperson_ID],DimSalesman[Salesperson_Name])</f>
        <v>Rasel Rahman</v>
      </c>
      <c r="V233" s="6" t="str">
        <f>_xlfn.XLOOKUP(FactSales[[#This Row],[Region_ID]],DimRegion[Region_ID],DimRegion[Region_Name])</f>
        <v>Dhaka</v>
      </c>
      <c r="W233" s="6" t="str">
        <f>_xlfn.XLOOKUP(FactSales[[#This Row],[Store_ID]],DimStore[Store_ID],DimStore[Store_Name])</f>
        <v>Dhaka Mirpur Store</v>
      </c>
    </row>
    <row r="234" spans="1:23">
      <c r="A234" s="4" t="s">
        <v>1230</v>
      </c>
      <c r="B234" s="5">
        <v>45745</v>
      </c>
      <c r="C234" s="4" t="s">
        <v>301</v>
      </c>
      <c r="D234" s="4" t="s">
        <v>42</v>
      </c>
      <c r="E234" s="4" t="s">
        <v>674</v>
      </c>
      <c r="F234" s="4" t="s">
        <v>944</v>
      </c>
      <c r="G234" s="4" t="s">
        <v>856</v>
      </c>
      <c r="H234" s="4">
        <v>1</v>
      </c>
      <c r="I234" s="7">
        <v>0.05</v>
      </c>
      <c r="J234" s="6">
        <v>3348</v>
      </c>
      <c r="K234" s="4">
        <v>8</v>
      </c>
      <c r="L234" s="8">
        <f t="shared" si="3"/>
        <v>2.5</v>
      </c>
      <c r="M234" s="6" t="str">
        <f>_xlfn.XLOOKUP(FactSales[[#This Row],[Product_ID]],DimProduct[Product_ID],DimProduct[Product_Name])</f>
        <v>Badminton Racket</v>
      </c>
      <c r="N234" s="6" t="str">
        <f>_xlfn.XLOOKUP(FactSales[[#This Row],[Product_ID]],DimProduct[Product_ID],DimProduct[Category])</f>
        <v>Sports</v>
      </c>
      <c r="O234" s="6">
        <f>_xlfn.XLOOKUP(FactSales[[#This Row],[Product_ID]],DimProduct[Product_ID],DimProduct[Unit_Price])</f>
        <v>3100</v>
      </c>
      <c r="P234" s="6">
        <f>_xlfn.XLOOKUP(FactSales[[#This Row],[Product_ID]],DimProduct[Product_ID],DimProduct[Unit_Cost])</f>
        <v>1920</v>
      </c>
      <c r="Q234" s="6">
        <f>FactSales[[#This Row],[Unit_Price]]*FactSales[[#This Row],[Quantity_Sold]]</f>
        <v>3100</v>
      </c>
      <c r="R234" s="6">
        <f>FactSales[[#This Row],[Unit_Cost]]*FactSales[[#This Row],[Quantity_Sold]]</f>
        <v>1920</v>
      </c>
      <c r="S234" s="6">
        <f>FactSales[[#This Row],[Sales_Amount]]-FactSales[[#This Row],[Total_Cost]]</f>
        <v>1180</v>
      </c>
      <c r="T234" s="6" t="str">
        <f>_xlfn.XLOOKUP(FactSales[[#This Row],[Customer_ID]],DimCustomer[Customer_ID],DimCustomer[Customer_Name])</f>
        <v>Nabila Khan</v>
      </c>
      <c r="U234" s="6" t="str">
        <f>_xlfn.XLOOKUP(FactSales[[#This Row],[Salesperson_ID]],DimSalesman[Salesperson_ID],DimSalesman[Salesperson_Name])</f>
        <v>Karim Khan</v>
      </c>
      <c r="V234" s="6" t="str">
        <f>_xlfn.XLOOKUP(FactSales[[#This Row],[Region_ID]],DimRegion[Region_ID],DimRegion[Region_Name])</f>
        <v>Rajshahi</v>
      </c>
      <c r="W234" s="6" t="str">
        <f>_xlfn.XLOOKUP(FactSales[[#This Row],[Store_ID]],DimStore[Store_ID],DimStore[Store_Name])</f>
        <v>Rajshahi Uposhohor Store</v>
      </c>
    </row>
    <row r="235" spans="1:23">
      <c r="A235" s="4" t="s">
        <v>1231</v>
      </c>
      <c r="B235" s="5">
        <v>45970</v>
      </c>
      <c r="C235" s="4" t="s">
        <v>354</v>
      </c>
      <c r="D235" s="4" t="s">
        <v>47</v>
      </c>
      <c r="E235" s="4" t="s">
        <v>689</v>
      </c>
      <c r="F235" s="4" t="s">
        <v>958</v>
      </c>
      <c r="G235" s="4" t="s">
        <v>864</v>
      </c>
      <c r="H235" s="4">
        <v>2</v>
      </c>
      <c r="I235" s="7">
        <v>0</v>
      </c>
      <c r="J235" s="6">
        <v>872</v>
      </c>
      <c r="K235" s="4">
        <v>2</v>
      </c>
      <c r="L235" s="8">
        <f t="shared" si="3"/>
        <v>4.5999999999999996</v>
      </c>
      <c r="M235" s="6" t="str">
        <f>_xlfn.XLOOKUP(FactSales[[#This Row],[Product_ID]],DimProduct[Product_ID],DimProduct[Product_Name])</f>
        <v>Notebook Pack</v>
      </c>
      <c r="N235" s="6" t="str">
        <f>_xlfn.XLOOKUP(FactSales[[#This Row],[Product_ID]],DimProduct[Product_ID],DimProduct[Category])</f>
        <v>Stationery</v>
      </c>
      <c r="O235" s="6">
        <f>_xlfn.XLOOKUP(FactSales[[#This Row],[Product_ID]],DimProduct[Product_ID],DimProduct[Unit_Price])</f>
        <v>400</v>
      </c>
      <c r="P235" s="6">
        <f>_xlfn.XLOOKUP(FactSales[[#This Row],[Product_ID]],DimProduct[Product_ID],DimProduct[Unit_Cost])</f>
        <v>200</v>
      </c>
      <c r="Q235" s="6">
        <f>FactSales[[#This Row],[Unit_Price]]*FactSales[[#This Row],[Quantity_Sold]]</f>
        <v>800</v>
      </c>
      <c r="R235" s="6">
        <f>FactSales[[#This Row],[Unit_Cost]]*FactSales[[#This Row],[Quantity_Sold]]</f>
        <v>400</v>
      </c>
      <c r="S235" s="6">
        <f>FactSales[[#This Row],[Sales_Amount]]-FactSales[[#This Row],[Total_Cost]]</f>
        <v>400</v>
      </c>
      <c r="T235" s="6" t="str">
        <f>_xlfn.XLOOKUP(FactSales[[#This Row],[Customer_ID]],DimCustomer[Customer_ID],DimCustomer[Customer_Name])</f>
        <v>Karim Mia</v>
      </c>
      <c r="U235" s="6" t="str">
        <f>_xlfn.XLOOKUP(FactSales[[#This Row],[Salesperson_ID]],DimSalesman[Salesperson_ID],DimSalesman[Salesperson_Name])</f>
        <v>Fahim Uddin</v>
      </c>
      <c r="V235" s="6" t="str">
        <f>_xlfn.XLOOKUP(FactSales[[#This Row],[Region_ID]],DimRegion[Region_ID],DimRegion[Region_Name])</f>
        <v>Khulna</v>
      </c>
      <c r="W235" s="6" t="str">
        <f>_xlfn.XLOOKUP(FactSales[[#This Row],[Store_ID]],DimStore[Store_ID],DimStore[Store_Name])</f>
        <v>Khulna Daulatpur Store</v>
      </c>
    </row>
    <row r="236" spans="1:23">
      <c r="A236" s="4" t="s">
        <v>1232</v>
      </c>
      <c r="B236" s="5">
        <v>45922</v>
      </c>
      <c r="C236" s="4" t="s">
        <v>439</v>
      </c>
      <c r="D236" s="4" t="s">
        <v>52</v>
      </c>
      <c r="E236" s="4" t="s">
        <v>710</v>
      </c>
      <c r="F236" s="4" t="s">
        <v>961</v>
      </c>
      <c r="G236" s="4" t="s">
        <v>762</v>
      </c>
      <c r="H236" s="4">
        <v>3</v>
      </c>
      <c r="I236" s="7">
        <v>0.18</v>
      </c>
      <c r="J236" s="6">
        <v>13003</v>
      </c>
      <c r="K236" s="4">
        <v>5</v>
      </c>
      <c r="L236" s="8">
        <f t="shared" si="3"/>
        <v>3.2</v>
      </c>
      <c r="M236" s="6" t="str">
        <f>_xlfn.XLOOKUP(FactSales[[#This Row],[Product_ID]],DimProduct[Product_ID],DimProduct[Product_Name])</f>
        <v>Smart Watch</v>
      </c>
      <c r="N236" s="6" t="str">
        <f>_xlfn.XLOOKUP(FactSales[[#This Row],[Product_ID]],DimProduct[Product_ID],DimProduct[Category])</f>
        <v>Electronics</v>
      </c>
      <c r="O236" s="6">
        <f>_xlfn.XLOOKUP(FactSales[[#This Row],[Product_ID]],DimProduct[Product_ID],DimProduct[Unit_Price])</f>
        <v>3870</v>
      </c>
      <c r="P236" s="6">
        <f>_xlfn.XLOOKUP(FactSales[[#This Row],[Product_ID]],DimProduct[Product_ID],DimProduct[Unit_Cost])</f>
        <v>2630</v>
      </c>
      <c r="Q236" s="6">
        <f>FactSales[[#This Row],[Unit_Price]]*FactSales[[#This Row],[Quantity_Sold]]</f>
        <v>11610</v>
      </c>
      <c r="R236" s="6">
        <f>FactSales[[#This Row],[Unit_Cost]]*FactSales[[#This Row],[Quantity_Sold]]</f>
        <v>7890</v>
      </c>
      <c r="S236" s="6">
        <f>FactSales[[#This Row],[Sales_Amount]]-FactSales[[#This Row],[Total_Cost]]</f>
        <v>3720</v>
      </c>
      <c r="T236" s="6" t="str">
        <f>_xlfn.XLOOKUP(FactSales[[#This Row],[Customer_ID]],DimCustomer[Customer_ID],DimCustomer[Customer_Name])</f>
        <v>Mahmud Sultana</v>
      </c>
      <c r="U236" s="6" t="str">
        <f>_xlfn.XLOOKUP(FactSales[[#This Row],[Salesperson_ID]],DimSalesman[Salesperson_ID],DimSalesman[Salesperson_Name])</f>
        <v>Shaila Akter</v>
      </c>
      <c r="V236" s="6" t="str">
        <f>_xlfn.XLOOKUP(FactSales[[#This Row],[Region_ID]],DimRegion[Region_ID],DimRegion[Region_Name])</f>
        <v>Barishal</v>
      </c>
      <c r="W236" s="6" t="str">
        <f>_xlfn.XLOOKUP(FactSales[[#This Row],[Store_ID]],DimStore[Store_ID],DimStore[Store_Name])</f>
        <v>Barishal Kawnia Store</v>
      </c>
    </row>
    <row r="237" spans="1:23">
      <c r="A237" s="4" t="s">
        <v>1233</v>
      </c>
      <c r="B237" s="5">
        <v>45919</v>
      </c>
      <c r="C237" s="4" t="s">
        <v>109</v>
      </c>
      <c r="D237" s="4" t="s">
        <v>27</v>
      </c>
      <c r="E237" s="4" t="s">
        <v>634</v>
      </c>
      <c r="F237" s="4" t="s">
        <v>920</v>
      </c>
      <c r="G237" s="4" t="s">
        <v>800</v>
      </c>
      <c r="H237" s="4">
        <v>1</v>
      </c>
      <c r="I237" s="7">
        <v>0.03</v>
      </c>
      <c r="J237" s="6">
        <v>1177</v>
      </c>
      <c r="K237" s="4">
        <v>1</v>
      </c>
      <c r="L237" s="8">
        <f t="shared" si="3"/>
        <v>4.8</v>
      </c>
      <c r="M237" s="6" t="str">
        <f>_xlfn.XLOOKUP(FactSales[[#This Row],[Product_ID]],DimProduct[Product_ID],DimProduct[Product_Name])</f>
        <v>Premium Rice 5kg</v>
      </c>
      <c r="N237" s="6" t="str">
        <f>_xlfn.XLOOKUP(FactSales[[#This Row],[Product_ID]],DimProduct[Product_ID],DimProduct[Category])</f>
        <v>Grocery</v>
      </c>
      <c r="O237" s="6">
        <f>_xlfn.XLOOKUP(FactSales[[#This Row],[Product_ID]],DimProduct[Product_ID],DimProduct[Unit_Price])</f>
        <v>1110</v>
      </c>
      <c r="P237" s="6">
        <f>_xlfn.XLOOKUP(FactSales[[#This Row],[Product_ID]],DimProduct[Product_ID],DimProduct[Unit_Cost])</f>
        <v>870</v>
      </c>
      <c r="Q237" s="6">
        <f>FactSales[[#This Row],[Unit_Price]]*FactSales[[#This Row],[Quantity_Sold]]</f>
        <v>1110</v>
      </c>
      <c r="R237" s="6">
        <f>FactSales[[#This Row],[Unit_Cost]]*FactSales[[#This Row],[Quantity_Sold]]</f>
        <v>870</v>
      </c>
      <c r="S237" s="6">
        <f>FactSales[[#This Row],[Sales_Amount]]-FactSales[[#This Row],[Total_Cost]]</f>
        <v>240</v>
      </c>
      <c r="T237" s="6" t="str">
        <f>_xlfn.XLOOKUP(FactSales[[#This Row],[Customer_ID]],DimCustomer[Customer_ID],DimCustomer[Customer_Name])</f>
        <v>Arif Hossain</v>
      </c>
      <c r="U237" s="6" t="str">
        <f>_xlfn.XLOOKUP(FactSales[[#This Row],[Salesperson_ID]],DimSalesman[Salesperson_ID],DimSalesman[Salesperson_Name])</f>
        <v>Rahim Hossain</v>
      </c>
      <c r="V237" s="6" t="str">
        <f>_xlfn.XLOOKUP(FactSales[[#This Row],[Region_ID]],DimRegion[Region_ID],DimRegion[Region_Name])</f>
        <v>Dhaka</v>
      </c>
      <c r="W237" s="6" t="str">
        <f>_xlfn.XLOOKUP(FactSales[[#This Row],[Store_ID]],DimStore[Store_ID],DimStore[Store_Name])</f>
        <v>Dhaka Motijheel Store</v>
      </c>
    </row>
    <row r="238" spans="1:23">
      <c r="A238" s="4" t="s">
        <v>1234</v>
      </c>
      <c r="B238" s="5">
        <v>45666</v>
      </c>
      <c r="C238" s="4" t="s">
        <v>346</v>
      </c>
      <c r="D238" s="4" t="s">
        <v>42</v>
      </c>
      <c r="E238" s="4" t="s">
        <v>680</v>
      </c>
      <c r="F238" s="4" t="s">
        <v>945</v>
      </c>
      <c r="G238" s="4" t="s">
        <v>750</v>
      </c>
      <c r="H238" s="4">
        <v>1</v>
      </c>
      <c r="I238" s="7">
        <v>0.12</v>
      </c>
      <c r="J238" s="6">
        <v>3499</v>
      </c>
      <c r="K238" s="4">
        <v>2</v>
      </c>
      <c r="L238" s="8">
        <f t="shared" si="3"/>
        <v>4.3</v>
      </c>
      <c r="M238" s="6" t="str">
        <f>_xlfn.XLOOKUP(FactSales[[#This Row],[Product_ID]],DimProduct[Product_ID],DimProduct[Product_Name])</f>
        <v>Bluetooth Speaker</v>
      </c>
      <c r="N238" s="6" t="str">
        <f>_xlfn.XLOOKUP(FactSales[[#This Row],[Product_ID]],DimProduct[Product_ID],DimProduct[Category])</f>
        <v>Electronics</v>
      </c>
      <c r="O238" s="6">
        <f>_xlfn.XLOOKUP(FactSales[[#This Row],[Product_ID]],DimProduct[Product_ID],DimProduct[Unit_Price])</f>
        <v>3240</v>
      </c>
      <c r="P238" s="6">
        <f>_xlfn.XLOOKUP(FactSales[[#This Row],[Product_ID]],DimProduct[Product_ID],DimProduct[Unit_Cost])</f>
        <v>2200</v>
      </c>
      <c r="Q238" s="6">
        <f>FactSales[[#This Row],[Unit_Price]]*FactSales[[#This Row],[Quantity_Sold]]</f>
        <v>3240</v>
      </c>
      <c r="R238" s="6">
        <f>FactSales[[#This Row],[Unit_Cost]]*FactSales[[#This Row],[Quantity_Sold]]</f>
        <v>2200</v>
      </c>
      <c r="S238" s="6">
        <f>FactSales[[#This Row],[Sales_Amount]]-FactSales[[#This Row],[Total_Cost]]</f>
        <v>1040</v>
      </c>
      <c r="T238" s="6" t="str">
        <f>_xlfn.XLOOKUP(FactSales[[#This Row],[Customer_ID]],DimCustomer[Customer_ID],DimCustomer[Customer_Name])</f>
        <v>Hasan Ahmed</v>
      </c>
      <c r="U238" s="6" t="str">
        <f>_xlfn.XLOOKUP(FactSales[[#This Row],[Salesperson_ID]],DimSalesman[Salesperson_ID],DimSalesman[Salesperson_Name])</f>
        <v>Hasan Khan</v>
      </c>
      <c r="V238" s="6" t="str">
        <f>_xlfn.XLOOKUP(FactSales[[#This Row],[Region_ID]],DimRegion[Region_ID],DimRegion[Region_Name])</f>
        <v>Rajshahi</v>
      </c>
      <c r="W238" s="6" t="str">
        <f>_xlfn.XLOOKUP(FactSales[[#This Row],[Store_ID]],DimStore[Store_ID],DimStore[Store_Name])</f>
        <v>Rajshahi Lakshmipur Store</v>
      </c>
    </row>
    <row r="239" spans="1:23">
      <c r="A239" s="4" t="s">
        <v>1235</v>
      </c>
      <c r="B239" s="5">
        <v>46053</v>
      </c>
      <c r="C239" s="4" t="s">
        <v>431</v>
      </c>
      <c r="D239" s="4" t="s">
        <v>52</v>
      </c>
      <c r="E239" s="4" t="s">
        <v>698</v>
      </c>
      <c r="F239" s="4" t="s">
        <v>963</v>
      </c>
      <c r="G239" s="4" t="s">
        <v>878</v>
      </c>
      <c r="H239" s="4">
        <v>1</v>
      </c>
      <c r="I239" s="7">
        <v>0.1</v>
      </c>
      <c r="J239" s="6">
        <v>941</v>
      </c>
      <c r="K239" s="4">
        <v>2</v>
      </c>
      <c r="L239" s="8">
        <f t="shared" si="3"/>
        <v>4.3</v>
      </c>
      <c r="M239" s="6" t="str">
        <f>_xlfn.XLOOKUP(FactSales[[#This Row],[Product_ID]],DimProduct[Product_ID],DimProduct[Product_Name])</f>
        <v>Building Blocks</v>
      </c>
      <c r="N239" s="6" t="str">
        <f>_xlfn.XLOOKUP(FactSales[[#This Row],[Product_ID]],DimProduct[Product_ID],DimProduct[Category])</f>
        <v>Kids &amp; Toys</v>
      </c>
      <c r="O239" s="6">
        <f>_xlfn.XLOOKUP(FactSales[[#This Row],[Product_ID]],DimProduct[Product_ID],DimProduct[Unit_Price])</f>
        <v>840</v>
      </c>
      <c r="P239" s="6">
        <f>_xlfn.XLOOKUP(FactSales[[#This Row],[Product_ID]],DimProduct[Product_ID],DimProduct[Unit_Cost])</f>
        <v>460</v>
      </c>
      <c r="Q239" s="6">
        <f>FactSales[[#This Row],[Unit_Price]]*FactSales[[#This Row],[Quantity_Sold]]</f>
        <v>840</v>
      </c>
      <c r="R239" s="6">
        <f>FactSales[[#This Row],[Unit_Cost]]*FactSales[[#This Row],[Quantity_Sold]]</f>
        <v>460</v>
      </c>
      <c r="S239" s="6">
        <f>FactSales[[#This Row],[Sales_Amount]]-FactSales[[#This Row],[Total_Cost]]</f>
        <v>380</v>
      </c>
      <c r="T239" s="6" t="str">
        <f>_xlfn.XLOOKUP(FactSales[[#This Row],[Customer_ID]],DimCustomer[Customer_ID],DimCustomer[Customer_Name])</f>
        <v>Rasel Uddin</v>
      </c>
      <c r="U239" s="6" t="str">
        <f>_xlfn.XLOOKUP(FactSales[[#This Row],[Salesperson_ID]],DimSalesman[Salesperson_ID],DimSalesman[Salesperson_Name])</f>
        <v>Rasel Uddin</v>
      </c>
      <c r="V239" s="6" t="str">
        <f>_xlfn.XLOOKUP(FactSales[[#This Row],[Region_ID]],DimRegion[Region_ID],DimRegion[Region_Name])</f>
        <v>Barishal</v>
      </c>
      <c r="W239" s="6" t="str">
        <f>_xlfn.XLOOKUP(FactSales[[#This Row],[Store_ID]],DimStore[Store_ID],DimStore[Store_Name])</f>
        <v>Barishal Nathullabad Store</v>
      </c>
    </row>
    <row r="240" spans="1:23">
      <c r="A240" s="4" t="s">
        <v>1236</v>
      </c>
      <c r="B240" s="5">
        <v>45848</v>
      </c>
      <c r="C240" s="4" t="s">
        <v>177</v>
      </c>
      <c r="D240" s="4" t="s">
        <v>32</v>
      </c>
      <c r="E240" s="4" t="s">
        <v>647</v>
      </c>
      <c r="F240" s="4" t="s">
        <v>929</v>
      </c>
      <c r="G240" s="4" t="s">
        <v>804</v>
      </c>
      <c r="H240" s="4">
        <v>1</v>
      </c>
      <c r="I240" s="7">
        <v>0.05</v>
      </c>
      <c r="J240" s="6">
        <v>422</v>
      </c>
      <c r="K240" s="4">
        <v>2</v>
      </c>
      <c r="L240" s="8">
        <f t="shared" si="3"/>
        <v>4.5</v>
      </c>
      <c r="M240" s="6" t="str">
        <f>_xlfn.XLOOKUP(FactSales[[#This Row],[Product_ID]],DimProduct[Product_ID],DimProduct[Product_Name])</f>
        <v>Soybean Oil 5L</v>
      </c>
      <c r="N240" s="6" t="str">
        <f>_xlfn.XLOOKUP(FactSales[[#This Row],[Product_ID]],DimProduct[Product_ID],DimProduct[Category])</f>
        <v>Grocery</v>
      </c>
      <c r="O240" s="6">
        <f>_xlfn.XLOOKUP(FactSales[[#This Row],[Product_ID]],DimProduct[Product_ID],DimProduct[Unit_Price])</f>
        <v>370</v>
      </c>
      <c r="P240" s="6">
        <f>_xlfn.XLOOKUP(FactSales[[#This Row],[Product_ID]],DimProduct[Product_ID],DimProduct[Unit_Cost])</f>
        <v>290</v>
      </c>
      <c r="Q240" s="6">
        <f>FactSales[[#This Row],[Unit_Price]]*FactSales[[#This Row],[Quantity_Sold]]</f>
        <v>370</v>
      </c>
      <c r="R240" s="6">
        <f>FactSales[[#This Row],[Unit_Cost]]*FactSales[[#This Row],[Quantity_Sold]]</f>
        <v>290</v>
      </c>
      <c r="S240" s="6">
        <f>FactSales[[#This Row],[Sales_Amount]]-FactSales[[#This Row],[Total_Cost]]</f>
        <v>80</v>
      </c>
      <c r="T240" s="6" t="str">
        <f>_xlfn.XLOOKUP(FactSales[[#This Row],[Customer_ID]],DimCustomer[Customer_ID],DimCustomer[Customer_Name])</f>
        <v>Rasel Uddin</v>
      </c>
      <c r="U240" s="6" t="str">
        <f>_xlfn.XLOOKUP(FactSales[[#This Row],[Salesperson_ID]],DimSalesman[Salesperson_ID],DimSalesman[Salesperson_Name])</f>
        <v>Nabila Mia</v>
      </c>
      <c r="V240" s="6" t="str">
        <f>_xlfn.XLOOKUP(FactSales[[#This Row],[Region_ID]],DimRegion[Region_ID],DimRegion[Region_Name])</f>
        <v>Chattogram</v>
      </c>
      <c r="W240" s="6" t="str">
        <f>_xlfn.XLOOKUP(FactSales[[#This Row],[Store_ID]],DimStore[Store_ID],DimStore[Store_Name])</f>
        <v>Chattogram Nasirabad Store</v>
      </c>
    </row>
    <row r="241" spans="1:23">
      <c r="A241" s="4" t="s">
        <v>1237</v>
      </c>
      <c r="B241" s="5">
        <v>46060</v>
      </c>
      <c r="C241" s="4" t="s">
        <v>95</v>
      </c>
      <c r="D241" s="4" t="s">
        <v>27</v>
      </c>
      <c r="E241" s="4" t="s">
        <v>634</v>
      </c>
      <c r="F241" s="4" t="s">
        <v>916</v>
      </c>
      <c r="G241" s="4" t="s">
        <v>775</v>
      </c>
      <c r="H241" s="4">
        <v>4</v>
      </c>
      <c r="I241" s="7">
        <v>0.08</v>
      </c>
      <c r="J241" s="6">
        <v>10303</v>
      </c>
      <c r="K241" s="4">
        <v>3</v>
      </c>
      <c r="L241" s="8">
        <f t="shared" si="3"/>
        <v>4.0999999999999996</v>
      </c>
      <c r="M241" s="6" t="str">
        <f>_xlfn.XLOOKUP(FactSales[[#This Row],[Product_ID]],DimProduct[Product_ID],DimProduct[Product_Name])</f>
        <v>Blender Machine</v>
      </c>
      <c r="N241" s="6" t="str">
        <f>_xlfn.XLOOKUP(FactSales[[#This Row],[Product_ID]],DimProduct[Product_ID],DimProduct[Category])</f>
        <v>Home Appliance</v>
      </c>
      <c r="O241" s="6">
        <f>_xlfn.XLOOKUP(FactSales[[#This Row],[Product_ID]],DimProduct[Product_ID],DimProduct[Unit_Price])</f>
        <v>2430</v>
      </c>
      <c r="P241" s="6">
        <f>_xlfn.XLOOKUP(FactSales[[#This Row],[Product_ID]],DimProduct[Product_ID],DimProduct[Unit_Cost])</f>
        <v>1700</v>
      </c>
      <c r="Q241" s="6">
        <f>FactSales[[#This Row],[Unit_Price]]*FactSales[[#This Row],[Quantity_Sold]]</f>
        <v>9720</v>
      </c>
      <c r="R241" s="6">
        <f>FactSales[[#This Row],[Unit_Cost]]*FactSales[[#This Row],[Quantity_Sold]]</f>
        <v>6800</v>
      </c>
      <c r="S241" s="6">
        <f>FactSales[[#This Row],[Sales_Amount]]-FactSales[[#This Row],[Total_Cost]]</f>
        <v>2920</v>
      </c>
      <c r="T241" s="6" t="str">
        <f>_xlfn.XLOOKUP(FactSales[[#This Row],[Customer_ID]],DimCustomer[Customer_ID],DimCustomer[Customer_Name])</f>
        <v>Karim Islam</v>
      </c>
      <c r="U241" s="6" t="str">
        <f>_xlfn.XLOOKUP(FactSales[[#This Row],[Salesperson_ID]],DimSalesman[Salesperson_ID],DimSalesman[Salesperson_Name])</f>
        <v>Rafi Islam</v>
      </c>
      <c r="V241" s="6" t="str">
        <f>_xlfn.XLOOKUP(FactSales[[#This Row],[Region_ID]],DimRegion[Region_ID],DimRegion[Region_Name])</f>
        <v>Dhaka</v>
      </c>
      <c r="W241" s="6" t="str">
        <f>_xlfn.XLOOKUP(FactSales[[#This Row],[Store_ID]],DimStore[Store_ID],DimStore[Store_Name])</f>
        <v>Dhaka Motijheel Store</v>
      </c>
    </row>
    <row r="242" spans="1:23">
      <c r="A242" s="4" t="s">
        <v>1238</v>
      </c>
      <c r="B242" s="5">
        <v>45899</v>
      </c>
      <c r="C242" s="4" t="s">
        <v>477</v>
      </c>
      <c r="D242" s="4" t="s">
        <v>52</v>
      </c>
      <c r="E242" s="4" t="s">
        <v>704</v>
      </c>
      <c r="F242" s="4" t="s">
        <v>963</v>
      </c>
      <c r="G242" s="4" t="s">
        <v>828</v>
      </c>
      <c r="H242" s="4">
        <v>10</v>
      </c>
      <c r="I242" s="7">
        <v>0.12</v>
      </c>
      <c r="J242" s="6">
        <v>15792</v>
      </c>
      <c r="K242" s="4">
        <v>5</v>
      </c>
      <c r="L242" s="8">
        <f t="shared" si="3"/>
        <v>3.3</v>
      </c>
      <c r="M242" s="6" t="str">
        <f>_xlfn.XLOOKUP(FactSales[[#This Row],[Product_ID]],DimProduct[Product_ID],DimProduct[Product_Name])</f>
        <v>Toothpaste Twin Pack</v>
      </c>
      <c r="N242" s="6" t="str">
        <f>_xlfn.XLOOKUP(FactSales[[#This Row],[Product_ID]],DimProduct[Product_ID],DimProduct[Category])</f>
        <v>Beauty &amp; Personal Care</v>
      </c>
      <c r="O242" s="6">
        <f>_xlfn.XLOOKUP(FactSales[[#This Row],[Product_ID]],DimProduct[Product_ID],DimProduct[Unit_Price])</f>
        <v>1410</v>
      </c>
      <c r="P242" s="6">
        <f>_xlfn.XLOOKUP(FactSales[[#This Row],[Product_ID]],DimProduct[Product_ID],DimProduct[Unit_Cost])</f>
        <v>820</v>
      </c>
      <c r="Q242" s="6">
        <f>FactSales[[#This Row],[Unit_Price]]*FactSales[[#This Row],[Quantity_Sold]]</f>
        <v>14100</v>
      </c>
      <c r="R242" s="6">
        <f>FactSales[[#This Row],[Unit_Cost]]*FactSales[[#This Row],[Quantity_Sold]]</f>
        <v>8200</v>
      </c>
      <c r="S242" s="6">
        <f>FactSales[[#This Row],[Sales_Amount]]-FactSales[[#This Row],[Total_Cost]]</f>
        <v>5900</v>
      </c>
      <c r="T242" s="6" t="str">
        <f>_xlfn.XLOOKUP(FactSales[[#This Row],[Customer_ID]],DimCustomer[Customer_ID],DimCustomer[Customer_Name])</f>
        <v>Jannat Hossain</v>
      </c>
      <c r="U242" s="6" t="str">
        <f>_xlfn.XLOOKUP(FactSales[[#This Row],[Salesperson_ID]],DimSalesman[Salesperson_ID],DimSalesman[Salesperson_Name])</f>
        <v>Rasel Uddin</v>
      </c>
      <c r="V242" s="6" t="str">
        <f>_xlfn.XLOOKUP(FactSales[[#This Row],[Region_ID]],DimRegion[Region_ID],DimRegion[Region_Name])</f>
        <v>Barishal</v>
      </c>
      <c r="W242" s="6" t="str">
        <f>_xlfn.XLOOKUP(FactSales[[#This Row],[Store_ID]],DimStore[Store_ID],DimStore[Store_Name])</f>
        <v>Barishal Rupatali Store</v>
      </c>
    </row>
    <row r="243" spans="1:23">
      <c r="A243" s="4" t="s">
        <v>1239</v>
      </c>
      <c r="B243" s="5">
        <v>45888</v>
      </c>
      <c r="C243" s="4" t="s">
        <v>390</v>
      </c>
      <c r="D243" s="4" t="s">
        <v>47</v>
      </c>
      <c r="E243" s="4" t="s">
        <v>683</v>
      </c>
      <c r="F243" s="4" t="s">
        <v>956</v>
      </c>
      <c r="G243" s="4" t="s">
        <v>897</v>
      </c>
      <c r="H243" s="4">
        <v>1</v>
      </c>
      <c r="I243" s="7">
        <v>0.1</v>
      </c>
      <c r="J243" s="6">
        <v>12731</v>
      </c>
      <c r="K243" s="4">
        <v>6</v>
      </c>
      <c r="L243" s="8">
        <f t="shared" si="3"/>
        <v>3.1</v>
      </c>
      <c r="M243" s="6" t="str">
        <f>_xlfn.XLOOKUP(FactSales[[#This Row],[Product_ID]],DimProduct[Product_ID],DimProduct[Product_Name])</f>
        <v>Study Table</v>
      </c>
      <c r="N243" s="6" t="str">
        <f>_xlfn.XLOOKUP(FactSales[[#This Row],[Product_ID]],DimProduct[Product_ID],DimProduct[Category])</f>
        <v>Furniture</v>
      </c>
      <c r="O243" s="6">
        <f>_xlfn.XLOOKUP(FactSales[[#This Row],[Product_ID]],DimProduct[Product_ID],DimProduct[Unit_Price])</f>
        <v>11680</v>
      </c>
      <c r="P243" s="6">
        <f>_xlfn.XLOOKUP(FactSales[[#This Row],[Product_ID]],DimProduct[Product_ID],DimProduct[Unit_Cost])</f>
        <v>8410</v>
      </c>
      <c r="Q243" s="6">
        <f>FactSales[[#This Row],[Unit_Price]]*FactSales[[#This Row],[Quantity_Sold]]</f>
        <v>11680</v>
      </c>
      <c r="R243" s="6">
        <f>FactSales[[#This Row],[Unit_Cost]]*FactSales[[#This Row],[Quantity_Sold]]</f>
        <v>8410</v>
      </c>
      <c r="S243" s="6">
        <f>FactSales[[#This Row],[Sales_Amount]]-FactSales[[#This Row],[Total_Cost]]</f>
        <v>3270</v>
      </c>
      <c r="T243" s="6" t="str">
        <f>_xlfn.XLOOKUP(FactSales[[#This Row],[Customer_ID]],DimCustomer[Customer_ID],DimCustomer[Customer_Name])</f>
        <v>Fahim Khan</v>
      </c>
      <c r="U243" s="6" t="str">
        <f>_xlfn.XLOOKUP(FactSales[[#This Row],[Salesperson_ID]],DimSalesman[Salesperson_ID],DimSalesman[Salesperson_Name])</f>
        <v>Rafi Ahmed</v>
      </c>
      <c r="V243" s="6" t="str">
        <f>_xlfn.XLOOKUP(FactSales[[#This Row],[Region_ID]],DimRegion[Region_ID],DimRegion[Region_Name])</f>
        <v>Khulna</v>
      </c>
      <c r="W243" s="6" t="str">
        <f>_xlfn.XLOOKUP(FactSales[[#This Row],[Store_ID]],DimStore[Store_ID],DimStore[Store_Name])</f>
        <v>Khulna Sonadanga Store</v>
      </c>
    </row>
    <row r="244" spans="1:23">
      <c r="A244" s="4" t="s">
        <v>1240</v>
      </c>
      <c r="B244" s="5">
        <v>45890</v>
      </c>
      <c r="C244" s="4" t="s">
        <v>222</v>
      </c>
      <c r="D244" s="4" t="s">
        <v>37</v>
      </c>
      <c r="E244" s="4" t="s">
        <v>662</v>
      </c>
      <c r="F244" s="4" t="s">
        <v>939</v>
      </c>
      <c r="G244" s="4" t="s">
        <v>900</v>
      </c>
      <c r="H244" s="4">
        <v>2</v>
      </c>
      <c r="I244" s="7">
        <v>0.12</v>
      </c>
      <c r="J244" s="6">
        <v>11385</v>
      </c>
      <c r="K244" s="4">
        <v>8</v>
      </c>
      <c r="L244" s="8">
        <f t="shared" si="3"/>
        <v>2.4</v>
      </c>
      <c r="M244" s="6" t="str">
        <f>_xlfn.XLOOKUP(FactSales[[#This Row],[Product_ID]],DimProduct[Product_ID],DimProduct[Product_Name])</f>
        <v>Shoe Rack</v>
      </c>
      <c r="N244" s="6" t="str">
        <f>_xlfn.XLOOKUP(FactSales[[#This Row],[Product_ID]],DimProduct[Product_ID],DimProduct[Category])</f>
        <v>Furniture</v>
      </c>
      <c r="O244" s="6">
        <f>_xlfn.XLOOKUP(FactSales[[#This Row],[Product_ID]],DimProduct[Product_ID],DimProduct[Unit_Price])</f>
        <v>5320</v>
      </c>
      <c r="P244" s="6">
        <f>_xlfn.XLOOKUP(FactSales[[#This Row],[Product_ID]],DimProduct[Product_ID],DimProduct[Unit_Cost])</f>
        <v>3830</v>
      </c>
      <c r="Q244" s="6">
        <f>FactSales[[#This Row],[Unit_Price]]*FactSales[[#This Row],[Quantity_Sold]]</f>
        <v>10640</v>
      </c>
      <c r="R244" s="6">
        <f>FactSales[[#This Row],[Unit_Cost]]*FactSales[[#This Row],[Quantity_Sold]]</f>
        <v>7660</v>
      </c>
      <c r="S244" s="6">
        <f>FactSales[[#This Row],[Sales_Amount]]-FactSales[[#This Row],[Total_Cost]]</f>
        <v>2980</v>
      </c>
      <c r="T244" s="6" t="str">
        <f>_xlfn.XLOOKUP(FactSales[[#This Row],[Customer_ID]],DimCustomer[Customer_ID],DimCustomer[Customer_Name])</f>
        <v>Farhana Khan</v>
      </c>
      <c r="U244" s="6" t="str">
        <f>_xlfn.XLOOKUP(FactSales[[#This Row],[Salesperson_ID]],DimSalesman[Salesperson_ID],DimSalesman[Salesperson_Name])</f>
        <v>Fahim Mia</v>
      </c>
      <c r="V244" s="6" t="str">
        <f>_xlfn.XLOOKUP(FactSales[[#This Row],[Region_ID]],DimRegion[Region_ID],DimRegion[Region_Name])</f>
        <v>Sylhet</v>
      </c>
      <c r="W244" s="6" t="str">
        <f>_xlfn.XLOOKUP(FactSales[[#This Row],[Store_ID]],DimStore[Store_ID],DimStore[Store_Name])</f>
        <v>Sylhet Subidbazar Store</v>
      </c>
    </row>
    <row r="245" spans="1:23">
      <c r="A245" s="4" t="s">
        <v>1241</v>
      </c>
      <c r="B245" s="5">
        <v>45799</v>
      </c>
      <c r="C245" s="4" t="s">
        <v>460</v>
      </c>
      <c r="D245" s="4" t="s">
        <v>52</v>
      </c>
      <c r="E245" s="4" t="s">
        <v>710</v>
      </c>
      <c r="F245" s="4" t="s">
        <v>961</v>
      </c>
      <c r="G245" s="4" t="s">
        <v>762</v>
      </c>
      <c r="H245" s="4">
        <v>3</v>
      </c>
      <c r="I245" s="7">
        <v>0.1</v>
      </c>
      <c r="J245" s="6">
        <v>13003</v>
      </c>
      <c r="K245" s="4">
        <v>9</v>
      </c>
      <c r="L245" s="8">
        <f t="shared" si="3"/>
        <v>2.1</v>
      </c>
      <c r="M245" s="6" t="str">
        <f>_xlfn.XLOOKUP(FactSales[[#This Row],[Product_ID]],DimProduct[Product_ID],DimProduct[Product_Name])</f>
        <v>Smart Watch</v>
      </c>
      <c r="N245" s="6" t="str">
        <f>_xlfn.XLOOKUP(FactSales[[#This Row],[Product_ID]],DimProduct[Product_ID],DimProduct[Category])</f>
        <v>Electronics</v>
      </c>
      <c r="O245" s="6">
        <f>_xlfn.XLOOKUP(FactSales[[#This Row],[Product_ID]],DimProduct[Product_ID],DimProduct[Unit_Price])</f>
        <v>3870</v>
      </c>
      <c r="P245" s="6">
        <f>_xlfn.XLOOKUP(FactSales[[#This Row],[Product_ID]],DimProduct[Product_ID],DimProduct[Unit_Cost])</f>
        <v>2630</v>
      </c>
      <c r="Q245" s="6">
        <f>FactSales[[#This Row],[Unit_Price]]*FactSales[[#This Row],[Quantity_Sold]]</f>
        <v>11610</v>
      </c>
      <c r="R245" s="6">
        <f>FactSales[[#This Row],[Unit_Cost]]*FactSales[[#This Row],[Quantity_Sold]]</f>
        <v>7890</v>
      </c>
      <c r="S245" s="6">
        <f>FactSales[[#This Row],[Sales_Amount]]-FactSales[[#This Row],[Total_Cost]]</f>
        <v>3720</v>
      </c>
      <c r="T245" s="6" t="str">
        <f>_xlfn.XLOOKUP(FactSales[[#This Row],[Customer_ID]],DimCustomer[Customer_ID],DimCustomer[Customer_Name])</f>
        <v>Ayesha Ahmed</v>
      </c>
      <c r="U245" s="6" t="str">
        <f>_xlfn.XLOOKUP(FactSales[[#This Row],[Salesperson_ID]],DimSalesman[Salesperson_ID],DimSalesman[Salesperson_Name])</f>
        <v>Shaila Akter</v>
      </c>
      <c r="V245" s="6" t="str">
        <f>_xlfn.XLOOKUP(FactSales[[#This Row],[Region_ID]],DimRegion[Region_ID],DimRegion[Region_Name])</f>
        <v>Barishal</v>
      </c>
      <c r="W245" s="6" t="str">
        <f>_xlfn.XLOOKUP(FactSales[[#This Row],[Store_ID]],DimStore[Store_ID],DimStore[Store_Name])</f>
        <v>Barishal Kawnia Store</v>
      </c>
    </row>
    <row r="246" spans="1:23">
      <c r="A246" s="4" t="s">
        <v>1242</v>
      </c>
      <c r="B246" s="5">
        <v>45806</v>
      </c>
      <c r="C246" s="4" t="s">
        <v>243</v>
      </c>
      <c r="D246" s="4" t="s">
        <v>37</v>
      </c>
      <c r="E246" s="4" t="s">
        <v>665</v>
      </c>
      <c r="F246" s="4" t="s">
        <v>934</v>
      </c>
      <c r="G246" s="4" t="s">
        <v>784</v>
      </c>
      <c r="H246" s="4">
        <v>3</v>
      </c>
      <c r="I246" s="7">
        <v>0.12</v>
      </c>
      <c r="J246" s="6">
        <v>6003</v>
      </c>
      <c r="K246" s="4">
        <v>4</v>
      </c>
      <c r="L246" s="8">
        <f t="shared" si="3"/>
        <v>3.7</v>
      </c>
      <c r="M246" s="6" t="str">
        <f>_xlfn.XLOOKUP(FactSales[[#This Row],[Product_ID]],DimProduct[Product_ID],DimProduct[Product_Name])</f>
        <v>Cotton T-Shirt</v>
      </c>
      <c r="N246" s="6" t="str">
        <f>_xlfn.XLOOKUP(FactSales[[#This Row],[Product_ID]],DimProduct[Product_ID],DimProduct[Category])</f>
        <v>Fashion</v>
      </c>
      <c r="O246" s="6">
        <f>_xlfn.XLOOKUP(FactSales[[#This Row],[Product_ID]],DimProduct[Product_ID],DimProduct[Unit_Price])</f>
        <v>1870</v>
      </c>
      <c r="P246" s="6">
        <f>_xlfn.XLOOKUP(FactSales[[#This Row],[Product_ID]],DimProduct[Product_ID],DimProduct[Unit_Cost])</f>
        <v>1030</v>
      </c>
      <c r="Q246" s="6">
        <f>FactSales[[#This Row],[Unit_Price]]*FactSales[[#This Row],[Quantity_Sold]]</f>
        <v>5610</v>
      </c>
      <c r="R246" s="6">
        <f>FactSales[[#This Row],[Unit_Cost]]*FactSales[[#This Row],[Quantity_Sold]]</f>
        <v>3090</v>
      </c>
      <c r="S246" s="6">
        <f>FactSales[[#This Row],[Sales_Amount]]-FactSales[[#This Row],[Total_Cost]]</f>
        <v>2520</v>
      </c>
      <c r="T246" s="6" t="str">
        <f>_xlfn.XLOOKUP(FactSales[[#This Row],[Customer_ID]],DimCustomer[Customer_ID],DimCustomer[Customer_Name])</f>
        <v>Rahim Akter</v>
      </c>
      <c r="U246" s="6" t="str">
        <f>_xlfn.XLOOKUP(FactSales[[#This Row],[Salesperson_ID]],DimSalesman[Salesperson_ID],DimSalesman[Salesperson_Name])</f>
        <v>Hasan Mia</v>
      </c>
      <c r="V246" s="6" t="str">
        <f>_xlfn.XLOOKUP(FactSales[[#This Row],[Region_ID]],DimRegion[Region_ID],DimRegion[Region_Name])</f>
        <v>Sylhet</v>
      </c>
      <c r="W246" s="6" t="str">
        <f>_xlfn.XLOOKUP(FactSales[[#This Row],[Store_ID]],DimStore[Store_ID],DimStore[Store_Name])</f>
        <v>Sylhet Upashahar Store</v>
      </c>
    </row>
    <row r="247" spans="1:23">
      <c r="A247" s="4" t="s">
        <v>1243</v>
      </c>
      <c r="B247" s="5">
        <v>45984</v>
      </c>
      <c r="C247" s="4" t="s">
        <v>162</v>
      </c>
      <c r="D247" s="4" t="s">
        <v>32</v>
      </c>
      <c r="E247" s="4" t="s">
        <v>644</v>
      </c>
      <c r="F247" s="4" t="s">
        <v>924</v>
      </c>
      <c r="G247" s="4" t="s">
        <v>850</v>
      </c>
      <c r="H247" s="4">
        <v>6</v>
      </c>
      <c r="I247" s="7">
        <v>0.1</v>
      </c>
      <c r="J247" s="6">
        <v>18058</v>
      </c>
      <c r="K247" s="4">
        <v>4</v>
      </c>
      <c r="L247" s="8">
        <f t="shared" si="3"/>
        <v>3.7</v>
      </c>
      <c r="M247" s="6" t="str">
        <f>_xlfn.XLOOKUP(FactSales[[#This Row],[Product_ID]],DimProduct[Product_ID],DimProduct[Product_Name])</f>
        <v>Cricket Bat</v>
      </c>
      <c r="N247" s="6" t="str">
        <f>_xlfn.XLOOKUP(FactSales[[#This Row],[Product_ID]],DimProduct[Product_ID],DimProduct[Category])</f>
        <v>Sports</v>
      </c>
      <c r="O247" s="6">
        <f>_xlfn.XLOOKUP(FactSales[[#This Row],[Product_ID]],DimProduct[Product_ID],DimProduct[Unit_Price])</f>
        <v>2640</v>
      </c>
      <c r="P247" s="6">
        <f>_xlfn.XLOOKUP(FactSales[[#This Row],[Product_ID]],DimProduct[Product_ID],DimProduct[Unit_Cost])</f>
        <v>1640</v>
      </c>
      <c r="Q247" s="6">
        <f>FactSales[[#This Row],[Unit_Price]]*FactSales[[#This Row],[Quantity_Sold]]</f>
        <v>15840</v>
      </c>
      <c r="R247" s="6">
        <f>FactSales[[#This Row],[Unit_Cost]]*FactSales[[#This Row],[Quantity_Sold]]</f>
        <v>9840</v>
      </c>
      <c r="S247" s="6">
        <f>FactSales[[#This Row],[Sales_Amount]]-FactSales[[#This Row],[Total_Cost]]</f>
        <v>6000</v>
      </c>
      <c r="T247" s="6" t="str">
        <f>_xlfn.XLOOKUP(FactSales[[#This Row],[Customer_ID]],DimCustomer[Customer_ID],DimCustomer[Customer_Name])</f>
        <v>Karim Rahman</v>
      </c>
      <c r="U247" s="6" t="str">
        <f>_xlfn.XLOOKUP(FactSales[[#This Row],[Salesperson_ID]],DimSalesman[Salesperson_ID],DimSalesman[Salesperson_Name])</f>
        <v>Rumana Khan</v>
      </c>
      <c r="V247" s="6" t="str">
        <f>_xlfn.XLOOKUP(FactSales[[#This Row],[Region_ID]],DimRegion[Region_ID],DimRegion[Region_Name])</f>
        <v>Chattogram</v>
      </c>
      <c r="W247" s="6" t="str">
        <f>_xlfn.XLOOKUP(FactSales[[#This Row],[Store_ID]],DimStore[Store_ID],DimStore[Store_Name])</f>
        <v>Chattogram Panchlaish Store</v>
      </c>
    </row>
    <row r="248" spans="1:23">
      <c r="A248" s="4" t="s">
        <v>1244</v>
      </c>
      <c r="B248" s="5">
        <v>45938</v>
      </c>
      <c r="C248" s="4" t="s">
        <v>510</v>
      </c>
      <c r="D248" s="4" t="s">
        <v>57</v>
      </c>
      <c r="E248" s="4" t="s">
        <v>722</v>
      </c>
      <c r="F248" s="4" t="s">
        <v>977</v>
      </c>
      <c r="G248" s="4" t="s">
        <v>893</v>
      </c>
      <c r="H248" s="4">
        <v>1</v>
      </c>
      <c r="I248" s="7">
        <v>0.05</v>
      </c>
      <c r="J248" s="6">
        <v>5037</v>
      </c>
      <c r="K248" s="4">
        <v>9</v>
      </c>
      <c r="L248" s="8">
        <f t="shared" si="3"/>
        <v>2.2000000000000002</v>
      </c>
      <c r="M248" s="6" t="str">
        <f>_xlfn.XLOOKUP(FactSales[[#This Row],[Product_ID]],DimProduct[Product_ID],DimProduct[Product_Name])</f>
        <v>Office Chair</v>
      </c>
      <c r="N248" s="6" t="str">
        <f>_xlfn.XLOOKUP(FactSales[[#This Row],[Product_ID]],DimProduct[Product_ID],DimProduct[Category])</f>
        <v>Furniture</v>
      </c>
      <c r="O248" s="6">
        <f>_xlfn.XLOOKUP(FactSales[[#This Row],[Product_ID]],DimProduct[Product_ID],DimProduct[Unit_Price])</f>
        <v>4380</v>
      </c>
      <c r="P248" s="6">
        <f>_xlfn.XLOOKUP(FactSales[[#This Row],[Product_ID]],DimProduct[Product_ID],DimProduct[Unit_Cost])</f>
        <v>3150</v>
      </c>
      <c r="Q248" s="6">
        <f>FactSales[[#This Row],[Unit_Price]]*FactSales[[#This Row],[Quantity_Sold]]</f>
        <v>4380</v>
      </c>
      <c r="R248" s="6">
        <f>FactSales[[#This Row],[Unit_Cost]]*FactSales[[#This Row],[Quantity_Sold]]</f>
        <v>3150</v>
      </c>
      <c r="S248" s="6">
        <f>FactSales[[#This Row],[Sales_Amount]]-FactSales[[#This Row],[Total_Cost]]</f>
        <v>1230</v>
      </c>
      <c r="T248" s="6" t="str">
        <f>_xlfn.XLOOKUP(FactSales[[#This Row],[Customer_ID]],DimCustomer[Customer_ID],DimCustomer[Customer_Name])</f>
        <v>Farhana Hossain</v>
      </c>
      <c r="U248" s="6" t="str">
        <f>_xlfn.XLOOKUP(FactSales[[#This Row],[Salesperson_ID]],DimSalesman[Salesperson_ID],DimSalesman[Salesperson_Name])</f>
        <v>Tania Hossain</v>
      </c>
      <c r="V248" s="6" t="str">
        <f>_xlfn.XLOOKUP(FactSales[[#This Row],[Region_ID]],DimRegion[Region_ID],DimRegion[Region_Name])</f>
        <v>Rangpur</v>
      </c>
      <c r="W248" s="6" t="str">
        <f>_xlfn.XLOOKUP(FactSales[[#This Row],[Store_ID]],DimStore[Store_ID],DimStore[Store_Name])</f>
        <v>Rangpur Dhap Store</v>
      </c>
    </row>
    <row r="249" spans="1:23">
      <c r="A249" s="4" t="s">
        <v>1245</v>
      </c>
      <c r="B249" s="5">
        <v>45895</v>
      </c>
      <c r="C249" s="4" t="s">
        <v>409</v>
      </c>
      <c r="D249" s="4" t="s">
        <v>47</v>
      </c>
      <c r="E249" s="4" t="s">
        <v>695</v>
      </c>
      <c r="F249" s="4" t="s">
        <v>956</v>
      </c>
      <c r="G249" s="4" t="s">
        <v>765</v>
      </c>
      <c r="H249" s="4">
        <v>1</v>
      </c>
      <c r="I249" s="7">
        <v>0.08</v>
      </c>
      <c r="J249" s="6">
        <v>5330</v>
      </c>
      <c r="K249" s="4">
        <v>4</v>
      </c>
      <c r="L249" s="8">
        <f t="shared" si="3"/>
        <v>3.7</v>
      </c>
      <c r="M249" s="6" t="str">
        <f>_xlfn.XLOOKUP(FactSales[[#This Row],[Product_ID]],DimProduct[Product_ID],DimProduct[Product_Name])</f>
        <v>USB-C Hub</v>
      </c>
      <c r="N249" s="6" t="str">
        <f>_xlfn.XLOOKUP(FactSales[[#This Row],[Product_ID]],DimProduct[Product_ID],DimProduct[Category])</f>
        <v>Electronics</v>
      </c>
      <c r="O249" s="6">
        <f>_xlfn.XLOOKUP(FactSales[[#This Row],[Product_ID]],DimProduct[Product_ID],DimProduct[Unit_Price])</f>
        <v>4890</v>
      </c>
      <c r="P249" s="6">
        <f>_xlfn.XLOOKUP(FactSales[[#This Row],[Product_ID]],DimProduct[Product_ID],DimProduct[Unit_Cost])</f>
        <v>3330</v>
      </c>
      <c r="Q249" s="6">
        <f>FactSales[[#This Row],[Unit_Price]]*FactSales[[#This Row],[Quantity_Sold]]</f>
        <v>4890</v>
      </c>
      <c r="R249" s="6">
        <f>FactSales[[#This Row],[Unit_Cost]]*FactSales[[#This Row],[Quantity_Sold]]</f>
        <v>3330</v>
      </c>
      <c r="S249" s="6">
        <f>FactSales[[#This Row],[Sales_Amount]]-FactSales[[#This Row],[Total_Cost]]</f>
        <v>1560</v>
      </c>
      <c r="T249" s="6" t="str">
        <f>_xlfn.XLOOKUP(FactSales[[#This Row],[Customer_ID]],DimCustomer[Customer_ID],DimCustomer[Customer_Name])</f>
        <v>Mim Chowdhury</v>
      </c>
      <c r="U249" s="6" t="str">
        <f>_xlfn.XLOOKUP(FactSales[[#This Row],[Salesperson_ID]],DimSalesman[Salesperson_ID],DimSalesman[Salesperson_Name])</f>
        <v>Rafi Ahmed</v>
      </c>
      <c r="V249" s="6" t="str">
        <f>_xlfn.XLOOKUP(FactSales[[#This Row],[Region_ID]],DimRegion[Region_ID],DimRegion[Region_Name])</f>
        <v>Khulna</v>
      </c>
      <c r="W249" s="6" t="str">
        <f>_xlfn.XLOOKUP(FactSales[[#This Row],[Store_ID]],DimStore[Store_ID],DimStore[Store_Name])</f>
        <v>Khulna Shibbari Store</v>
      </c>
    </row>
    <row r="250" spans="1:23">
      <c r="A250" s="4" t="s">
        <v>1246</v>
      </c>
      <c r="B250" s="5">
        <v>46138</v>
      </c>
      <c r="C250" s="4" t="s">
        <v>429</v>
      </c>
      <c r="D250" s="4" t="s">
        <v>52</v>
      </c>
      <c r="E250" s="4" t="s">
        <v>707</v>
      </c>
      <c r="F250" s="4" t="s">
        <v>961</v>
      </c>
      <c r="G250" s="4" t="s">
        <v>797</v>
      </c>
      <c r="H250" s="4">
        <v>5</v>
      </c>
      <c r="I250" s="7">
        <v>0.05</v>
      </c>
      <c r="J250" s="6">
        <v>14672</v>
      </c>
      <c r="K250" s="4">
        <v>6</v>
      </c>
      <c r="L250" s="8">
        <f t="shared" si="3"/>
        <v>3.2</v>
      </c>
      <c r="M250" s="6" t="str">
        <f>_xlfn.XLOOKUP(FactSales[[#This Row],[Product_ID]],DimProduct[Product_ID],DimProduct[Product_Name])</f>
        <v>Leather Belt</v>
      </c>
      <c r="N250" s="6" t="str">
        <f>_xlfn.XLOOKUP(FactSales[[#This Row],[Product_ID]],DimProduct[Product_ID],DimProduct[Category])</f>
        <v>Fashion</v>
      </c>
      <c r="O250" s="6">
        <f>_xlfn.XLOOKUP(FactSales[[#This Row],[Product_ID]],DimProduct[Product_ID],DimProduct[Unit_Price])</f>
        <v>2620</v>
      </c>
      <c r="P250" s="6">
        <f>_xlfn.XLOOKUP(FactSales[[#This Row],[Product_ID]],DimProduct[Product_ID],DimProduct[Unit_Cost])</f>
        <v>1440</v>
      </c>
      <c r="Q250" s="6">
        <f>FactSales[[#This Row],[Unit_Price]]*FactSales[[#This Row],[Quantity_Sold]]</f>
        <v>13100</v>
      </c>
      <c r="R250" s="6">
        <f>FactSales[[#This Row],[Unit_Cost]]*FactSales[[#This Row],[Quantity_Sold]]</f>
        <v>7200</v>
      </c>
      <c r="S250" s="6">
        <f>FactSales[[#This Row],[Sales_Amount]]-FactSales[[#This Row],[Total_Cost]]</f>
        <v>5900</v>
      </c>
      <c r="T250" s="6" t="str">
        <f>_xlfn.XLOOKUP(FactSales[[#This Row],[Customer_ID]],DimCustomer[Customer_ID],DimCustomer[Customer_Name])</f>
        <v>Arif Ahmed</v>
      </c>
      <c r="U250" s="6" t="str">
        <f>_xlfn.XLOOKUP(FactSales[[#This Row],[Salesperson_ID]],DimSalesman[Salesperson_ID],DimSalesman[Salesperson_Name])</f>
        <v>Shaila Akter</v>
      </c>
      <c r="V250" s="6" t="str">
        <f>_xlfn.XLOOKUP(FactSales[[#This Row],[Region_ID]],DimRegion[Region_ID],DimRegion[Region_Name])</f>
        <v>Barishal</v>
      </c>
      <c r="W250" s="6" t="str">
        <f>_xlfn.XLOOKUP(FactSales[[#This Row],[Store_ID]],DimStore[Store_ID],DimStore[Store_Name])</f>
        <v>Barishal Chowmatha Store</v>
      </c>
    </row>
    <row r="251" spans="1:23">
      <c r="A251" s="4" t="s">
        <v>1247</v>
      </c>
      <c r="B251" s="5">
        <v>45673</v>
      </c>
      <c r="C251" s="4" t="s">
        <v>231</v>
      </c>
      <c r="D251" s="4" t="s">
        <v>37</v>
      </c>
      <c r="E251" s="4" t="s">
        <v>656</v>
      </c>
      <c r="F251" s="4" t="s">
        <v>934</v>
      </c>
      <c r="G251" s="4" t="s">
        <v>750</v>
      </c>
      <c r="H251" s="4">
        <v>6</v>
      </c>
      <c r="I251" s="7">
        <v>0.15</v>
      </c>
      <c r="J251" s="6">
        <v>20801</v>
      </c>
      <c r="K251" s="4">
        <v>1</v>
      </c>
      <c r="L251" s="8">
        <f t="shared" si="3"/>
        <v>4.5999999999999996</v>
      </c>
      <c r="M251" s="6" t="str">
        <f>_xlfn.XLOOKUP(FactSales[[#This Row],[Product_ID]],DimProduct[Product_ID],DimProduct[Product_Name])</f>
        <v>Bluetooth Speaker</v>
      </c>
      <c r="N251" s="6" t="str">
        <f>_xlfn.XLOOKUP(FactSales[[#This Row],[Product_ID]],DimProduct[Product_ID],DimProduct[Category])</f>
        <v>Electronics</v>
      </c>
      <c r="O251" s="6">
        <f>_xlfn.XLOOKUP(FactSales[[#This Row],[Product_ID]],DimProduct[Product_ID],DimProduct[Unit_Price])</f>
        <v>3240</v>
      </c>
      <c r="P251" s="6">
        <f>_xlfn.XLOOKUP(FactSales[[#This Row],[Product_ID]],DimProduct[Product_ID],DimProduct[Unit_Cost])</f>
        <v>2200</v>
      </c>
      <c r="Q251" s="6">
        <f>FactSales[[#This Row],[Unit_Price]]*FactSales[[#This Row],[Quantity_Sold]]</f>
        <v>19440</v>
      </c>
      <c r="R251" s="6">
        <f>FactSales[[#This Row],[Unit_Cost]]*FactSales[[#This Row],[Quantity_Sold]]</f>
        <v>13200</v>
      </c>
      <c r="S251" s="6">
        <f>FactSales[[#This Row],[Sales_Amount]]-FactSales[[#This Row],[Total_Cost]]</f>
        <v>6240</v>
      </c>
      <c r="T251" s="6" t="str">
        <f>_xlfn.XLOOKUP(FactSales[[#This Row],[Customer_ID]],DimCustomer[Customer_ID],DimCustomer[Customer_Name])</f>
        <v>Shamim Akter</v>
      </c>
      <c r="U251" s="6" t="str">
        <f>_xlfn.XLOOKUP(FactSales[[#This Row],[Salesperson_ID]],DimSalesman[Salesperson_ID],DimSalesman[Salesperson_Name])</f>
        <v>Hasan Mia</v>
      </c>
      <c r="V251" s="6" t="str">
        <f>_xlfn.XLOOKUP(FactSales[[#This Row],[Region_ID]],DimRegion[Region_ID],DimRegion[Region_Name])</f>
        <v>Sylhet</v>
      </c>
      <c r="W251" s="6" t="str">
        <f>_xlfn.XLOOKUP(FactSales[[#This Row],[Store_ID]],DimStore[Store_ID],DimStore[Store_Name])</f>
        <v>Sylhet Ambarkhana Store</v>
      </c>
    </row>
    <row r="252" spans="1:23">
      <c r="A252" s="4" t="s">
        <v>1248</v>
      </c>
      <c r="B252" s="5">
        <v>46107</v>
      </c>
      <c r="C252" s="4" t="s">
        <v>349</v>
      </c>
      <c r="D252" s="4" t="s">
        <v>42</v>
      </c>
      <c r="E252" s="4" t="s">
        <v>671</v>
      </c>
      <c r="F252" s="4" t="s">
        <v>944</v>
      </c>
      <c r="G252" s="4" t="s">
        <v>755</v>
      </c>
      <c r="H252" s="4">
        <v>6</v>
      </c>
      <c r="I252" s="7">
        <v>0.12</v>
      </c>
      <c r="J252" s="6">
        <v>21643</v>
      </c>
      <c r="K252" s="4">
        <v>7</v>
      </c>
      <c r="L252" s="8">
        <f t="shared" si="3"/>
        <v>2.7</v>
      </c>
      <c r="M252" s="6" t="str">
        <f>_xlfn.XLOOKUP(FactSales[[#This Row],[Product_ID]],DimProduct[Product_ID],DimProduct[Product_Name])</f>
        <v>Wireless Mouse</v>
      </c>
      <c r="N252" s="6" t="str">
        <f>_xlfn.XLOOKUP(FactSales[[#This Row],[Product_ID]],DimProduct[Product_ID],DimProduct[Category])</f>
        <v>Electronics</v>
      </c>
      <c r="O252" s="6">
        <f>_xlfn.XLOOKUP(FactSales[[#This Row],[Product_ID]],DimProduct[Product_ID],DimProduct[Unit_Price])</f>
        <v>3340</v>
      </c>
      <c r="P252" s="6">
        <f>_xlfn.XLOOKUP(FactSales[[#This Row],[Product_ID]],DimProduct[Product_ID],DimProduct[Unit_Cost])</f>
        <v>2270</v>
      </c>
      <c r="Q252" s="6">
        <f>FactSales[[#This Row],[Unit_Price]]*FactSales[[#This Row],[Quantity_Sold]]</f>
        <v>20040</v>
      </c>
      <c r="R252" s="6">
        <f>FactSales[[#This Row],[Unit_Cost]]*FactSales[[#This Row],[Quantity_Sold]]</f>
        <v>13620</v>
      </c>
      <c r="S252" s="6">
        <f>FactSales[[#This Row],[Sales_Amount]]-FactSales[[#This Row],[Total_Cost]]</f>
        <v>6420</v>
      </c>
      <c r="T252" s="6" t="str">
        <f>_xlfn.XLOOKUP(FactSales[[#This Row],[Customer_ID]],DimCustomer[Customer_ID],DimCustomer[Customer_Name])</f>
        <v>Mahmud Uddin</v>
      </c>
      <c r="U252" s="6" t="str">
        <f>_xlfn.XLOOKUP(FactSales[[#This Row],[Salesperson_ID]],DimSalesman[Salesperson_ID],DimSalesman[Salesperson_Name])</f>
        <v>Karim Khan</v>
      </c>
      <c r="V252" s="6" t="str">
        <f>_xlfn.XLOOKUP(FactSales[[#This Row],[Region_ID]],DimRegion[Region_ID],DimRegion[Region_Name])</f>
        <v>Rajshahi</v>
      </c>
      <c r="W252" s="6" t="str">
        <f>_xlfn.XLOOKUP(FactSales[[#This Row],[Store_ID]],DimStore[Store_ID],DimStore[Store_Name])</f>
        <v>Rajshahi Kazla Store</v>
      </c>
    </row>
    <row r="253" spans="1:23">
      <c r="A253" s="4" t="s">
        <v>1249</v>
      </c>
      <c r="B253" s="5">
        <v>46047</v>
      </c>
      <c r="C253" s="4" t="s">
        <v>518</v>
      </c>
      <c r="D253" s="4" t="s">
        <v>57</v>
      </c>
      <c r="E253" s="4" t="s">
        <v>713</v>
      </c>
      <c r="F253" s="4" t="s">
        <v>976</v>
      </c>
      <c r="G253" s="4" t="s">
        <v>850</v>
      </c>
      <c r="H253" s="4">
        <v>4</v>
      </c>
      <c r="I253" s="7">
        <v>0.1</v>
      </c>
      <c r="J253" s="6">
        <v>12144</v>
      </c>
      <c r="K253" s="4">
        <v>3</v>
      </c>
      <c r="L253" s="8">
        <f t="shared" si="3"/>
        <v>4</v>
      </c>
      <c r="M253" s="6" t="str">
        <f>_xlfn.XLOOKUP(FactSales[[#This Row],[Product_ID]],DimProduct[Product_ID],DimProduct[Product_Name])</f>
        <v>Cricket Bat</v>
      </c>
      <c r="N253" s="6" t="str">
        <f>_xlfn.XLOOKUP(FactSales[[#This Row],[Product_ID]],DimProduct[Product_ID],DimProduct[Category])</f>
        <v>Sports</v>
      </c>
      <c r="O253" s="6">
        <f>_xlfn.XLOOKUP(FactSales[[#This Row],[Product_ID]],DimProduct[Product_ID],DimProduct[Unit_Price])</f>
        <v>2640</v>
      </c>
      <c r="P253" s="6">
        <f>_xlfn.XLOOKUP(FactSales[[#This Row],[Product_ID]],DimProduct[Product_ID],DimProduct[Unit_Cost])</f>
        <v>1640</v>
      </c>
      <c r="Q253" s="6">
        <f>FactSales[[#This Row],[Unit_Price]]*FactSales[[#This Row],[Quantity_Sold]]</f>
        <v>10560</v>
      </c>
      <c r="R253" s="6">
        <f>FactSales[[#This Row],[Unit_Cost]]*FactSales[[#This Row],[Quantity_Sold]]</f>
        <v>6560</v>
      </c>
      <c r="S253" s="6">
        <f>FactSales[[#This Row],[Sales_Amount]]-FactSales[[#This Row],[Total_Cost]]</f>
        <v>4000</v>
      </c>
      <c r="T253" s="6" t="str">
        <f>_xlfn.XLOOKUP(FactSales[[#This Row],[Customer_ID]],DimCustomer[Customer_ID],DimCustomer[Customer_Name])</f>
        <v>Arif Rahman</v>
      </c>
      <c r="U253" s="6" t="str">
        <f>_xlfn.XLOOKUP(FactSales[[#This Row],[Salesperson_ID]],DimSalesman[Salesperson_ID],DimSalesman[Salesperson_Name])</f>
        <v>Nayeem Rahman</v>
      </c>
      <c r="V253" s="6" t="str">
        <f>_xlfn.XLOOKUP(FactSales[[#This Row],[Region_ID]],DimRegion[Region_ID],DimRegion[Region_Name])</f>
        <v>Rangpur</v>
      </c>
      <c r="W253" s="6" t="str">
        <f>_xlfn.XLOOKUP(FactSales[[#This Row],[Store_ID]],DimStore[Store_ID],DimStore[Store_Name])</f>
        <v>Rangpur Jahaj Company Store</v>
      </c>
    </row>
    <row r="254" spans="1:23">
      <c r="A254" s="4" t="s">
        <v>1250</v>
      </c>
      <c r="B254" s="5">
        <v>45701</v>
      </c>
      <c r="C254" s="4" t="s">
        <v>121</v>
      </c>
      <c r="D254" s="4" t="s">
        <v>27</v>
      </c>
      <c r="E254" s="4" t="s">
        <v>618</v>
      </c>
      <c r="F254" s="4" t="s">
        <v>918</v>
      </c>
      <c r="G254" s="4" t="s">
        <v>788</v>
      </c>
      <c r="H254" s="4">
        <v>5</v>
      </c>
      <c r="I254" s="7">
        <v>0.05</v>
      </c>
      <c r="J254" s="6">
        <v>9646</v>
      </c>
      <c r="K254" s="4">
        <v>1</v>
      </c>
      <c r="L254" s="8">
        <f t="shared" si="3"/>
        <v>4.8</v>
      </c>
      <c r="M254" s="6" t="str">
        <f>_xlfn.XLOOKUP(FactSales[[#This Row],[Product_ID]],DimProduct[Product_ID],DimProduct[Product_Name])</f>
        <v>Formal Shirt</v>
      </c>
      <c r="N254" s="6" t="str">
        <f>_xlfn.XLOOKUP(FactSales[[#This Row],[Product_ID]],DimProduct[Product_ID],DimProduct[Category])</f>
        <v>Fashion</v>
      </c>
      <c r="O254" s="6">
        <f>_xlfn.XLOOKUP(FactSales[[#This Row],[Product_ID]],DimProduct[Product_ID],DimProduct[Unit_Price])</f>
        <v>1820</v>
      </c>
      <c r="P254" s="6">
        <f>_xlfn.XLOOKUP(FactSales[[#This Row],[Product_ID]],DimProduct[Product_ID],DimProduct[Unit_Cost])</f>
        <v>1000</v>
      </c>
      <c r="Q254" s="6">
        <f>FactSales[[#This Row],[Unit_Price]]*FactSales[[#This Row],[Quantity_Sold]]</f>
        <v>9100</v>
      </c>
      <c r="R254" s="6">
        <f>FactSales[[#This Row],[Unit_Cost]]*FactSales[[#This Row],[Quantity_Sold]]</f>
        <v>5000</v>
      </c>
      <c r="S254" s="6">
        <f>FactSales[[#This Row],[Sales_Amount]]-FactSales[[#This Row],[Total_Cost]]</f>
        <v>4100</v>
      </c>
      <c r="T254" s="6" t="str">
        <f>_xlfn.XLOOKUP(FactSales[[#This Row],[Customer_ID]],DimCustomer[Customer_ID],DimCustomer[Customer_Name])</f>
        <v>Shakib Khan</v>
      </c>
      <c r="U254" s="6" t="str">
        <f>_xlfn.XLOOKUP(FactSales[[#This Row],[Salesperson_ID]],DimSalesman[Salesperson_ID],DimSalesman[Salesperson_Name])</f>
        <v>Tania Sultana</v>
      </c>
      <c r="V254" s="6" t="str">
        <f>_xlfn.XLOOKUP(FactSales[[#This Row],[Region_ID]],DimRegion[Region_ID],DimRegion[Region_Name])</f>
        <v>Dhaka</v>
      </c>
      <c r="W254" s="6" t="str">
        <f>_xlfn.XLOOKUP(FactSales[[#This Row],[Store_ID]],DimStore[Store_ID],DimStore[Store_Name])</f>
        <v>Dhaka Gulshan Store</v>
      </c>
    </row>
    <row r="255" spans="1:23">
      <c r="A255" s="4" t="s">
        <v>1251</v>
      </c>
      <c r="B255" s="5">
        <v>45708</v>
      </c>
      <c r="C255" s="4" t="s">
        <v>124</v>
      </c>
      <c r="D255" s="4" t="s">
        <v>27</v>
      </c>
      <c r="E255" s="4" t="s">
        <v>630</v>
      </c>
      <c r="F255" s="4" t="s">
        <v>919</v>
      </c>
      <c r="G255" s="4" t="s">
        <v>859</v>
      </c>
      <c r="H255" s="4">
        <v>1</v>
      </c>
      <c r="I255" s="7">
        <v>0.1</v>
      </c>
      <c r="J255" s="6">
        <v>2894</v>
      </c>
      <c r="K255" s="4">
        <v>2</v>
      </c>
      <c r="L255" s="8">
        <f t="shared" si="3"/>
        <v>4.3</v>
      </c>
      <c r="M255" s="6" t="str">
        <f>_xlfn.XLOOKUP(FactSales[[#This Row],[Product_ID]],DimProduct[Product_ID],DimProduct[Product_Name])</f>
        <v>Yoga Mat</v>
      </c>
      <c r="N255" s="6" t="str">
        <f>_xlfn.XLOOKUP(FactSales[[#This Row],[Product_ID]],DimProduct[Product_ID],DimProduct[Category])</f>
        <v>Sports</v>
      </c>
      <c r="O255" s="6">
        <f>_xlfn.XLOOKUP(FactSales[[#This Row],[Product_ID]],DimProduct[Product_ID],DimProduct[Unit_Price])</f>
        <v>2730</v>
      </c>
      <c r="P255" s="6">
        <f>_xlfn.XLOOKUP(FactSales[[#This Row],[Product_ID]],DimProduct[Product_ID],DimProduct[Unit_Cost])</f>
        <v>1690</v>
      </c>
      <c r="Q255" s="6">
        <f>FactSales[[#This Row],[Unit_Price]]*FactSales[[#This Row],[Quantity_Sold]]</f>
        <v>2730</v>
      </c>
      <c r="R255" s="6">
        <f>FactSales[[#This Row],[Unit_Cost]]*FactSales[[#This Row],[Quantity_Sold]]</f>
        <v>1690</v>
      </c>
      <c r="S255" s="6">
        <f>FactSales[[#This Row],[Sales_Amount]]-FactSales[[#This Row],[Total_Cost]]</f>
        <v>1040</v>
      </c>
      <c r="T255" s="6" t="str">
        <f>_xlfn.XLOOKUP(FactSales[[#This Row],[Customer_ID]],DimCustomer[Customer_ID],DimCustomer[Customer_Name])</f>
        <v>Rafi Khan</v>
      </c>
      <c r="U255" s="6" t="str">
        <f>_xlfn.XLOOKUP(FactSales[[#This Row],[Salesperson_ID]],DimSalesman[Salesperson_ID],DimSalesman[Salesperson_Name])</f>
        <v>Imran Mia</v>
      </c>
      <c r="V255" s="6" t="str">
        <f>_xlfn.XLOOKUP(FactSales[[#This Row],[Region_ID]],DimRegion[Region_ID],DimRegion[Region_Name])</f>
        <v>Dhaka</v>
      </c>
      <c r="W255" s="6" t="str">
        <f>_xlfn.XLOOKUP(FactSales[[#This Row],[Store_ID]],DimStore[Store_ID],DimStore[Store_Name])</f>
        <v>Dhaka Uttara Store</v>
      </c>
    </row>
    <row r="256" spans="1:23">
      <c r="A256" s="4" t="s">
        <v>1252</v>
      </c>
      <c r="B256" s="5">
        <v>45959</v>
      </c>
      <c r="C256" s="4" t="s">
        <v>510</v>
      </c>
      <c r="D256" s="4" t="s">
        <v>57</v>
      </c>
      <c r="E256" s="4" t="s">
        <v>719</v>
      </c>
      <c r="F256" s="4" t="s">
        <v>974</v>
      </c>
      <c r="G256" s="4" t="s">
        <v>758</v>
      </c>
      <c r="H256" s="4">
        <v>3</v>
      </c>
      <c r="I256" s="7">
        <v>0.08</v>
      </c>
      <c r="J256" s="6">
        <v>9798</v>
      </c>
      <c r="K256" s="4">
        <v>5</v>
      </c>
      <c r="L256" s="8">
        <f t="shared" si="3"/>
        <v>3.4</v>
      </c>
      <c r="M256" s="6" t="str">
        <f>_xlfn.XLOOKUP(FactSales[[#This Row],[Product_ID]],DimProduct[Product_ID],DimProduct[Product_Name])</f>
        <v>Power Bank</v>
      </c>
      <c r="N256" s="6" t="str">
        <f>_xlfn.XLOOKUP(FactSales[[#This Row],[Product_ID]],DimProduct[Product_ID],DimProduct[Category])</f>
        <v>Electronics</v>
      </c>
      <c r="O256" s="6">
        <f>_xlfn.XLOOKUP(FactSales[[#This Row],[Product_ID]],DimProduct[Product_ID],DimProduct[Unit_Price])</f>
        <v>2840</v>
      </c>
      <c r="P256" s="6">
        <f>_xlfn.XLOOKUP(FactSales[[#This Row],[Product_ID]],DimProduct[Product_ID],DimProduct[Unit_Cost])</f>
        <v>1930</v>
      </c>
      <c r="Q256" s="6">
        <f>FactSales[[#This Row],[Unit_Price]]*FactSales[[#This Row],[Quantity_Sold]]</f>
        <v>8520</v>
      </c>
      <c r="R256" s="6">
        <f>FactSales[[#This Row],[Unit_Cost]]*FactSales[[#This Row],[Quantity_Sold]]</f>
        <v>5790</v>
      </c>
      <c r="S256" s="6">
        <f>FactSales[[#This Row],[Sales_Amount]]-FactSales[[#This Row],[Total_Cost]]</f>
        <v>2730</v>
      </c>
      <c r="T256" s="6" t="str">
        <f>_xlfn.XLOOKUP(FactSales[[#This Row],[Customer_ID]],DimCustomer[Customer_ID],DimCustomer[Customer_Name])</f>
        <v>Farhana Hossain</v>
      </c>
      <c r="U256" s="6" t="str">
        <f>_xlfn.XLOOKUP(FactSales[[#This Row],[Salesperson_ID]],DimSalesman[Salesperson_ID],DimSalesman[Salesperson_Name])</f>
        <v>Farhana Uddin</v>
      </c>
      <c r="V256" s="6" t="str">
        <f>_xlfn.XLOOKUP(FactSales[[#This Row],[Region_ID]],DimRegion[Region_ID],DimRegion[Region_Name])</f>
        <v>Rangpur</v>
      </c>
      <c r="W256" s="6" t="str">
        <f>_xlfn.XLOOKUP(FactSales[[#This Row],[Store_ID]],DimStore[Store_ID],DimStore[Store_Name])</f>
        <v>Rangpur Modern More Store</v>
      </c>
    </row>
    <row r="257" spans="1:23">
      <c r="A257" s="4" t="s">
        <v>1253</v>
      </c>
      <c r="B257" s="5">
        <v>45773</v>
      </c>
      <c r="C257" s="4" t="s">
        <v>601</v>
      </c>
      <c r="D257" s="4" t="s">
        <v>62</v>
      </c>
      <c r="E257" s="4" t="s">
        <v>737</v>
      </c>
      <c r="F257" s="4" t="s">
        <v>978</v>
      </c>
      <c r="G257" s="4" t="s">
        <v>850</v>
      </c>
      <c r="H257" s="4">
        <v>3</v>
      </c>
      <c r="I257" s="7">
        <v>0.12</v>
      </c>
      <c r="J257" s="6">
        <v>8554</v>
      </c>
      <c r="K257" s="4">
        <v>1</v>
      </c>
      <c r="L257" s="8">
        <f t="shared" si="3"/>
        <v>4.5999999999999996</v>
      </c>
      <c r="M257" s="6" t="str">
        <f>_xlfn.XLOOKUP(FactSales[[#This Row],[Product_ID]],DimProduct[Product_ID],DimProduct[Product_Name])</f>
        <v>Cricket Bat</v>
      </c>
      <c r="N257" s="6" t="str">
        <f>_xlfn.XLOOKUP(FactSales[[#This Row],[Product_ID]],DimProduct[Product_ID],DimProduct[Category])</f>
        <v>Sports</v>
      </c>
      <c r="O257" s="6">
        <f>_xlfn.XLOOKUP(FactSales[[#This Row],[Product_ID]],DimProduct[Product_ID],DimProduct[Unit_Price])</f>
        <v>2640</v>
      </c>
      <c r="P257" s="6">
        <f>_xlfn.XLOOKUP(FactSales[[#This Row],[Product_ID]],DimProduct[Product_ID],DimProduct[Unit_Cost])</f>
        <v>1640</v>
      </c>
      <c r="Q257" s="6">
        <f>FactSales[[#This Row],[Unit_Price]]*FactSales[[#This Row],[Quantity_Sold]]</f>
        <v>7920</v>
      </c>
      <c r="R257" s="6">
        <f>FactSales[[#This Row],[Unit_Cost]]*FactSales[[#This Row],[Quantity_Sold]]</f>
        <v>4920</v>
      </c>
      <c r="S257" s="6">
        <f>FactSales[[#This Row],[Sales_Amount]]-FactSales[[#This Row],[Total_Cost]]</f>
        <v>3000</v>
      </c>
      <c r="T257" s="6" t="str">
        <f>_xlfn.XLOOKUP(FactSales[[#This Row],[Customer_ID]],DimCustomer[Customer_ID],DimCustomer[Customer_Name])</f>
        <v>Tania Islam</v>
      </c>
      <c r="U257" s="6" t="str">
        <f>_xlfn.XLOOKUP(FactSales[[#This Row],[Salesperson_ID]],DimSalesman[Salesperson_ID],DimSalesman[Salesperson_Name])</f>
        <v>Sajib Rahman</v>
      </c>
      <c r="V257" s="6" t="str">
        <f>_xlfn.XLOOKUP(FactSales[[#This Row],[Region_ID]],DimRegion[Region_ID],DimRegion[Region_Name])</f>
        <v>Mymensingh</v>
      </c>
      <c r="W257" s="6" t="str">
        <f>_xlfn.XLOOKUP(FactSales[[#This Row],[Store_ID]],DimStore[Store_ID],DimStore[Store_Name])</f>
        <v>Mymensingh Kewatkhali Store</v>
      </c>
    </row>
    <row r="258" spans="1:23">
      <c r="A258" s="4" t="s">
        <v>1254</v>
      </c>
      <c r="B258" s="5">
        <v>45841</v>
      </c>
      <c r="C258" s="4" t="s">
        <v>251</v>
      </c>
      <c r="D258" s="4" t="s">
        <v>37</v>
      </c>
      <c r="E258" s="4" t="s">
        <v>662</v>
      </c>
      <c r="F258" s="4" t="s">
        <v>936</v>
      </c>
      <c r="G258" s="4" t="s">
        <v>788</v>
      </c>
      <c r="H258" s="4">
        <v>2</v>
      </c>
      <c r="I258" s="7">
        <v>0.05</v>
      </c>
      <c r="J258" s="6">
        <v>3895</v>
      </c>
      <c r="K258" s="4">
        <v>4</v>
      </c>
      <c r="L258" s="8">
        <f t="shared" ref="L258:L321" si="4">MAX(1,MIN(5,ROUND(5.2-(K258*0.32)-(I258*2.2),1)))</f>
        <v>3.8</v>
      </c>
      <c r="M258" s="6" t="str">
        <f>_xlfn.XLOOKUP(FactSales[[#This Row],[Product_ID]],DimProduct[Product_ID],DimProduct[Product_Name])</f>
        <v>Formal Shirt</v>
      </c>
      <c r="N258" s="6" t="str">
        <f>_xlfn.XLOOKUP(FactSales[[#This Row],[Product_ID]],DimProduct[Product_ID],DimProduct[Category])</f>
        <v>Fashion</v>
      </c>
      <c r="O258" s="6">
        <f>_xlfn.XLOOKUP(FactSales[[#This Row],[Product_ID]],DimProduct[Product_ID],DimProduct[Unit_Price])</f>
        <v>1820</v>
      </c>
      <c r="P258" s="6">
        <f>_xlfn.XLOOKUP(FactSales[[#This Row],[Product_ID]],DimProduct[Product_ID],DimProduct[Unit_Cost])</f>
        <v>1000</v>
      </c>
      <c r="Q258" s="6">
        <f>FactSales[[#This Row],[Unit_Price]]*FactSales[[#This Row],[Quantity_Sold]]</f>
        <v>3640</v>
      </c>
      <c r="R258" s="6">
        <f>FactSales[[#This Row],[Unit_Cost]]*FactSales[[#This Row],[Quantity_Sold]]</f>
        <v>2000</v>
      </c>
      <c r="S258" s="6">
        <f>FactSales[[#This Row],[Sales_Amount]]-FactSales[[#This Row],[Total_Cost]]</f>
        <v>1640</v>
      </c>
      <c r="T258" s="6" t="str">
        <f>_xlfn.XLOOKUP(FactSales[[#This Row],[Customer_ID]],DimCustomer[Customer_ID],DimCustomer[Customer_Name])</f>
        <v>Rasel Islam</v>
      </c>
      <c r="U258" s="6" t="str">
        <f>_xlfn.XLOOKUP(FactSales[[#This Row],[Salesperson_ID]],DimSalesman[Salesperson_ID],DimSalesman[Salesperson_Name])</f>
        <v>Mehedi Chowdhury</v>
      </c>
      <c r="V258" s="6" t="str">
        <f>_xlfn.XLOOKUP(FactSales[[#This Row],[Region_ID]],DimRegion[Region_ID],DimRegion[Region_Name])</f>
        <v>Sylhet</v>
      </c>
      <c r="W258" s="6" t="str">
        <f>_xlfn.XLOOKUP(FactSales[[#This Row],[Store_ID]],DimStore[Store_ID],DimStore[Store_Name])</f>
        <v>Sylhet Subidbazar Store</v>
      </c>
    </row>
    <row r="259" spans="1:23">
      <c r="A259" s="4" t="s">
        <v>1255</v>
      </c>
      <c r="B259" s="5">
        <v>45751</v>
      </c>
      <c r="C259" s="4" t="s">
        <v>480</v>
      </c>
      <c r="D259" s="4" t="s">
        <v>52</v>
      </c>
      <c r="E259" s="4" t="s">
        <v>701</v>
      </c>
      <c r="F259" s="4" t="s">
        <v>966</v>
      </c>
      <c r="G259" s="4" t="s">
        <v>850</v>
      </c>
      <c r="H259" s="4">
        <v>2</v>
      </c>
      <c r="I259" s="7">
        <v>7.0000000000000007E-2</v>
      </c>
      <c r="J259" s="6">
        <v>5914</v>
      </c>
      <c r="K259" s="4">
        <v>4</v>
      </c>
      <c r="L259" s="8">
        <f t="shared" si="4"/>
        <v>3.8</v>
      </c>
      <c r="M259" s="6" t="str">
        <f>_xlfn.XLOOKUP(FactSales[[#This Row],[Product_ID]],DimProduct[Product_ID],DimProduct[Product_Name])</f>
        <v>Cricket Bat</v>
      </c>
      <c r="N259" s="6" t="str">
        <f>_xlfn.XLOOKUP(FactSales[[#This Row],[Product_ID]],DimProduct[Product_ID],DimProduct[Category])</f>
        <v>Sports</v>
      </c>
      <c r="O259" s="6">
        <f>_xlfn.XLOOKUP(FactSales[[#This Row],[Product_ID]],DimProduct[Product_ID],DimProduct[Unit_Price])</f>
        <v>2640</v>
      </c>
      <c r="P259" s="6">
        <f>_xlfn.XLOOKUP(FactSales[[#This Row],[Product_ID]],DimProduct[Product_ID],DimProduct[Unit_Cost])</f>
        <v>1640</v>
      </c>
      <c r="Q259" s="6">
        <f>FactSales[[#This Row],[Unit_Price]]*FactSales[[#This Row],[Quantity_Sold]]</f>
        <v>5280</v>
      </c>
      <c r="R259" s="6">
        <f>FactSales[[#This Row],[Unit_Cost]]*FactSales[[#This Row],[Quantity_Sold]]</f>
        <v>3280</v>
      </c>
      <c r="S259" s="6">
        <f>FactSales[[#This Row],[Sales_Amount]]-FactSales[[#This Row],[Total_Cost]]</f>
        <v>2000</v>
      </c>
      <c r="T259" s="6" t="str">
        <f>_xlfn.XLOOKUP(FactSales[[#This Row],[Customer_ID]],DimCustomer[Customer_ID],DimCustomer[Customer_Name])</f>
        <v>Rasel Sultana</v>
      </c>
      <c r="U259" s="6" t="str">
        <f>_xlfn.XLOOKUP(FactSales[[#This Row],[Salesperson_ID]],DimSalesman[Salesperson_ID],DimSalesman[Salesperson_Name])</f>
        <v>Nayeem Akter</v>
      </c>
      <c r="V259" s="6" t="str">
        <f>_xlfn.XLOOKUP(FactSales[[#This Row],[Region_ID]],DimRegion[Region_ID],DimRegion[Region_Name])</f>
        <v>Barishal</v>
      </c>
      <c r="W259" s="6" t="str">
        <f>_xlfn.XLOOKUP(FactSales[[#This Row],[Store_ID]],DimStore[Store_ID],DimStore[Store_Name])</f>
        <v>Barishal Sadar Road Store</v>
      </c>
    </row>
    <row r="260" spans="1:23">
      <c r="A260" s="4" t="s">
        <v>1256</v>
      </c>
      <c r="B260" s="5">
        <v>46181</v>
      </c>
      <c r="C260" s="4" t="s">
        <v>195</v>
      </c>
      <c r="D260" s="4" t="s">
        <v>32</v>
      </c>
      <c r="E260" s="4" t="s">
        <v>647</v>
      </c>
      <c r="F260" s="4" t="s">
        <v>931</v>
      </c>
      <c r="G260" s="4" t="s">
        <v>862</v>
      </c>
      <c r="H260" s="4">
        <v>3</v>
      </c>
      <c r="I260" s="7">
        <v>0.05</v>
      </c>
      <c r="J260" s="6">
        <v>3796</v>
      </c>
      <c r="K260" s="4">
        <v>4</v>
      </c>
      <c r="L260" s="8">
        <f t="shared" si="4"/>
        <v>3.8</v>
      </c>
      <c r="M260" s="6" t="str">
        <f>_xlfn.XLOOKUP(FactSales[[#This Row],[Product_ID]],DimProduct[Product_ID],DimProduct[Product_Name])</f>
        <v>Dumbbell Set</v>
      </c>
      <c r="N260" s="6" t="str">
        <f>_xlfn.XLOOKUP(FactSales[[#This Row],[Product_ID]],DimProduct[Product_ID],DimProduct[Category])</f>
        <v>Sports</v>
      </c>
      <c r="O260" s="6">
        <f>_xlfn.XLOOKUP(FactSales[[#This Row],[Product_ID]],DimProduct[Product_ID],DimProduct[Unit_Price])</f>
        <v>1110</v>
      </c>
      <c r="P260" s="6">
        <f>_xlfn.XLOOKUP(FactSales[[#This Row],[Product_ID]],DimProduct[Product_ID],DimProduct[Unit_Cost])</f>
        <v>690</v>
      </c>
      <c r="Q260" s="6">
        <f>FactSales[[#This Row],[Unit_Price]]*FactSales[[#This Row],[Quantity_Sold]]</f>
        <v>3330</v>
      </c>
      <c r="R260" s="6">
        <f>FactSales[[#This Row],[Unit_Cost]]*FactSales[[#This Row],[Quantity_Sold]]</f>
        <v>2070</v>
      </c>
      <c r="S260" s="6">
        <f>FactSales[[#This Row],[Sales_Amount]]-FactSales[[#This Row],[Total_Cost]]</f>
        <v>1260</v>
      </c>
      <c r="T260" s="6" t="str">
        <f>_xlfn.XLOOKUP(FactSales[[#This Row],[Customer_ID]],DimCustomer[Customer_ID],DimCustomer[Customer_Name])</f>
        <v>Jannat Islam</v>
      </c>
      <c r="U260" s="6" t="str">
        <f>_xlfn.XLOOKUP(FactSales[[#This Row],[Salesperson_ID]],DimSalesman[Salesperson_ID],DimSalesman[Salesperson_Name])</f>
        <v>Sadia Islam</v>
      </c>
      <c r="V260" s="6" t="str">
        <f>_xlfn.XLOOKUP(FactSales[[#This Row],[Region_ID]],DimRegion[Region_ID],DimRegion[Region_Name])</f>
        <v>Chattogram</v>
      </c>
      <c r="W260" s="6" t="str">
        <f>_xlfn.XLOOKUP(FactSales[[#This Row],[Store_ID]],DimStore[Store_ID],DimStore[Store_Name])</f>
        <v>Chattogram Nasirabad Store</v>
      </c>
    </row>
    <row r="261" spans="1:23">
      <c r="A261" s="4" t="s">
        <v>1257</v>
      </c>
      <c r="B261" s="5">
        <v>45824</v>
      </c>
      <c r="C261" s="4" t="s">
        <v>246</v>
      </c>
      <c r="D261" s="4" t="s">
        <v>37</v>
      </c>
      <c r="E261" s="4" t="s">
        <v>665</v>
      </c>
      <c r="F261" s="4" t="s">
        <v>941</v>
      </c>
      <c r="G261" s="4" t="s">
        <v>878</v>
      </c>
      <c r="H261" s="4">
        <v>5</v>
      </c>
      <c r="I261" s="7">
        <v>0.05</v>
      </c>
      <c r="J261" s="6">
        <v>4494</v>
      </c>
      <c r="K261" s="4">
        <v>4</v>
      </c>
      <c r="L261" s="8">
        <f t="shared" si="4"/>
        <v>3.8</v>
      </c>
      <c r="M261" s="6" t="str">
        <f>_xlfn.XLOOKUP(FactSales[[#This Row],[Product_ID]],DimProduct[Product_ID],DimProduct[Product_Name])</f>
        <v>Building Blocks</v>
      </c>
      <c r="N261" s="6" t="str">
        <f>_xlfn.XLOOKUP(FactSales[[#This Row],[Product_ID]],DimProduct[Product_ID],DimProduct[Category])</f>
        <v>Kids &amp; Toys</v>
      </c>
      <c r="O261" s="6">
        <f>_xlfn.XLOOKUP(FactSales[[#This Row],[Product_ID]],DimProduct[Product_ID],DimProduct[Unit_Price])</f>
        <v>840</v>
      </c>
      <c r="P261" s="6">
        <f>_xlfn.XLOOKUP(FactSales[[#This Row],[Product_ID]],DimProduct[Product_ID],DimProduct[Unit_Cost])</f>
        <v>460</v>
      </c>
      <c r="Q261" s="6">
        <f>FactSales[[#This Row],[Unit_Price]]*FactSales[[#This Row],[Quantity_Sold]]</f>
        <v>4200</v>
      </c>
      <c r="R261" s="6">
        <f>FactSales[[#This Row],[Unit_Cost]]*FactSales[[#This Row],[Quantity_Sold]]</f>
        <v>2300</v>
      </c>
      <c r="S261" s="6">
        <f>FactSales[[#This Row],[Sales_Amount]]-FactSales[[#This Row],[Total_Cost]]</f>
        <v>1900</v>
      </c>
      <c r="T261" s="6" t="str">
        <f>_xlfn.XLOOKUP(FactSales[[#This Row],[Customer_ID]],DimCustomer[Customer_ID],DimCustomer[Customer_Name])</f>
        <v>Shamim Akter</v>
      </c>
      <c r="U261" s="6" t="str">
        <f>_xlfn.XLOOKUP(FactSales[[#This Row],[Salesperson_ID]],DimSalesman[Salesperson_ID],DimSalesman[Salesperson_Name])</f>
        <v>Rumana Rahman</v>
      </c>
      <c r="V261" s="6" t="str">
        <f>_xlfn.XLOOKUP(FactSales[[#This Row],[Region_ID]],DimRegion[Region_ID],DimRegion[Region_Name])</f>
        <v>Sylhet</v>
      </c>
      <c r="W261" s="6" t="str">
        <f>_xlfn.XLOOKUP(FactSales[[#This Row],[Store_ID]],DimStore[Store_ID],DimStore[Store_Name])</f>
        <v>Sylhet Upashahar Store</v>
      </c>
    </row>
    <row r="262" spans="1:23">
      <c r="A262" s="4" t="s">
        <v>1258</v>
      </c>
      <c r="B262" s="5">
        <v>46114</v>
      </c>
      <c r="C262" s="4" t="s">
        <v>112</v>
      </c>
      <c r="D262" s="4" t="s">
        <v>27</v>
      </c>
      <c r="E262" s="4" t="s">
        <v>626</v>
      </c>
      <c r="F262" s="4" t="s">
        <v>916</v>
      </c>
      <c r="G262" s="4" t="s">
        <v>850</v>
      </c>
      <c r="H262" s="4">
        <v>2</v>
      </c>
      <c r="I262" s="7">
        <v>0.03</v>
      </c>
      <c r="J262" s="6">
        <v>5597</v>
      </c>
      <c r="K262" s="4">
        <v>6</v>
      </c>
      <c r="L262" s="8">
        <f t="shared" si="4"/>
        <v>3.2</v>
      </c>
      <c r="M262" s="6" t="str">
        <f>_xlfn.XLOOKUP(FactSales[[#This Row],[Product_ID]],DimProduct[Product_ID],DimProduct[Product_Name])</f>
        <v>Cricket Bat</v>
      </c>
      <c r="N262" s="6" t="str">
        <f>_xlfn.XLOOKUP(FactSales[[#This Row],[Product_ID]],DimProduct[Product_ID],DimProduct[Category])</f>
        <v>Sports</v>
      </c>
      <c r="O262" s="6">
        <f>_xlfn.XLOOKUP(FactSales[[#This Row],[Product_ID]],DimProduct[Product_ID],DimProduct[Unit_Price])</f>
        <v>2640</v>
      </c>
      <c r="P262" s="6">
        <f>_xlfn.XLOOKUP(FactSales[[#This Row],[Product_ID]],DimProduct[Product_ID],DimProduct[Unit_Cost])</f>
        <v>1640</v>
      </c>
      <c r="Q262" s="6">
        <f>FactSales[[#This Row],[Unit_Price]]*FactSales[[#This Row],[Quantity_Sold]]</f>
        <v>5280</v>
      </c>
      <c r="R262" s="6">
        <f>FactSales[[#This Row],[Unit_Cost]]*FactSales[[#This Row],[Quantity_Sold]]</f>
        <v>3280</v>
      </c>
      <c r="S262" s="6">
        <f>FactSales[[#This Row],[Sales_Amount]]-FactSales[[#This Row],[Total_Cost]]</f>
        <v>2000</v>
      </c>
      <c r="T262" s="6" t="str">
        <f>_xlfn.XLOOKUP(FactSales[[#This Row],[Customer_ID]],DimCustomer[Customer_ID],DimCustomer[Customer_Name])</f>
        <v>Shaila Ahmed</v>
      </c>
      <c r="U262" s="6" t="str">
        <f>_xlfn.XLOOKUP(FactSales[[#This Row],[Salesperson_ID]],DimSalesman[Salesperson_ID],DimSalesman[Salesperson_Name])</f>
        <v>Rafi Islam</v>
      </c>
      <c r="V262" s="6" t="str">
        <f>_xlfn.XLOOKUP(FactSales[[#This Row],[Region_ID]],DimRegion[Region_ID],DimRegion[Region_Name])</f>
        <v>Dhaka</v>
      </c>
      <c r="W262" s="6" t="str">
        <f>_xlfn.XLOOKUP(FactSales[[#This Row],[Store_ID]],DimStore[Store_ID],DimStore[Store_Name])</f>
        <v>Dhaka Mirpur Store</v>
      </c>
    </row>
    <row r="263" spans="1:23">
      <c r="A263" s="4" t="s">
        <v>1259</v>
      </c>
      <c r="B263" s="5">
        <v>46168</v>
      </c>
      <c r="C263" s="4" t="s">
        <v>130</v>
      </c>
      <c r="D263" s="4" t="s">
        <v>27</v>
      </c>
      <c r="E263" s="4" t="s">
        <v>626</v>
      </c>
      <c r="F263" s="4" t="s">
        <v>912</v>
      </c>
      <c r="G263" s="4" t="s">
        <v>788</v>
      </c>
      <c r="H263" s="4">
        <v>3</v>
      </c>
      <c r="I263" s="7">
        <v>0.03</v>
      </c>
      <c r="J263" s="6">
        <v>5788</v>
      </c>
      <c r="K263" s="4">
        <v>1</v>
      </c>
      <c r="L263" s="8">
        <f t="shared" si="4"/>
        <v>4.8</v>
      </c>
      <c r="M263" s="6" t="str">
        <f>_xlfn.XLOOKUP(FactSales[[#This Row],[Product_ID]],DimProduct[Product_ID],DimProduct[Product_Name])</f>
        <v>Formal Shirt</v>
      </c>
      <c r="N263" s="6" t="str">
        <f>_xlfn.XLOOKUP(FactSales[[#This Row],[Product_ID]],DimProduct[Product_ID],DimProduct[Category])</f>
        <v>Fashion</v>
      </c>
      <c r="O263" s="6">
        <f>_xlfn.XLOOKUP(FactSales[[#This Row],[Product_ID]],DimProduct[Product_ID],DimProduct[Unit_Price])</f>
        <v>1820</v>
      </c>
      <c r="P263" s="6">
        <f>_xlfn.XLOOKUP(FactSales[[#This Row],[Product_ID]],DimProduct[Product_ID],DimProduct[Unit_Cost])</f>
        <v>1000</v>
      </c>
      <c r="Q263" s="6">
        <f>FactSales[[#This Row],[Unit_Price]]*FactSales[[#This Row],[Quantity_Sold]]</f>
        <v>5460</v>
      </c>
      <c r="R263" s="6">
        <f>FactSales[[#This Row],[Unit_Cost]]*FactSales[[#This Row],[Quantity_Sold]]</f>
        <v>3000</v>
      </c>
      <c r="S263" s="6">
        <f>FactSales[[#This Row],[Sales_Amount]]-FactSales[[#This Row],[Total_Cost]]</f>
        <v>2460</v>
      </c>
      <c r="T263" s="6" t="str">
        <f>_xlfn.XLOOKUP(FactSales[[#This Row],[Customer_ID]],DimCustomer[Customer_ID],DimCustomer[Customer_Name])</f>
        <v>Tanjim Ahmed</v>
      </c>
      <c r="U263" s="6" t="str">
        <f>_xlfn.XLOOKUP(FactSales[[#This Row],[Salesperson_ID]],DimSalesman[Salesperson_ID],DimSalesman[Salesperson_Name])</f>
        <v>Mahmud Hossain</v>
      </c>
      <c r="V263" s="6" t="str">
        <f>_xlfn.XLOOKUP(FactSales[[#This Row],[Region_ID]],DimRegion[Region_ID],DimRegion[Region_Name])</f>
        <v>Dhaka</v>
      </c>
      <c r="W263" s="6" t="str">
        <f>_xlfn.XLOOKUP(FactSales[[#This Row],[Store_ID]],DimStore[Store_ID],DimStore[Store_Name])</f>
        <v>Dhaka Mirpur Store</v>
      </c>
    </row>
    <row r="264" spans="1:23">
      <c r="A264" s="4" t="s">
        <v>1260</v>
      </c>
      <c r="B264" s="5">
        <v>46122</v>
      </c>
      <c r="C264" s="4" t="s">
        <v>569</v>
      </c>
      <c r="D264" s="4" t="s">
        <v>62</v>
      </c>
      <c r="E264" s="4" t="s">
        <v>731</v>
      </c>
      <c r="F264" s="4" t="s">
        <v>985</v>
      </c>
      <c r="G264" s="4" t="s">
        <v>834</v>
      </c>
      <c r="H264" s="4">
        <v>2</v>
      </c>
      <c r="I264" s="7">
        <v>0.12</v>
      </c>
      <c r="J264" s="6">
        <v>7582</v>
      </c>
      <c r="K264" s="4">
        <v>3</v>
      </c>
      <c r="L264" s="8">
        <f t="shared" si="4"/>
        <v>4</v>
      </c>
      <c r="M264" s="6" t="str">
        <f>_xlfn.XLOOKUP(FactSales[[#This Row],[Product_ID]],DimProduct[Product_ID],DimProduct[Product_Name])</f>
        <v>Running Shoe</v>
      </c>
      <c r="N264" s="6" t="str">
        <f>_xlfn.XLOOKUP(FactSales[[#This Row],[Product_ID]],DimProduct[Product_ID],DimProduct[Category])</f>
        <v>Footwear</v>
      </c>
      <c r="O264" s="6">
        <f>_xlfn.XLOOKUP(FactSales[[#This Row],[Product_ID]],DimProduct[Product_ID],DimProduct[Unit_Price])</f>
        <v>3510</v>
      </c>
      <c r="P264" s="6">
        <f>_xlfn.XLOOKUP(FactSales[[#This Row],[Product_ID]],DimProduct[Product_ID],DimProduct[Unit_Cost])</f>
        <v>2110</v>
      </c>
      <c r="Q264" s="6">
        <f>FactSales[[#This Row],[Unit_Price]]*FactSales[[#This Row],[Quantity_Sold]]</f>
        <v>7020</v>
      </c>
      <c r="R264" s="6">
        <f>FactSales[[#This Row],[Unit_Cost]]*FactSales[[#This Row],[Quantity_Sold]]</f>
        <v>4220</v>
      </c>
      <c r="S264" s="6">
        <f>FactSales[[#This Row],[Sales_Amount]]-FactSales[[#This Row],[Total_Cost]]</f>
        <v>2800</v>
      </c>
      <c r="T264" s="6" t="str">
        <f>_xlfn.XLOOKUP(FactSales[[#This Row],[Customer_ID]],DimCustomer[Customer_ID],DimCustomer[Customer_Name])</f>
        <v>Mahmud Mia</v>
      </c>
      <c r="U264" s="6" t="str">
        <f>_xlfn.XLOOKUP(FactSales[[#This Row],[Salesperson_ID]],DimSalesman[Salesperson_ID],DimSalesman[Salesperson_Name])</f>
        <v>Tamanna Sultana</v>
      </c>
      <c r="V264" s="6" t="str">
        <f>_xlfn.XLOOKUP(FactSales[[#This Row],[Region_ID]],DimRegion[Region_ID],DimRegion[Region_Name])</f>
        <v>Mymensingh</v>
      </c>
      <c r="W264" s="6" t="str">
        <f>_xlfn.XLOOKUP(FactSales[[#This Row],[Store_ID]],DimStore[Store_ID],DimStore[Store_Name])</f>
        <v>Mymensingh Town Hall Store</v>
      </c>
    </row>
    <row r="265" spans="1:23">
      <c r="A265" s="4" t="s">
        <v>1261</v>
      </c>
      <c r="B265" s="5">
        <v>45809</v>
      </c>
      <c r="C265" s="4" t="s">
        <v>409</v>
      </c>
      <c r="D265" s="4" t="s">
        <v>47</v>
      </c>
      <c r="E265" s="4" t="s">
        <v>695</v>
      </c>
      <c r="F265" s="4" t="s">
        <v>953</v>
      </c>
      <c r="G265" s="4" t="s">
        <v>750</v>
      </c>
      <c r="H265" s="4">
        <v>1</v>
      </c>
      <c r="I265" s="7">
        <v>0.12</v>
      </c>
      <c r="J265" s="6">
        <v>3532</v>
      </c>
      <c r="K265" s="4">
        <v>2</v>
      </c>
      <c r="L265" s="8">
        <f t="shared" si="4"/>
        <v>4.3</v>
      </c>
      <c r="M265" s="6" t="str">
        <f>_xlfn.XLOOKUP(FactSales[[#This Row],[Product_ID]],DimProduct[Product_ID],DimProduct[Product_Name])</f>
        <v>Bluetooth Speaker</v>
      </c>
      <c r="N265" s="6" t="str">
        <f>_xlfn.XLOOKUP(FactSales[[#This Row],[Product_ID]],DimProduct[Product_ID],DimProduct[Category])</f>
        <v>Electronics</v>
      </c>
      <c r="O265" s="6">
        <f>_xlfn.XLOOKUP(FactSales[[#This Row],[Product_ID]],DimProduct[Product_ID],DimProduct[Unit_Price])</f>
        <v>3240</v>
      </c>
      <c r="P265" s="6">
        <f>_xlfn.XLOOKUP(FactSales[[#This Row],[Product_ID]],DimProduct[Product_ID],DimProduct[Unit_Cost])</f>
        <v>2200</v>
      </c>
      <c r="Q265" s="6">
        <f>FactSales[[#This Row],[Unit_Price]]*FactSales[[#This Row],[Quantity_Sold]]</f>
        <v>3240</v>
      </c>
      <c r="R265" s="6">
        <f>FactSales[[#This Row],[Unit_Cost]]*FactSales[[#This Row],[Quantity_Sold]]</f>
        <v>2200</v>
      </c>
      <c r="S265" s="6">
        <f>FactSales[[#This Row],[Sales_Amount]]-FactSales[[#This Row],[Total_Cost]]</f>
        <v>1040</v>
      </c>
      <c r="T265" s="6" t="str">
        <f>_xlfn.XLOOKUP(FactSales[[#This Row],[Customer_ID]],DimCustomer[Customer_ID],DimCustomer[Customer_Name])</f>
        <v>Mim Chowdhury</v>
      </c>
      <c r="U265" s="6" t="str">
        <f>_xlfn.XLOOKUP(FactSales[[#This Row],[Salesperson_ID]],DimSalesman[Salesperson_ID],DimSalesman[Salesperson_Name])</f>
        <v>Nusrat Akter</v>
      </c>
      <c r="V265" s="6" t="str">
        <f>_xlfn.XLOOKUP(FactSales[[#This Row],[Region_ID]],DimRegion[Region_ID],DimRegion[Region_Name])</f>
        <v>Khulna</v>
      </c>
      <c r="W265" s="6" t="str">
        <f>_xlfn.XLOOKUP(FactSales[[#This Row],[Store_ID]],DimStore[Store_ID],DimStore[Store_Name])</f>
        <v>Khulna Shibbari Store</v>
      </c>
    </row>
    <row r="266" spans="1:23">
      <c r="A266" s="4" t="s">
        <v>1262</v>
      </c>
      <c r="B266" s="5">
        <v>45963</v>
      </c>
      <c r="C266" s="4" t="s">
        <v>85</v>
      </c>
      <c r="D266" s="4" t="s">
        <v>27</v>
      </c>
      <c r="E266" s="4" t="s">
        <v>618</v>
      </c>
      <c r="F266" s="4" t="s">
        <v>920</v>
      </c>
      <c r="G266" s="4" t="s">
        <v>813</v>
      </c>
      <c r="H266" s="4">
        <v>2</v>
      </c>
      <c r="I266" s="7">
        <v>0</v>
      </c>
      <c r="J266" s="6">
        <v>4537</v>
      </c>
      <c r="K266" s="4">
        <v>4</v>
      </c>
      <c r="L266" s="8">
        <f t="shared" si="4"/>
        <v>3.9</v>
      </c>
      <c r="M266" s="6" t="str">
        <f>_xlfn.XLOOKUP(FactSales[[#This Row],[Product_ID]],DimProduct[Product_ID],DimProduct[Product_Name])</f>
        <v>Tea Pack 500g</v>
      </c>
      <c r="N266" s="6" t="str">
        <f>_xlfn.XLOOKUP(FactSales[[#This Row],[Product_ID]],DimProduct[Product_ID],DimProduct[Category])</f>
        <v>Grocery</v>
      </c>
      <c r="O266" s="6">
        <f>_xlfn.XLOOKUP(FactSales[[#This Row],[Product_ID]],DimProduct[Product_ID],DimProduct[Unit_Price])</f>
        <v>2140</v>
      </c>
      <c r="P266" s="6">
        <f>_xlfn.XLOOKUP(FactSales[[#This Row],[Product_ID]],DimProduct[Product_ID],DimProduct[Unit_Cost])</f>
        <v>1670</v>
      </c>
      <c r="Q266" s="6">
        <f>FactSales[[#This Row],[Unit_Price]]*FactSales[[#This Row],[Quantity_Sold]]</f>
        <v>4280</v>
      </c>
      <c r="R266" s="6">
        <f>FactSales[[#This Row],[Unit_Cost]]*FactSales[[#This Row],[Quantity_Sold]]</f>
        <v>3340</v>
      </c>
      <c r="S266" s="6">
        <f>FactSales[[#This Row],[Sales_Amount]]-FactSales[[#This Row],[Total_Cost]]</f>
        <v>940</v>
      </c>
      <c r="T266" s="6" t="str">
        <f>_xlfn.XLOOKUP(FactSales[[#This Row],[Customer_ID]],DimCustomer[Customer_ID],DimCustomer[Customer_Name])</f>
        <v>Imran Uddin</v>
      </c>
      <c r="U266" s="6" t="str">
        <f>_xlfn.XLOOKUP(FactSales[[#This Row],[Salesperson_ID]],DimSalesman[Salesperson_ID],DimSalesman[Salesperson_Name])</f>
        <v>Rahim Hossain</v>
      </c>
      <c r="V266" s="6" t="str">
        <f>_xlfn.XLOOKUP(FactSales[[#This Row],[Region_ID]],DimRegion[Region_ID],DimRegion[Region_Name])</f>
        <v>Dhaka</v>
      </c>
      <c r="W266" s="6" t="str">
        <f>_xlfn.XLOOKUP(FactSales[[#This Row],[Store_ID]],DimStore[Store_ID],DimStore[Store_Name])</f>
        <v>Dhaka Gulshan Store</v>
      </c>
    </row>
    <row r="267" spans="1:23">
      <c r="A267" s="4" t="s">
        <v>1263</v>
      </c>
      <c r="B267" s="5">
        <v>45839</v>
      </c>
      <c r="C267" s="4" t="s">
        <v>231</v>
      </c>
      <c r="D267" s="4" t="s">
        <v>37</v>
      </c>
      <c r="E267" s="4" t="s">
        <v>659</v>
      </c>
      <c r="F267" s="4" t="s">
        <v>939</v>
      </c>
      <c r="G267" s="4" t="s">
        <v>834</v>
      </c>
      <c r="H267" s="4">
        <v>8</v>
      </c>
      <c r="I267" s="7">
        <v>0.12</v>
      </c>
      <c r="J267" s="6">
        <v>30046</v>
      </c>
      <c r="K267" s="4">
        <v>4</v>
      </c>
      <c r="L267" s="8">
        <f t="shared" si="4"/>
        <v>3.7</v>
      </c>
      <c r="M267" s="6" t="str">
        <f>_xlfn.XLOOKUP(FactSales[[#This Row],[Product_ID]],DimProduct[Product_ID],DimProduct[Product_Name])</f>
        <v>Running Shoe</v>
      </c>
      <c r="N267" s="6" t="str">
        <f>_xlfn.XLOOKUP(FactSales[[#This Row],[Product_ID]],DimProduct[Product_ID],DimProduct[Category])</f>
        <v>Footwear</v>
      </c>
      <c r="O267" s="6">
        <f>_xlfn.XLOOKUP(FactSales[[#This Row],[Product_ID]],DimProduct[Product_ID],DimProduct[Unit_Price])</f>
        <v>3510</v>
      </c>
      <c r="P267" s="6">
        <f>_xlfn.XLOOKUP(FactSales[[#This Row],[Product_ID]],DimProduct[Product_ID],DimProduct[Unit_Cost])</f>
        <v>2110</v>
      </c>
      <c r="Q267" s="6">
        <f>FactSales[[#This Row],[Unit_Price]]*FactSales[[#This Row],[Quantity_Sold]]</f>
        <v>28080</v>
      </c>
      <c r="R267" s="6">
        <f>FactSales[[#This Row],[Unit_Cost]]*FactSales[[#This Row],[Quantity_Sold]]</f>
        <v>16880</v>
      </c>
      <c r="S267" s="6">
        <f>FactSales[[#This Row],[Sales_Amount]]-FactSales[[#This Row],[Total_Cost]]</f>
        <v>11200</v>
      </c>
      <c r="T267" s="6" t="str">
        <f>_xlfn.XLOOKUP(FactSales[[#This Row],[Customer_ID]],DimCustomer[Customer_ID],DimCustomer[Customer_Name])</f>
        <v>Shamim Akter</v>
      </c>
      <c r="U267" s="6" t="str">
        <f>_xlfn.XLOOKUP(FactSales[[#This Row],[Salesperson_ID]],DimSalesman[Salesperson_ID],DimSalesman[Salesperson_Name])</f>
        <v>Fahim Mia</v>
      </c>
      <c r="V267" s="6" t="str">
        <f>_xlfn.XLOOKUP(FactSales[[#This Row],[Region_ID]],DimRegion[Region_ID],DimRegion[Region_Name])</f>
        <v>Sylhet</v>
      </c>
      <c r="W267" s="6" t="str">
        <f>_xlfn.XLOOKUP(FactSales[[#This Row],[Store_ID]],DimStore[Store_ID],DimStore[Store_Name])</f>
        <v>Sylhet South Surma Store</v>
      </c>
    </row>
    <row r="268" spans="1:23">
      <c r="A268" s="4" t="s">
        <v>1264</v>
      </c>
      <c r="B268" s="5">
        <v>46046</v>
      </c>
      <c r="C268" s="4" t="s">
        <v>427</v>
      </c>
      <c r="D268" s="4" t="s">
        <v>52</v>
      </c>
      <c r="E268" s="4" t="s">
        <v>698</v>
      </c>
      <c r="F268" s="4" t="s">
        <v>963</v>
      </c>
      <c r="G268" s="4" t="s">
        <v>773</v>
      </c>
      <c r="H268" s="4">
        <v>5</v>
      </c>
      <c r="I268" s="7">
        <v>0.15</v>
      </c>
      <c r="J268" s="6">
        <v>41608</v>
      </c>
      <c r="K268" s="4">
        <v>7</v>
      </c>
      <c r="L268" s="8">
        <f t="shared" si="4"/>
        <v>2.6</v>
      </c>
      <c r="M268" s="6" t="str">
        <f>_xlfn.XLOOKUP(FactSales[[#This Row],[Product_ID]],DimProduct[Product_ID],DimProduct[Product_Name])</f>
        <v>Rice Cooker</v>
      </c>
      <c r="N268" s="6" t="str">
        <f>_xlfn.XLOOKUP(FactSales[[#This Row],[Product_ID]],DimProduct[Product_ID],DimProduct[Category])</f>
        <v>Home Appliance</v>
      </c>
      <c r="O268" s="6">
        <f>_xlfn.XLOOKUP(FactSales[[#This Row],[Product_ID]],DimProduct[Product_ID],DimProduct[Unit_Price])</f>
        <v>7430</v>
      </c>
      <c r="P268" s="6">
        <f>_xlfn.XLOOKUP(FactSales[[#This Row],[Product_ID]],DimProduct[Product_ID],DimProduct[Unit_Cost])</f>
        <v>5200</v>
      </c>
      <c r="Q268" s="6">
        <f>FactSales[[#This Row],[Unit_Price]]*FactSales[[#This Row],[Quantity_Sold]]</f>
        <v>37150</v>
      </c>
      <c r="R268" s="6">
        <f>FactSales[[#This Row],[Unit_Cost]]*FactSales[[#This Row],[Quantity_Sold]]</f>
        <v>26000</v>
      </c>
      <c r="S268" s="6">
        <f>FactSales[[#This Row],[Sales_Amount]]-FactSales[[#This Row],[Total_Cost]]</f>
        <v>11150</v>
      </c>
      <c r="T268" s="6" t="str">
        <f>_xlfn.XLOOKUP(FactSales[[#This Row],[Customer_ID]],DimCustomer[Customer_ID],DimCustomer[Customer_Name])</f>
        <v>Nabila Khan</v>
      </c>
      <c r="U268" s="6" t="str">
        <f>_xlfn.XLOOKUP(FactSales[[#This Row],[Salesperson_ID]],DimSalesman[Salesperson_ID],DimSalesman[Salesperson_Name])</f>
        <v>Rasel Uddin</v>
      </c>
      <c r="V268" s="6" t="str">
        <f>_xlfn.XLOOKUP(FactSales[[#This Row],[Region_ID]],DimRegion[Region_ID],DimRegion[Region_Name])</f>
        <v>Barishal</v>
      </c>
      <c r="W268" s="6" t="str">
        <f>_xlfn.XLOOKUP(FactSales[[#This Row],[Store_ID]],DimStore[Store_ID],DimStore[Store_Name])</f>
        <v>Barishal Nathullabad Store</v>
      </c>
    </row>
    <row r="269" spans="1:23">
      <c r="A269" s="4" t="s">
        <v>1265</v>
      </c>
      <c r="B269" s="5">
        <v>45995</v>
      </c>
      <c r="C269" s="4" t="s">
        <v>562</v>
      </c>
      <c r="D269" s="4" t="s">
        <v>62</v>
      </c>
      <c r="E269" s="4" t="s">
        <v>728</v>
      </c>
      <c r="F269" s="4" t="s">
        <v>987</v>
      </c>
      <c r="G269" s="4" t="s">
        <v>876</v>
      </c>
      <c r="H269" s="4">
        <v>5</v>
      </c>
      <c r="I269" s="7">
        <v>0.02</v>
      </c>
      <c r="J269" s="6">
        <v>4104</v>
      </c>
      <c r="K269" s="4">
        <v>3</v>
      </c>
      <c r="L269" s="8">
        <f t="shared" si="4"/>
        <v>4.2</v>
      </c>
      <c r="M269" s="6" t="str">
        <f>_xlfn.XLOOKUP(FactSales[[#This Row],[Product_ID]],DimProduct[Product_ID],DimProduct[Product_Name])</f>
        <v>Sticky Notes</v>
      </c>
      <c r="N269" s="6" t="str">
        <f>_xlfn.XLOOKUP(FactSales[[#This Row],[Product_ID]],DimProduct[Product_ID],DimProduct[Category])</f>
        <v>Stationery</v>
      </c>
      <c r="O269" s="6">
        <f>_xlfn.XLOOKUP(FactSales[[#This Row],[Product_ID]],DimProduct[Product_ID],DimProduct[Unit_Price])</f>
        <v>760</v>
      </c>
      <c r="P269" s="6">
        <f>_xlfn.XLOOKUP(FactSales[[#This Row],[Product_ID]],DimProduct[Product_ID],DimProduct[Unit_Cost])</f>
        <v>380</v>
      </c>
      <c r="Q269" s="6">
        <f>FactSales[[#This Row],[Unit_Price]]*FactSales[[#This Row],[Quantity_Sold]]</f>
        <v>3800</v>
      </c>
      <c r="R269" s="6">
        <f>FactSales[[#This Row],[Unit_Cost]]*FactSales[[#This Row],[Quantity_Sold]]</f>
        <v>1900</v>
      </c>
      <c r="S269" s="6">
        <f>FactSales[[#This Row],[Sales_Amount]]-FactSales[[#This Row],[Total_Cost]]</f>
        <v>1900</v>
      </c>
      <c r="T269" s="6" t="str">
        <f>_xlfn.XLOOKUP(FactSales[[#This Row],[Customer_ID]],DimCustomer[Customer_ID],DimCustomer[Customer_Name])</f>
        <v>Shamim Hossain</v>
      </c>
      <c r="U269" s="6" t="str">
        <f>_xlfn.XLOOKUP(FactSales[[#This Row],[Salesperson_ID]],DimSalesman[Salesperson_ID],DimSalesman[Salesperson_Name])</f>
        <v>Tanvir Chowdhury</v>
      </c>
      <c r="V269" s="6" t="str">
        <f>_xlfn.XLOOKUP(FactSales[[#This Row],[Region_ID]],DimRegion[Region_ID],DimRegion[Region_Name])</f>
        <v>Mymensingh</v>
      </c>
      <c r="W269" s="6" t="str">
        <f>_xlfn.XLOOKUP(FactSales[[#This Row],[Store_ID]],DimStore[Store_ID],DimStore[Store_Name])</f>
        <v>Mymensingh Ganginarpar Store</v>
      </c>
    </row>
    <row r="270" spans="1:23">
      <c r="A270" s="4" t="s">
        <v>1266</v>
      </c>
      <c r="B270" s="5">
        <v>45747</v>
      </c>
      <c r="C270" s="4" t="s">
        <v>338</v>
      </c>
      <c r="D270" s="4" t="s">
        <v>42</v>
      </c>
      <c r="E270" s="4" t="s">
        <v>668</v>
      </c>
      <c r="F270" s="4" t="s">
        <v>943</v>
      </c>
      <c r="G270" s="4" t="s">
        <v>813</v>
      </c>
      <c r="H270" s="4">
        <v>4</v>
      </c>
      <c r="I270" s="7">
        <v>0.03</v>
      </c>
      <c r="J270" s="6">
        <v>9245</v>
      </c>
      <c r="K270" s="4">
        <v>1</v>
      </c>
      <c r="L270" s="8">
        <f t="shared" si="4"/>
        <v>4.8</v>
      </c>
      <c r="M270" s="6" t="str">
        <f>_xlfn.XLOOKUP(FactSales[[#This Row],[Product_ID]],DimProduct[Product_ID],DimProduct[Product_Name])</f>
        <v>Tea Pack 500g</v>
      </c>
      <c r="N270" s="6" t="str">
        <f>_xlfn.XLOOKUP(FactSales[[#This Row],[Product_ID]],DimProduct[Product_ID],DimProduct[Category])</f>
        <v>Grocery</v>
      </c>
      <c r="O270" s="6">
        <f>_xlfn.XLOOKUP(FactSales[[#This Row],[Product_ID]],DimProduct[Product_ID],DimProduct[Unit_Price])</f>
        <v>2140</v>
      </c>
      <c r="P270" s="6">
        <f>_xlfn.XLOOKUP(FactSales[[#This Row],[Product_ID]],DimProduct[Product_ID],DimProduct[Unit_Cost])</f>
        <v>1670</v>
      </c>
      <c r="Q270" s="6">
        <f>FactSales[[#This Row],[Unit_Price]]*FactSales[[#This Row],[Quantity_Sold]]</f>
        <v>8560</v>
      </c>
      <c r="R270" s="6">
        <f>FactSales[[#This Row],[Unit_Cost]]*FactSales[[#This Row],[Quantity_Sold]]</f>
        <v>6680</v>
      </c>
      <c r="S270" s="6">
        <f>FactSales[[#This Row],[Sales_Amount]]-FactSales[[#This Row],[Total_Cost]]</f>
        <v>1880</v>
      </c>
      <c r="T270" s="6" t="str">
        <f>_xlfn.XLOOKUP(FactSales[[#This Row],[Customer_ID]],DimCustomer[Customer_ID],DimCustomer[Customer_Name])</f>
        <v>Shakib Uddin</v>
      </c>
      <c r="U270" s="6" t="str">
        <f>_xlfn.XLOOKUP(FactSales[[#This Row],[Salesperson_ID]],DimSalesman[Salesperson_ID],DimSalesman[Salesperson_Name])</f>
        <v>Imran Khan</v>
      </c>
      <c r="V270" s="6" t="str">
        <f>_xlfn.XLOOKUP(FactSales[[#This Row],[Region_ID]],DimRegion[Region_ID],DimRegion[Region_Name])</f>
        <v>Rajshahi</v>
      </c>
      <c r="W270" s="6" t="str">
        <f>_xlfn.XLOOKUP(FactSales[[#This Row],[Store_ID]],DimStore[Store_ID],DimStore[Store_Name])</f>
        <v>Rajshahi Shaheb Bazar Store</v>
      </c>
    </row>
    <row r="271" spans="1:23">
      <c r="A271" s="4" t="s">
        <v>1267</v>
      </c>
      <c r="B271" s="5">
        <v>45790</v>
      </c>
      <c r="C271" s="4" t="s">
        <v>401</v>
      </c>
      <c r="D271" s="4" t="s">
        <v>47</v>
      </c>
      <c r="E271" s="4" t="s">
        <v>695</v>
      </c>
      <c r="F271" s="4" t="s">
        <v>956</v>
      </c>
      <c r="G271" s="4" t="s">
        <v>775</v>
      </c>
      <c r="H271" s="4">
        <v>3</v>
      </c>
      <c r="I271" s="7">
        <v>0.15</v>
      </c>
      <c r="J271" s="6">
        <v>7946</v>
      </c>
      <c r="K271" s="4">
        <v>7</v>
      </c>
      <c r="L271" s="8">
        <f t="shared" si="4"/>
        <v>2.6</v>
      </c>
      <c r="M271" s="6" t="str">
        <f>_xlfn.XLOOKUP(FactSales[[#This Row],[Product_ID]],DimProduct[Product_ID],DimProduct[Product_Name])</f>
        <v>Blender Machine</v>
      </c>
      <c r="N271" s="6" t="str">
        <f>_xlfn.XLOOKUP(FactSales[[#This Row],[Product_ID]],DimProduct[Product_ID],DimProduct[Category])</f>
        <v>Home Appliance</v>
      </c>
      <c r="O271" s="6">
        <f>_xlfn.XLOOKUP(FactSales[[#This Row],[Product_ID]],DimProduct[Product_ID],DimProduct[Unit_Price])</f>
        <v>2430</v>
      </c>
      <c r="P271" s="6">
        <f>_xlfn.XLOOKUP(FactSales[[#This Row],[Product_ID]],DimProduct[Product_ID],DimProduct[Unit_Cost])</f>
        <v>1700</v>
      </c>
      <c r="Q271" s="6">
        <f>FactSales[[#This Row],[Unit_Price]]*FactSales[[#This Row],[Quantity_Sold]]</f>
        <v>7290</v>
      </c>
      <c r="R271" s="6">
        <f>FactSales[[#This Row],[Unit_Cost]]*FactSales[[#This Row],[Quantity_Sold]]</f>
        <v>5100</v>
      </c>
      <c r="S271" s="6">
        <f>FactSales[[#This Row],[Sales_Amount]]-FactSales[[#This Row],[Total_Cost]]</f>
        <v>2190</v>
      </c>
      <c r="T271" s="6" t="str">
        <f>_xlfn.XLOOKUP(FactSales[[#This Row],[Customer_ID]],DimCustomer[Customer_ID],DimCustomer[Customer_Name])</f>
        <v>Sajib Rahman</v>
      </c>
      <c r="U271" s="6" t="str">
        <f>_xlfn.XLOOKUP(FactSales[[#This Row],[Salesperson_ID]],DimSalesman[Salesperson_ID],DimSalesman[Salesperson_Name])</f>
        <v>Rafi Ahmed</v>
      </c>
      <c r="V271" s="6" t="str">
        <f>_xlfn.XLOOKUP(FactSales[[#This Row],[Region_ID]],DimRegion[Region_ID],DimRegion[Region_Name])</f>
        <v>Khulna</v>
      </c>
      <c r="W271" s="6" t="str">
        <f>_xlfn.XLOOKUP(FactSales[[#This Row],[Store_ID]],DimStore[Store_ID],DimStore[Store_Name])</f>
        <v>Khulna Shibbari Store</v>
      </c>
    </row>
    <row r="272" spans="1:23">
      <c r="A272" s="4" t="s">
        <v>1268</v>
      </c>
      <c r="B272" s="5">
        <v>45955</v>
      </c>
      <c r="C272" s="4" t="s">
        <v>588</v>
      </c>
      <c r="D272" s="4" t="s">
        <v>62</v>
      </c>
      <c r="E272" s="4" t="s">
        <v>731</v>
      </c>
      <c r="F272" s="4" t="s">
        <v>985</v>
      </c>
      <c r="G272" s="4" t="s">
        <v>765</v>
      </c>
      <c r="H272" s="4">
        <v>8</v>
      </c>
      <c r="I272" s="7">
        <v>0.08</v>
      </c>
      <c r="J272" s="6">
        <v>42250</v>
      </c>
      <c r="K272" s="4">
        <v>5</v>
      </c>
      <c r="L272" s="8">
        <f t="shared" si="4"/>
        <v>3.4</v>
      </c>
      <c r="M272" s="6" t="str">
        <f>_xlfn.XLOOKUP(FactSales[[#This Row],[Product_ID]],DimProduct[Product_ID],DimProduct[Product_Name])</f>
        <v>USB-C Hub</v>
      </c>
      <c r="N272" s="6" t="str">
        <f>_xlfn.XLOOKUP(FactSales[[#This Row],[Product_ID]],DimProduct[Product_ID],DimProduct[Category])</f>
        <v>Electronics</v>
      </c>
      <c r="O272" s="6">
        <f>_xlfn.XLOOKUP(FactSales[[#This Row],[Product_ID]],DimProduct[Product_ID],DimProduct[Unit_Price])</f>
        <v>4890</v>
      </c>
      <c r="P272" s="6">
        <f>_xlfn.XLOOKUP(FactSales[[#This Row],[Product_ID]],DimProduct[Product_ID],DimProduct[Unit_Cost])</f>
        <v>3330</v>
      </c>
      <c r="Q272" s="6">
        <f>FactSales[[#This Row],[Unit_Price]]*FactSales[[#This Row],[Quantity_Sold]]</f>
        <v>39120</v>
      </c>
      <c r="R272" s="6">
        <f>FactSales[[#This Row],[Unit_Cost]]*FactSales[[#This Row],[Quantity_Sold]]</f>
        <v>26640</v>
      </c>
      <c r="S272" s="6">
        <f>FactSales[[#This Row],[Sales_Amount]]-FactSales[[#This Row],[Total_Cost]]</f>
        <v>12480</v>
      </c>
      <c r="T272" s="6" t="str">
        <f>_xlfn.XLOOKUP(FactSales[[#This Row],[Customer_ID]],DimCustomer[Customer_ID],DimCustomer[Customer_Name])</f>
        <v>Rasel Uddin</v>
      </c>
      <c r="U272" s="6" t="str">
        <f>_xlfn.XLOOKUP(FactSales[[#This Row],[Salesperson_ID]],DimSalesman[Salesperson_ID],DimSalesman[Salesperson_Name])</f>
        <v>Tamanna Sultana</v>
      </c>
      <c r="V272" s="6" t="str">
        <f>_xlfn.XLOOKUP(FactSales[[#This Row],[Region_ID]],DimRegion[Region_ID],DimRegion[Region_Name])</f>
        <v>Mymensingh</v>
      </c>
      <c r="W272" s="6" t="str">
        <f>_xlfn.XLOOKUP(FactSales[[#This Row],[Store_ID]],DimStore[Store_ID],DimStore[Store_Name])</f>
        <v>Mymensingh Town Hall Store</v>
      </c>
    </row>
    <row r="273" spans="1:23">
      <c r="A273" s="4" t="s">
        <v>1269</v>
      </c>
      <c r="B273" s="5">
        <v>46081</v>
      </c>
      <c r="C273" s="4" t="s">
        <v>212</v>
      </c>
      <c r="D273" s="4" t="s">
        <v>32</v>
      </c>
      <c r="E273" s="4" t="s">
        <v>641</v>
      </c>
      <c r="F273" s="4" t="s">
        <v>929</v>
      </c>
      <c r="G273" s="4" t="s">
        <v>905</v>
      </c>
      <c r="H273" s="4">
        <v>1</v>
      </c>
      <c r="I273" s="7">
        <v>7.0000000000000007E-2</v>
      </c>
      <c r="J273" s="6">
        <v>6692</v>
      </c>
      <c r="K273" s="4">
        <v>8</v>
      </c>
      <c r="L273" s="8">
        <f t="shared" si="4"/>
        <v>2.5</v>
      </c>
      <c r="M273" s="6" t="str">
        <f>_xlfn.XLOOKUP(FactSales[[#This Row],[Product_ID]],DimProduct[Product_ID],DimProduct[Product_Name])</f>
        <v>Bedside Table</v>
      </c>
      <c r="N273" s="6" t="str">
        <f>_xlfn.XLOOKUP(FactSales[[#This Row],[Product_ID]],DimProduct[Product_ID],DimProduct[Category])</f>
        <v>Furniture</v>
      </c>
      <c r="O273" s="6">
        <f>_xlfn.XLOOKUP(FactSales[[#This Row],[Product_ID]],DimProduct[Product_ID],DimProduct[Unit_Price])</f>
        <v>5870</v>
      </c>
      <c r="P273" s="6">
        <f>_xlfn.XLOOKUP(FactSales[[#This Row],[Product_ID]],DimProduct[Product_ID],DimProduct[Unit_Cost])</f>
        <v>4230</v>
      </c>
      <c r="Q273" s="6">
        <f>FactSales[[#This Row],[Unit_Price]]*FactSales[[#This Row],[Quantity_Sold]]</f>
        <v>5870</v>
      </c>
      <c r="R273" s="6">
        <f>FactSales[[#This Row],[Unit_Cost]]*FactSales[[#This Row],[Quantity_Sold]]</f>
        <v>4230</v>
      </c>
      <c r="S273" s="6">
        <f>FactSales[[#This Row],[Sales_Amount]]-FactSales[[#This Row],[Total_Cost]]</f>
        <v>1640</v>
      </c>
      <c r="T273" s="6" t="str">
        <f>_xlfn.XLOOKUP(FactSales[[#This Row],[Customer_ID]],DimCustomer[Customer_ID],DimCustomer[Customer_Name])</f>
        <v>Hasan Akter</v>
      </c>
      <c r="U273" s="6" t="str">
        <f>_xlfn.XLOOKUP(FactSales[[#This Row],[Salesperson_ID]],DimSalesman[Salesperson_ID],DimSalesman[Salesperson_Name])</f>
        <v>Nabila Mia</v>
      </c>
      <c r="V273" s="6" t="str">
        <f>_xlfn.XLOOKUP(FactSales[[#This Row],[Region_ID]],DimRegion[Region_ID],DimRegion[Region_Name])</f>
        <v>Chattogram</v>
      </c>
      <c r="W273" s="6" t="str">
        <f>_xlfn.XLOOKUP(FactSales[[#This Row],[Store_ID]],DimStore[Store_ID],DimStore[Store_Name])</f>
        <v>Chattogram GEC Store</v>
      </c>
    </row>
    <row r="274" spans="1:23">
      <c r="A274" s="4" t="s">
        <v>1270</v>
      </c>
      <c r="B274" s="5">
        <v>45727</v>
      </c>
      <c r="C274" s="4" t="s">
        <v>286</v>
      </c>
      <c r="D274" s="4" t="s">
        <v>42</v>
      </c>
      <c r="E274" s="4" t="s">
        <v>671</v>
      </c>
      <c r="F274" s="4" t="s">
        <v>950</v>
      </c>
      <c r="G274" s="4" t="s">
        <v>768</v>
      </c>
      <c r="H274" s="4">
        <v>4</v>
      </c>
      <c r="I274" s="7">
        <v>0.18</v>
      </c>
      <c r="J274" s="6">
        <v>31104</v>
      </c>
      <c r="K274" s="4">
        <v>6</v>
      </c>
      <c r="L274" s="8">
        <f t="shared" si="4"/>
        <v>2.9</v>
      </c>
      <c r="M274" s="6" t="str">
        <f>_xlfn.XLOOKUP(FactSales[[#This Row],[Product_ID]],DimProduct[Product_ID],DimProduct[Product_Name])</f>
        <v>Electric Kettle</v>
      </c>
      <c r="N274" s="6" t="str">
        <f>_xlfn.XLOOKUP(FactSales[[#This Row],[Product_ID]],DimProduct[Product_ID],DimProduct[Category])</f>
        <v>Home Appliance</v>
      </c>
      <c r="O274" s="6">
        <f>_xlfn.XLOOKUP(FactSales[[#This Row],[Product_ID]],DimProduct[Product_ID],DimProduct[Unit_Price])</f>
        <v>7200</v>
      </c>
      <c r="P274" s="6">
        <f>_xlfn.XLOOKUP(FactSales[[#This Row],[Product_ID]],DimProduct[Product_ID],DimProduct[Unit_Cost])</f>
        <v>5040</v>
      </c>
      <c r="Q274" s="6">
        <f>FactSales[[#This Row],[Unit_Price]]*FactSales[[#This Row],[Quantity_Sold]]</f>
        <v>28800</v>
      </c>
      <c r="R274" s="6">
        <f>FactSales[[#This Row],[Unit_Cost]]*FactSales[[#This Row],[Quantity_Sold]]</f>
        <v>20160</v>
      </c>
      <c r="S274" s="6">
        <f>FactSales[[#This Row],[Sales_Amount]]-FactSales[[#This Row],[Total_Cost]]</f>
        <v>8640</v>
      </c>
      <c r="T274" s="6" t="str">
        <f>_xlfn.XLOOKUP(FactSales[[#This Row],[Customer_ID]],DimCustomer[Customer_ID],DimCustomer[Customer_Name])</f>
        <v>Mehedi Mia</v>
      </c>
      <c r="U274" s="6" t="str">
        <f>_xlfn.XLOOKUP(FactSales[[#This Row],[Salesperson_ID]],DimSalesman[Salesperson_ID],DimSalesman[Salesperson_Name])</f>
        <v>Mim Rahman</v>
      </c>
      <c r="V274" s="6" t="str">
        <f>_xlfn.XLOOKUP(FactSales[[#This Row],[Region_ID]],DimRegion[Region_ID],DimRegion[Region_Name])</f>
        <v>Rajshahi</v>
      </c>
      <c r="W274" s="6" t="str">
        <f>_xlfn.XLOOKUP(FactSales[[#This Row],[Store_ID]],DimStore[Store_ID],DimStore[Store_Name])</f>
        <v>Rajshahi Kazla Store</v>
      </c>
    </row>
    <row r="275" spans="1:23">
      <c r="A275" s="4" t="s">
        <v>1271</v>
      </c>
      <c r="B275" s="5">
        <v>45687</v>
      </c>
      <c r="C275" s="4" t="s">
        <v>449</v>
      </c>
      <c r="D275" s="4" t="s">
        <v>52</v>
      </c>
      <c r="E275" s="4" t="s">
        <v>707</v>
      </c>
      <c r="F275" s="4" t="s">
        <v>966</v>
      </c>
      <c r="G275" s="4" t="s">
        <v>810</v>
      </c>
      <c r="H275" s="4">
        <v>5</v>
      </c>
      <c r="I275" s="7">
        <v>0.02</v>
      </c>
      <c r="J275" s="6">
        <v>2464</v>
      </c>
      <c r="K275" s="4">
        <v>5</v>
      </c>
      <c r="L275" s="8">
        <f t="shared" si="4"/>
        <v>3.6</v>
      </c>
      <c r="M275" s="6" t="str">
        <f>_xlfn.XLOOKUP(FactSales[[#This Row],[Product_ID]],DimProduct[Product_ID],DimProduct[Product_Name])</f>
        <v>Flour 2kg</v>
      </c>
      <c r="N275" s="6" t="str">
        <f>_xlfn.XLOOKUP(FactSales[[#This Row],[Product_ID]],DimProduct[Product_ID],DimProduct[Category])</f>
        <v>Grocery</v>
      </c>
      <c r="O275" s="6">
        <f>_xlfn.XLOOKUP(FactSales[[#This Row],[Product_ID]],DimProduct[Product_ID],DimProduct[Unit_Price])</f>
        <v>440</v>
      </c>
      <c r="P275" s="6">
        <f>_xlfn.XLOOKUP(FactSales[[#This Row],[Product_ID]],DimProduct[Product_ID],DimProduct[Unit_Cost])</f>
        <v>340</v>
      </c>
      <c r="Q275" s="6">
        <f>FactSales[[#This Row],[Unit_Price]]*FactSales[[#This Row],[Quantity_Sold]]</f>
        <v>2200</v>
      </c>
      <c r="R275" s="6">
        <f>FactSales[[#This Row],[Unit_Cost]]*FactSales[[#This Row],[Quantity_Sold]]</f>
        <v>1700</v>
      </c>
      <c r="S275" s="6">
        <f>FactSales[[#This Row],[Sales_Amount]]-FactSales[[#This Row],[Total_Cost]]</f>
        <v>500</v>
      </c>
      <c r="T275" s="6" t="str">
        <f>_xlfn.XLOOKUP(FactSales[[#This Row],[Customer_ID]],DimCustomer[Customer_ID],DimCustomer[Customer_Name])</f>
        <v>Ayesha Islam</v>
      </c>
      <c r="U275" s="6" t="str">
        <f>_xlfn.XLOOKUP(FactSales[[#This Row],[Salesperson_ID]],DimSalesman[Salesperson_ID],DimSalesman[Salesperson_Name])</f>
        <v>Nayeem Akter</v>
      </c>
      <c r="V275" s="6" t="str">
        <f>_xlfn.XLOOKUP(FactSales[[#This Row],[Region_ID]],DimRegion[Region_ID],DimRegion[Region_Name])</f>
        <v>Barishal</v>
      </c>
      <c r="W275" s="6" t="str">
        <f>_xlfn.XLOOKUP(FactSales[[#This Row],[Store_ID]],DimStore[Store_ID],DimStore[Store_Name])</f>
        <v>Barishal Chowmatha Store</v>
      </c>
    </row>
    <row r="276" spans="1:23">
      <c r="A276" s="4" t="s">
        <v>1272</v>
      </c>
      <c r="B276" s="5">
        <v>45797</v>
      </c>
      <c r="C276" s="4" t="s">
        <v>449</v>
      </c>
      <c r="D276" s="4" t="s">
        <v>52</v>
      </c>
      <c r="E276" s="4" t="s">
        <v>707</v>
      </c>
      <c r="F276" s="4" t="s">
        <v>964</v>
      </c>
      <c r="G276" s="4" t="s">
        <v>864</v>
      </c>
      <c r="H276" s="4">
        <v>2</v>
      </c>
      <c r="I276" s="7">
        <v>0.05</v>
      </c>
      <c r="J276" s="6">
        <v>896</v>
      </c>
      <c r="K276" s="4">
        <v>7</v>
      </c>
      <c r="L276" s="8">
        <f t="shared" si="4"/>
        <v>2.9</v>
      </c>
      <c r="M276" s="6" t="str">
        <f>_xlfn.XLOOKUP(FactSales[[#This Row],[Product_ID]],DimProduct[Product_ID],DimProduct[Product_Name])</f>
        <v>Notebook Pack</v>
      </c>
      <c r="N276" s="6" t="str">
        <f>_xlfn.XLOOKUP(FactSales[[#This Row],[Product_ID]],DimProduct[Product_ID],DimProduct[Category])</f>
        <v>Stationery</v>
      </c>
      <c r="O276" s="6">
        <f>_xlfn.XLOOKUP(FactSales[[#This Row],[Product_ID]],DimProduct[Product_ID],DimProduct[Unit_Price])</f>
        <v>400</v>
      </c>
      <c r="P276" s="6">
        <f>_xlfn.XLOOKUP(FactSales[[#This Row],[Product_ID]],DimProduct[Product_ID],DimProduct[Unit_Cost])</f>
        <v>200</v>
      </c>
      <c r="Q276" s="6">
        <f>FactSales[[#This Row],[Unit_Price]]*FactSales[[#This Row],[Quantity_Sold]]</f>
        <v>800</v>
      </c>
      <c r="R276" s="6">
        <f>FactSales[[#This Row],[Unit_Cost]]*FactSales[[#This Row],[Quantity_Sold]]</f>
        <v>400</v>
      </c>
      <c r="S276" s="6">
        <f>FactSales[[#This Row],[Sales_Amount]]-FactSales[[#This Row],[Total_Cost]]</f>
        <v>400</v>
      </c>
      <c r="T276" s="6" t="str">
        <f>_xlfn.XLOOKUP(FactSales[[#This Row],[Customer_ID]],DimCustomer[Customer_ID],DimCustomer[Customer_Name])</f>
        <v>Ayesha Islam</v>
      </c>
      <c r="U276" s="6" t="str">
        <f>_xlfn.XLOOKUP(FactSales[[#This Row],[Salesperson_ID]],DimSalesman[Salesperson_ID],DimSalesman[Salesperson_Name])</f>
        <v>Shaila Uddin</v>
      </c>
      <c r="V276" s="6" t="str">
        <f>_xlfn.XLOOKUP(FactSales[[#This Row],[Region_ID]],DimRegion[Region_ID],DimRegion[Region_Name])</f>
        <v>Barishal</v>
      </c>
      <c r="W276" s="6" t="str">
        <f>_xlfn.XLOOKUP(FactSales[[#This Row],[Store_ID]],DimStore[Store_ID],DimStore[Store_Name])</f>
        <v>Barishal Chowmatha Store</v>
      </c>
    </row>
    <row r="277" spans="1:23">
      <c r="A277" s="4" t="s">
        <v>1273</v>
      </c>
      <c r="B277" s="5">
        <v>45964</v>
      </c>
      <c r="C277" s="4" t="s">
        <v>460</v>
      </c>
      <c r="D277" s="4" t="s">
        <v>52</v>
      </c>
      <c r="E277" s="4" t="s">
        <v>707</v>
      </c>
      <c r="F277" s="4" t="s">
        <v>966</v>
      </c>
      <c r="G277" s="4" t="s">
        <v>755</v>
      </c>
      <c r="H277" s="4">
        <v>3</v>
      </c>
      <c r="I277" s="7">
        <v>0.12</v>
      </c>
      <c r="J277" s="6">
        <v>11222</v>
      </c>
      <c r="K277" s="4">
        <v>4</v>
      </c>
      <c r="L277" s="8">
        <f t="shared" si="4"/>
        <v>3.7</v>
      </c>
      <c r="M277" s="6" t="str">
        <f>_xlfn.XLOOKUP(FactSales[[#This Row],[Product_ID]],DimProduct[Product_ID],DimProduct[Product_Name])</f>
        <v>Wireless Mouse</v>
      </c>
      <c r="N277" s="6" t="str">
        <f>_xlfn.XLOOKUP(FactSales[[#This Row],[Product_ID]],DimProduct[Product_ID],DimProduct[Category])</f>
        <v>Electronics</v>
      </c>
      <c r="O277" s="6">
        <f>_xlfn.XLOOKUP(FactSales[[#This Row],[Product_ID]],DimProduct[Product_ID],DimProduct[Unit_Price])</f>
        <v>3340</v>
      </c>
      <c r="P277" s="6">
        <f>_xlfn.XLOOKUP(FactSales[[#This Row],[Product_ID]],DimProduct[Product_ID],DimProduct[Unit_Cost])</f>
        <v>2270</v>
      </c>
      <c r="Q277" s="6">
        <f>FactSales[[#This Row],[Unit_Price]]*FactSales[[#This Row],[Quantity_Sold]]</f>
        <v>10020</v>
      </c>
      <c r="R277" s="6">
        <f>FactSales[[#This Row],[Unit_Cost]]*FactSales[[#This Row],[Quantity_Sold]]</f>
        <v>6810</v>
      </c>
      <c r="S277" s="6">
        <f>FactSales[[#This Row],[Sales_Amount]]-FactSales[[#This Row],[Total_Cost]]</f>
        <v>3210</v>
      </c>
      <c r="T277" s="6" t="str">
        <f>_xlfn.XLOOKUP(FactSales[[#This Row],[Customer_ID]],DimCustomer[Customer_ID],DimCustomer[Customer_Name])</f>
        <v>Ayesha Ahmed</v>
      </c>
      <c r="U277" s="6" t="str">
        <f>_xlfn.XLOOKUP(FactSales[[#This Row],[Salesperson_ID]],DimSalesman[Salesperson_ID],DimSalesman[Salesperson_Name])</f>
        <v>Nayeem Akter</v>
      </c>
      <c r="V277" s="6" t="str">
        <f>_xlfn.XLOOKUP(FactSales[[#This Row],[Region_ID]],DimRegion[Region_ID],DimRegion[Region_Name])</f>
        <v>Barishal</v>
      </c>
      <c r="W277" s="6" t="str">
        <f>_xlfn.XLOOKUP(FactSales[[#This Row],[Store_ID]],DimStore[Store_ID],DimStore[Store_Name])</f>
        <v>Barishal Chowmatha Store</v>
      </c>
    </row>
    <row r="278" spans="1:23">
      <c r="A278" s="4" t="s">
        <v>1274</v>
      </c>
      <c r="B278" s="5">
        <v>46020</v>
      </c>
      <c r="C278" s="4" t="s">
        <v>92</v>
      </c>
      <c r="D278" s="4" t="s">
        <v>27</v>
      </c>
      <c r="E278" s="4" t="s">
        <v>634</v>
      </c>
      <c r="F278" s="4" t="s">
        <v>920</v>
      </c>
      <c r="G278" s="4" t="s">
        <v>773</v>
      </c>
      <c r="H278" s="4">
        <v>1</v>
      </c>
      <c r="I278" s="7">
        <v>0.12</v>
      </c>
      <c r="J278" s="6">
        <v>7876</v>
      </c>
      <c r="K278" s="4">
        <v>5</v>
      </c>
      <c r="L278" s="8">
        <f t="shared" si="4"/>
        <v>3.3</v>
      </c>
      <c r="M278" s="6" t="str">
        <f>_xlfn.XLOOKUP(FactSales[[#This Row],[Product_ID]],DimProduct[Product_ID],DimProduct[Product_Name])</f>
        <v>Rice Cooker</v>
      </c>
      <c r="N278" s="6" t="str">
        <f>_xlfn.XLOOKUP(FactSales[[#This Row],[Product_ID]],DimProduct[Product_ID],DimProduct[Category])</f>
        <v>Home Appliance</v>
      </c>
      <c r="O278" s="6">
        <f>_xlfn.XLOOKUP(FactSales[[#This Row],[Product_ID]],DimProduct[Product_ID],DimProduct[Unit_Price])</f>
        <v>7430</v>
      </c>
      <c r="P278" s="6">
        <f>_xlfn.XLOOKUP(FactSales[[#This Row],[Product_ID]],DimProduct[Product_ID],DimProduct[Unit_Cost])</f>
        <v>5200</v>
      </c>
      <c r="Q278" s="6">
        <f>FactSales[[#This Row],[Unit_Price]]*FactSales[[#This Row],[Quantity_Sold]]</f>
        <v>7430</v>
      </c>
      <c r="R278" s="6">
        <f>FactSales[[#This Row],[Unit_Cost]]*FactSales[[#This Row],[Quantity_Sold]]</f>
        <v>5200</v>
      </c>
      <c r="S278" s="6">
        <f>FactSales[[#This Row],[Sales_Amount]]-FactSales[[#This Row],[Total_Cost]]</f>
        <v>2230</v>
      </c>
      <c r="T278" s="6" t="str">
        <f>_xlfn.XLOOKUP(FactSales[[#This Row],[Customer_ID]],DimCustomer[Customer_ID],DimCustomer[Customer_Name])</f>
        <v>Shamim Hossain</v>
      </c>
      <c r="U278" s="6" t="str">
        <f>_xlfn.XLOOKUP(FactSales[[#This Row],[Salesperson_ID]],DimSalesman[Salesperson_ID],DimSalesman[Salesperson_Name])</f>
        <v>Rahim Hossain</v>
      </c>
      <c r="V278" s="6" t="str">
        <f>_xlfn.XLOOKUP(FactSales[[#This Row],[Region_ID]],DimRegion[Region_ID],DimRegion[Region_Name])</f>
        <v>Dhaka</v>
      </c>
      <c r="W278" s="6" t="str">
        <f>_xlfn.XLOOKUP(FactSales[[#This Row],[Store_ID]],DimStore[Store_ID],DimStore[Store_Name])</f>
        <v>Dhaka Motijheel Store</v>
      </c>
    </row>
    <row r="279" spans="1:23">
      <c r="A279" s="4" t="s">
        <v>1275</v>
      </c>
      <c r="B279" s="5">
        <v>46056</v>
      </c>
      <c r="C279" s="4" t="s">
        <v>537</v>
      </c>
      <c r="D279" s="4" t="s">
        <v>57</v>
      </c>
      <c r="E279" s="4" t="s">
        <v>725</v>
      </c>
      <c r="F279" s="4" t="s">
        <v>970</v>
      </c>
      <c r="G279" s="4" t="s">
        <v>813</v>
      </c>
      <c r="H279" s="4">
        <v>1</v>
      </c>
      <c r="I279" s="7">
        <v>0</v>
      </c>
      <c r="J279" s="6">
        <v>2461</v>
      </c>
      <c r="K279" s="4">
        <v>5</v>
      </c>
      <c r="L279" s="8">
        <f t="shared" si="4"/>
        <v>3.6</v>
      </c>
      <c r="M279" s="6" t="str">
        <f>_xlfn.XLOOKUP(FactSales[[#This Row],[Product_ID]],DimProduct[Product_ID],DimProduct[Product_Name])</f>
        <v>Tea Pack 500g</v>
      </c>
      <c r="N279" s="6" t="str">
        <f>_xlfn.XLOOKUP(FactSales[[#This Row],[Product_ID]],DimProduct[Product_ID],DimProduct[Category])</f>
        <v>Grocery</v>
      </c>
      <c r="O279" s="6">
        <f>_xlfn.XLOOKUP(FactSales[[#This Row],[Product_ID]],DimProduct[Product_ID],DimProduct[Unit_Price])</f>
        <v>2140</v>
      </c>
      <c r="P279" s="6">
        <f>_xlfn.XLOOKUP(FactSales[[#This Row],[Product_ID]],DimProduct[Product_ID],DimProduct[Unit_Cost])</f>
        <v>1670</v>
      </c>
      <c r="Q279" s="6">
        <f>FactSales[[#This Row],[Unit_Price]]*FactSales[[#This Row],[Quantity_Sold]]</f>
        <v>2140</v>
      </c>
      <c r="R279" s="6">
        <f>FactSales[[#This Row],[Unit_Cost]]*FactSales[[#This Row],[Quantity_Sold]]</f>
        <v>1670</v>
      </c>
      <c r="S279" s="6">
        <f>FactSales[[#This Row],[Sales_Amount]]-FactSales[[#This Row],[Total_Cost]]</f>
        <v>470</v>
      </c>
      <c r="T279" s="6" t="str">
        <f>_xlfn.XLOOKUP(FactSales[[#This Row],[Customer_ID]],DimCustomer[Customer_ID],DimCustomer[Customer_Name])</f>
        <v>Mim Sultana</v>
      </c>
      <c r="U279" s="6" t="str">
        <f>_xlfn.XLOOKUP(FactSales[[#This Row],[Salesperson_ID]],DimSalesman[Salesperson_ID],DimSalesman[Salesperson_Name])</f>
        <v>Tanvir Islam</v>
      </c>
      <c r="V279" s="6" t="str">
        <f>_xlfn.XLOOKUP(FactSales[[#This Row],[Region_ID]],DimRegion[Region_ID],DimRegion[Region_Name])</f>
        <v>Rangpur</v>
      </c>
      <c r="W279" s="6" t="str">
        <f>_xlfn.XLOOKUP(FactSales[[#This Row],[Store_ID]],DimStore[Store_ID],DimStore[Store_Name])</f>
        <v>Rangpur Central Road Store</v>
      </c>
    </row>
    <row r="280" spans="1:23">
      <c r="A280" s="4" t="s">
        <v>1276</v>
      </c>
      <c r="B280" s="5">
        <v>46081</v>
      </c>
      <c r="C280" s="4" t="s">
        <v>416</v>
      </c>
      <c r="D280" s="4" t="s">
        <v>47</v>
      </c>
      <c r="E280" s="4" t="s">
        <v>689</v>
      </c>
      <c r="F280" s="4" t="s">
        <v>958</v>
      </c>
      <c r="G280" s="4" t="s">
        <v>750</v>
      </c>
      <c r="H280" s="4">
        <v>1</v>
      </c>
      <c r="I280" s="7">
        <v>0.1</v>
      </c>
      <c r="J280" s="6">
        <v>3532</v>
      </c>
      <c r="K280" s="4">
        <v>1</v>
      </c>
      <c r="L280" s="8">
        <f t="shared" si="4"/>
        <v>4.7</v>
      </c>
      <c r="M280" s="6" t="str">
        <f>_xlfn.XLOOKUP(FactSales[[#This Row],[Product_ID]],DimProduct[Product_ID],DimProduct[Product_Name])</f>
        <v>Bluetooth Speaker</v>
      </c>
      <c r="N280" s="6" t="str">
        <f>_xlfn.XLOOKUP(FactSales[[#This Row],[Product_ID]],DimProduct[Product_ID],DimProduct[Category])</f>
        <v>Electronics</v>
      </c>
      <c r="O280" s="6">
        <f>_xlfn.XLOOKUP(FactSales[[#This Row],[Product_ID]],DimProduct[Product_ID],DimProduct[Unit_Price])</f>
        <v>3240</v>
      </c>
      <c r="P280" s="6">
        <f>_xlfn.XLOOKUP(FactSales[[#This Row],[Product_ID]],DimProduct[Product_ID],DimProduct[Unit_Cost])</f>
        <v>2200</v>
      </c>
      <c r="Q280" s="6">
        <f>FactSales[[#This Row],[Unit_Price]]*FactSales[[#This Row],[Quantity_Sold]]</f>
        <v>3240</v>
      </c>
      <c r="R280" s="6">
        <f>FactSales[[#This Row],[Unit_Cost]]*FactSales[[#This Row],[Quantity_Sold]]</f>
        <v>2200</v>
      </c>
      <c r="S280" s="6">
        <f>FactSales[[#This Row],[Sales_Amount]]-FactSales[[#This Row],[Total_Cost]]</f>
        <v>1040</v>
      </c>
      <c r="T280" s="6" t="str">
        <f>_xlfn.XLOOKUP(FactSales[[#This Row],[Customer_ID]],DimCustomer[Customer_ID],DimCustomer[Customer_Name])</f>
        <v>Ayesha Ahmed</v>
      </c>
      <c r="U280" s="6" t="str">
        <f>_xlfn.XLOOKUP(FactSales[[#This Row],[Salesperson_ID]],DimSalesman[Salesperson_ID],DimSalesman[Salesperson_Name])</f>
        <v>Fahim Uddin</v>
      </c>
      <c r="V280" s="6" t="str">
        <f>_xlfn.XLOOKUP(FactSales[[#This Row],[Region_ID]],DimRegion[Region_ID],DimRegion[Region_Name])</f>
        <v>Khulna</v>
      </c>
      <c r="W280" s="6" t="str">
        <f>_xlfn.XLOOKUP(FactSales[[#This Row],[Store_ID]],DimStore[Store_ID],DimStore[Store_Name])</f>
        <v>Khulna Daulatpur Store</v>
      </c>
    </row>
    <row r="281" spans="1:23">
      <c r="A281" s="4" t="s">
        <v>1277</v>
      </c>
      <c r="B281" s="5">
        <v>46041</v>
      </c>
      <c r="C281" s="4" t="s">
        <v>372</v>
      </c>
      <c r="D281" s="4" t="s">
        <v>47</v>
      </c>
      <c r="E281" s="4" t="s">
        <v>695</v>
      </c>
      <c r="F281" s="4" t="s">
        <v>954</v>
      </c>
      <c r="G281" s="4" t="s">
        <v>762</v>
      </c>
      <c r="H281" s="4">
        <v>4</v>
      </c>
      <c r="I281" s="7">
        <v>0.1</v>
      </c>
      <c r="J281" s="6">
        <v>16873</v>
      </c>
      <c r="K281" s="4">
        <v>5</v>
      </c>
      <c r="L281" s="8">
        <f t="shared" si="4"/>
        <v>3.4</v>
      </c>
      <c r="M281" s="6" t="str">
        <f>_xlfn.XLOOKUP(FactSales[[#This Row],[Product_ID]],DimProduct[Product_ID],DimProduct[Product_Name])</f>
        <v>Smart Watch</v>
      </c>
      <c r="N281" s="6" t="str">
        <f>_xlfn.XLOOKUP(FactSales[[#This Row],[Product_ID]],DimProduct[Product_ID],DimProduct[Category])</f>
        <v>Electronics</v>
      </c>
      <c r="O281" s="6">
        <f>_xlfn.XLOOKUP(FactSales[[#This Row],[Product_ID]],DimProduct[Product_ID],DimProduct[Unit_Price])</f>
        <v>3870</v>
      </c>
      <c r="P281" s="6">
        <f>_xlfn.XLOOKUP(FactSales[[#This Row],[Product_ID]],DimProduct[Product_ID],DimProduct[Unit_Cost])</f>
        <v>2630</v>
      </c>
      <c r="Q281" s="6">
        <f>FactSales[[#This Row],[Unit_Price]]*FactSales[[#This Row],[Quantity_Sold]]</f>
        <v>15480</v>
      </c>
      <c r="R281" s="6">
        <f>FactSales[[#This Row],[Unit_Cost]]*FactSales[[#This Row],[Quantity_Sold]]</f>
        <v>10520</v>
      </c>
      <c r="S281" s="6">
        <f>FactSales[[#This Row],[Sales_Amount]]-FactSales[[#This Row],[Total_Cost]]</f>
        <v>4960</v>
      </c>
      <c r="T281" s="6" t="str">
        <f>_xlfn.XLOOKUP(FactSales[[#This Row],[Customer_ID]],DimCustomer[Customer_ID],DimCustomer[Customer_Name])</f>
        <v>Mahmud Chowdhury</v>
      </c>
      <c r="U281" s="6" t="str">
        <f>_xlfn.XLOOKUP(FactSales[[#This Row],[Salesperson_ID]],DimSalesman[Salesperson_ID],DimSalesman[Salesperson_Name])</f>
        <v>Sadia Sultana</v>
      </c>
      <c r="V281" s="6" t="str">
        <f>_xlfn.XLOOKUP(FactSales[[#This Row],[Region_ID]],DimRegion[Region_ID],DimRegion[Region_Name])</f>
        <v>Khulna</v>
      </c>
      <c r="W281" s="6" t="str">
        <f>_xlfn.XLOOKUP(FactSales[[#This Row],[Store_ID]],DimStore[Store_ID],DimStore[Store_Name])</f>
        <v>Khulna Shibbari Store</v>
      </c>
    </row>
    <row r="282" spans="1:23">
      <c r="A282" s="4" t="s">
        <v>1278</v>
      </c>
      <c r="B282" s="5">
        <v>46170</v>
      </c>
      <c r="C282" s="4" t="s">
        <v>189</v>
      </c>
      <c r="D282" s="4" t="s">
        <v>32</v>
      </c>
      <c r="E282" s="4" t="s">
        <v>650</v>
      </c>
      <c r="F282" s="4" t="s">
        <v>922</v>
      </c>
      <c r="G282" s="4" t="s">
        <v>864</v>
      </c>
      <c r="H282" s="4">
        <v>1</v>
      </c>
      <c r="I282" s="7">
        <v>0.03</v>
      </c>
      <c r="J282" s="6">
        <v>456</v>
      </c>
      <c r="K282" s="4">
        <v>8</v>
      </c>
      <c r="L282" s="8">
        <f t="shared" si="4"/>
        <v>2.6</v>
      </c>
      <c r="M282" s="6" t="str">
        <f>_xlfn.XLOOKUP(FactSales[[#This Row],[Product_ID]],DimProduct[Product_ID],DimProduct[Product_Name])</f>
        <v>Notebook Pack</v>
      </c>
      <c r="N282" s="6" t="str">
        <f>_xlfn.XLOOKUP(FactSales[[#This Row],[Product_ID]],DimProduct[Product_ID],DimProduct[Category])</f>
        <v>Stationery</v>
      </c>
      <c r="O282" s="6">
        <f>_xlfn.XLOOKUP(FactSales[[#This Row],[Product_ID]],DimProduct[Product_ID],DimProduct[Unit_Price])</f>
        <v>400</v>
      </c>
      <c r="P282" s="6">
        <f>_xlfn.XLOOKUP(FactSales[[#This Row],[Product_ID]],DimProduct[Product_ID],DimProduct[Unit_Cost])</f>
        <v>200</v>
      </c>
      <c r="Q282" s="6">
        <f>FactSales[[#This Row],[Unit_Price]]*FactSales[[#This Row],[Quantity_Sold]]</f>
        <v>400</v>
      </c>
      <c r="R282" s="6">
        <f>FactSales[[#This Row],[Unit_Cost]]*FactSales[[#This Row],[Quantity_Sold]]</f>
        <v>200</v>
      </c>
      <c r="S282" s="6">
        <f>FactSales[[#This Row],[Sales_Amount]]-FactSales[[#This Row],[Total_Cost]]</f>
        <v>200</v>
      </c>
      <c r="T282" s="6" t="str">
        <f>_xlfn.XLOOKUP(FactSales[[#This Row],[Customer_ID]],DimCustomer[Customer_ID],DimCustomer[Customer_Name])</f>
        <v>Sajib Sultana</v>
      </c>
      <c r="U282" s="6" t="str">
        <f>_xlfn.XLOOKUP(FactSales[[#This Row],[Salesperson_ID]],DimSalesman[Salesperson_ID],DimSalesman[Salesperson_Name])</f>
        <v>Rafi Sultana</v>
      </c>
      <c r="V282" s="6" t="str">
        <f>_xlfn.XLOOKUP(FactSales[[#This Row],[Region_ID]],DimRegion[Region_ID],DimRegion[Region_Name])</f>
        <v>Chattogram</v>
      </c>
      <c r="W282" s="6" t="str">
        <f>_xlfn.XLOOKUP(FactSales[[#This Row],[Store_ID]],DimStore[Store_ID],DimStore[Store_Name])</f>
        <v>Chattogram Halishahar Store</v>
      </c>
    </row>
    <row r="283" spans="1:23">
      <c r="A283" s="4" t="s">
        <v>1279</v>
      </c>
      <c r="B283" s="5">
        <v>45758</v>
      </c>
      <c r="C283" s="4" t="s">
        <v>422</v>
      </c>
      <c r="D283" s="4" t="s">
        <v>47</v>
      </c>
      <c r="E283" s="4" t="s">
        <v>689</v>
      </c>
      <c r="F283" s="4" t="s">
        <v>953</v>
      </c>
      <c r="G283" s="4" t="s">
        <v>859</v>
      </c>
      <c r="H283" s="4">
        <v>7</v>
      </c>
      <c r="I283" s="7">
        <v>0.05</v>
      </c>
      <c r="J283" s="6">
        <v>20830</v>
      </c>
      <c r="K283" s="4">
        <v>2</v>
      </c>
      <c r="L283" s="8">
        <f t="shared" si="4"/>
        <v>4.5</v>
      </c>
      <c r="M283" s="6" t="str">
        <f>_xlfn.XLOOKUP(FactSales[[#This Row],[Product_ID]],DimProduct[Product_ID],DimProduct[Product_Name])</f>
        <v>Yoga Mat</v>
      </c>
      <c r="N283" s="6" t="str">
        <f>_xlfn.XLOOKUP(FactSales[[#This Row],[Product_ID]],DimProduct[Product_ID],DimProduct[Category])</f>
        <v>Sports</v>
      </c>
      <c r="O283" s="6">
        <f>_xlfn.XLOOKUP(FactSales[[#This Row],[Product_ID]],DimProduct[Product_ID],DimProduct[Unit_Price])</f>
        <v>2730</v>
      </c>
      <c r="P283" s="6">
        <f>_xlfn.XLOOKUP(FactSales[[#This Row],[Product_ID]],DimProduct[Product_ID],DimProduct[Unit_Cost])</f>
        <v>1690</v>
      </c>
      <c r="Q283" s="6">
        <f>FactSales[[#This Row],[Unit_Price]]*FactSales[[#This Row],[Quantity_Sold]]</f>
        <v>19110</v>
      </c>
      <c r="R283" s="6">
        <f>FactSales[[#This Row],[Unit_Cost]]*FactSales[[#This Row],[Quantity_Sold]]</f>
        <v>11830</v>
      </c>
      <c r="S283" s="6">
        <f>FactSales[[#This Row],[Sales_Amount]]-FactSales[[#This Row],[Total_Cost]]</f>
        <v>7280</v>
      </c>
      <c r="T283" s="6" t="str">
        <f>_xlfn.XLOOKUP(FactSales[[#This Row],[Customer_ID]],DimCustomer[Customer_ID],DimCustomer[Customer_Name])</f>
        <v>Tanjim Khan</v>
      </c>
      <c r="U283" s="6" t="str">
        <f>_xlfn.XLOOKUP(FactSales[[#This Row],[Salesperson_ID]],DimSalesman[Salesperson_ID],DimSalesman[Salesperson_Name])</f>
        <v>Nusrat Akter</v>
      </c>
      <c r="V283" s="6" t="str">
        <f>_xlfn.XLOOKUP(FactSales[[#This Row],[Region_ID]],DimRegion[Region_ID],DimRegion[Region_Name])</f>
        <v>Khulna</v>
      </c>
      <c r="W283" s="6" t="str">
        <f>_xlfn.XLOOKUP(FactSales[[#This Row],[Store_ID]],DimStore[Store_ID],DimStore[Store_Name])</f>
        <v>Khulna Daulatpur Store</v>
      </c>
    </row>
    <row r="284" spans="1:23">
      <c r="A284" s="4" t="s">
        <v>1280</v>
      </c>
      <c r="B284" s="5">
        <v>45776</v>
      </c>
      <c r="C284" s="4" t="s">
        <v>349</v>
      </c>
      <c r="D284" s="4" t="s">
        <v>42</v>
      </c>
      <c r="E284" s="4" t="s">
        <v>668</v>
      </c>
      <c r="F284" s="4" t="s">
        <v>947</v>
      </c>
      <c r="G284" s="4" t="s">
        <v>778</v>
      </c>
      <c r="H284" s="4">
        <v>1</v>
      </c>
      <c r="I284" s="7">
        <v>0.18</v>
      </c>
      <c r="J284" s="6">
        <v>4925</v>
      </c>
      <c r="K284" s="4">
        <v>7</v>
      </c>
      <c r="L284" s="8">
        <f t="shared" si="4"/>
        <v>2.6</v>
      </c>
      <c r="M284" s="6" t="str">
        <f>_xlfn.XLOOKUP(FactSales[[#This Row],[Product_ID]],DimProduct[Product_ID],DimProduct[Product_Name])</f>
        <v>Steam Iron</v>
      </c>
      <c r="N284" s="6" t="str">
        <f>_xlfn.XLOOKUP(FactSales[[#This Row],[Product_ID]],DimProduct[Product_ID],DimProduct[Category])</f>
        <v>Home Appliance</v>
      </c>
      <c r="O284" s="6">
        <f>_xlfn.XLOOKUP(FactSales[[#This Row],[Product_ID]],DimProduct[Product_ID],DimProduct[Unit_Price])</f>
        <v>4560</v>
      </c>
      <c r="P284" s="6">
        <f>_xlfn.XLOOKUP(FactSales[[#This Row],[Product_ID]],DimProduct[Product_ID],DimProduct[Unit_Cost])</f>
        <v>3190</v>
      </c>
      <c r="Q284" s="6">
        <f>FactSales[[#This Row],[Unit_Price]]*FactSales[[#This Row],[Quantity_Sold]]</f>
        <v>4560</v>
      </c>
      <c r="R284" s="6">
        <f>FactSales[[#This Row],[Unit_Cost]]*FactSales[[#This Row],[Quantity_Sold]]</f>
        <v>3190</v>
      </c>
      <c r="S284" s="6">
        <f>FactSales[[#This Row],[Sales_Amount]]-FactSales[[#This Row],[Total_Cost]]</f>
        <v>1370</v>
      </c>
      <c r="T284" s="6" t="str">
        <f>_xlfn.XLOOKUP(FactSales[[#This Row],[Customer_ID]],DimCustomer[Customer_ID],DimCustomer[Customer_Name])</f>
        <v>Mahmud Uddin</v>
      </c>
      <c r="U284" s="6" t="str">
        <f>_xlfn.XLOOKUP(FactSales[[#This Row],[Salesperson_ID]],DimSalesman[Salesperson_ID],DimSalesman[Salesperson_Name])</f>
        <v>Farhana Rahman</v>
      </c>
      <c r="V284" s="6" t="str">
        <f>_xlfn.XLOOKUP(FactSales[[#This Row],[Region_ID]],DimRegion[Region_ID],DimRegion[Region_Name])</f>
        <v>Rajshahi</v>
      </c>
      <c r="W284" s="6" t="str">
        <f>_xlfn.XLOOKUP(FactSales[[#This Row],[Store_ID]],DimStore[Store_ID],DimStore[Store_Name])</f>
        <v>Rajshahi Shaheb Bazar Store</v>
      </c>
    </row>
    <row r="285" spans="1:23">
      <c r="A285" s="4" t="s">
        <v>1281</v>
      </c>
      <c r="B285" s="5">
        <v>45681</v>
      </c>
      <c r="C285" s="4" t="s">
        <v>82</v>
      </c>
      <c r="D285" s="4" t="s">
        <v>27</v>
      </c>
      <c r="E285" s="4" t="s">
        <v>634</v>
      </c>
      <c r="F285" s="4" t="s">
        <v>920</v>
      </c>
      <c r="G285" s="4" t="s">
        <v>854</v>
      </c>
      <c r="H285" s="4">
        <v>3</v>
      </c>
      <c r="I285" s="7">
        <v>7.0000000000000007E-2</v>
      </c>
      <c r="J285" s="6">
        <v>11830</v>
      </c>
      <c r="K285" s="4">
        <v>1</v>
      </c>
      <c r="L285" s="8">
        <f t="shared" si="4"/>
        <v>4.7</v>
      </c>
      <c r="M285" s="6" t="str">
        <f>_xlfn.XLOOKUP(FactSales[[#This Row],[Product_ID]],DimProduct[Product_ID],DimProduct[Product_Name])</f>
        <v>Football</v>
      </c>
      <c r="N285" s="6" t="str">
        <f>_xlfn.XLOOKUP(FactSales[[#This Row],[Product_ID]],DimProduct[Product_ID],DimProduct[Category])</f>
        <v>Sports</v>
      </c>
      <c r="O285" s="6">
        <f>_xlfn.XLOOKUP(FactSales[[#This Row],[Product_ID]],DimProduct[Product_ID],DimProduct[Unit_Price])</f>
        <v>3720</v>
      </c>
      <c r="P285" s="6">
        <f>_xlfn.XLOOKUP(FactSales[[#This Row],[Product_ID]],DimProduct[Product_ID],DimProduct[Unit_Cost])</f>
        <v>2310</v>
      </c>
      <c r="Q285" s="6">
        <f>FactSales[[#This Row],[Unit_Price]]*FactSales[[#This Row],[Quantity_Sold]]</f>
        <v>11160</v>
      </c>
      <c r="R285" s="6">
        <f>FactSales[[#This Row],[Unit_Cost]]*FactSales[[#This Row],[Quantity_Sold]]</f>
        <v>6930</v>
      </c>
      <c r="S285" s="6">
        <f>FactSales[[#This Row],[Sales_Amount]]-FactSales[[#This Row],[Total_Cost]]</f>
        <v>4230</v>
      </c>
      <c r="T285" s="6" t="str">
        <f>_xlfn.XLOOKUP(FactSales[[#This Row],[Customer_ID]],DimCustomer[Customer_ID],DimCustomer[Customer_Name])</f>
        <v>Mahmud Ahmed</v>
      </c>
      <c r="U285" s="6" t="str">
        <f>_xlfn.XLOOKUP(FactSales[[#This Row],[Salesperson_ID]],DimSalesman[Salesperson_ID],DimSalesman[Salesperson_Name])</f>
        <v>Rahim Hossain</v>
      </c>
      <c r="V285" s="6" t="str">
        <f>_xlfn.XLOOKUP(FactSales[[#This Row],[Region_ID]],DimRegion[Region_ID],DimRegion[Region_Name])</f>
        <v>Dhaka</v>
      </c>
      <c r="W285" s="6" t="str">
        <f>_xlfn.XLOOKUP(FactSales[[#This Row],[Store_ID]],DimStore[Store_ID],DimStore[Store_Name])</f>
        <v>Dhaka Motijheel Store</v>
      </c>
    </row>
    <row r="286" spans="1:23">
      <c r="A286" s="4" t="s">
        <v>1282</v>
      </c>
      <c r="B286" s="5">
        <v>45984</v>
      </c>
      <c r="C286" s="4" t="s">
        <v>312</v>
      </c>
      <c r="D286" s="4" t="s">
        <v>42</v>
      </c>
      <c r="E286" s="4" t="s">
        <v>671</v>
      </c>
      <c r="F286" s="4" t="s">
        <v>944</v>
      </c>
      <c r="G286" s="4" t="s">
        <v>768</v>
      </c>
      <c r="H286" s="4">
        <v>4</v>
      </c>
      <c r="I286" s="7">
        <v>0.08</v>
      </c>
      <c r="J286" s="6">
        <v>31104</v>
      </c>
      <c r="K286" s="4">
        <v>6</v>
      </c>
      <c r="L286" s="8">
        <f t="shared" si="4"/>
        <v>3.1</v>
      </c>
      <c r="M286" s="6" t="str">
        <f>_xlfn.XLOOKUP(FactSales[[#This Row],[Product_ID]],DimProduct[Product_ID],DimProduct[Product_Name])</f>
        <v>Electric Kettle</v>
      </c>
      <c r="N286" s="6" t="str">
        <f>_xlfn.XLOOKUP(FactSales[[#This Row],[Product_ID]],DimProduct[Product_ID],DimProduct[Category])</f>
        <v>Home Appliance</v>
      </c>
      <c r="O286" s="6">
        <f>_xlfn.XLOOKUP(FactSales[[#This Row],[Product_ID]],DimProduct[Product_ID],DimProduct[Unit_Price])</f>
        <v>7200</v>
      </c>
      <c r="P286" s="6">
        <f>_xlfn.XLOOKUP(FactSales[[#This Row],[Product_ID]],DimProduct[Product_ID],DimProduct[Unit_Cost])</f>
        <v>5040</v>
      </c>
      <c r="Q286" s="6">
        <f>FactSales[[#This Row],[Unit_Price]]*FactSales[[#This Row],[Quantity_Sold]]</f>
        <v>28800</v>
      </c>
      <c r="R286" s="6">
        <f>FactSales[[#This Row],[Unit_Cost]]*FactSales[[#This Row],[Quantity_Sold]]</f>
        <v>20160</v>
      </c>
      <c r="S286" s="6">
        <f>FactSales[[#This Row],[Sales_Amount]]-FactSales[[#This Row],[Total_Cost]]</f>
        <v>8640</v>
      </c>
      <c r="T286" s="6" t="str">
        <f>_xlfn.XLOOKUP(FactSales[[#This Row],[Customer_ID]],DimCustomer[Customer_ID],DimCustomer[Customer_Name])</f>
        <v>Imran Uddin</v>
      </c>
      <c r="U286" s="6" t="str">
        <f>_xlfn.XLOOKUP(FactSales[[#This Row],[Salesperson_ID]],DimSalesman[Salesperson_ID],DimSalesman[Salesperson_Name])</f>
        <v>Karim Khan</v>
      </c>
      <c r="V286" s="6" t="str">
        <f>_xlfn.XLOOKUP(FactSales[[#This Row],[Region_ID]],DimRegion[Region_ID],DimRegion[Region_Name])</f>
        <v>Rajshahi</v>
      </c>
      <c r="W286" s="6" t="str">
        <f>_xlfn.XLOOKUP(FactSales[[#This Row],[Store_ID]],DimStore[Store_ID],DimStore[Store_Name])</f>
        <v>Rajshahi Kazla Store</v>
      </c>
    </row>
    <row r="287" spans="1:23">
      <c r="A287" s="4" t="s">
        <v>1283</v>
      </c>
      <c r="B287" s="5">
        <v>45869</v>
      </c>
      <c r="C287" s="4" t="s">
        <v>148</v>
      </c>
      <c r="D287" s="4" t="s">
        <v>32</v>
      </c>
      <c r="E287" s="4" t="s">
        <v>650</v>
      </c>
      <c r="F287" s="4" t="s">
        <v>929</v>
      </c>
      <c r="G287" s="4" t="s">
        <v>800</v>
      </c>
      <c r="H287" s="4">
        <v>3</v>
      </c>
      <c r="I287" s="7">
        <v>0.03</v>
      </c>
      <c r="J287" s="6">
        <v>3796</v>
      </c>
      <c r="K287" s="4">
        <v>6</v>
      </c>
      <c r="L287" s="8">
        <f t="shared" si="4"/>
        <v>3.2</v>
      </c>
      <c r="M287" s="6" t="str">
        <f>_xlfn.XLOOKUP(FactSales[[#This Row],[Product_ID]],DimProduct[Product_ID],DimProduct[Product_Name])</f>
        <v>Premium Rice 5kg</v>
      </c>
      <c r="N287" s="6" t="str">
        <f>_xlfn.XLOOKUP(FactSales[[#This Row],[Product_ID]],DimProduct[Product_ID],DimProduct[Category])</f>
        <v>Grocery</v>
      </c>
      <c r="O287" s="6">
        <f>_xlfn.XLOOKUP(FactSales[[#This Row],[Product_ID]],DimProduct[Product_ID],DimProduct[Unit_Price])</f>
        <v>1110</v>
      </c>
      <c r="P287" s="6">
        <f>_xlfn.XLOOKUP(FactSales[[#This Row],[Product_ID]],DimProduct[Product_ID],DimProduct[Unit_Cost])</f>
        <v>870</v>
      </c>
      <c r="Q287" s="6">
        <f>FactSales[[#This Row],[Unit_Price]]*FactSales[[#This Row],[Quantity_Sold]]</f>
        <v>3330</v>
      </c>
      <c r="R287" s="6">
        <f>FactSales[[#This Row],[Unit_Cost]]*FactSales[[#This Row],[Quantity_Sold]]</f>
        <v>2610</v>
      </c>
      <c r="S287" s="6">
        <f>FactSales[[#This Row],[Sales_Amount]]-FactSales[[#This Row],[Total_Cost]]</f>
        <v>720</v>
      </c>
      <c r="T287" s="6" t="str">
        <f>_xlfn.XLOOKUP(FactSales[[#This Row],[Customer_ID]],DimCustomer[Customer_ID],DimCustomer[Customer_Name])</f>
        <v>Shaila Sultana</v>
      </c>
      <c r="U287" s="6" t="str">
        <f>_xlfn.XLOOKUP(FactSales[[#This Row],[Salesperson_ID]],DimSalesman[Salesperson_ID],DimSalesman[Salesperson_Name])</f>
        <v>Nabila Mia</v>
      </c>
      <c r="V287" s="6" t="str">
        <f>_xlfn.XLOOKUP(FactSales[[#This Row],[Region_ID]],DimRegion[Region_ID],DimRegion[Region_Name])</f>
        <v>Chattogram</v>
      </c>
      <c r="W287" s="6" t="str">
        <f>_xlfn.XLOOKUP(FactSales[[#This Row],[Store_ID]],DimStore[Store_ID],DimStore[Store_Name])</f>
        <v>Chattogram Halishahar Store</v>
      </c>
    </row>
    <row r="288" spans="1:23">
      <c r="A288" s="4" t="s">
        <v>1284</v>
      </c>
      <c r="B288" s="5">
        <v>45730</v>
      </c>
      <c r="C288" s="4" t="s">
        <v>366</v>
      </c>
      <c r="D288" s="4" t="s">
        <v>47</v>
      </c>
      <c r="E288" s="4" t="s">
        <v>689</v>
      </c>
      <c r="F288" s="4" t="s">
        <v>956</v>
      </c>
      <c r="G288" s="4" t="s">
        <v>765</v>
      </c>
      <c r="H288" s="4">
        <v>3</v>
      </c>
      <c r="I288" s="7">
        <v>0.18</v>
      </c>
      <c r="J288" s="6">
        <v>15990</v>
      </c>
      <c r="K288" s="4">
        <v>2</v>
      </c>
      <c r="L288" s="8">
        <f t="shared" si="4"/>
        <v>4.2</v>
      </c>
      <c r="M288" s="6" t="str">
        <f>_xlfn.XLOOKUP(FactSales[[#This Row],[Product_ID]],DimProduct[Product_ID],DimProduct[Product_Name])</f>
        <v>USB-C Hub</v>
      </c>
      <c r="N288" s="6" t="str">
        <f>_xlfn.XLOOKUP(FactSales[[#This Row],[Product_ID]],DimProduct[Product_ID],DimProduct[Category])</f>
        <v>Electronics</v>
      </c>
      <c r="O288" s="6">
        <f>_xlfn.XLOOKUP(FactSales[[#This Row],[Product_ID]],DimProduct[Product_ID],DimProduct[Unit_Price])</f>
        <v>4890</v>
      </c>
      <c r="P288" s="6">
        <f>_xlfn.XLOOKUP(FactSales[[#This Row],[Product_ID]],DimProduct[Product_ID],DimProduct[Unit_Cost])</f>
        <v>3330</v>
      </c>
      <c r="Q288" s="6">
        <f>FactSales[[#This Row],[Unit_Price]]*FactSales[[#This Row],[Quantity_Sold]]</f>
        <v>14670</v>
      </c>
      <c r="R288" s="6">
        <f>FactSales[[#This Row],[Unit_Cost]]*FactSales[[#This Row],[Quantity_Sold]]</f>
        <v>9990</v>
      </c>
      <c r="S288" s="6">
        <f>FactSales[[#This Row],[Sales_Amount]]-FactSales[[#This Row],[Total_Cost]]</f>
        <v>4680</v>
      </c>
      <c r="T288" s="6" t="str">
        <f>_xlfn.XLOOKUP(FactSales[[#This Row],[Customer_ID]],DimCustomer[Customer_ID],DimCustomer[Customer_Name])</f>
        <v>Sajib Hossain</v>
      </c>
      <c r="U288" s="6" t="str">
        <f>_xlfn.XLOOKUP(FactSales[[#This Row],[Salesperson_ID]],DimSalesman[Salesperson_ID],DimSalesman[Salesperson_Name])</f>
        <v>Rafi Ahmed</v>
      </c>
      <c r="V288" s="6" t="str">
        <f>_xlfn.XLOOKUP(FactSales[[#This Row],[Region_ID]],DimRegion[Region_ID],DimRegion[Region_Name])</f>
        <v>Khulna</v>
      </c>
      <c r="W288" s="6" t="str">
        <f>_xlfn.XLOOKUP(FactSales[[#This Row],[Store_ID]],DimStore[Store_ID],DimStore[Store_Name])</f>
        <v>Khulna Daulatpur Store</v>
      </c>
    </row>
    <row r="289" spans="1:23">
      <c r="A289" s="4" t="s">
        <v>1285</v>
      </c>
      <c r="B289" s="5">
        <v>45746</v>
      </c>
      <c r="C289" s="4" t="s">
        <v>604</v>
      </c>
      <c r="D289" s="4" t="s">
        <v>62</v>
      </c>
      <c r="E289" s="4" t="s">
        <v>728</v>
      </c>
      <c r="F289" s="4" t="s">
        <v>978</v>
      </c>
      <c r="G289" s="4" t="s">
        <v>778</v>
      </c>
      <c r="H289" s="4">
        <v>2</v>
      </c>
      <c r="I289" s="7">
        <v>0.18</v>
      </c>
      <c r="J289" s="6">
        <v>9850</v>
      </c>
      <c r="K289" s="4">
        <v>6</v>
      </c>
      <c r="L289" s="8">
        <f t="shared" si="4"/>
        <v>2.9</v>
      </c>
      <c r="M289" s="6" t="str">
        <f>_xlfn.XLOOKUP(FactSales[[#This Row],[Product_ID]],DimProduct[Product_ID],DimProduct[Product_Name])</f>
        <v>Steam Iron</v>
      </c>
      <c r="N289" s="6" t="str">
        <f>_xlfn.XLOOKUP(FactSales[[#This Row],[Product_ID]],DimProduct[Product_ID],DimProduct[Category])</f>
        <v>Home Appliance</v>
      </c>
      <c r="O289" s="6">
        <f>_xlfn.XLOOKUP(FactSales[[#This Row],[Product_ID]],DimProduct[Product_ID],DimProduct[Unit_Price])</f>
        <v>4560</v>
      </c>
      <c r="P289" s="6">
        <f>_xlfn.XLOOKUP(FactSales[[#This Row],[Product_ID]],DimProduct[Product_ID],DimProduct[Unit_Cost])</f>
        <v>3190</v>
      </c>
      <c r="Q289" s="6">
        <f>FactSales[[#This Row],[Unit_Price]]*FactSales[[#This Row],[Quantity_Sold]]</f>
        <v>9120</v>
      </c>
      <c r="R289" s="6">
        <f>FactSales[[#This Row],[Unit_Cost]]*FactSales[[#This Row],[Quantity_Sold]]</f>
        <v>6380</v>
      </c>
      <c r="S289" s="6">
        <f>FactSales[[#This Row],[Sales_Amount]]-FactSales[[#This Row],[Total_Cost]]</f>
        <v>2740</v>
      </c>
      <c r="T289" s="6" t="str">
        <f>_xlfn.XLOOKUP(FactSales[[#This Row],[Customer_ID]],DimCustomer[Customer_ID],DimCustomer[Customer_Name])</f>
        <v>Shamim Rahman</v>
      </c>
      <c r="U289" s="6" t="str">
        <f>_xlfn.XLOOKUP(FactSales[[#This Row],[Salesperson_ID]],DimSalesman[Salesperson_ID],DimSalesman[Salesperson_Name])</f>
        <v>Sajib Rahman</v>
      </c>
      <c r="V289" s="6" t="str">
        <f>_xlfn.XLOOKUP(FactSales[[#This Row],[Region_ID]],DimRegion[Region_ID],DimRegion[Region_Name])</f>
        <v>Mymensingh</v>
      </c>
      <c r="W289" s="6" t="str">
        <f>_xlfn.XLOOKUP(FactSales[[#This Row],[Store_ID]],DimStore[Store_ID],DimStore[Store_Name])</f>
        <v>Mymensingh Ganginarpar Store</v>
      </c>
    </row>
    <row r="290" spans="1:23">
      <c r="A290" s="4" t="s">
        <v>1286</v>
      </c>
      <c r="B290" s="5">
        <v>45860</v>
      </c>
      <c r="C290" s="4" t="s">
        <v>599</v>
      </c>
      <c r="D290" s="4" t="s">
        <v>62</v>
      </c>
      <c r="E290" s="4" t="s">
        <v>734</v>
      </c>
      <c r="F290" s="4" t="s">
        <v>981</v>
      </c>
      <c r="G290" s="4" t="s">
        <v>773</v>
      </c>
      <c r="H290" s="4">
        <v>4</v>
      </c>
      <c r="I290" s="7">
        <v>0.18</v>
      </c>
      <c r="J290" s="6">
        <v>32098</v>
      </c>
      <c r="K290" s="4">
        <v>10</v>
      </c>
      <c r="L290" s="8">
        <f t="shared" si="4"/>
        <v>1.6</v>
      </c>
      <c r="M290" s="6" t="str">
        <f>_xlfn.XLOOKUP(FactSales[[#This Row],[Product_ID]],DimProduct[Product_ID],DimProduct[Product_Name])</f>
        <v>Rice Cooker</v>
      </c>
      <c r="N290" s="6" t="str">
        <f>_xlfn.XLOOKUP(FactSales[[#This Row],[Product_ID]],DimProduct[Product_ID],DimProduct[Category])</f>
        <v>Home Appliance</v>
      </c>
      <c r="O290" s="6">
        <f>_xlfn.XLOOKUP(FactSales[[#This Row],[Product_ID]],DimProduct[Product_ID],DimProduct[Unit_Price])</f>
        <v>7430</v>
      </c>
      <c r="P290" s="6">
        <f>_xlfn.XLOOKUP(FactSales[[#This Row],[Product_ID]],DimProduct[Product_ID],DimProduct[Unit_Cost])</f>
        <v>5200</v>
      </c>
      <c r="Q290" s="6">
        <f>FactSales[[#This Row],[Unit_Price]]*FactSales[[#This Row],[Quantity_Sold]]</f>
        <v>29720</v>
      </c>
      <c r="R290" s="6">
        <f>FactSales[[#This Row],[Unit_Cost]]*FactSales[[#This Row],[Quantity_Sold]]</f>
        <v>20800</v>
      </c>
      <c r="S290" s="6">
        <f>FactSales[[#This Row],[Sales_Amount]]-FactSales[[#This Row],[Total_Cost]]</f>
        <v>8920</v>
      </c>
      <c r="T290" s="6" t="str">
        <f>_xlfn.XLOOKUP(FactSales[[#This Row],[Customer_ID]],DimCustomer[Customer_ID],DimCustomer[Customer_Name])</f>
        <v>Tamanna Hossain</v>
      </c>
      <c r="U290" s="6" t="str">
        <f>_xlfn.XLOOKUP(FactSales[[#This Row],[Salesperson_ID]],DimSalesman[Salesperson_ID],DimSalesman[Salesperson_Name])</f>
        <v>Morshed Islam</v>
      </c>
      <c r="V290" s="6" t="str">
        <f>_xlfn.XLOOKUP(FactSales[[#This Row],[Region_ID]],DimRegion[Region_ID],DimRegion[Region_Name])</f>
        <v>Mymensingh</v>
      </c>
      <c r="W290" s="6" t="str">
        <f>_xlfn.XLOOKUP(FactSales[[#This Row],[Store_ID]],DimStore[Store_ID],DimStore[Store_Name])</f>
        <v>Mymensingh Charpara Store</v>
      </c>
    </row>
    <row r="291" spans="1:23">
      <c r="A291" s="4" t="s">
        <v>1287</v>
      </c>
      <c r="B291" s="5">
        <v>46137</v>
      </c>
      <c r="C291" s="4" t="s">
        <v>596</v>
      </c>
      <c r="D291" s="4" t="s">
        <v>62</v>
      </c>
      <c r="E291" s="4" t="s">
        <v>731</v>
      </c>
      <c r="F291" s="4" t="s">
        <v>978</v>
      </c>
      <c r="G291" s="4" t="s">
        <v>868</v>
      </c>
      <c r="H291" s="4">
        <v>2</v>
      </c>
      <c r="I291" s="7">
        <v>0.05</v>
      </c>
      <c r="J291" s="6">
        <v>734</v>
      </c>
      <c r="K291" s="4">
        <v>6</v>
      </c>
      <c r="L291" s="8">
        <f t="shared" si="4"/>
        <v>3.2</v>
      </c>
      <c r="M291" s="6" t="str">
        <f>_xlfn.XLOOKUP(FactSales[[#This Row],[Product_ID]],DimProduct[Product_ID],DimProduct[Product_Name])</f>
        <v>Ball Pen Box</v>
      </c>
      <c r="N291" s="6" t="str">
        <f>_xlfn.XLOOKUP(FactSales[[#This Row],[Product_ID]],DimProduct[Product_ID],DimProduct[Category])</f>
        <v>Stationery</v>
      </c>
      <c r="O291" s="6">
        <f>_xlfn.XLOOKUP(FactSales[[#This Row],[Product_ID]],DimProduct[Product_ID],DimProduct[Unit_Price])</f>
        <v>340</v>
      </c>
      <c r="P291" s="6">
        <f>_xlfn.XLOOKUP(FactSales[[#This Row],[Product_ID]],DimProduct[Product_ID],DimProduct[Unit_Cost])</f>
        <v>170</v>
      </c>
      <c r="Q291" s="6">
        <f>FactSales[[#This Row],[Unit_Price]]*FactSales[[#This Row],[Quantity_Sold]]</f>
        <v>680</v>
      </c>
      <c r="R291" s="6">
        <f>FactSales[[#This Row],[Unit_Cost]]*FactSales[[#This Row],[Quantity_Sold]]</f>
        <v>340</v>
      </c>
      <c r="S291" s="6">
        <f>FactSales[[#This Row],[Sales_Amount]]-FactSales[[#This Row],[Total_Cost]]</f>
        <v>340</v>
      </c>
      <c r="T291" s="6" t="str">
        <f>_xlfn.XLOOKUP(FactSales[[#This Row],[Customer_ID]],DimCustomer[Customer_ID],DimCustomer[Customer_Name])</f>
        <v>Hasan Sultana</v>
      </c>
      <c r="U291" s="6" t="str">
        <f>_xlfn.XLOOKUP(FactSales[[#This Row],[Salesperson_ID]],DimSalesman[Salesperson_ID],DimSalesman[Salesperson_Name])</f>
        <v>Sajib Rahman</v>
      </c>
      <c r="V291" s="6" t="str">
        <f>_xlfn.XLOOKUP(FactSales[[#This Row],[Region_ID]],DimRegion[Region_ID],DimRegion[Region_Name])</f>
        <v>Mymensingh</v>
      </c>
      <c r="W291" s="6" t="str">
        <f>_xlfn.XLOOKUP(FactSales[[#This Row],[Store_ID]],DimStore[Store_ID],DimStore[Store_Name])</f>
        <v>Mymensingh Town Hall Store</v>
      </c>
    </row>
    <row r="292" spans="1:23">
      <c r="A292" s="4" t="s">
        <v>1288</v>
      </c>
      <c r="B292" s="5">
        <v>45922</v>
      </c>
      <c r="C292" s="4" t="s">
        <v>569</v>
      </c>
      <c r="D292" s="4" t="s">
        <v>62</v>
      </c>
      <c r="E292" s="4" t="s">
        <v>731</v>
      </c>
      <c r="F292" s="4" t="s">
        <v>979</v>
      </c>
      <c r="G292" s="4" t="s">
        <v>876</v>
      </c>
      <c r="H292" s="4">
        <v>6</v>
      </c>
      <c r="I292" s="7">
        <v>0.05</v>
      </c>
      <c r="J292" s="6">
        <v>4925</v>
      </c>
      <c r="K292" s="4">
        <v>6</v>
      </c>
      <c r="L292" s="8">
        <f t="shared" si="4"/>
        <v>3.2</v>
      </c>
      <c r="M292" s="6" t="str">
        <f>_xlfn.XLOOKUP(FactSales[[#This Row],[Product_ID]],DimProduct[Product_ID],DimProduct[Product_Name])</f>
        <v>Sticky Notes</v>
      </c>
      <c r="N292" s="6" t="str">
        <f>_xlfn.XLOOKUP(FactSales[[#This Row],[Product_ID]],DimProduct[Product_ID],DimProduct[Category])</f>
        <v>Stationery</v>
      </c>
      <c r="O292" s="6">
        <f>_xlfn.XLOOKUP(FactSales[[#This Row],[Product_ID]],DimProduct[Product_ID],DimProduct[Unit_Price])</f>
        <v>760</v>
      </c>
      <c r="P292" s="6">
        <f>_xlfn.XLOOKUP(FactSales[[#This Row],[Product_ID]],DimProduct[Product_ID],DimProduct[Unit_Cost])</f>
        <v>380</v>
      </c>
      <c r="Q292" s="6">
        <f>FactSales[[#This Row],[Unit_Price]]*FactSales[[#This Row],[Quantity_Sold]]</f>
        <v>4560</v>
      </c>
      <c r="R292" s="6">
        <f>FactSales[[#This Row],[Unit_Cost]]*FactSales[[#This Row],[Quantity_Sold]]</f>
        <v>2280</v>
      </c>
      <c r="S292" s="6">
        <f>FactSales[[#This Row],[Sales_Amount]]-FactSales[[#This Row],[Total_Cost]]</f>
        <v>2280</v>
      </c>
      <c r="T292" s="6" t="str">
        <f>_xlfn.XLOOKUP(FactSales[[#This Row],[Customer_ID]],DimCustomer[Customer_ID],DimCustomer[Customer_Name])</f>
        <v>Mahmud Mia</v>
      </c>
      <c r="U292" s="6" t="str">
        <f>_xlfn.XLOOKUP(FactSales[[#This Row],[Salesperson_ID]],DimSalesman[Salesperson_ID],DimSalesman[Salesperson_Name])</f>
        <v>Rahim Rahman</v>
      </c>
      <c r="V292" s="6" t="str">
        <f>_xlfn.XLOOKUP(FactSales[[#This Row],[Region_ID]],DimRegion[Region_ID],DimRegion[Region_Name])</f>
        <v>Mymensingh</v>
      </c>
      <c r="W292" s="6" t="str">
        <f>_xlfn.XLOOKUP(FactSales[[#This Row],[Store_ID]],DimStore[Store_ID],DimStore[Store_Name])</f>
        <v>Mymensingh Town Hall Store</v>
      </c>
    </row>
    <row r="293" spans="1:23">
      <c r="A293" s="4" t="s">
        <v>1289</v>
      </c>
      <c r="B293" s="5">
        <v>46144</v>
      </c>
      <c r="C293" s="4" t="s">
        <v>449</v>
      </c>
      <c r="D293" s="4" t="s">
        <v>52</v>
      </c>
      <c r="E293" s="4" t="s">
        <v>707</v>
      </c>
      <c r="F293" s="4" t="s">
        <v>964</v>
      </c>
      <c r="G293" s="4" t="s">
        <v>750</v>
      </c>
      <c r="H293" s="4">
        <v>1</v>
      </c>
      <c r="I293" s="7">
        <v>0.15</v>
      </c>
      <c r="J293" s="6">
        <v>3629</v>
      </c>
      <c r="K293" s="4">
        <v>9</v>
      </c>
      <c r="L293" s="8">
        <f t="shared" si="4"/>
        <v>2</v>
      </c>
      <c r="M293" s="6" t="str">
        <f>_xlfn.XLOOKUP(FactSales[[#This Row],[Product_ID]],DimProduct[Product_ID],DimProduct[Product_Name])</f>
        <v>Bluetooth Speaker</v>
      </c>
      <c r="N293" s="6" t="str">
        <f>_xlfn.XLOOKUP(FactSales[[#This Row],[Product_ID]],DimProduct[Product_ID],DimProduct[Category])</f>
        <v>Electronics</v>
      </c>
      <c r="O293" s="6">
        <f>_xlfn.XLOOKUP(FactSales[[#This Row],[Product_ID]],DimProduct[Product_ID],DimProduct[Unit_Price])</f>
        <v>3240</v>
      </c>
      <c r="P293" s="6">
        <f>_xlfn.XLOOKUP(FactSales[[#This Row],[Product_ID]],DimProduct[Product_ID],DimProduct[Unit_Cost])</f>
        <v>2200</v>
      </c>
      <c r="Q293" s="6">
        <f>FactSales[[#This Row],[Unit_Price]]*FactSales[[#This Row],[Quantity_Sold]]</f>
        <v>3240</v>
      </c>
      <c r="R293" s="6">
        <f>FactSales[[#This Row],[Unit_Cost]]*FactSales[[#This Row],[Quantity_Sold]]</f>
        <v>2200</v>
      </c>
      <c r="S293" s="6">
        <f>FactSales[[#This Row],[Sales_Amount]]-FactSales[[#This Row],[Total_Cost]]</f>
        <v>1040</v>
      </c>
      <c r="T293" s="6" t="str">
        <f>_xlfn.XLOOKUP(FactSales[[#This Row],[Customer_ID]],DimCustomer[Customer_ID],DimCustomer[Customer_Name])</f>
        <v>Ayesha Islam</v>
      </c>
      <c r="U293" s="6" t="str">
        <f>_xlfn.XLOOKUP(FactSales[[#This Row],[Salesperson_ID]],DimSalesman[Salesperson_ID],DimSalesman[Salesperson_Name])</f>
        <v>Shaila Uddin</v>
      </c>
      <c r="V293" s="6" t="str">
        <f>_xlfn.XLOOKUP(FactSales[[#This Row],[Region_ID]],DimRegion[Region_ID],DimRegion[Region_Name])</f>
        <v>Barishal</v>
      </c>
      <c r="W293" s="6" t="str">
        <f>_xlfn.XLOOKUP(FactSales[[#This Row],[Store_ID]],DimStore[Store_ID],DimStore[Store_Name])</f>
        <v>Barishal Chowmatha Store</v>
      </c>
    </row>
    <row r="294" spans="1:23">
      <c r="A294" s="4" t="s">
        <v>1290</v>
      </c>
      <c r="B294" s="5">
        <v>45788</v>
      </c>
      <c r="C294" s="4" t="s">
        <v>564</v>
      </c>
      <c r="D294" s="4" t="s">
        <v>62</v>
      </c>
      <c r="E294" s="4" t="s">
        <v>734</v>
      </c>
      <c r="F294" s="4" t="s">
        <v>981</v>
      </c>
      <c r="G294" s="4" t="s">
        <v>821</v>
      </c>
      <c r="H294" s="4">
        <v>3</v>
      </c>
      <c r="I294" s="7">
        <v>0.1</v>
      </c>
      <c r="J294" s="6">
        <v>5378</v>
      </c>
      <c r="K294" s="4">
        <v>5</v>
      </c>
      <c r="L294" s="8">
        <f t="shared" si="4"/>
        <v>3.4</v>
      </c>
      <c r="M294" s="6" t="str">
        <f>_xlfn.XLOOKUP(FactSales[[#This Row],[Product_ID]],DimProduct[Product_ID],DimProduct[Product_Name])</f>
        <v>Shampoo 375ml</v>
      </c>
      <c r="N294" s="6" t="str">
        <f>_xlfn.XLOOKUP(FactSales[[#This Row],[Product_ID]],DimProduct[Product_ID],DimProduct[Category])</f>
        <v>Beauty &amp; Personal Care</v>
      </c>
      <c r="O294" s="6">
        <f>_xlfn.XLOOKUP(FactSales[[#This Row],[Product_ID]],DimProduct[Product_ID],DimProduct[Unit_Price])</f>
        <v>1660</v>
      </c>
      <c r="P294" s="6">
        <f>_xlfn.XLOOKUP(FactSales[[#This Row],[Product_ID]],DimProduct[Product_ID],DimProduct[Unit_Cost])</f>
        <v>960</v>
      </c>
      <c r="Q294" s="6">
        <f>FactSales[[#This Row],[Unit_Price]]*FactSales[[#This Row],[Quantity_Sold]]</f>
        <v>4980</v>
      </c>
      <c r="R294" s="6">
        <f>FactSales[[#This Row],[Unit_Cost]]*FactSales[[#This Row],[Quantity_Sold]]</f>
        <v>2880</v>
      </c>
      <c r="S294" s="6">
        <f>FactSales[[#This Row],[Sales_Amount]]-FactSales[[#This Row],[Total_Cost]]</f>
        <v>2100</v>
      </c>
      <c r="T294" s="6" t="str">
        <f>_xlfn.XLOOKUP(FactSales[[#This Row],[Customer_ID]],DimCustomer[Customer_ID],DimCustomer[Customer_Name])</f>
        <v>Mim Ahmed</v>
      </c>
      <c r="U294" s="6" t="str">
        <f>_xlfn.XLOOKUP(FactSales[[#This Row],[Salesperson_ID]],DimSalesman[Salesperson_ID],DimSalesman[Salesperson_Name])</f>
        <v>Morshed Islam</v>
      </c>
      <c r="V294" s="6" t="str">
        <f>_xlfn.XLOOKUP(FactSales[[#This Row],[Region_ID]],DimRegion[Region_ID],DimRegion[Region_Name])</f>
        <v>Mymensingh</v>
      </c>
      <c r="W294" s="6" t="str">
        <f>_xlfn.XLOOKUP(FactSales[[#This Row],[Store_ID]],DimStore[Store_ID],DimStore[Store_Name])</f>
        <v>Mymensingh Charpara Store</v>
      </c>
    </row>
    <row r="295" spans="1:23">
      <c r="A295" s="4" t="s">
        <v>1291</v>
      </c>
      <c r="B295" s="5">
        <v>46068</v>
      </c>
      <c r="C295" s="4" t="s">
        <v>468</v>
      </c>
      <c r="D295" s="4" t="s">
        <v>52</v>
      </c>
      <c r="E295" s="4" t="s">
        <v>698</v>
      </c>
      <c r="F295" s="4" t="s">
        <v>963</v>
      </c>
      <c r="G295" s="4" t="s">
        <v>804</v>
      </c>
      <c r="H295" s="4">
        <v>3</v>
      </c>
      <c r="I295" s="7">
        <v>0.02</v>
      </c>
      <c r="J295" s="6">
        <v>1243</v>
      </c>
      <c r="K295" s="4">
        <v>2</v>
      </c>
      <c r="L295" s="8">
        <f t="shared" si="4"/>
        <v>4.5</v>
      </c>
      <c r="M295" s="6" t="str">
        <f>_xlfn.XLOOKUP(FactSales[[#This Row],[Product_ID]],DimProduct[Product_ID],DimProduct[Product_Name])</f>
        <v>Soybean Oil 5L</v>
      </c>
      <c r="N295" s="6" t="str">
        <f>_xlfn.XLOOKUP(FactSales[[#This Row],[Product_ID]],DimProduct[Product_ID],DimProduct[Category])</f>
        <v>Grocery</v>
      </c>
      <c r="O295" s="6">
        <f>_xlfn.XLOOKUP(FactSales[[#This Row],[Product_ID]],DimProduct[Product_ID],DimProduct[Unit_Price])</f>
        <v>370</v>
      </c>
      <c r="P295" s="6">
        <f>_xlfn.XLOOKUP(FactSales[[#This Row],[Product_ID]],DimProduct[Product_ID],DimProduct[Unit_Cost])</f>
        <v>290</v>
      </c>
      <c r="Q295" s="6">
        <f>FactSales[[#This Row],[Unit_Price]]*FactSales[[#This Row],[Quantity_Sold]]</f>
        <v>1110</v>
      </c>
      <c r="R295" s="6">
        <f>FactSales[[#This Row],[Unit_Cost]]*FactSales[[#This Row],[Quantity_Sold]]</f>
        <v>870</v>
      </c>
      <c r="S295" s="6">
        <f>FactSales[[#This Row],[Sales_Amount]]-FactSales[[#This Row],[Total_Cost]]</f>
        <v>240</v>
      </c>
      <c r="T295" s="6" t="str">
        <f>_xlfn.XLOOKUP(FactSales[[#This Row],[Customer_ID]],DimCustomer[Customer_ID],DimCustomer[Customer_Name])</f>
        <v>Samiha Ahmed</v>
      </c>
      <c r="U295" s="6" t="str">
        <f>_xlfn.XLOOKUP(FactSales[[#This Row],[Salesperson_ID]],DimSalesman[Salesperson_ID],DimSalesman[Salesperson_Name])</f>
        <v>Rasel Uddin</v>
      </c>
      <c r="V295" s="6" t="str">
        <f>_xlfn.XLOOKUP(FactSales[[#This Row],[Region_ID]],DimRegion[Region_ID],DimRegion[Region_Name])</f>
        <v>Barishal</v>
      </c>
      <c r="W295" s="6" t="str">
        <f>_xlfn.XLOOKUP(FactSales[[#This Row],[Store_ID]],DimStore[Store_ID],DimStore[Store_Name])</f>
        <v>Barishal Nathullabad Store</v>
      </c>
    </row>
    <row r="296" spans="1:23">
      <c r="A296" s="4" t="s">
        <v>1292</v>
      </c>
      <c r="B296" s="5">
        <v>46006</v>
      </c>
      <c r="C296" s="4" t="s">
        <v>332</v>
      </c>
      <c r="D296" s="4" t="s">
        <v>42</v>
      </c>
      <c r="E296" s="4" t="s">
        <v>671</v>
      </c>
      <c r="F296" s="4" t="s">
        <v>947</v>
      </c>
      <c r="G296" s="4" t="s">
        <v>778</v>
      </c>
      <c r="H296" s="4">
        <v>3</v>
      </c>
      <c r="I296" s="7">
        <v>0.18</v>
      </c>
      <c r="J296" s="6">
        <v>14774</v>
      </c>
      <c r="K296" s="4">
        <v>1</v>
      </c>
      <c r="L296" s="8">
        <f t="shared" si="4"/>
        <v>4.5</v>
      </c>
      <c r="M296" s="6" t="str">
        <f>_xlfn.XLOOKUP(FactSales[[#This Row],[Product_ID]],DimProduct[Product_ID],DimProduct[Product_Name])</f>
        <v>Steam Iron</v>
      </c>
      <c r="N296" s="6" t="str">
        <f>_xlfn.XLOOKUP(FactSales[[#This Row],[Product_ID]],DimProduct[Product_ID],DimProduct[Category])</f>
        <v>Home Appliance</v>
      </c>
      <c r="O296" s="6">
        <f>_xlfn.XLOOKUP(FactSales[[#This Row],[Product_ID]],DimProduct[Product_ID],DimProduct[Unit_Price])</f>
        <v>4560</v>
      </c>
      <c r="P296" s="6">
        <f>_xlfn.XLOOKUP(FactSales[[#This Row],[Product_ID]],DimProduct[Product_ID],DimProduct[Unit_Cost])</f>
        <v>3190</v>
      </c>
      <c r="Q296" s="6">
        <f>FactSales[[#This Row],[Unit_Price]]*FactSales[[#This Row],[Quantity_Sold]]</f>
        <v>13680</v>
      </c>
      <c r="R296" s="6">
        <f>FactSales[[#This Row],[Unit_Cost]]*FactSales[[#This Row],[Quantity_Sold]]</f>
        <v>9570</v>
      </c>
      <c r="S296" s="6">
        <f>FactSales[[#This Row],[Sales_Amount]]-FactSales[[#This Row],[Total_Cost]]</f>
        <v>4110</v>
      </c>
      <c r="T296" s="6" t="str">
        <f>_xlfn.XLOOKUP(FactSales[[#This Row],[Customer_ID]],DimCustomer[Customer_ID],DimCustomer[Customer_Name])</f>
        <v>Samiha Mia</v>
      </c>
      <c r="U296" s="6" t="str">
        <f>_xlfn.XLOOKUP(FactSales[[#This Row],[Salesperson_ID]],DimSalesman[Salesperson_ID],DimSalesman[Salesperson_Name])</f>
        <v>Farhana Rahman</v>
      </c>
      <c r="V296" s="6" t="str">
        <f>_xlfn.XLOOKUP(FactSales[[#This Row],[Region_ID]],DimRegion[Region_ID],DimRegion[Region_Name])</f>
        <v>Rajshahi</v>
      </c>
      <c r="W296" s="6" t="str">
        <f>_xlfn.XLOOKUP(FactSales[[#This Row],[Store_ID]],DimStore[Store_ID],DimStore[Store_Name])</f>
        <v>Rajshahi Kazla Store</v>
      </c>
    </row>
    <row r="297" spans="1:23">
      <c r="A297" s="4" t="s">
        <v>1293</v>
      </c>
      <c r="B297" s="5">
        <v>45737</v>
      </c>
      <c r="C297" s="4" t="s">
        <v>468</v>
      </c>
      <c r="D297" s="4" t="s">
        <v>52</v>
      </c>
      <c r="E297" s="4" t="s">
        <v>701</v>
      </c>
      <c r="F297" s="4" t="s">
        <v>961</v>
      </c>
      <c r="G297" s="4" t="s">
        <v>834</v>
      </c>
      <c r="H297" s="4">
        <v>6</v>
      </c>
      <c r="I297" s="7">
        <v>0.12</v>
      </c>
      <c r="J297" s="6">
        <v>23587</v>
      </c>
      <c r="K297" s="4">
        <v>7</v>
      </c>
      <c r="L297" s="8">
        <f t="shared" si="4"/>
        <v>2.7</v>
      </c>
      <c r="M297" s="6" t="str">
        <f>_xlfn.XLOOKUP(FactSales[[#This Row],[Product_ID]],DimProduct[Product_ID],DimProduct[Product_Name])</f>
        <v>Running Shoe</v>
      </c>
      <c r="N297" s="6" t="str">
        <f>_xlfn.XLOOKUP(FactSales[[#This Row],[Product_ID]],DimProduct[Product_ID],DimProduct[Category])</f>
        <v>Footwear</v>
      </c>
      <c r="O297" s="6">
        <f>_xlfn.XLOOKUP(FactSales[[#This Row],[Product_ID]],DimProduct[Product_ID],DimProduct[Unit_Price])</f>
        <v>3510</v>
      </c>
      <c r="P297" s="6">
        <f>_xlfn.XLOOKUP(FactSales[[#This Row],[Product_ID]],DimProduct[Product_ID],DimProduct[Unit_Cost])</f>
        <v>2110</v>
      </c>
      <c r="Q297" s="6">
        <f>FactSales[[#This Row],[Unit_Price]]*FactSales[[#This Row],[Quantity_Sold]]</f>
        <v>21060</v>
      </c>
      <c r="R297" s="6">
        <f>FactSales[[#This Row],[Unit_Cost]]*FactSales[[#This Row],[Quantity_Sold]]</f>
        <v>12660</v>
      </c>
      <c r="S297" s="6">
        <f>FactSales[[#This Row],[Sales_Amount]]-FactSales[[#This Row],[Total_Cost]]</f>
        <v>8400</v>
      </c>
      <c r="T297" s="6" t="str">
        <f>_xlfn.XLOOKUP(FactSales[[#This Row],[Customer_ID]],DimCustomer[Customer_ID],DimCustomer[Customer_Name])</f>
        <v>Samiha Ahmed</v>
      </c>
      <c r="U297" s="6" t="str">
        <f>_xlfn.XLOOKUP(FactSales[[#This Row],[Salesperson_ID]],DimSalesman[Salesperson_ID],DimSalesman[Salesperson_Name])</f>
        <v>Shaila Akter</v>
      </c>
      <c r="V297" s="6" t="str">
        <f>_xlfn.XLOOKUP(FactSales[[#This Row],[Region_ID]],DimRegion[Region_ID],DimRegion[Region_Name])</f>
        <v>Barishal</v>
      </c>
      <c r="W297" s="6" t="str">
        <f>_xlfn.XLOOKUP(FactSales[[#This Row],[Store_ID]],DimStore[Store_ID],DimStore[Store_Name])</f>
        <v>Barishal Sadar Road Store</v>
      </c>
    </row>
    <row r="298" spans="1:23">
      <c r="A298" s="4" t="s">
        <v>1294</v>
      </c>
      <c r="B298" s="5">
        <v>45757</v>
      </c>
      <c r="C298" s="4" t="s">
        <v>559</v>
      </c>
      <c r="D298" s="4" t="s">
        <v>62</v>
      </c>
      <c r="E298" s="4" t="s">
        <v>740</v>
      </c>
      <c r="F298" s="4" t="s">
        <v>985</v>
      </c>
      <c r="G298" s="4" t="s">
        <v>788</v>
      </c>
      <c r="H298" s="4">
        <v>5</v>
      </c>
      <c r="I298" s="7">
        <v>7.0000000000000007E-2</v>
      </c>
      <c r="J298" s="6">
        <v>9828</v>
      </c>
      <c r="K298" s="4">
        <v>5</v>
      </c>
      <c r="L298" s="8">
        <f t="shared" si="4"/>
        <v>3.4</v>
      </c>
      <c r="M298" s="6" t="str">
        <f>_xlfn.XLOOKUP(FactSales[[#This Row],[Product_ID]],DimProduct[Product_ID],DimProduct[Product_Name])</f>
        <v>Formal Shirt</v>
      </c>
      <c r="N298" s="6" t="str">
        <f>_xlfn.XLOOKUP(FactSales[[#This Row],[Product_ID]],DimProduct[Product_ID],DimProduct[Category])</f>
        <v>Fashion</v>
      </c>
      <c r="O298" s="6">
        <f>_xlfn.XLOOKUP(FactSales[[#This Row],[Product_ID]],DimProduct[Product_ID],DimProduct[Unit_Price])</f>
        <v>1820</v>
      </c>
      <c r="P298" s="6">
        <f>_xlfn.XLOOKUP(FactSales[[#This Row],[Product_ID]],DimProduct[Product_ID],DimProduct[Unit_Cost])</f>
        <v>1000</v>
      </c>
      <c r="Q298" s="6">
        <f>FactSales[[#This Row],[Unit_Price]]*FactSales[[#This Row],[Quantity_Sold]]</f>
        <v>9100</v>
      </c>
      <c r="R298" s="6">
        <f>FactSales[[#This Row],[Unit_Cost]]*FactSales[[#This Row],[Quantity_Sold]]</f>
        <v>5000</v>
      </c>
      <c r="S298" s="6">
        <f>FactSales[[#This Row],[Sales_Amount]]-FactSales[[#This Row],[Total_Cost]]</f>
        <v>4100</v>
      </c>
      <c r="T298" s="6" t="str">
        <f>_xlfn.XLOOKUP(FactSales[[#This Row],[Customer_ID]],DimCustomer[Customer_ID],DimCustomer[Customer_Name])</f>
        <v>Morshed Sultana</v>
      </c>
      <c r="U298" s="6" t="str">
        <f>_xlfn.XLOOKUP(FactSales[[#This Row],[Salesperson_ID]],DimSalesman[Salesperson_ID],DimSalesman[Salesperson_Name])</f>
        <v>Tamanna Sultana</v>
      </c>
      <c r="V298" s="6" t="str">
        <f>_xlfn.XLOOKUP(FactSales[[#This Row],[Region_ID]],DimRegion[Region_ID],DimRegion[Region_Name])</f>
        <v>Mymensingh</v>
      </c>
      <c r="W298" s="6" t="str">
        <f>_xlfn.XLOOKUP(FactSales[[#This Row],[Store_ID]],DimStore[Store_ID],DimStore[Store_Name])</f>
        <v>Mymensingh Maskanda Store</v>
      </c>
    </row>
    <row r="299" spans="1:23">
      <c r="A299" s="4" t="s">
        <v>1295</v>
      </c>
      <c r="B299" s="5">
        <v>45720</v>
      </c>
      <c r="C299" s="4" t="s">
        <v>207</v>
      </c>
      <c r="D299" s="4" t="s">
        <v>32</v>
      </c>
      <c r="E299" s="4" t="s">
        <v>650</v>
      </c>
      <c r="F299" s="4" t="s">
        <v>927</v>
      </c>
      <c r="G299" s="4" t="s">
        <v>773</v>
      </c>
      <c r="H299" s="4">
        <v>1</v>
      </c>
      <c r="I299" s="7">
        <v>0.18</v>
      </c>
      <c r="J299" s="6">
        <v>8470</v>
      </c>
      <c r="K299" s="4">
        <v>7</v>
      </c>
      <c r="L299" s="8">
        <f t="shared" si="4"/>
        <v>2.6</v>
      </c>
      <c r="M299" s="6" t="str">
        <f>_xlfn.XLOOKUP(FactSales[[#This Row],[Product_ID]],DimProduct[Product_ID],DimProduct[Product_Name])</f>
        <v>Rice Cooker</v>
      </c>
      <c r="N299" s="6" t="str">
        <f>_xlfn.XLOOKUP(FactSales[[#This Row],[Product_ID]],DimProduct[Product_ID],DimProduct[Category])</f>
        <v>Home Appliance</v>
      </c>
      <c r="O299" s="6">
        <f>_xlfn.XLOOKUP(FactSales[[#This Row],[Product_ID]],DimProduct[Product_ID],DimProduct[Unit_Price])</f>
        <v>7430</v>
      </c>
      <c r="P299" s="6">
        <f>_xlfn.XLOOKUP(FactSales[[#This Row],[Product_ID]],DimProduct[Product_ID],DimProduct[Unit_Cost])</f>
        <v>5200</v>
      </c>
      <c r="Q299" s="6">
        <f>FactSales[[#This Row],[Unit_Price]]*FactSales[[#This Row],[Quantity_Sold]]</f>
        <v>7430</v>
      </c>
      <c r="R299" s="6">
        <f>FactSales[[#This Row],[Unit_Cost]]*FactSales[[#This Row],[Quantity_Sold]]</f>
        <v>5200</v>
      </c>
      <c r="S299" s="6">
        <f>FactSales[[#This Row],[Sales_Amount]]-FactSales[[#This Row],[Total_Cost]]</f>
        <v>2230</v>
      </c>
      <c r="T299" s="6" t="str">
        <f>_xlfn.XLOOKUP(FactSales[[#This Row],[Customer_ID]],DimCustomer[Customer_ID],DimCustomer[Customer_Name])</f>
        <v>Sadia Sultana</v>
      </c>
      <c r="U299" s="6" t="str">
        <f>_xlfn.XLOOKUP(FactSales[[#This Row],[Salesperson_ID]],DimSalesman[Salesperson_ID],DimSalesman[Salesperson_Name])</f>
        <v>Shakib Ahmed</v>
      </c>
      <c r="V299" s="6" t="str">
        <f>_xlfn.XLOOKUP(FactSales[[#This Row],[Region_ID]],DimRegion[Region_ID],DimRegion[Region_Name])</f>
        <v>Chattogram</v>
      </c>
      <c r="W299" s="6" t="str">
        <f>_xlfn.XLOOKUP(FactSales[[#This Row],[Store_ID]],DimStore[Store_ID],DimStore[Store_Name])</f>
        <v>Chattogram Halishahar Store</v>
      </c>
    </row>
    <row r="300" spans="1:23">
      <c r="A300" s="4" t="s">
        <v>1296</v>
      </c>
      <c r="B300" s="5">
        <v>45956</v>
      </c>
      <c r="C300" s="4" t="s">
        <v>145</v>
      </c>
      <c r="D300" s="4" t="s">
        <v>27</v>
      </c>
      <c r="E300" s="4" t="s">
        <v>622</v>
      </c>
      <c r="F300" s="4" t="s">
        <v>920</v>
      </c>
      <c r="G300" s="4" t="s">
        <v>758</v>
      </c>
      <c r="H300" s="4">
        <v>2</v>
      </c>
      <c r="I300" s="7">
        <v>0.18</v>
      </c>
      <c r="J300" s="6">
        <v>6021</v>
      </c>
      <c r="K300" s="4">
        <v>1</v>
      </c>
      <c r="L300" s="8">
        <f t="shared" si="4"/>
        <v>4.5</v>
      </c>
      <c r="M300" s="6" t="str">
        <f>_xlfn.XLOOKUP(FactSales[[#This Row],[Product_ID]],DimProduct[Product_ID],DimProduct[Product_Name])</f>
        <v>Power Bank</v>
      </c>
      <c r="N300" s="6" t="str">
        <f>_xlfn.XLOOKUP(FactSales[[#This Row],[Product_ID]],DimProduct[Product_ID],DimProduct[Category])</f>
        <v>Electronics</v>
      </c>
      <c r="O300" s="6">
        <f>_xlfn.XLOOKUP(FactSales[[#This Row],[Product_ID]],DimProduct[Product_ID],DimProduct[Unit_Price])</f>
        <v>2840</v>
      </c>
      <c r="P300" s="6">
        <f>_xlfn.XLOOKUP(FactSales[[#This Row],[Product_ID]],DimProduct[Product_ID],DimProduct[Unit_Cost])</f>
        <v>1930</v>
      </c>
      <c r="Q300" s="6">
        <f>FactSales[[#This Row],[Unit_Price]]*FactSales[[#This Row],[Quantity_Sold]]</f>
        <v>5680</v>
      </c>
      <c r="R300" s="6">
        <f>FactSales[[#This Row],[Unit_Cost]]*FactSales[[#This Row],[Quantity_Sold]]</f>
        <v>3860</v>
      </c>
      <c r="S300" s="6">
        <f>FactSales[[#This Row],[Sales_Amount]]-FactSales[[#This Row],[Total_Cost]]</f>
        <v>1820</v>
      </c>
      <c r="T300" s="6" t="str">
        <f>_xlfn.XLOOKUP(FactSales[[#This Row],[Customer_ID]],DimCustomer[Customer_ID],DimCustomer[Customer_Name])</f>
        <v>Nabila Sultana</v>
      </c>
      <c r="U300" s="6" t="str">
        <f>_xlfn.XLOOKUP(FactSales[[#This Row],[Salesperson_ID]],DimSalesman[Salesperson_ID],DimSalesman[Salesperson_Name])</f>
        <v>Rahim Hossain</v>
      </c>
      <c r="V300" s="6" t="str">
        <f>_xlfn.XLOOKUP(FactSales[[#This Row],[Region_ID]],DimRegion[Region_ID],DimRegion[Region_Name])</f>
        <v>Dhaka</v>
      </c>
      <c r="W300" s="6" t="str">
        <f>_xlfn.XLOOKUP(FactSales[[#This Row],[Store_ID]],DimStore[Store_ID],DimStore[Store_Name])</f>
        <v>Dhaka Dhanmondi Store</v>
      </c>
    </row>
    <row r="301" spans="1:23">
      <c r="A301" s="4" t="s">
        <v>1297</v>
      </c>
      <c r="B301" s="5">
        <v>46103</v>
      </c>
      <c r="C301" s="4" t="s">
        <v>447</v>
      </c>
      <c r="D301" s="4" t="s">
        <v>52</v>
      </c>
      <c r="E301" s="4" t="s">
        <v>710</v>
      </c>
      <c r="F301" s="4" t="s">
        <v>966</v>
      </c>
      <c r="G301" s="4" t="s">
        <v>768</v>
      </c>
      <c r="H301" s="4">
        <v>5</v>
      </c>
      <c r="I301" s="7">
        <v>0.08</v>
      </c>
      <c r="J301" s="6">
        <v>40320</v>
      </c>
      <c r="K301" s="4">
        <v>7</v>
      </c>
      <c r="L301" s="8">
        <f t="shared" si="4"/>
        <v>2.8</v>
      </c>
      <c r="M301" s="6" t="str">
        <f>_xlfn.XLOOKUP(FactSales[[#This Row],[Product_ID]],DimProduct[Product_ID],DimProduct[Product_Name])</f>
        <v>Electric Kettle</v>
      </c>
      <c r="N301" s="6" t="str">
        <f>_xlfn.XLOOKUP(FactSales[[#This Row],[Product_ID]],DimProduct[Product_ID],DimProduct[Category])</f>
        <v>Home Appliance</v>
      </c>
      <c r="O301" s="6">
        <f>_xlfn.XLOOKUP(FactSales[[#This Row],[Product_ID]],DimProduct[Product_ID],DimProduct[Unit_Price])</f>
        <v>7200</v>
      </c>
      <c r="P301" s="6">
        <f>_xlfn.XLOOKUP(FactSales[[#This Row],[Product_ID]],DimProduct[Product_ID],DimProduct[Unit_Cost])</f>
        <v>5040</v>
      </c>
      <c r="Q301" s="6">
        <f>FactSales[[#This Row],[Unit_Price]]*FactSales[[#This Row],[Quantity_Sold]]</f>
        <v>36000</v>
      </c>
      <c r="R301" s="6">
        <f>FactSales[[#This Row],[Unit_Cost]]*FactSales[[#This Row],[Quantity_Sold]]</f>
        <v>25200</v>
      </c>
      <c r="S301" s="6">
        <f>FactSales[[#This Row],[Sales_Amount]]-FactSales[[#This Row],[Total_Cost]]</f>
        <v>10800</v>
      </c>
      <c r="T301" s="6" t="str">
        <f>_xlfn.XLOOKUP(FactSales[[#This Row],[Customer_ID]],DimCustomer[Customer_ID],DimCustomer[Customer_Name])</f>
        <v>Nabila Khan</v>
      </c>
      <c r="U301" s="6" t="str">
        <f>_xlfn.XLOOKUP(FactSales[[#This Row],[Salesperson_ID]],DimSalesman[Salesperson_ID],DimSalesman[Salesperson_Name])</f>
        <v>Nayeem Akter</v>
      </c>
      <c r="V301" s="6" t="str">
        <f>_xlfn.XLOOKUP(FactSales[[#This Row],[Region_ID]],DimRegion[Region_ID],DimRegion[Region_Name])</f>
        <v>Barishal</v>
      </c>
      <c r="W301" s="6" t="str">
        <f>_xlfn.XLOOKUP(FactSales[[#This Row],[Store_ID]],DimStore[Store_ID],DimStore[Store_Name])</f>
        <v>Barishal Kawnia Store</v>
      </c>
    </row>
    <row r="302" spans="1:23">
      <c r="A302" s="4" t="s">
        <v>1298</v>
      </c>
      <c r="B302" s="5">
        <v>45959</v>
      </c>
      <c r="C302" s="4" t="s">
        <v>130</v>
      </c>
      <c r="D302" s="4" t="s">
        <v>27</v>
      </c>
      <c r="E302" s="4" t="s">
        <v>634</v>
      </c>
      <c r="F302" s="4" t="s">
        <v>918</v>
      </c>
      <c r="G302" s="4" t="s">
        <v>876</v>
      </c>
      <c r="H302" s="4">
        <v>1</v>
      </c>
      <c r="I302" s="7">
        <v>0</v>
      </c>
      <c r="J302" s="6">
        <v>806</v>
      </c>
      <c r="K302" s="4">
        <v>4</v>
      </c>
      <c r="L302" s="8">
        <f t="shared" si="4"/>
        <v>3.9</v>
      </c>
      <c r="M302" s="6" t="str">
        <f>_xlfn.XLOOKUP(FactSales[[#This Row],[Product_ID]],DimProduct[Product_ID],DimProduct[Product_Name])</f>
        <v>Sticky Notes</v>
      </c>
      <c r="N302" s="6" t="str">
        <f>_xlfn.XLOOKUP(FactSales[[#This Row],[Product_ID]],DimProduct[Product_ID],DimProduct[Category])</f>
        <v>Stationery</v>
      </c>
      <c r="O302" s="6">
        <f>_xlfn.XLOOKUP(FactSales[[#This Row],[Product_ID]],DimProduct[Product_ID],DimProduct[Unit_Price])</f>
        <v>760</v>
      </c>
      <c r="P302" s="6">
        <f>_xlfn.XLOOKUP(FactSales[[#This Row],[Product_ID]],DimProduct[Product_ID],DimProduct[Unit_Cost])</f>
        <v>380</v>
      </c>
      <c r="Q302" s="6">
        <f>FactSales[[#This Row],[Unit_Price]]*FactSales[[#This Row],[Quantity_Sold]]</f>
        <v>760</v>
      </c>
      <c r="R302" s="6">
        <f>FactSales[[#This Row],[Unit_Cost]]*FactSales[[#This Row],[Quantity_Sold]]</f>
        <v>380</v>
      </c>
      <c r="S302" s="6">
        <f>FactSales[[#This Row],[Sales_Amount]]-FactSales[[#This Row],[Total_Cost]]</f>
        <v>380</v>
      </c>
      <c r="T302" s="6" t="str">
        <f>_xlfn.XLOOKUP(FactSales[[#This Row],[Customer_ID]],DimCustomer[Customer_ID],DimCustomer[Customer_Name])</f>
        <v>Tanjim Ahmed</v>
      </c>
      <c r="U302" s="6" t="str">
        <f>_xlfn.XLOOKUP(FactSales[[#This Row],[Salesperson_ID]],DimSalesman[Salesperson_ID],DimSalesman[Salesperson_Name])</f>
        <v>Tania Sultana</v>
      </c>
      <c r="V302" s="6" t="str">
        <f>_xlfn.XLOOKUP(FactSales[[#This Row],[Region_ID]],DimRegion[Region_ID],DimRegion[Region_Name])</f>
        <v>Dhaka</v>
      </c>
      <c r="W302" s="6" t="str">
        <f>_xlfn.XLOOKUP(FactSales[[#This Row],[Store_ID]],DimStore[Store_ID],DimStore[Store_Name])</f>
        <v>Dhaka Motijheel Store</v>
      </c>
    </row>
    <row r="303" spans="1:23">
      <c r="A303" s="4" t="s">
        <v>1299</v>
      </c>
      <c r="B303" s="5">
        <v>46061</v>
      </c>
      <c r="C303" s="4" t="s">
        <v>431</v>
      </c>
      <c r="D303" s="4" t="s">
        <v>52</v>
      </c>
      <c r="E303" s="4" t="s">
        <v>704</v>
      </c>
      <c r="F303" s="4" t="s">
        <v>960</v>
      </c>
      <c r="G303" s="4" t="s">
        <v>765</v>
      </c>
      <c r="H303" s="4">
        <v>3</v>
      </c>
      <c r="I303" s="7">
        <v>0.15</v>
      </c>
      <c r="J303" s="6">
        <v>16430</v>
      </c>
      <c r="K303" s="4">
        <v>5</v>
      </c>
      <c r="L303" s="8">
        <f t="shared" si="4"/>
        <v>3.3</v>
      </c>
      <c r="M303" s="6" t="str">
        <f>_xlfn.XLOOKUP(FactSales[[#This Row],[Product_ID]],DimProduct[Product_ID],DimProduct[Product_Name])</f>
        <v>USB-C Hub</v>
      </c>
      <c r="N303" s="6" t="str">
        <f>_xlfn.XLOOKUP(FactSales[[#This Row],[Product_ID]],DimProduct[Product_ID],DimProduct[Category])</f>
        <v>Electronics</v>
      </c>
      <c r="O303" s="6">
        <f>_xlfn.XLOOKUP(FactSales[[#This Row],[Product_ID]],DimProduct[Product_ID],DimProduct[Unit_Price])</f>
        <v>4890</v>
      </c>
      <c r="P303" s="6">
        <f>_xlfn.XLOOKUP(FactSales[[#This Row],[Product_ID]],DimProduct[Product_ID],DimProduct[Unit_Cost])</f>
        <v>3330</v>
      </c>
      <c r="Q303" s="6">
        <f>FactSales[[#This Row],[Unit_Price]]*FactSales[[#This Row],[Quantity_Sold]]</f>
        <v>14670</v>
      </c>
      <c r="R303" s="6">
        <f>FactSales[[#This Row],[Unit_Cost]]*FactSales[[#This Row],[Quantity_Sold]]</f>
        <v>9990</v>
      </c>
      <c r="S303" s="6">
        <f>FactSales[[#This Row],[Sales_Amount]]-FactSales[[#This Row],[Total_Cost]]</f>
        <v>4680</v>
      </c>
      <c r="T303" s="6" t="str">
        <f>_xlfn.XLOOKUP(FactSales[[#This Row],[Customer_ID]],DimCustomer[Customer_ID],DimCustomer[Customer_Name])</f>
        <v>Rasel Uddin</v>
      </c>
      <c r="U303" s="6" t="str">
        <f>_xlfn.XLOOKUP(FactSales[[#This Row],[Salesperson_ID]],DimSalesman[Salesperson_ID],DimSalesman[Salesperson_Name])</f>
        <v>Mim Akter</v>
      </c>
      <c r="V303" s="6" t="str">
        <f>_xlfn.XLOOKUP(FactSales[[#This Row],[Region_ID]],DimRegion[Region_ID],DimRegion[Region_Name])</f>
        <v>Barishal</v>
      </c>
      <c r="W303" s="6" t="str">
        <f>_xlfn.XLOOKUP(FactSales[[#This Row],[Store_ID]],DimStore[Store_ID],DimStore[Store_Name])</f>
        <v>Barishal Rupatali Store</v>
      </c>
    </row>
    <row r="304" spans="1:23">
      <c r="A304" s="4" t="s">
        <v>1300</v>
      </c>
      <c r="B304" s="5">
        <v>45835</v>
      </c>
      <c r="C304" s="4" t="s">
        <v>518</v>
      </c>
      <c r="D304" s="4" t="s">
        <v>57</v>
      </c>
      <c r="E304" s="4" t="s">
        <v>722</v>
      </c>
      <c r="F304" s="4" t="s">
        <v>976</v>
      </c>
      <c r="G304" s="4" t="s">
        <v>762</v>
      </c>
      <c r="H304" s="4">
        <v>2</v>
      </c>
      <c r="I304" s="7">
        <v>0.1</v>
      </c>
      <c r="J304" s="6">
        <v>8901</v>
      </c>
      <c r="K304" s="4">
        <v>3</v>
      </c>
      <c r="L304" s="8">
        <f t="shared" si="4"/>
        <v>4</v>
      </c>
      <c r="M304" s="6" t="str">
        <f>_xlfn.XLOOKUP(FactSales[[#This Row],[Product_ID]],DimProduct[Product_ID],DimProduct[Product_Name])</f>
        <v>Smart Watch</v>
      </c>
      <c r="N304" s="6" t="str">
        <f>_xlfn.XLOOKUP(FactSales[[#This Row],[Product_ID]],DimProduct[Product_ID],DimProduct[Category])</f>
        <v>Electronics</v>
      </c>
      <c r="O304" s="6">
        <f>_xlfn.XLOOKUP(FactSales[[#This Row],[Product_ID]],DimProduct[Product_ID],DimProduct[Unit_Price])</f>
        <v>3870</v>
      </c>
      <c r="P304" s="6">
        <f>_xlfn.XLOOKUP(FactSales[[#This Row],[Product_ID]],DimProduct[Product_ID],DimProduct[Unit_Cost])</f>
        <v>2630</v>
      </c>
      <c r="Q304" s="6">
        <f>FactSales[[#This Row],[Unit_Price]]*FactSales[[#This Row],[Quantity_Sold]]</f>
        <v>7740</v>
      </c>
      <c r="R304" s="6">
        <f>FactSales[[#This Row],[Unit_Cost]]*FactSales[[#This Row],[Quantity_Sold]]</f>
        <v>5260</v>
      </c>
      <c r="S304" s="6">
        <f>FactSales[[#This Row],[Sales_Amount]]-FactSales[[#This Row],[Total_Cost]]</f>
        <v>2480</v>
      </c>
      <c r="T304" s="6" t="str">
        <f>_xlfn.XLOOKUP(FactSales[[#This Row],[Customer_ID]],DimCustomer[Customer_ID],DimCustomer[Customer_Name])</f>
        <v>Arif Rahman</v>
      </c>
      <c r="U304" s="6" t="str">
        <f>_xlfn.XLOOKUP(FactSales[[#This Row],[Salesperson_ID]],DimSalesman[Salesperson_ID],DimSalesman[Salesperson_Name])</f>
        <v>Nayeem Rahman</v>
      </c>
      <c r="V304" s="6" t="str">
        <f>_xlfn.XLOOKUP(FactSales[[#This Row],[Region_ID]],DimRegion[Region_ID],DimRegion[Region_Name])</f>
        <v>Rangpur</v>
      </c>
      <c r="W304" s="6" t="str">
        <f>_xlfn.XLOOKUP(FactSales[[#This Row],[Store_ID]],DimStore[Store_ID],DimStore[Store_Name])</f>
        <v>Rangpur Dhap Store</v>
      </c>
    </row>
    <row r="305" spans="1:23">
      <c r="A305" s="4" t="s">
        <v>1301</v>
      </c>
      <c r="B305" s="5">
        <v>45786</v>
      </c>
      <c r="C305" s="4" t="s">
        <v>457</v>
      </c>
      <c r="D305" s="4" t="s">
        <v>52</v>
      </c>
      <c r="E305" s="4" t="s">
        <v>701</v>
      </c>
      <c r="F305" s="4" t="s">
        <v>963</v>
      </c>
      <c r="G305" s="4" t="s">
        <v>905</v>
      </c>
      <c r="H305" s="4">
        <v>1</v>
      </c>
      <c r="I305" s="7">
        <v>0.03</v>
      </c>
      <c r="J305" s="6">
        <v>6574</v>
      </c>
      <c r="K305" s="4">
        <v>6</v>
      </c>
      <c r="L305" s="8">
        <f t="shared" si="4"/>
        <v>3.2</v>
      </c>
      <c r="M305" s="6" t="str">
        <f>_xlfn.XLOOKUP(FactSales[[#This Row],[Product_ID]],DimProduct[Product_ID],DimProduct[Product_Name])</f>
        <v>Bedside Table</v>
      </c>
      <c r="N305" s="6" t="str">
        <f>_xlfn.XLOOKUP(FactSales[[#This Row],[Product_ID]],DimProduct[Product_ID],DimProduct[Category])</f>
        <v>Furniture</v>
      </c>
      <c r="O305" s="6">
        <f>_xlfn.XLOOKUP(FactSales[[#This Row],[Product_ID]],DimProduct[Product_ID],DimProduct[Unit_Price])</f>
        <v>5870</v>
      </c>
      <c r="P305" s="6">
        <f>_xlfn.XLOOKUP(FactSales[[#This Row],[Product_ID]],DimProduct[Product_ID],DimProduct[Unit_Cost])</f>
        <v>4230</v>
      </c>
      <c r="Q305" s="6">
        <f>FactSales[[#This Row],[Unit_Price]]*FactSales[[#This Row],[Quantity_Sold]]</f>
        <v>5870</v>
      </c>
      <c r="R305" s="6">
        <f>FactSales[[#This Row],[Unit_Cost]]*FactSales[[#This Row],[Quantity_Sold]]</f>
        <v>4230</v>
      </c>
      <c r="S305" s="6">
        <f>FactSales[[#This Row],[Sales_Amount]]-FactSales[[#This Row],[Total_Cost]]</f>
        <v>1640</v>
      </c>
      <c r="T305" s="6" t="str">
        <f>_xlfn.XLOOKUP(FactSales[[#This Row],[Customer_ID]],DimCustomer[Customer_ID],DimCustomer[Customer_Name])</f>
        <v>Rasel Ahmed</v>
      </c>
      <c r="U305" s="6" t="str">
        <f>_xlfn.XLOOKUP(FactSales[[#This Row],[Salesperson_ID]],DimSalesman[Salesperson_ID],DimSalesman[Salesperson_Name])</f>
        <v>Rasel Uddin</v>
      </c>
      <c r="V305" s="6" t="str">
        <f>_xlfn.XLOOKUP(FactSales[[#This Row],[Region_ID]],DimRegion[Region_ID],DimRegion[Region_Name])</f>
        <v>Barishal</v>
      </c>
      <c r="W305" s="6" t="str">
        <f>_xlfn.XLOOKUP(FactSales[[#This Row],[Store_ID]],DimStore[Store_ID],DimStore[Store_Name])</f>
        <v>Barishal Sadar Road Store</v>
      </c>
    </row>
    <row r="306" spans="1:23">
      <c r="A306" s="4" t="s">
        <v>1302</v>
      </c>
      <c r="B306" s="5">
        <v>45797</v>
      </c>
      <c r="C306" s="4" t="s">
        <v>85</v>
      </c>
      <c r="D306" s="4" t="s">
        <v>27</v>
      </c>
      <c r="E306" s="4" t="s">
        <v>630</v>
      </c>
      <c r="F306" s="4" t="s">
        <v>920</v>
      </c>
      <c r="G306" s="4" t="s">
        <v>784</v>
      </c>
      <c r="H306" s="4">
        <v>1</v>
      </c>
      <c r="I306" s="7">
        <v>0.1</v>
      </c>
      <c r="J306" s="6">
        <v>1982</v>
      </c>
      <c r="K306" s="4">
        <v>4</v>
      </c>
      <c r="L306" s="8">
        <f t="shared" si="4"/>
        <v>3.7</v>
      </c>
      <c r="M306" s="6" t="str">
        <f>_xlfn.XLOOKUP(FactSales[[#This Row],[Product_ID]],DimProduct[Product_ID],DimProduct[Product_Name])</f>
        <v>Cotton T-Shirt</v>
      </c>
      <c r="N306" s="6" t="str">
        <f>_xlfn.XLOOKUP(FactSales[[#This Row],[Product_ID]],DimProduct[Product_ID],DimProduct[Category])</f>
        <v>Fashion</v>
      </c>
      <c r="O306" s="6">
        <f>_xlfn.XLOOKUP(FactSales[[#This Row],[Product_ID]],DimProduct[Product_ID],DimProduct[Unit_Price])</f>
        <v>1870</v>
      </c>
      <c r="P306" s="6">
        <f>_xlfn.XLOOKUP(FactSales[[#This Row],[Product_ID]],DimProduct[Product_ID],DimProduct[Unit_Cost])</f>
        <v>1030</v>
      </c>
      <c r="Q306" s="6">
        <f>FactSales[[#This Row],[Unit_Price]]*FactSales[[#This Row],[Quantity_Sold]]</f>
        <v>1870</v>
      </c>
      <c r="R306" s="6">
        <f>FactSales[[#This Row],[Unit_Cost]]*FactSales[[#This Row],[Quantity_Sold]]</f>
        <v>1030</v>
      </c>
      <c r="S306" s="6">
        <f>FactSales[[#This Row],[Sales_Amount]]-FactSales[[#This Row],[Total_Cost]]</f>
        <v>840</v>
      </c>
      <c r="T306" s="6" t="str">
        <f>_xlfn.XLOOKUP(FactSales[[#This Row],[Customer_ID]],DimCustomer[Customer_ID],DimCustomer[Customer_Name])</f>
        <v>Imran Uddin</v>
      </c>
      <c r="U306" s="6" t="str">
        <f>_xlfn.XLOOKUP(FactSales[[#This Row],[Salesperson_ID]],DimSalesman[Salesperson_ID],DimSalesman[Salesperson_Name])</f>
        <v>Rahim Hossain</v>
      </c>
      <c r="V306" s="6" t="str">
        <f>_xlfn.XLOOKUP(FactSales[[#This Row],[Region_ID]],DimRegion[Region_ID],DimRegion[Region_Name])</f>
        <v>Dhaka</v>
      </c>
      <c r="W306" s="6" t="str">
        <f>_xlfn.XLOOKUP(FactSales[[#This Row],[Store_ID]],DimStore[Store_ID],DimStore[Store_Name])</f>
        <v>Dhaka Uttara Store</v>
      </c>
    </row>
    <row r="307" spans="1:23">
      <c r="A307" s="4" t="s">
        <v>1303</v>
      </c>
      <c r="B307" s="5">
        <v>46118</v>
      </c>
      <c r="C307" s="4" t="s">
        <v>535</v>
      </c>
      <c r="D307" s="4" t="s">
        <v>57</v>
      </c>
      <c r="E307" s="4" t="s">
        <v>716</v>
      </c>
      <c r="F307" s="4" t="s">
        <v>974</v>
      </c>
      <c r="G307" s="4" t="s">
        <v>797</v>
      </c>
      <c r="H307" s="4">
        <v>2</v>
      </c>
      <c r="I307" s="7">
        <v>0.05</v>
      </c>
      <c r="J307" s="6">
        <v>6026</v>
      </c>
      <c r="K307" s="4">
        <v>3</v>
      </c>
      <c r="L307" s="8">
        <f t="shared" si="4"/>
        <v>4.0999999999999996</v>
      </c>
      <c r="M307" s="6" t="str">
        <f>_xlfn.XLOOKUP(FactSales[[#This Row],[Product_ID]],DimProduct[Product_ID],DimProduct[Product_Name])</f>
        <v>Leather Belt</v>
      </c>
      <c r="N307" s="6" t="str">
        <f>_xlfn.XLOOKUP(FactSales[[#This Row],[Product_ID]],DimProduct[Product_ID],DimProduct[Category])</f>
        <v>Fashion</v>
      </c>
      <c r="O307" s="6">
        <f>_xlfn.XLOOKUP(FactSales[[#This Row],[Product_ID]],DimProduct[Product_ID],DimProduct[Unit_Price])</f>
        <v>2620</v>
      </c>
      <c r="P307" s="6">
        <f>_xlfn.XLOOKUP(FactSales[[#This Row],[Product_ID]],DimProduct[Product_ID],DimProduct[Unit_Cost])</f>
        <v>1440</v>
      </c>
      <c r="Q307" s="6">
        <f>FactSales[[#This Row],[Unit_Price]]*FactSales[[#This Row],[Quantity_Sold]]</f>
        <v>5240</v>
      </c>
      <c r="R307" s="6">
        <f>FactSales[[#This Row],[Unit_Cost]]*FactSales[[#This Row],[Quantity_Sold]]</f>
        <v>2880</v>
      </c>
      <c r="S307" s="6">
        <f>FactSales[[#This Row],[Sales_Amount]]-FactSales[[#This Row],[Total_Cost]]</f>
        <v>2360</v>
      </c>
      <c r="T307" s="6" t="str">
        <f>_xlfn.XLOOKUP(FactSales[[#This Row],[Customer_ID]],DimCustomer[Customer_ID],DimCustomer[Customer_Name])</f>
        <v>Shuvo Uddin</v>
      </c>
      <c r="U307" s="6" t="str">
        <f>_xlfn.XLOOKUP(FactSales[[#This Row],[Salesperson_ID]],DimSalesman[Salesperson_ID],DimSalesman[Salesperson_Name])</f>
        <v>Farhana Uddin</v>
      </c>
      <c r="V307" s="6" t="str">
        <f>_xlfn.XLOOKUP(FactSales[[#This Row],[Region_ID]],DimRegion[Region_ID],DimRegion[Region_Name])</f>
        <v>Rangpur</v>
      </c>
      <c r="W307" s="6" t="str">
        <f>_xlfn.XLOOKUP(FactSales[[#This Row],[Store_ID]],DimStore[Store_ID],DimStore[Store_Name])</f>
        <v>Rangpur Shapla Chattar Store</v>
      </c>
    </row>
    <row r="308" spans="1:23">
      <c r="A308" s="4" t="s">
        <v>1304</v>
      </c>
      <c r="B308" s="5">
        <v>45900</v>
      </c>
      <c r="C308" s="4" t="s">
        <v>535</v>
      </c>
      <c r="D308" s="4" t="s">
        <v>57</v>
      </c>
      <c r="E308" s="4" t="s">
        <v>713</v>
      </c>
      <c r="F308" s="4" t="s">
        <v>976</v>
      </c>
      <c r="G308" s="4" t="s">
        <v>794</v>
      </c>
      <c r="H308" s="4">
        <v>4</v>
      </c>
      <c r="I308" s="7">
        <v>7.0000000000000007E-2</v>
      </c>
      <c r="J308" s="6">
        <v>4048</v>
      </c>
      <c r="K308" s="4">
        <v>4</v>
      </c>
      <c r="L308" s="8">
        <f t="shared" si="4"/>
        <v>3.8</v>
      </c>
      <c r="M308" s="6" t="str">
        <f>_xlfn.XLOOKUP(FactSales[[#This Row],[Product_ID]],DimProduct[Product_ID],DimProduct[Product_Name])</f>
        <v>Denim Jeans</v>
      </c>
      <c r="N308" s="6" t="str">
        <f>_xlfn.XLOOKUP(FactSales[[#This Row],[Product_ID]],DimProduct[Product_ID],DimProduct[Category])</f>
        <v>Fashion</v>
      </c>
      <c r="O308" s="6">
        <f>_xlfn.XLOOKUP(FactSales[[#This Row],[Product_ID]],DimProduct[Product_ID],DimProduct[Unit_Price])</f>
        <v>880</v>
      </c>
      <c r="P308" s="6">
        <f>_xlfn.XLOOKUP(FactSales[[#This Row],[Product_ID]],DimProduct[Product_ID],DimProduct[Unit_Cost])</f>
        <v>480</v>
      </c>
      <c r="Q308" s="6">
        <f>FactSales[[#This Row],[Unit_Price]]*FactSales[[#This Row],[Quantity_Sold]]</f>
        <v>3520</v>
      </c>
      <c r="R308" s="6">
        <f>FactSales[[#This Row],[Unit_Cost]]*FactSales[[#This Row],[Quantity_Sold]]</f>
        <v>1920</v>
      </c>
      <c r="S308" s="6">
        <f>FactSales[[#This Row],[Sales_Amount]]-FactSales[[#This Row],[Total_Cost]]</f>
        <v>1600</v>
      </c>
      <c r="T308" s="6" t="str">
        <f>_xlfn.XLOOKUP(FactSales[[#This Row],[Customer_ID]],DimCustomer[Customer_ID],DimCustomer[Customer_Name])</f>
        <v>Shuvo Uddin</v>
      </c>
      <c r="U308" s="6" t="str">
        <f>_xlfn.XLOOKUP(FactSales[[#This Row],[Salesperson_ID]],DimSalesman[Salesperson_ID],DimSalesman[Salesperson_Name])</f>
        <v>Nayeem Rahman</v>
      </c>
      <c r="V308" s="6" t="str">
        <f>_xlfn.XLOOKUP(FactSales[[#This Row],[Region_ID]],DimRegion[Region_ID],DimRegion[Region_Name])</f>
        <v>Rangpur</v>
      </c>
      <c r="W308" s="6" t="str">
        <f>_xlfn.XLOOKUP(FactSales[[#This Row],[Store_ID]],DimStore[Store_ID],DimStore[Store_Name])</f>
        <v>Rangpur Jahaj Company Store</v>
      </c>
    </row>
    <row r="309" spans="1:23">
      <c r="A309" s="4" t="s">
        <v>1305</v>
      </c>
      <c r="B309" s="5">
        <v>46035</v>
      </c>
      <c r="C309" s="4" t="s">
        <v>427</v>
      </c>
      <c r="D309" s="4" t="s">
        <v>52</v>
      </c>
      <c r="E309" s="4" t="s">
        <v>698</v>
      </c>
      <c r="F309" s="4" t="s">
        <v>965</v>
      </c>
      <c r="G309" s="4" t="s">
        <v>790</v>
      </c>
      <c r="H309" s="4">
        <v>1</v>
      </c>
      <c r="I309" s="7">
        <v>0.1</v>
      </c>
      <c r="J309" s="6">
        <v>2229</v>
      </c>
      <c r="K309" s="4">
        <v>6</v>
      </c>
      <c r="L309" s="8">
        <f t="shared" si="4"/>
        <v>3.1</v>
      </c>
      <c r="M309" s="6" t="str">
        <f>_xlfn.XLOOKUP(FactSales[[#This Row],[Product_ID]],DimProduct[Product_ID],DimProduct[Product_Name])</f>
        <v>Women Kurti</v>
      </c>
      <c r="N309" s="6" t="str">
        <f>_xlfn.XLOOKUP(FactSales[[#This Row],[Product_ID]],DimProduct[Product_ID],DimProduct[Category])</f>
        <v>Fashion</v>
      </c>
      <c r="O309" s="6">
        <f>_xlfn.XLOOKUP(FactSales[[#This Row],[Product_ID]],DimProduct[Product_ID],DimProduct[Unit_Price])</f>
        <v>1990</v>
      </c>
      <c r="P309" s="6">
        <f>_xlfn.XLOOKUP(FactSales[[#This Row],[Product_ID]],DimProduct[Product_ID],DimProduct[Unit_Cost])</f>
        <v>1090</v>
      </c>
      <c r="Q309" s="6">
        <f>FactSales[[#This Row],[Unit_Price]]*FactSales[[#This Row],[Quantity_Sold]]</f>
        <v>1990</v>
      </c>
      <c r="R309" s="6">
        <f>FactSales[[#This Row],[Unit_Cost]]*FactSales[[#This Row],[Quantity_Sold]]</f>
        <v>1090</v>
      </c>
      <c r="S309" s="6">
        <f>FactSales[[#This Row],[Sales_Amount]]-FactSales[[#This Row],[Total_Cost]]</f>
        <v>900</v>
      </c>
      <c r="T309" s="6" t="str">
        <f>_xlfn.XLOOKUP(FactSales[[#This Row],[Customer_ID]],DimCustomer[Customer_ID],DimCustomer[Customer_Name])</f>
        <v>Nabila Khan</v>
      </c>
      <c r="U309" s="6" t="str">
        <f>_xlfn.XLOOKUP(FactSales[[#This Row],[Salesperson_ID]],DimSalesman[Salesperson_ID],DimSalesman[Salesperson_Name])</f>
        <v>Mehedi Khan</v>
      </c>
      <c r="V309" s="6" t="str">
        <f>_xlfn.XLOOKUP(FactSales[[#This Row],[Region_ID]],DimRegion[Region_ID],DimRegion[Region_Name])</f>
        <v>Barishal</v>
      </c>
      <c r="W309" s="6" t="str">
        <f>_xlfn.XLOOKUP(FactSales[[#This Row],[Store_ID]],DimStore[Store_ID],DimStore[Store_Name])</f>
        <v>Barishal Nathullabad Store</v>
      </c>
    </row>
    <row r="310" spans="1:23">
      <c r="A310" s="4" t="s">
        <v>1306</v>
      </c>
      <c r="B310" s="5">
        <v>45738</v>
      </c>
      <c r="C310" s="4" t="s">
        <v>159</v>
      </c>
      <c r="D310" s="4" t="s">
        <v>32</v>
      </c>
      <c r="E310" s="4" t="s">
        <v>650</v>
      </c>
      <c r="F310" s="4" t="s">
        <v>926</v>
      </c>
      <c r="G310" s="4" t="s">
        <v>788</v>
      </c>
      <c r="H310" s="4">
        <v>5</v>
      </c>
      <c r="I310" s="7">
        <v>0.03</v>
      </c>
      <c r="J310" s="6">
        <v>10374</v>
      </c>
      <c r="K310" s="4">
        <v>5</v>
      </c>
      <c r="L310" s="8">
        <f t="shared" si="4"/>
        <v>3.5</v>
      </c>
      <c r="M310" s="6" t="str">
        <f>_xlfn.XLOOKUP(FactSales[[#This Row],[Product_ID]],DimProduct[Product_ID],DimProduct[Product_Name])</f>
        <v>Formal Shirt</v>
      </c>
      <c r="N310" s="6" t="str">
        <f>_xlfn.XLOOKUP(FactSales[[#This Row],[Product_ID]],DimProduct[Product_ID],DimProduct[Category])</f>
        <v>Fashion</v>
      </c>
      <c r="O310" s="6">
        <f>_xlfn.XLOOKUP(FactSales[[#This Row],[Product_ID]],DimProduct[Product_ID],DimProduct[Unit_Price])</f>
        <v>1820</v>
      </c>
      <c r="P310" s="6">
        <f>_xlfn.XLOOKUP(FactSales[[#This Row],[Product_ID]],DimProduct[Product_ID],DimProduct[Unit_Cost])</f>
        <v>1000</v>
      </c>
      <c r="Q310" s="6">
        <f>FactSales[[#This Row],[Unit_Price]]*FactSales[[#This Row],[Quantity_Sold]]</f>
        <v>9100</v>
      </c>
      <c r="R310" s="6">
        <f>FactSales[[#This Row],[Unit_Cost]]*FactSales[[#This Row],[Quantity_Sold]]</f>
        <v>5000</v>
      </c>
      <c r="S310" s="6">
        <f>FactSales[[#This Row],[Sales_Amount]]-FactSales[[#This Row],[Total_Cost]]</f>
        <v>4100</v>
      </c>
      <c r="T310" s="6" t="str">
        <f>_xlfn.XLOOKUP(FactSales[[#This Row],[Customer_ID]],DimCustomer[Customer_ID],DimCustomer[Customer_Name])</f>
        <v>Shakib Mia</v>
      </c>
      <c r="U310" s="6" t="str">
        <f>_xlfn.XLOOKUP(FactSales[[#This Row],[Salesperson_ID]],DimSalesman[Salesperson_ID],DimSalesman[Salesperson_Name])</f>
        <v>Rafi Akter</v>
      </c>
      <c r="V310" s="6" t="str">
        <f>_xlfn.XLOOKUP(FactSales[[#This Row],[Region_ID]],DimRegion[Region_ID],DimRegion[Region_Name])</f>
        <v>Chattogram</v>
      </c>
      <c r="W310" s="6" t="str">
        <f>_xlfn.XLOOKUP(FactSales[[#This Row],[Store_ID]],DimStore[Store_ID],DimStore[Store_Name])</f>
        <v>Chattogram Halishahar Store</v>
      </c>
    </row>
    <row r="311" spans="1:23">
      <c r="A311" s="4" t="s">
        <v>1307</v>
      </c>
      <c r="B311" s="5">
        <v>45712</v>
      </c>
      <c r="C311" s="4" t="s">
        <v>207</v>
      </c>
      <c r="D311" s="4" t="s">
        <v>32</v>
      </c>
      <c r="E311" s="4" t="s">
        <v>650</v>
      </c>
      <c r="F311" s="4" t="s">
        <v>929</v>
      </c>
      <c r="G311" s="4" t="s">
        <v>773</v>
      </c>
      <c r="H311" s="4">
        <v>6</v>
      </c>
      <c r="I311" s="7">
        <v>0.18</v>
      </c>
      <c r="J311" s="6">
        <v>50821</v>
      </c>
      <c r="K311" s="4">
        <v>10</v>
      </c>
      <c r="L311" s="8">
        <f t="shared" si="4"/>
        <v>1.6</v>
      </c>
      <c r="M311" s="6" t="str">
        <f>_xlfn.XLOOKUP(FactSales[[#This Row],[Product_ID]],DimProduct[Product_ID],DimProduct[Product_Name])</f>
        <v>Rice Cooker</v>
      </c>
      <c r="N311" s="6" t="str">
        <f>_xlfn.XLOOKUP(FactSales[[#This Row],[Product_ID]],DimProduct[Product_ID],DimProduct[Category])</f>
        <v>Home Appliance</v>
      </c>
      <c r="O311" s="6">
        <f>_xlfn.XLOOKUP(FactSales[[#This Row],[Product_ID]],DimProduct[Product_ID],DimProduct[Unit_Price])</f>
        <v>7430</v>
      </c>
      <c r="P311" s="6">
        <f>_xlfn.XLOOKUP(FactSales[[#This Row],[Product_ID]],DimProduct[Product_ID],DimProduct[Unit_Cost])</f>
        <v>5200</v>
      </c>
      <c r="Q311" s="6">
        <f>FactSales[[#This Row],[Unit_Price]]*FactSales[[#This Row],[Quantity_Sold]]</f>
        <v>44580</v>
      </c>
      <c r="R311" s="6">
        <f>FactSales[[#This Row],[Unit_Cost]]*FactSales[[#This Row],[Quantity_Sold]]</f>
        <v>31200</v>
      </c>
      <c r="S311" s="6">
        <f>FactSales[[#This Row],[Sales_Amount]]-FactSales[[#This Row],[Total_Cost]]</f>
        <v>13380</v>
      </c>
      <c r="T311" s="6" t="str">
        <f>_xlfn.XLOOKUP(FactSales[[#This Row],[Customer_ID]],DimCustomer[Customer_ID],DimCustomer[Customer_Name])</f>
        <v>Sadia Sultana</v>
      </c>
      <c r="U311" s="6" t="str">
        <f>_xlfn.XLOOKUP(FactSales[[#This Row],[Salesperson_ID]],DimSalesman[Salesperson_ID],DimSalesman[Salesperson_Name])</f>
        <v>Nabila Mia</v>
      </c>
      <c r="V311" s="6" t="str">
        <f>_xlfn.XLOOKUP(FactSales[[#This Row],[Region_ID]],DimRegion[Region_ID],DimRegion[Region_Name])</f>
        <v>Chattogram</v>
      </c>
      <c r="W311" s="6" t="str">
        <f>_xlfn.XLOOKUP(FactSales[[#This Row],[Store_ID]],DimStore[Store_ID],DimStore[Store_Name])</f>
        <v>Chattogram Halishahar Store</v>
      </c>
    </row>
    <row r="312" spans="1:23">
      <c r="A312" s="4" t="s">
        <v>1308</v>
      </c>
      <c r="B312" s="5">
        <v>45997</v>
      </c>
      <c r="C312" s="4" t="s">
        <v>118</v>
      </c>
      <c r="D312" s="4" t="s">
        <v>27</v>
      </c>
      <c r="E312" s="4" t="s">
        <v>630</v>
      </c>
      <c r="F312" s="4" t="s">
        <v>919</v>
      </c>
      <c r="G312" s="4" t="s">
        <v>887</v>
      </c>
      <c r="H312" s="4">
        <v>3</v>
      </c>
      <c r="I312" s="7">
        <v>7.0000000000000007E-2</v>
      </c>
      <c r="J312" s="6">
        <v>7155</v>
      </c>
      <c r="K312" s="4">
        <v>3</v>
      </c>
      <c r="L312" s="8">
        <f t="shared" si="4"/>
        <v>4.0999999999999996</v>
      </c>
      <c r="M312" s="6" t="str">
        <f>_xlfn.XLOOKUP(FactSales[[#This Row],[Product_ID]],DimProduct[Product_ID],DimProduct[Product_Name])</f>
        <v>Color Pencil Set</v>
      </c>
      <c r="N312" s="6" t="str">
        <f>_xlfn.XLOOKUP(FactSales[[#This Row],[Product_ID]],DimProduct[Product_ID],DimProduct[Category])</f>
        <v>Kids &amp; Toys</v>
      </c>
      <c r="O312" s="6">
        <f>_xlfn.XLOOKUP(FactSales[[#This Row],[Product_ID]],DimProduct[Product_ID],DimProduct[Unit_Price])</f>
        <v>2250</v>
      </c>
      <c r="P312" s="6">
        <f>_xlfn.XLOOKUP(FactSales[[#This Row],[Product_ID]],DimProduct[Product_ID],DimProduct[Unit_Cost])</f>
        <v>1240</v>
      </c>
      <c r="Q312" s="6">
        <f>FactSales[[#This Row],[Unit_Price]]*FactSales[[#This Row],[Quantity_Sold]]</f>
        <v>6750</v>
      </c>
      <c r="R312" s="6">
        <f>FactSales[[#This Row],[Unit_Cost]]*FactSales[[#This Row],[Quantity_Sold]]</f>
        <v>3720</v>
      </c>
      <c r="S312" s="6">
        <f>FactSales[[#This Row],[Sales_Amount]]-FactSales[[#This Row],[Total_Cost]]</f>
        <v>3030</v>
      </c>
      <c r="T312" s="6" t="str">
        <f>_xlfn.XLOOKUP(FactSales[[#This Row],[Customer_ID]],DimCustomer[Customer_ID],DimCustomer[Customer_Name])</f>
        <v>Rafi Hossain</v>
      </c>
      <c r="U312" s="6" t="str">
        <f>_xlfn.XLOOKUP(FactSales[[#This Row],[Salesperson_ID]],DimSalesman[Salesperson_ID],DimSalesman[Salesperson_Name])</f>
        <v>Imran Mia</v>
      </c>
      <c r="V312" s="6" t="str">
        <f>_xlfn.XLOOKUP(FactSales[[#This Row],[Region_ID]],DimRegion[Region_ID],DimRegion[Region_Name])</f>
        <v>Dhaka</v>
      </c>
      <c r="W312" s="6" t="str">
        <f>_xlfn.XLOOKUP(FactSales[[#This Row],[Store_ID]],DimStore[Store_ID],DimStore[Store_Name])</f>
        <v>Dhaka Uttara Store</v>
      </c>
    </row>
    <row r="313" spans="1:23">
      <c r="A313" s="4" t="s">
        <v>1309</v>
      </c>
      <c r="B313" s="5">
        <v>46142</v>
      </c>
      <c r="C313" s="4" t="s">
        <v>419</v>
      </c>
      <c r="D313" s="4" t="s">
        <v>47</v>
      </c>
      <c r="E313" s="4" t="s">
        <v>695</v>
      </c>
      <c r="F313" s="4" t="s">
        <v>954</v>
      </c>
      <c r="G313" s="4" t="s">
        <v>755</v>
      </c>
      <c r="H313" s="4">
        <v>5</v>
      </c>
      <c r="I313" s="7">
        <v>0.08</v>
      </c>
      <c r="J313" s="6">
        <v>18203</v>
      </c>
      <c r="K313" s="4">
        <v>5</v>
      </c>
      <c r="L313" s="8">
        <f t="shared" si="4"/>
        <v>3.4</v>
      </c>
      <c r="M313" s="6" t="str">
        <f>_xlfn.XLOOKUP(FactSales[[#This Row],[Product_ID]],DimProduct[Product_ID],DimProduct[Product_Name])</f>
        <v>Wireless Mouse</v>
      </c>
      <c r="N313" s="6" t="str">
        <f>_xlfn.XLOOKUP(FactSales[[#This Row],[Product_ID]],DimProduct[Product_ID],DimProduct[Category])</f>
        <v>Electronics</v>
      </c>
      <c r="O313" s="6">
        <f>_xlfn.XLOOKUP(FactSales[[#This Row],[Product_ID]],DimProduct[Product_ID],DimProduct[Unit_Price])</f>
        <v>3340</v>
      </c>
      <c r="P313" s="6">
        <f>_xlfn.XLOOKUP(FactSales[[#This Row],[Product_ID]],DimProduct[Product_ID],DimProduct[Unit_Cost])</f>
        <v>2270</v>
      </c>
      <c r="Q313" s="6">
        <f>FactSales[[#This Row],[Unit_Price]]*FactSales[[#This Row],[Quantity_Sold]]</f>
        <v>16700</v>
      </c>
      <c r="R313" s="6">
        <f>FactSales[[#This Row],[Unit_Cost]]*FactSales[[#This Row],[Quantity_Sold]]</f>
        <v>11350</v>
      </c>
      <c r="S313" s="6">
        <f>FactSales[[#This Row],[Sales_Amount]]-FactSales[[#This Row],[Total_Cost]]</f>
        <v>5350</v>
      </c>
      <c r="T313" s="6" t="str">
        <f>_xlfn.XLOOKUP(FactSales[[#This Row],[Customer_ID]],DimCustomer[Customer_ID],DimCustomer[Customer_Name])</f>
        <v>Ayesha Islam</v>
      </c>
      <c r="U313" s="6" t="str">
        <f>_xlfn.XLOOKUP(FactSales[[#This Row],[Salesperson_ID]],DimSalesman[Salesperson_ID],DimSalesman[Salesperson_Name])</f>
        <v>Sadia Sultana</v>
      </c>
      <c r="V313" s="6" t="str">
        <f>_xlfn.XLOOKUP(FactSales[[#This Row],[Region_ID]],DimRegion[Region_ID],DimRegion[Region_Name])</f>
        <v>Khulna</v>
      </c>
      <c r="W313" s="6" t="str">
        <f>_xlfn.XLOOKUP(FactSales[[#This Row],[Store_ID]],DimStore[Store_ID],DimStore[Store_Name])</f>
        <v>Khulna Shibbari Store</v>
      </c>
    </row>
    <row r="314" spans="1:23">
      <c r="A314" s="4" t="s">
        <v>1310</v>
      </c>
      <c r="B314" s="5">
        <v>45742</v>
      </c>
      <c r="C314" s="4" t="s">
        <v>419</v>
      </c>
      <c r="D314" s="4" t="s">
        <v>47</v>
      </c>
      <c r="E314" s="4" t="s">
        <v>695</v>
      </c>
      <c r="F314" s="4" t="s">
        <v>952</v>
      </c>
      <c r="G314" s="4" t="s">
        <v>768</v>
      </c>
      <c r="H314" s="4">
        <v>1</v>
      </c>
      <c r="I314" s="7">
        <v>0.12</v>
      </c>
      <c r="J314" s="6">
        <v>7848</v>
      </c>
      <c r="K314" s="4">
        <v>5</v>
      </c>
      <c r="L314" s="8">
        <f t="shared" si="4"/>
        <v>3.3</v>
      </c>
      <c r="M314" s="6" t="str">
        <f>_xlfn.XLOOKUP(FactSales[[#This Row],[Product_ID]],DimProduct[Product_ID],DimProduct[Product_Name])</f>
        <v>Electric Kettle</v>
      </c>
      <c r="N314" s="6" t="str">
        <f>_xlfn.XLOOKUP(FactSales[[#This Row],[Product_ID]],DimProduct[Product_ID],DimProduct[Category])</f>
        <v>Home Appliance</v>
      </c>
      <c r="O314" s="6">
        <f>_xlfn.XLOOKUP(FactSales[[#This Row],[Product_ID]],DimProduct[Product_ID],DimProduct[Unit_Price])</f>
        <v>7200</v>
      </c>
      <c r="P314" s="6">
        <f>_xlfn.XLOOKUP(FactSales[[#This Row],[Product_ID]],DimProduct[Product_ID],DimProduct[Unit_Cost])</f>
        <v>5040</v>
      </c>
      <c r="Q314" s="6">
        <f>FactSales[[#This Row],[Unit_Price]]*FactSales[[#This Row],[Quantity_Sold]]</f>
        <v>7200</v>
      </c>
      <c r="R314" s="6">
        <f>FactSales[[#This Row],[Unit_Cost]]*FactSales[[#This Row],[Quantity_Sold]]</f>
        <v>5040</v>
      </c>
      <c r="S314" s="6">
        <f>FactSales[[#This Row],[Sales_Amount]]-FactSales[[#This Row],[Total_Cost]]</f>
        <v>2160</v>
      </c>
      <c r="T314" s="6" t="str">
        <f>_xlfn.XLOOKUP(FactSales[[#This Row],[Customer_ID]],DimCustomer[Customer_ID],DimCustomer[Customer_Name])</f>
        <v>Ayesha Islam</v>
      </c>
      <c r="U314" s="6" t="str">
        <f>_xlfn.XLOOKUP(FactSales[[#This Row],[Salesperson_ID]],DimSalesman[Salesperson_ID],DimSalesman[Salesperson_Name])</f>
        <v>Samiha Islam</v>
      </c>
      <c r="V314" s="6" t="str">
        <f>_xlfn.XLOOKUP(FactSales[[#This Row],[Region_ID]],DimRegion[Region_ID],DimRegion[Region_Name])</f>
        <v>Khulna</v>
      </c>
      <c r="W314" s="6" t="str">
        <f>_xlfn.XLOOKUP(FactSales[[#This Row],[Store_ID]],DimStore[Store_ID],DimStore[Store_Name])</f>
        <v>Khulna Shibbari Store</v>
      </c>
    </row>
    <row r="315" spans="1:23">
      <c r="A315" s="4" t="s">
        <v>1311</v>
      </c>
      <c r="B315" s="5">
        <v>45836</v>
      </c>
      <c r="C315" s="4" t="s">
        <v>378</v>
      </c>
      <c r="D315" s="4" t="s">
        <v>47</v>
      </c>
      <c r="E315" s="4" t="s">
        <v>683</v>
      </c>
      <c r="F315" s="4" t="s">
        <v>958</v>
      </c>
      <c r="G315" s="4" t="s">
        <v>758</v>
      </c>
      <c r="H315" s="4">
        <v>6</v>
      </c>
      <c r="I315" s="7">
        <v>0.1</v>
      </c>
      <c r="J315" s="6">
        <v>18574</v>
      </c>
      <c r="K315" s="4">
        <v>5</v>
      </c>
      <c r="L315" s="8">
        <f t="shared" si="4"/>
        <v>3.4</v>
      </c>
      <c r="M315" s="6" t="str">
        <f>_xlfn.XLOOKUP(FactSales[[#This Row],[Product_ID]],DimProduct[Product_ID],DimProduct[Product_Name])</f>
        <v>Power Bank</v>
      </c>
      <c r="N315" s="6" t="str">
        <f>_xlfn.XLOOKUP(FactSales[[#This Row],[Product_ID]],DimProduct[Product_ID],DimProduct[Category])</f>
        <v>Electronics</v>
      </c>
      <c r="O315" s="6">
        <f>_xlfn.XLOOKUP(FactSales[[#This Row],[Product_ID]],DimProduct[Product_ID],DimProduct[Unit_Price])</f>
        <v>2840</v>
      </c>
      <c r="P315" s="6">
        <f>_xlfn.XLOOKUP(FactSales[[#This Row],[Product_ID]],DimProduct[Product_ID],DimProduct[Unit_Cost])</f>
        <v>1930</v>
      </c>
      <c r="Q315" s="6">
        <f>FactSales[[#This Row],[Unit_Price]]*FactSales[[#This Row],[Quantity_Sold]]</f>
        <v>17040</v>
      </c>
      <c r="R315" s="6">
        <f>FactSales[[#This Row],[Unit_Cost]]*FactSales[[#This Row],[Quantity_Sold]]</f>
        <v>11580</v>
      </c>
      <c r="S315" s="6">
        <f>FactSales[[#This Row],[Sales_Amount]]-FactSales[[#This Row],[Total_Cost]]</f>
        <v>5460</v>
      </c>
      <c r="T315" s="6" t="str">
        <f>_xlfn.XLOOKUP(FactSales[[#This Row],[Customer_ID]],DimCustomer[Customer_ID],DimCustomer[Customer_Name])</f>
        <v>Arif Akter</v>
      </c>
      <c r="U315" s="6" t="str">
        <f>_xlfn.XLOOKUP(FactSales[[#This Row],[Salesperson_ID]],DimSalesman[Salesperson_ID],DimSalesman[Salesperson_Name])</f>
        <v>Fahim Uddin</v>
      </c>
      <c r="V315" s="6" t="str">
        <f>_xlfn.XLOOKUP(FactSales[[#This Row],[Region_ID]],DimRegion[Region_ID],DimRegion[Region_Name])</f>
        <v>Khulna</v>
      </c>
      <c r="W315" s="6" t="str">
        <f>_xlfn.XLOOKUP(FactSales[[#This Row],[Store_ID]],DimStore[Store_ID],DimStore[Store_Name])</f>
        <v>Khulna Sonadanga Store</v>
      </c>
    </row>
    <row r="316" spans="1:23">
      <c r="A316" s="4" t="s">
        <v>1312</v>
      </c>
      <c r="B316" s="5">
        <v>45899</v>
      </c>
      <c r="C316" s="4" t="s">
        <v>579</v>
      </c>
      <c r="D316" s="4" t="s">
        <v>62</v>
      </c>
      <c r="E316" s="4" t="s">
        <v>731</v>
      </c>
      <c r="F316" s="4" t="s">
        <v>981</v>
      </c>
      <c r="G316" s="4" t="s">
        <v>862</v>
      </c>
      <c r="H316" s="4">
        <v>2</v>
      </c>
      <c r="I316" s="7">
        <v>0.12</v>
      </c>
      <c r="J316" s="6">
        <v>2398</v>
      </c>
      <c r="K316" s="4">
        <v>5</v>
      </c>
      <c r="L316" s="8">
        <f t="shared" si="4"/>
        <v>3.3</v>
      </c>
      <c r="M316" s="6" t="str">
        <f>_xlfn.XLOOKUP(FactSales[[#This Row],[Product_ID]],DimProduct[Product_ID],DimProduct[Product_Name])</f>
        <v>Dumbbell Set</v>
      </c>
      <c r="N316" s="6" t="str">
        <f>_xlfn.XLOOKUP(FactSales[[#This Row],[Product_ID]],DimProduct[Product_ID],DimProduct[Category])</f>
        <v>Sports</v>
      </c>
      <c r="O316" s="6">
        <f>_xlfn.XLOOKUP(FactSales[[#This Row],[Product_ID]],DimProduct[Product_ID],DimProduct[Unit_Price])</f>
        <v>1110</v>
      </c>
      <c r="P316" s="6">
        <f>_xlfn.XLOOKUP(FactSales[[#This Row],[Product_ID]],DimProduct[Product_ID],DimProduct[Unit_Cost])</f>
        <v>690</v>
      </c>
      <c r="Q316" s="6">
        <f>FactSales[[#This Row],[Unit_Price]]*FactSales[[#This Row],[Quantity_Sold]]</f>
        <v>2220</v>
      </c>
      <c r="R316" s="6">
        <f>FactSales[[#This Row],[Unit_Cost]]*FactSales[[#This Row],[Quantity_Sold]]</f>
        <v>1380</v>
      </c>
      <c r="S316" s="6">
        <f>FactSales[[#This Row],[Sales_Amount]]-FactSales[[#This Row],[Total_Cost]]</f>
        <v>840</v>
      </c>
      <c r="T316" s="6" t="str">
        <f>_xlfn.XLOOKUP(FactSales[[#This Row],[Customer_ID]],DimCustomer[Customer_ID],DimCustomer[Customer_Name])</f>
        <v>Nabila Khan</v>
      </c>
      <c r="U316" s="6" t="str">
        <f>_xlfn.XLOOKUP(FactSales[[#This Row],[Salesperson_ID]],DimSalesman[Salesperson_ID],DimSalesman[Salesperson_Name])</f>
        <v>Morshed Islam</v>
      </c>
      <c r="V316" s="6" t="str">
        <f>_xlfn.XLOOKUP(FactSales[[#This Row],[Region_ID]],DimRegion[Region_ID],DimRegion[Region_Name])</f>
        <v>Mymensingh</v>
      </c>
      <c r="W316" s="6" t="str">
        <f>_xlfn.XLOOKUP(FactSales[[#This Row],[Store_ID]],DimStore[Store_ID],DimStore[Store_Name])</f>
        <v>Mymensingh Town Hall Store</v>
      </c>
    </row>
    <row r="317" spans="1:23">
      <c r="A317" s="4" t="s">
        <v>1313</v>
      </c>
      <c r="B317" s="5">
        <v>46080</v>
      </c>
      <c r="C317" s="4" t="s">
        <v>159</v>
      </c>
      <c r="D317" s="4" t="s">
        <v>32</v>
      </c>
      <c r="E317" s="4" t="s">
        <v>650</v>
      </c>
      <c r="F317" s="4" t="s">
        <v>924</v>
      </c>
      <c r="G317" s="4" t="s">
        <v>874</v>
      </c>
      <c r="H317" s="4">
        <v>4</v>
      </c>
      <c r="I317" s="7">
        <v>0.02</v>
      </c>
      <c r="J317" s="6">
        <v>4742</v>
      </c>
      <c r="K317" s="4">
        <v>4</v>
      </c>
      <c r="L317" s="8">
        <f t="shared" si="4"/>
        <v>3.9</v>
      </c>
      <c r="M317" s="6" t="str">
        <f>_xlfn.XLOOKUP(FactSales[[#This Row],[Product_ID]],DimProduct[Product_ID],DimProduct[Product_Name])</f>
        <v>Marker Set</v>
      </c>
      <c r="N317" s="6" t="str">
        <f>_xlfn.XLOOKUP(FactSales[[#This Row],[Product_ID]],DimProduct[Product_ID],DimProduct[Category])</f>
        <v>Stationery</v>
      </c>
      <c r="O317" s="6">
        <f>_xlfn.XLOOKUP(FactSales[[#This Row],[Product_ID]],DimProduct[Product_ID],DimProduct[Unit_Price])</f>
        <v>1040</v>
      </c>
      <c r="P317" s="6">
        <f>_xlfn.XLOOKUP(FactSales[[#This Row],[Product_ID]],DimProduct[Product_ID],DimProduct[Unit_Cost])</f>
        <v>520</v>
      </c>
      <c r="Q317" s="6">
        <f>FactSales[[#This Row],[Unit_Price]]*FactSales[[#This Row],[Quantity_Sold]]</f>
        <v>4160</v>
      </c>
      <c r="R317" s="6">
        <f>FactSales[[#This Row],[Unit_Cost]]*FactSales[[#This Row],[Quantity_Sold]]</f>
        <v>2080</v>
      </c>
      <c r="S317" s="6">
        <f>FactSales[[#This Row],[Sales_Amount]]-FactSales[[#This Row],[Total_Cost]]</f>
        <v>2080</v>
      </c>
      <c r="T317" s="6" t="str">
        <f>_xlfn.XLOOKUP(FactSales[[#This Row],[Customer_ID]],DimCustomer[Customer_ID],DimCustomer[Customer_Name])</f>
        <v>Shakib Mia</v>
      </c>
      <c r="U317" s="6" t="str">
        <f>_xlfn.XLOOKUP(FactSales[[#This Row],[Salesperson_ID]],DimSalesman[Salesperson_ID],DimSalesman[Salesperson_Name])</f>
        <v>Rumana Khan</v>
      </c>
      <c r="V317" s="6" t="str">
        <f>_xlfn.XLOOKUP(FactSales[[#This Row],[Region_ID]],DimRegion[Region_ID],DimRegion[Region_Name])</f>
        <v>Chattogram</v>
      </c>
      <c r="W317" s="6" t="str">
        <f>_xlfn.XLOOKUP(FactSales[[#This Row],[Store_ID]],DimStore[Store_ID],DimStore[Store_Name])</f>
        <v>Chattogram Halishahar Store</v>
      </c>
    </row>
    <row r="318" spans="1:23">
      <c r="A318" s="4" t="s">
        <v>1314</v>
      </c>
      <c r="B318" s="5">
        <v>46011</v>
      </c>
      <c r="C318" s="4" t="s">
        <v>609</v>
      </c>
      <c r="D318" s="4" t="s">
        <v>62</v>
      </c>
      <c r="E318" s="4" t="s">
        <v>731</v>
      </c>
      <c r="F318" s="4" t="s">
        <v>979</v>
      </c>
      <c r="G318" s="4" t="s">
        <v>813</v>
      </c>
      <c r="H318" s="4">
        <v>2</v>
      </c>
      <c r="I318" s="7">
        <v>0</v>
      </c>
      <c r="J318" s="6">
        <v>4622</v>
      </c>
      <c r="K318" s="4">
        <v>6</v>
      </c>
      <c r="L318" s="8">
        <f t="shared" si="4"/>
        <v>3.3</v>
      </c>
      <c r="M318" s="6" t="str">
        <f>_xlfn.XLOOKUP(FactSales[[#This Row],[Product_ID]],DimProduct[Product_ID],DimProduct[Product_Name])</f>
        <v>Tea Pack 500g</v>
      </c>
      <c r="N318" s="6" t="str">
        <f>_xlfn.XLOOKUP(FactSales[[#This Row],[Product_ID]],DimProduct[Product_ID],DimProduct[Category])</f>
        <v>Grocery</v>
      </c>
      <c r="O318" s="6">
        <f>_xlfn.XLOOKUP(FactSales[[#This Row],[Product_ID]],DimProduct[Product_ID],DimProduct[Unit_Price])</f>
        <v>2140</v>
      </c>
      <c r="P318" s="6">
        <f>_xlfn.XLOOKUP(FactSales[[#This Row],[Product_ID]],DimProduct[Product_ID],DimProduct[Unit_Cost])</f>
        <v>1670</v>
      </c>
      <c r="Q318" s="6">
        <f>FactSales[[#This Row],[Unit_Price]]*FactSales[[#This Row],[Quantity_Sold]]</f>
        <v>4280</v>
      </c>
      <c r="R318" s="6">
        <f>FactSales[[#This Row],[Unit_Cost]]*FactSales[[#This Row],[Quantity_Sold]]</f>
        <v>3340</v>
      </c>
      <c r="S318" s="6">
        <f>FactSales[[#This Row],[Sales_Amount]]-FactSales[[#This Row],[Total_Cost]]</f>
        <v>940</v>
      </c>
      <c r="T318" s="6" t="str">
        <f>_xlfn.XLOOKUP(FactSales[[#This Row],[Customer_ID]],DimCustomer[Customer_ID],DimCustomer[Customer_Name])</f>
        <v>Farhana Islam</v>
      </c>
      <c r="U318" s="6" t="str">
        <f>_xlfn.XLOOKUP(FactSales[[#This Row],[Salesperson_ID]],DimSalesman[Salesperson_ID],DimSalesman[Salesperson_Name])</f>
        <v>Rahim Rahman</v>
      </c>
      <c r="V318" s="6" t="str">
        <f>_xlfn.XLOOKUP(FactSales[[#This Row],[Region_ID]],DimRegion[Region_ID],DimRegion[Region_Name])</f>
        <v>Mymensingh</v>
      </c>
      <c r="W318" s="6" t="str">
        <f>_xlfn.XLOOKUP(FactSales[[#This Row],[Store_ID]],DimStore[Store_ID],DimStore[Store_Name])</f>
        <v>Mymensingh Town Hall Store</v>
      </c>
    </row>
    <row r="319" spans="1:23">
      <c r="A319" s="4" t="s">
        <v>1315</v>
      </c>
      <c r="B319" s="5">
        <v>45897</v>
      </c>
      <c r="C319" s="4" t="s">
        <v>575</v>
      </c>
      <c r="D319" s="4" t="s">
        <v>62</v>
      </c>
      <c r="E319" s="4" t="s">
        <v>737</v>
      </c>
      <c r="F319" s="4" t="s">
        <v>987</v>
      </c>
      <c r="G319" s="4" t="s">
        <v>897</v>
      </c>
      <c r="H319" s="4">
        <v>2</v>
      </c>
      <c r="I319" s="7">
        <v>0.1</v>
      </c>
      <c r="J319" s="6">
        <v>25229</v>
      </c>
      <c r="K319" s="4">
        <v>7</v>
      </c>
      <c r="L319" s="8">
        <f t="shared" si="4"/>
        <v>2.7</v>
      </c>
      <c r="M319" s="6" t="str">
        <f>_xlfn.XLOOKUP(FactSales[[#This Row],[Product_ID]],DimProduct[Product_ID],DimProduct[Product_Name])</f>
        <v>Study Table</v>
      </c>
      <c r="N319" s="6" t="str">
        <f>_xlfn.XLOOKUP(FactSales[[#This Row],[Product_ID]],DimProduct[Product_ID],DimProduct[Category])</f>
        <v>Furniture</v>
      </c>
      <c r="O319" s="6">
        <f>_xlfn.XLOOKUP(FactSales[[#This Row],[Product_ID]],DimProduct[Product_ID],DimProduct[Unit_Price])</f>
        <v>11680</v>
      </c>
      <c r="P319" s="6">
        <f>_xlfn.XLOOKUP(FactSales[[#This Row],[Product_ID]],DimProduct[Product_ID],DimProduct[Unit_Cost])</f>
        <v>8410</v>
      </c>
      <c r="Q319" s="6">
        <f>FactSales[[#This Row],[Unit_Price]]*FactSales[[#This Row],[Quantity_Sold]]</f>
        <v>23360</v>
      </c>
      <c r="R319" s="6">
        <f>FactSales[[#This Row],[Unit_Cost]]*FactSales[[#This Row],[Quantity_Sold]]</f>
        <v>16820</v>
      </c>
      <c r="S319" s="6">
        <f>FactSales[[#This Row],[Sales_Amount]]-FactSales[[#This Row],[Total_Cost]]</f>
        <v>6540</v>
      </c>
      <c r="T319" s="6" t="str">
        <f>_xlfn.XLOOKUP(FactSales[[#This Row],[Customer_ID]],DimCustomer[Customer_ID],DimCustomer[Customer_Name])</f>
        <v>Jannat Sultana</v>
      </c>
      <c r="U319" s="6" t="str">
        <f>_xlfn.XLOOKUP(FactSales[[#This Row],[Salesperson_ID]],DimSalesman[Salesperson_ID],DimSalesman[Salesperson_Name])</f>
        <v>Tanvir Chowdhury</v>
      </c>
      <c r="V319" s="6" t="str">
        <f>_xlfn.XLOOKUP(FactSales[[#This Row],[Region_ID]],DimRegion[Region_ID],DimRegion[Region_Name])</f>
        <v>Mymensingh</v>
      </c>
      <c r="W319" s="6" t="str">
        <f>_xlfn.XLOOKUP(FactSales[[#This Row],[Store_ID]],DimStore[Store_ID],DimStore[Store_Name])</f>
        <v>Mymensingh Kewatkhali Store</v>
      </c>
    </row>
    <row r="320" spans="1:23">
      <c r="A320" s="4" t="s">
        <v>1316</v>
      </c>
      <c r="B320" s="5">
        <v>45670</v>
      </c>
      <c r="C320" s="4" t="s">
        <v>572</v>
      </c>
      <c r="D320" s="4" t="s">
        <v>62</v>
      </c>
      <c r="E320" s="4" t="s">
        <v>731</v>
      </c>
      <c r="F320" s="4" t="s">
        <v>985</v>
      </c>
      <c r="G320" s="4" t="s">
        <v>878</v>
      </c>
      <c r="H320" s="4">
        <v>2</v>
      </c>
      <c r="I320" s="7">
        <v>0.1</v>
      </c>
      <c r="J320" s="6">
        <v>1814</v>
      </c>
      <c r="K320" s="4">
        <v>3</v>
      </c>
      <c r="L320" s="8">
        <f t="shared" si="4"/>
        <v>4</v>
      </c>
      <c r="M320" s="6" t="str">
        <f>_xlfn.XLOOKUP(FactSales[[#This Row],[Product_ID]],DimProduct[Product_ID],DimProduct[Product_Name])</f>
        <v>Building Blocks</v>
      </c>
      <c r="N320" s="6" t="str">
        <f>_xlfn.XLOOKUP(FactSales[[#This Row],[Product_ID]],DimProduct[Product_ID],DimProduct[Category])</f>
        <v>Kids &amp; Toys</v>
      </c>
      <c r="O320" s="6">
        <f>_xlfn.XLOOKUP(FactSales[[#This Row],[Product_ID]],DimProduct[Product_ID],DimProduct[Unit_Price])</f>
        <v>840</v>
      </c>
      <c r="P320" s="6">
        <f>_xlfn.XLOOKUP(FactSales[[#This Row],[Product_ID]],DimProduct[Product_ID],DimProduct[Unit_Cost])</f>
        <v>460</v>
      </c>
      <c r="Q320" s="6">
        <f>FactSales[[#This Row],[Unit_Price]]*FactSales[[#This Row],[Quantity_Sold]]</f>
        <v>1680</v>
      </c>
      <c r="R320" s="6">
        <f>FactSales[[#This Row],[Unit_Cost]]*FactSales[[#This Row],[Quantity_Sold]]</f>
        <v>920</v>
      </c>
      <c r="S320" s="6">
        <f>FactSales[[#This Row],[Sales_Amount]]-FactSales[[#This Row],[Total_Cost]]</f>
        <v>760</v>
      </c>
      <c r="T320" s="6" t="str">
        <f>_xlfn.XLOOKUP(FactSales[[#This Row],[Customer_ID]],DimCustomer[Customer_ID],DimCustomer[Customer_Name])</f>
        <v>Rasel Hossain</v>
      </c>
      <c r="U320" s="6" t="str">
        <f>_xlfn.XLOOKUP(FactSales[[#This Row],[Salesperson_ID]],DimSalesman[Salesperson_ID],DimSalesman[Salesperson_Name])</f>
        <v>Tamanna Sultana</v>
      </c>
      <c r="V320" s="6" t="str">
        <f>_xlfn.XLOOKUP(FactSales[[#This Row],[Region_ID]],DimRegion[Region_ID],DimRegion[Region_Name])</f>
        <v>Mymensingh</v>
      </c>
      <c r="W320" s="6" t="str">
        <f>_xlfn.XLOOKUP(FactSales[[#This Row],[Store_ID]],DimStore[Store_ID],DimStore[Store_Name])</f>
        <v>Mymensingh Town Hall Store</v>
      </c>
    </row>
    <row r="321" spans="1:23">
      <c r="A321" s="4" t="s">
        <v>1317</v>
      </c>
      <c r="B321" s="5">
        <v>46100</v>
      </c>
      <c r="C321" s="4" t="s">
        <v>82</v>
      </c>
      <c r="D321" s="4" t="s">
        <v>27</v>
      </c>
      <c r="E321" s="4" t="s">
        <v>634</v>
      </c>
      <c r="F321" s="4" t="s">
        <v>920</v>
      </c>
      <c r="G321" s="4" t="s">
        <v>775</v>
      </c>
      <c r="H321" s="4">
        <v>5</v>
      </c>
      <c r="I321" s="7">
        <v>0.12</v>
      </c>
      <c r="J321" s="6">
        <v>12879</v>
      </c>
      <c r="K321" s="4">
        <v>5</v>
      </c>
      <c r="L321" s="8">
        <f t="shared" si="4"/>
        <v>3.3</v>
      </c>
      <c r="M321" s="6" t="str">
        <f>_xlfn.XLOOKUP(FactSales[[#This Row],[Product_ID]],DimProduct[Product_ID],DimProduct[Product_Name])</f>
        <v>Blender Machine</v>
      </c>
      <c r="N321" s="6" t="str">
        <f>_xlfn.XLOOKUP(FactSales[[#This Row],[Product_ID]],DimProduct[Product_ID],DimProduct[Category])</f>
        <v>Home Appliance</v>
      </c>
      <c r="O321" s="6">
        <f>_xlfn.XLOOKUP(FactSales[[#This Row],[Product_ID]],DimProduct[Product_ID],DimProduct[Unit_Price])</f>
        <v>2430</v>
      </c>
      <c r="P321" s="6">
        <f>_xlfn.XLOOKUP(FactSales[[#This Row],[Product_ID]],DimProduct[Product_ID],DimProduct[Unit_Cost])</f>
        <v>1700</v>
      </c>
      <c r="Q321" s="6">
        <f>FactSales[[#This Row],[Unit_Price]]*FactSales[[#This Row],[Quantity_Sold]]</f>
        <v>12150</v>
      </c>
      <c r="R321" s="6">
        <f>FactSales[[#This Row],[Unit_Cost]]*FactSales[[#This Row],[Quantity_Sold]]</f>
        <v>8500</v>
      </c>
      <c r="S321" s="6">
        <f>FactSales[[#This Row],[Sales_Amount]]-FactSales[[#This Row],[Total_Cost]]</f>
        <v>3650</v>
      </c>
      <c r="T321" s="6" t="str">
        <f>_xlfn.XLOOKUP(FactSales[[#This Row],[Customer_ID]],DimCustomer[Customer_ID],DimCustomer[Customer_Name])</f>
        <v>Mahmud Ahmed</v>
      </c>
      <c r="U321" s="6" t="str">
        <f>_xlfn.XLOOKUP(FactSales[[#This Row],[Salesperson_ID]],DimSalesman[Salesperson_ID],DimSalesman[Salesperson_Name])</f>
        <v>Rahim Hossain</v>
      </c>
      <c r="V321" s="6" t="str">
        <f>_xlfn.XLOOKUP(FactSales[[#This Row],[Region_ID]],DimRegion[Region_ID],DimRegion[Region_Name])</f>
        <v>Dhaka</v>
      </c>
      <c r="W321" s="6" t="str">
        <f>_xlfn.XLOOKUP(FactSales[[#This Row],[Store_ID]],DimStore[Store_ID],DimStore[Store_Name])</f>
        <v>Dhaka Motijheel Store</v>
      </c>
    </row>
    <row r="322" spans="1:23">
      <c r="A322" s="4" t="s">
        <v>1318</v>
      </c>
      <c r="B322" s="5">
        <v>46058</v>
      </c>
      <c r="C322" s="4" t="s">
        <v>445</v>
      </c>
      <c r="D322" s="4" t="s">
        <v>52</v>
      </c>
      <c r="E322" s="4" t="s">
        <v>704</v>
      </c>
      <c r="F322" s="4" t="s">
        <v>960</v>
      </c>
      <c r="G322" s="4" t="s">
        <v>765</v>
      </c>
      <c r="H322" s="4">
        <v>2</v>
      </c>
      <c r="I322" s="7">
        <v>0.1</v>
      </c>
      <c r="J322" s="6">
        <v>10954</v>
      </c>
      <c r="K322" s="4">
        <v>5</v>
      </c>
      <c r="L322" s="8">
        <f t="shared" ref="L322:L385" si="5">MAX(1,MIN(5,ROUND(5.2-(K322*0.32)-(I322*2.2),1)))</f>
        <v>3.4</v>
      </c>
      <c r="M322" s="6" t="str">
        <f>_xlfn.XLOOKUP(FactSales[[#This Row],[Product_ID]],DimProduct[Product_ID],DimProduct[Product_Name])</f>
        <v>USB-C Hub</v>
      </c>
      <c r="N322" s="6" t="str">
        <f>_xlfn.XLOOKUP(FactSales[[#This Row],[Product_ID]],DimProduct[Product_ID],DimProduct[Category])</f>
        <v>Electronics</v>
      </c>
      <c r="O322" s="6">
        <f>_xlfn.XLOOKUP(FactSales[[#This Row],[Product_ID]],DimProduct[Product_ID],DimProduct[Unit_Price])</f>
        <v>4890</v>
      </c>
      <c r="P322" s="6">
        <f>_xlfn.XLOOKUP(FactSales[[#This Row],[Product_ID]],DimProduct[Product_ID],DimProduct[Unit_Cost])</f>
        <v>3330</v>
      </c>
      <c r="Q322" s="6">
        <f>FactSales[[#This Row],[Unit_Price]]*FactSales[[#This Row],[Quantity_Sold]]</f>
        <v>9780</v>
      </c>
      <c r="R322" s="6">
        <f>FactSales[[#This Row],[Unit_Cost]]*FactSales[[#This Row],[Quantity_Sold]]</f>
        <v>6660</v>
      </c>
      <c r="S322" s="6">
        <f>FactSales[[#This Row],[Sales_Amount]]-FactSales[[#This Row],[Total_Cost]]</f>
        <v>3120</v>
      </c>
      <c r="T322" s="6" t="str">
        <f>_xlfn.XLOOKUP(FactSales[[#This Row],[Customer_ID]],DimCustomer[Customer_ID],DimCustomer[Customer_Name])</f>
        <v>Tanvir Akter</v>
      </c>
      <c r="U322" s="6" t="str">
        <f>_xlfn.XLOOKUP(FactSales[[#This Row],[Salesperson_ID]],DimSalesman[Salesperson_ID],DimSalesman[Salesperson_Name])</f>
        <v>Mim Akter</v>
      </c>
      <c r="V322" s="6" t="str">
        <f>_xlfn.XLOOKUP(FactSales[[#This Row],[Region_ID]],DimRegion[Region_ID],DimRegion[Region_Name])</f>
        <v>Barishal</v>
      </c>
      <c r="W322" s="6" t="str">
        <f>_xlfn.XLOOKUP(FactSales[[#This Row],[Store_ID]],DimStore[Store_ID],DimStore[Store_Name])</f>
        <v>Barishal Rupatali Store</v>
      </c>
    </row>
    <row r="323" spans="1:23">
      <c r="A323" s="4" t="s">
        <v>1319</v>
      </c>
      <c r="B323" s="5">
        <v>45842</v>
      </c>
      <c r="C323" s="4" t="s">
        <v>329</v>
      </c>
      <c r="D323" s="4" t="s">
        <v>42</v>
      </c>
      <c r="E323" s="4" t="s">
        <v>674</v>
      </c>
      <c r="F323" s="4" t="s">
        <v>950</v>
      </c>
      <c r="G323" s="4" t="s">
        <v>841</v>
      </c>
      <c r="H323" s="4">
        <v>2</v>
      </c>
      <c r="I323" s="7">
        <v>0.03</v>
      </c>
      <c r="J323" s="6">
        <v>6955</v>
      </c>
      <c r="K323" s="4">
        <v>2</v>
      </c>
      <c r="L323" s="8">
        <f t="shared" si="5"/>
        <v>4.5</v>
      </c>
      <c r="M323" s="6" t="str">
        <f>_xlfn.XLOOKUP(FactSales[[#This Row],[Product_ID]],DimProduct[Product_ID],DimProduct[Product_Name])</f>
        <v>Ladies Sandal</v>
      </c>
      <c r="N323" s="6" t="str">
        <f>_xlfn.XLOOKUP(FactSales[[#This Row],[Product_ID]],DimProduct[Product_ID],DimProduct[Category])</f>
        <v>Footwear</v>
      </c>
      <c r="O323" s="6">
        <f>_xlfn.XLOOKUP(FactSales[[#This Row],[Product_ID]],DimProduct[Product_ID],DimProduct[Unit_Price])</f>
        <v>3220</v>
      </c>
      <c r="P323" s="6">
        <f>_xlfn.XLOOKUP(FactSales[[#This Row],[Product_ID]],DimProduct[Product_ID],DimProduct[Unit_Cost])</f>
        <v>1930</v>
      </c>
      <c r="Q323" s="6">
        <f>FactSales[[#This Row],[Unit_Price]]*FactSales[[#This Row],[Quantity_Sold]]</f>
        <v>6440</v>
      </c>
      <c r="R323" s="6">
        <f>FactSales[[#This Row],[Unit_Cost]]*FactSales[[#This Row],[Quantity_Sold]]</f>
        <v>3860</v>
      </c>
      <c r="S323" s="6">
        <f>FactSales[[#This Row],[Sales_Amount]]-FactSales[[#This Row],[Total_Cost]]</f>
        <v>2580</v>
      </c>
      <c r="T323" s="6" t="str">
        <f>_xlfn.XLOOKUP(FactSales[[#This Row],[Customer_ID]],DimCustomer[Customer_ID],DimCustomer[Customer_Name])</f>
        <v>Mim Chowdhury</v>
      </c>
      <c r="U323" s="6" t="str">
        <f>_xlfn.XLOOKUP(FactSales[[#This Row],[Salesperson_ID]],DimSalesman[Salesperson_ID],DimSalesman[Salesperson_Name])</f>
        <v>Mim Rahman</v>
      </c>
      <c r="V323" s="6" t="str">
        <f>_xlfn.XLOOKUP(FactSales[[#This Row],[Region_ID]],DimRegion[Region_ID],DimRegion[Region_Name])</f>
        <v>Rajshahi</v>
      </c>
      <c r="W323" s="6" t="str">
        <f>_xlfn.XLOOKUP(FactSales[[#This Row],[Store_ID]],DimStore[Store_ID],DimStore[Store_Name])</f>
        <v>Rajshahi Uposhohor Store</v>
      </c>
    </row>
    <row r="324" spans="1:23">
      <c r="A324" s="4" t="s">
        <v>1320</v>
      </c>
      <c r="B324" s="5">
        <v>45764</v>
      </c>
      <c r="C324" s="4" t="s">
        <v>79</v>
      </c>
      <c r="D324" s="4" t="s">
        <v>27</v>
      </c>
      <c r="E324" s="4" t="s">
        <v>618</v>
      </c>
      <c r="F324" s="4" t="s">
        <v>918</v>
      </c>
      <c r="G324" s="4" t="s">
        <v>755</v>
      </c>
      <c r="H324" s="4">
        <v>5</v>
      </c>
      <c r="I324" s="7">
        <v>0.1</v>
      </c>
      <c r="J324" s="6">
        <v>17702</v>
      </c>
      <c r="K324" s="4">
        <v>2</v>
      </c>
      <c r="L324" s="8">
        <f t="shared" si="5"/>
        <v>4.3</v>
      </c>
      <c r="M324" s="6" t="str">
        <f>_xlfn.XLOOKUP(FactSales[[#This Row],[Product_ID]],DimProduct[Product_ID],DimProduct[Product_Name])</f>
        <v>Wireless Mouse</v>
      </c>
      <c r="N324" s="6" t="str">
        <f>_xlfn.XLOOKUP(FactSales[[#This Row],[Product_ID]],DimProduct[Product_ID],DimProduct[Category])</f>
        <v>Electronics</v>
      </c>
      <c r="O324" s="6">
        <f>_xlfn.XLOOKUP(FactSales[[#This Row],[Product_ID]],DimProduct[Product_ID],DimProduct[Unit_Price])</f>
        <v>3340</v>
      </c>
      <c r="P324" s="6">
        <f>_xlfn.XLOOKUP(FactSales[[#This Row],[Product_ID]],DimProduct[Product_ID],DimProduct[Unit_Cost])</f>
        <v>2270</v>
      </c>
      <c r="Q324" s="6">
        <f>FactSales[[#This Row],[Unit_Price]]*FactSales[[#This Row],[Quantity_Sold]]</f>
        <v>16700</v>
      </c>
      <c r="R324" s="6">
        <f>FactSales[[#This Row],[Unit_Cost]]*FactSales[[#This Row],[Quantity_Sold]]</f>
        <v>11350</v>
      </c>
      <c r="S324" s="6">
        <f>FactSales[[#This Row],[Sales_Amount]]-FactSales[[#This Row],[Total_Cost]]</f>
        <v>5350</v>
      </c>
      <c r="T324" s="6" t="str">
        <f>_xlfn.XLOOKUP(FactSales[[#This Row],[Customer_ID]],DimCustomer[Customer_ID],DimCustomer[Customer_Name])</f>
        <v>Tania Chowdhury</v>
      </c>
      <c r="U324" s="6" t="str">
        <f>_xlfn.XLOOKUP(FactSales[[#This Row],[Salesperson_ID]],DimSalesman[Salesperson_ID],DimSalesman[Salesperson_Name])</f>
        <v>Tania Sultana</v>
      </c>
      <c r="V324" s="6" t="str">
        <f>_xlfn.XLOOKUP(FactSales[[#This Row],[Region_ID]],DimRegion[Region_ID],DimRegion[Region_Name])</f>
        <v>Dhaka</v>
      </c>
      <c r="W324" s="6" t="str">
        <f>_xlfn.XLOOKUP(FactSales[[#This Row],[Store_ID]],DimStore[Store_ID],DimStore[Store_Name])</f>
        <v>Dhaka Gulshan Store</v>
      </c>
    </row>
    <row r="325" spans="1:23">
      <c r="A325" s="4" t="s">
        <v>1321</v>
      </c>
      <c r="B325" s="5">
        <v>45880</v>
      </c>
      <c r="C325" s="4" t="s">
        <v>73</v>
      </c>
      <c r="D325" s="4" t="s">
        <v>27</v>
      </c>
      <c r="E325" s="4" t="s">
        <v>634</v>
      </c>
      <c r="F325" s="4" t="s">
        <v>912</v>
      </c>
      <c r="G325" s="4" t="s">
        <v>755</v>
      </c>
      <c r="H325" s="4">
        <v>8</v>
      </c>
      <c r="I325" s="7">
        <v>0.08</v>
      </c>
      <c r="J325" s="6">
        <v>28323</v>
      </c>
      <c r="K325" s="4">
        <v>1</v>
      </c>
      <c r="L325" s="8">
        <f t="shared" si="5"/>
        <v>4.7</v>
      </c>
      <c r="M325" s="6" t="str">
        <f>_xlfn.XLOOKUP(FactSales[[#This Row],[Product_ID]],DimProduct[Product_ID],DimProduct[Product_Name])</f>
        <v>Wireless Mouse</v>
      </c>
      <c r="N325" s="6" t="str">
        <f>_xlfn.XLOOKUP(FactSales[[#This Row],[Product_ID]],DimProduct[Product_ID],DimProduct[Category])</f>
        <v>Electronics</v>
      </c>
      <c r="O325" s="6">
        <f>_xlfn.XLOOKUP(FactSales[[#This Row],[Product_ID]],DimProduct[Product_ID],DimProduct[Unit_Price])</f>
        <v>3340</v>
      </c>
      <c r="P325" s="6">
        <f>_xlfn.XLOOKUP(FactSales[[#This Row],[Product_ID]],DimProduct[Product_ID],DimProduct[Unit_Cost])</f>
        <v>2270</v>
      </c>
      <c r="Q325" s="6">
        <f>FactSales[[#This Row],[Unit_Price]]*FactSales[[#This Row],[Quantity_Sold]]</f>
        <v>26720</v>
      </c>
      <c r="R325" s="6">
        <f>FactSales[[#This Row],[Unit_Cost]]*FactSales[[#This Row],[Quantity_Sold]]</f>
        <v>18160</v>
      </c>
      <c r="S325" s="6">
        <f>FactSales[[#This Row],[Sales_Amount]]-FactSales[[#This Row],[Total_Cost]]</f>
        <v>8560</v>
      </c>
      <c r="T325" s="6" t="str">
        <f>_xlfn.XLOOKUP(FactSales[[#This Row],[Customer_ID]],DimCustomer[Customer_ID],DimCustomer[Customer_Name])</f>
        <v>Rumana Sultana</v>
      </c>
      <c r="U325" s="6" t="str">
        <f>_xlfn.XLOOKUP(FactSales[[#This Row],[Salesperson_ID]],DimSalesman[Salesperson_ID],DimSalesman[Salesperson_Name])</f>
        <v>Mahmud Hossain</v>
      </c>
      <c r="V325" s="6" t="str">
        <f>_xlfn.XLOOKUP(FactSales[[#This Row],[Region_ID]],DimRegion[Region_ID],DimRegion[Region_Name])</f>
        <v>Dhaka</v>
      </c>
      <c r="W325" s="6" t="str">
        <f>_xlfn.XLOOKUP(FactSales[[#This Row],[Store_ID]],DimStore[Store_ID],DimStore[Store_Name])</f>
        <v>Dhaka Motijheel Store</v>
      </c>
    </row>
    <row r="326" spans="1:23">
      <c r="A326" s="4" t="s">
        <v>1322</v>
      </c>
      <c r="B326" s="5">
        <v>45847</v>
      </c>
      <c r="C326" s="4" t="s">
        <v>153</v>
      </c>
      <c r="D326" s="4" t="s">
        <v>32</v>
      </c>
      <c r="E326" s="4" t="s">
        <v>650</v>
      </c>
      <c r="F326" s="4" t="s">
        <v>924</v>
      </c>
      <c r="G326" s="4" t="s">
        <v>778</v>
      </c>
      <c r="H326" s="4">
        <v>6</v>
      </c>
      <c r="I326" s="7">
        <v>0.1</v>
      </c>
      <c r="J326" s="6">
        <v>31190</v>
      </c>
      <c r="K326" s="4">
        <v>7</v>
      </c>
      <c r="L326" s="8">
        <f t="shared" si="5"/>
        <v>2.7</v>
      </c>
      <c r="M326" s="6" t="str">
        <f>_xlfn.XLOOKUP(FactSales[[#This Row],[Product_ID]],DimProduct[Product_ID],DimProduct[Product_Name])</f>
        <v>Steam Iron</v>
      </c>
      <c r="N326" s="6" t="str">
        <f>_xlfn.XLOOKUP(FactSales[[#This Row],[Product_ID]],DimProduct[Product_ID],DimProduct[Category])</f>
        <v>Home Appliance</v>
      </c>
      <c r="O326" s="6">
        <f>_xlfn.XLOOKUP(FactSales[[#This Row],[Product_ID]],DimProduct[Product_ID],DimProduct[Unit_Price])</f>
        <v>4560</v>
      </c>
      <c r="P326" s="6">
        <f>_xlfn.XLOOKUP(FactSales[[#This Row],[Product_ID]],DimProduct[Product_ID],DimProduct[Unit_Cost])</f>
        <v>3190</v>
      </c>
      <c r="Q326" s="6">
        <f>FactSales[[#This Row],[Unit_Price]]*FactSales[[#This Row],[Quantity_Sold]]</f>
        <v>27360</v>
      </c>
      <c r="R326" s="6">
        <f>FactSales[[#This Row],[Unit_Cost]]*FactSales[[#This Row],[Quantity_Sold]]</f>
        <v>19140</v>
      </c>
      <c r="S326" s="6">
        <f>FactSales[[#This Row],[Sales_Amount]]-FactSales[[#This Row],[Total_Cost]]</f>
        <v>8220</v>
      </c>
      <c r="T326" s="6" t="str">
        <f>_xlfn.XLOOKUP(FactSales[[#This Row],[Customer_ID]],DimCustomer[Customer_ID],DimCustomer[Customer_Name])</f>
        <v>Shuvo Mia</v>
      </c>
      <c r="U326" s="6" t="str">
        <f>_xlfn.XLOOKUP(FactSales[[#This Row],[Salesperson_ID]],DimSalesman[Salesperson_ID],DimSalesman[Salesperson_Name])</f>
        <v>Rumana Khan</v>
      </c>
      <c r="V326" s="6" t="str">
        <f>_xlfn.XLOOKUP(FactSales[[#This Row],[Region_ID]],DimRegion[Region_ID],DimRegion[Region_Name])</f>
        <v>Chattogram</v>
      </c>
      <c r="W326" s="6" t="str">
        <f>_xlfn.XLOOKUP(FactSales[[#This Row],[Store_ID]],DimStore[Store_ID],DimStore[Store_Name])</f>
        <v>Chattogram Halishahar Store</v>
      </c>
    </row>
    <row r="327" spans="1:23">
      <c r="A327" s="4" t="s">
        <v>1323</v>
      </c>
      <c r="B327" s="5">
        <v>45989</v>
      </c>
      <c r="C327" s="4" t="s">
        <v>205</v>
      </c>
      <c r="D327" s="4" t="s">
        <v>32</v>
      </c>
      <c r="E327" s="4" t="s">
        <v>647</v>
      </c>
      <c r="F327" s="4" t="s">
        <v>926</v>
      </c>
      <c r="G327" s="4" t="s">
        <v>859</v>
      </c>
      <c r="H327" s="4">
        <v>2</v>
      </c>
      <c r="I327" s="7">
        <v>0.03</v>
      </c>
      <c r="J327" s="6">
        <v>6224</v>
      </c>
      <c r="K327" s="4">
        <v>7</v>
      </c>
      <c r="L327" s="8">
        <f t="shared" si="5"/>
        <v>2.9</v>
      </c>
      <c r="M327" s="6" t="str">
        <f>_xlfn.XLOOKUP(FactSales[[#This Row],[Product_ID]],DimProduct[Product_ID],DimProduct[Product_Name])</f>
        <v>Yoga Mat</v>
      </c>
      <c r="N327" s="6" t="str">
        <f>_xlfn.XLOOKUP(FactSales[[#This Row],[Product_ID]],DimProduct[Product_ID],DimProduct[Category])</f>
        <v>Sports</v>
      </c>
      <c r="O327" s="6">
        <f>_xlfn.XLOOKUP(FactSales[[#This Row],[Product_ID]],DimProduct[Product_ID],DimProduct[Unit_Price])</f>
        <v>2730</v>
      </c>
      <c r="P327" s="6">
        <f>_xlfn.XLOOKUP(FactSales[[#This Row],[Product_ID]],DimProduct[Product_ID],DimProduct[Unit_Cost])</f>
        <v>1690</v>
      </c>
      <c r="Q327" s="6">
        <f>FactSales[[#This Row],[Unit_Price]]*FactSales[[#This Row],[Quantity_Sold]]</f>
        <v>5460</v>
      </c>
      <c r="R327" s="6">
        <f>FactSales[[#This Row],[Unit_Cost]]*FactSales[[#This Row],[Quantity_Sold]]</f>
        <v>3380</v>
      </c>
      <c r="S327" s="6">
        <f>FactSales[[#This Row],[Sales_Amount]]-FactSales[[#This Row],[Total_Cost]]</f>
        <v>2080</v>
      </c>
      <c r="T327" s="6" t="str">
        <f>_xlfn.XLOOKUP(FactSales[[#This Row],[Customer_ID]],DimCustomer[Customer_ID],DimCustomer[Customer_Name])</f>
        <v>Mahmud Islam</v>
      </c>
      <c r="U327" s="6" t="str">
        <f>_xlfn.XLOOKUP(FactSales[[#This Row],[Salesperson_ID]],DimSalesman[Salesperson_ID],DimSalesman[Salesperson_Name])</f>
        <v>Rafi Akter</v>
      </c>
      <c r="V327" s="6" t="str">
        <f>_xlfn.XLOOKUP(FactSales[[#This Row],[Region_ID]],DimRegion[Region_ID],DimRegion[Region_Name])</f>
        <v>Chattogram</v>
      </c>
      <c r="W327" s="6" t="str">
        <f>_xlfn.XLOOKUP(FactSales[[#This Row],[Store_ID]],DimStore[Store_ID],DimStore[Store_Name])</f>
        <v>Chattogram Nasirabad Store</v>
      </c>
    </row>
    <row r="328" spans="1:23">
      <c r="A328" s="4" t="s">
        <v>1324</v>
      </c>
      <c r="B328" s="5">
        <v>45719</v>
      </c>
      <c r="C328" s="4" t="s">
        <v>422</v>
      </c>
      <c r="D328" s="4" t="s">
        <v>47</v>
      </c>
      <c r="E328" s="4" t="s">
        <v>683</v>
      </c>
      <c r="F328" s="4" t="s">
        <v>955</v>
      </c>
      <c r="G328" s="4" t="s">
        <v>778</v>
      </c>
      <c r="H328" s="4">
        <v>3</v>
      </c>
      <c r="I328" s="7">
        <v>0.1</v>
      </c>
      <c r="J328" s="6">
        <v>14911</v>
      </c>
      <c r="K328" s="4">
        <v>3</v>
      </c>
      <c r="L328" s="8">
        <f t="shared" si="5"/>
        <v>4</v>
      </c>
      <c r="M328" s="6" t="str">
        <f>_xlfn.XLOOKUP(FactSales[[#This Row],[Product_ID]],DimProduct[Product_ID],DimProduct[Product_Name])</f>
        <v>Steam Iron</v>
      </c>
      <c r="N328" s="6" t="str">
        <f>_xlfn.XLOOKUP(FactSales[[#This Row],[Product_ID]],DimProduct[Product_ID],DimProduct[Category])</f>
        <v>Home Appliance</v>
      </c>
      <c r="O328" s="6">
        <f>_xlfn.XLOOKUP(FactSales[[#This Row],[Product_ID]],DimProduct[Product_ID],DimProduct[Unit_Price])</f>
        <v>4560</v>
      </c>
      <c r="P328" s="6">
        <f>_xlfn.XLOOKUP(FactSales[[#This Row],[Product_ID]],DimProduct[Product_ID],DimProduct[Unit_Cost])</f>
        <v>3190</v>
      </c>
      <c r="Q328" s="6">
        <f>FactSales[[#This Row],[Unit_Price]]*FactSales[[#This Row],[Quantity_Sold]]</f>
        <v>13680</v>
      </c>
      <c r="R328" s="6">
        <f>FactSales[[#This Row],[Unit_Cost]]*FactSales[[#This Row],[Quantity_Sold]]</f>
        <v>9570</v>
      </c>
      <c r="S328" s="6">
        <f>FactSales[[#This Row],[Sales_Amount]]-FactSales[[#This Row],[Total_Cost]]</f>
        <v>4110</v>
      </c>
      <c r="T328" s="6" t="str">
        <f>_xlfn.XLOOKUP(FactSales[[#This Row],[Customer_ID]],DimCustomer[Customer_ID],DimCustomer[Customer_Name])</f>
        <v>Tanjim Khan</v>
      </c>
      <c r="U328" s="6" t="str">
        <f>_xlfn.XLOOKUP(FactSales[[#This Row],[Salesperson_ID]],DimSalesman[Salesperson_ID],DimSalesman[Salesperson_Name])</f>
        <v>Tania Chowdhury</v>
      </c>
      <c r="V328" s="6" t="str">
        <f>_xlfn.XLOOKUP(FactSales[[#This Row],[Region_ID]],DimRegion[Region_ID],DimRegion[Region_Name])</f>
        <v>Khulna</v>
      </c>
      <c r="W328" s="6" t="str">
        <f>_xlfn.XLOOKUP(FactSales[[#This Row],[Store_ID]],DimStore[Store_ID],DimStore[Store_Name])</f>
        <v>Khulna Sonadanga Store</v>
      </c>
    </row>
    <row r="329" spans="1:23">
      <c r="A329" s="4" t="s">
        <v>1325</v>
      </c>
      <c r="B329" s="5">
        <v>45769</v>
      </c>
      <c r="C329" s="4" t="s">
        <v>338</v>
      </c>
      <c r="D329" s="4" t="s">
        <v>42</v>
      </c>
      <c r="E329" s="4" t="s">
        <v>677</v>
      </c>
      <c r="F329" s="4" t="s">
        <v>944</v>
      </c>
      <c r="G329" s="4" t="s">
        <v>831</v>
      </c>
      <c r="H329" s="4">
        <v>2</v>
      </c>
      <c r="I329" s="7">
        <v>0.05</v>
      </c>
      <c r="J329" s="6">
        <v>2722</v>
      </c>
      <c r="K329" s="4">
        <v>5</v>
      </c>
      <c r="L329" s="8">
        <f t="shared" si="5"/>
        <v>3.5</v>
      </c>
      <c r="M329" s="6" t="str">
        <f>_xlfn.XLOOKUP(FactSales[[#This Row],[Product_ID]],DimProduct[Product_ID],DimProduct[Product_Name])</f>
        <v>Perfume Spray</v>
      </c>
      <c r="N329" s="6" t="str">
        <f>_xlfn.XLOOKUP(FactSales[[#This Row],[Product_ID]],DimProduct[Product_ID],DimProduct[Category])</f>
        <v>Beauty &amp; Personal Care</v>
      </c>
      <c r="O329" s="6">
        <f>_xlfn.XLOOKUP(FactSales[[#This Row],[Product_ID]],DimProduct[Product_ID],DimProduct[Unit_Price])</f>
        <v>1260</v>
      </c>
      <c r="P329" s="6">
        <f>_xlfn.XLOOKUP(FactSales[[#This Row],[Product_ID]],DimProduct[Product_ID],DimProduct[Unit_Cost])</f>
        <v>730</v>
      </c>
      <c r="Q329" s="6">
        <f>FactSales[[#This Row],[Unit_Price]]*FactSales[[#This Row],[Quantity_Sold]]</f>
        <v>2520</v>
      </c>
      <c r="R329" s="6">
        <f>FactSales[[#This Row],[Unit_Cost]]*FactSales[[#This Row],[Quantity_Sold]]</f>
        <v>1460</v>
      </c>
      <c r="S329" s="6">
        <f>FactSales[[#This Row],[Sales_Amount]]-FactSales[[#This Row],[Total_Cost]]</f>
        <v>1060</v>
      </c>
      <c r="T329" s="6" t="str">
        <f>_xlfn.XLOOKUP(FactSales[[#This Row],[Customer_ID]],DimCustomer[Customer_ID],DimCustomer[Customer_Name])</f>
        <v>Shakib Uddin</v>
      </c>
      <c r="U329" s="6" t="str">
        <f>_xlfn.XLOOKUP(FactSales[[#This Row],[Salesperson_ID]],DimSalesman[Salesperson_ID],DimSalesman[Salesperson_Name])</f>
        <v>Karim Khan</v>
      </c>
      <c r="V329" s="6" t="str">
        <f>_xlfn.XLOOKUP(FactSales[[#This Row],[Region_ID]],DimRegion[Region_ID],DimRegion[Region_Name])</f>
        <v>Rajshahi</v>
      </c>
      <c r="W329" s="6" t="str">
        <f>_xlfn.XLOOKUP(FactSales[[#This Row],[Store_ID]],DimStore[Store_ID],DimStore[Store_Name])</f>
        <v>Rajshahi Railgate Store</v>
      </c>
    </row>
    <row r="330" spans="1:23">
      <c r="A330" s="4" t="s">
        <v>1326</v>
      </c>
      <c r="B330" s="5">
        <v>45730</v>
      </c>
      <c r="C330" s="4" t="s">
        <v>189</v>
      </c>
      <c r="D330" s="4" t="s">
        <v>32</v>
      </c>
      <c r="E330" s="4" t="s">
        <v>644</v>
      </c>
      <c r="F330" s="4" t="s">
        <v>922</v>
      </c>
      <c r="G330" s="4" t="s">
        <v>750</v>
      </c>
      <c r="H330" s="4">
        <v>4</v>
      </c>
      <c r="I330" s="7">
        <v>0.15</v>
      </c>
      <c r="J330" s="6">
        <v>14774</v>
      </c>
      <c r="K330" s="4">
        <v>7</v>
      </c>
      <c r="L330" s="8">
        <f t="shared" si="5"/>
        <v>2.6</v>
      </c>
      <c r="M330" s="6" t="str">
        <f>_xlfn.XLOOKUP(FactSales[[#This Row],[Product_ID]],DimProduct[Product_ID],DimProduct[Product_Name])</f>
        <v>Bluetooth Speaker</v>
      </c>
      <c r="N330" s="6" t="str">
        <f>_xlfn.XLOOKUP(FactSales[[#This Row],[Product_ID]],DimProduct[Product_ID],DimProduct[Category])</f>
        <v>Electronics</v>
      </c>
      <c r="O330" s="6">
        <f>_xlfn.XLOOKUP(FactSales[[#This Row],[Product_ID]],DimProduct[Product_ID],DimProduct[Unit_Price])</f>
        <v>3240</v>
      </c>
      <c r="P330" s="6">
        <f>_xlfn.XLOOKUP(FactSales[[#This Row],[Product_ID]],DimProduct[Product_ID],DimProduct[Unit_Cost])</f>
        <v>2200</v>
      </c>
      <c r="Q330" s="6">
        <f>FactSales[[#This Row],[Unit_Price]]*FactSales[[#This Row],[Quantity_Sold]]</f>
        <v>12960</v>
      </c>
      <c r="R330" s="6">
        <f>FactSales[[#This Row],[Unit_Cost]]*FactSales[[#This Row],[Quantity_Sold]]</f>
        <v>8800</v>
      </c>
      <c r="S330" s="6">
        <f>FactSales[[#This Row],[Sales_Amount]]-FactSales[[#This Row],[Total_Cost]]</f>
        <v>4160</v>
      </c>
      <c r="T330" s="6" t="str">
        <f>_xlfn.XLOOKUP(FactSales[[#This Row],[Customer_ID]],DimCustomer[Customer_ID],DimCustomer[Customer_Name])</f>
        <v>Sajib Sultana</v>
      </c>
      <c r="U330" s="6" t="str">
        <f>_xlfn.XLOOKUP(FactSales[[#This Row],[Salesperson_ID]],DimSalesman[Salesperson_ID],DimSalesman[Salesperson_Name])</f>
        <v>Rafi Sultana</v>
      </c>
      <c r="V330" s="6" t="str">
        <f>_xlfn.XLOOKUP(FactSales[[#This Row],[Region_ID]],DimRegion[Region_ID],DimRegion[Region_Name])</f>
        <v>Chattogram</v>
      </c>
      <c r="W330" s="6" t="str">
        <f>_xlfn.XLOOKUP(FactSales[[#This Row],[Store_ID]],DimStore[Store_ID],DimStore[Store_Name])</f>
        <v>Chattogram Panchlaish Store</v>
      </c>
    </row>
    <row r="331" spans="1:23">
      <c r="A331" s="4" t="s">
        <v>1327</v>
      </c>
      <c r="B331" s="5">
        <v>45995</v>
      </c>
      <c r="C331" s="4" t="s">
        <v>76</v>
      </c>
      <c r="D331" s="4" t="s">
        <v>27</v>
      </c>
      <c r="E331" s="4" t="s">
        <v>630</v>
      </c>
      <c r="F331" s="4" t="s">
        <v>916</v>
      </c>
      <c r="G331" s="4" t="s">
        <v>758</v>
      </c>
      <c r="H331" s="4">
        <v>8</v>
      </c>
      <c r="I331" s="7">
        <v>0.08</v>
      </c>
      <c r="J331" s="6">
        <v>24083</v>
      </c>
      <c r="K331" s="4">
        <v>2</v>
      </c>
      <c r="L331" s="8">
        <f t="shared" si="5"/>
        <v>4.4000000000000004</v>
      </c>
      <c r="M331" s="6" t="str">
        <f>_xlfn.XLOOKUP(FactSales[[#This Row],[Product_ID]],DimProduct[Product_ID],DimProduct[Product_Name])</f>
        <v>Power Bank</v>
      </c>
      <c r="N331" s="6" t="str">
        <f>_xlfn.XLOOKUP(FactSales[[#This Row],[Product_ID]],DimProduct[Product_ID],DimProduct[Category])</f>
        <v>Electronics</v>
      </c>
      <c r="O331" s="6">
        <f>_xlfn.XLOOKUP(FactSales[[#This Row],[Product_ID]],DimProduct[Product_ID],DimProduct[Unit_Price])</f>
        <v>2840</v>
      </c>
      <c r="P331" s="6">
        <f>_xlfn.XLOOKUP(FactSales[[#This Row],[Product_ID]],DimProduct[Product_ID],DimProduct[Unit_Cost])</f>
        <v>1930</v>
      </c>
      <c r="Q331" s="6">
        <f>FactSales[[#This Row],[Unit_Price]]*FactSales[[#This Row],[Quantity_Sold]]</f>
        <v>22720</v>
      </c>
      <c r="R331" s="6">
        <f>FactSales[[#This Row],[Unit_Cost]]*FactSales[[#This Row],[Quantity_Sold]]</f>
        <v>15440</v>
      </c>
      <c r="S331" s="6">
        <f>FactSales[[#This Row],[Sales_Amount]]-FactSales[[#This Row],[Total_Cost]]</f>
        <v>7280</v>
      </c>
      <c r="T331" s="6" t="str">
        <f>_xlfn.XLOOKUP(FactSales[[#This Row],[Customer_ID]],DimCustomer[Customer_ID],DimCustomer[Customer_Name])</f>
        <v>Tamanna Hossain</v>
      </c>
      <c r="U331" s="6" t="str">
        <f>_xlfn.XLOOKUP(FactSales[[#This Row],[Salesperson_ID]],DimSalesman[Salesperson_ID],DimSalesman[Salesperson_Name])</f>
        <v>Rafi Islam</v>
      </c>
      <c r="V331" s="6" t="str">
        <f>_xlfn.XLOOKUP(FactSales[[#This Row],[Region_ID]],DimRegion[Region_ID],DimRegion[Region_Name])</f>
        <v>Dhaka</v>
      </c>
      <c r="W331" s="6" t="str">
        <f>_xlfn.XLOOKUP(FactSales[[#This Row],[Store_ID]],DimStore[Store_ID],DimStore[Store_Name])</f>
        <v>Dhaka Uttara Store</v>
      </c>
    </row>
    <row r="332" spans="1:23">
      <c r="A332" s="4" t="s">
        <v>1328</v>
      </c>
      <c r="B332" s="5">
        <v>45729</v>
      </c>
      <c r="C332" s="4" t="s">
        <v>588</v>
      </c>
      <c r="D332" s="4" t="s">
        <v>62</v>
      </c>
      <c r="E332" s="4" t="s">
        <v>737</v>
      </c>
      <c r="F332" s="4" t="s">
        <v>983</v>
      </c>
      <c r="G332" s="4" t="s">
        <v>874</v>
      </c>
      <c r="H332" s="4">
        <v>3</v>
      </c>
      <c r="I332" s="7">
        <v>0.05</v>
      </c>
      <c r="J332" s="6">
        <v>3370</v>
      </c>
      <c r="K332" s="4">
        <v>7</v>
      </c>
      <c r="L332" s="8">
        <f t="shared" si="5"/>
        <v>2.9</v>
      </c>
      <c r="M332" s="6" t="str">
        <f>_xlfn.XLOOKUP(FactSales[[#This Row],[Product_ID]],DimProduct[Product_ID],DimProduct[Product_Name])</f>
        <v>Marker Set</v>
      </c>
      <c r="N332" s="6" t="str">
        <f>_xlfn.XLOOKUP(FactSales[[#This Row],[Product_ID]],DimProduct[Product_ID],DimProduct[Category])</f>
        <v>Stationery</v>
      </c>
      <c r="O332" s="6">
        <f>_xlfn.XLOOKUP(FactSales[[#This Row],[Product_ID]],DimProduct[Product_ID],DimProduct[Unit_Price])</f>
        <v>1040</v>
      </c>
      <c r="P332" s="6">
        <f>_xlfn.XLOOKUP(FactSales[[#This Row],[Product_ID]],DimProduct[Product_ID],DimProduct[Unit_Cost])</f>
        <v>520</v>
      </c>
      <c r="Q332" s="6">
        <f>FactSales[[#This Row],[Unit_Price]]*FactSales[[#This Row],[Quantity_Sold]]</f>
        <v>3120</v>
      </c>
      <c r="R332" s="6">
        <f>FactSales[[#This Row],[Unit_Cost]]*FactSales[[#This Row],[Quantity_Sold]]</f>
        <v>1560</v>
      </c>
      <c r="S332" s="6">
        <f>FactSales[[#This Row],[Sales_Amount]]-FactSales[[#This Row],[Total_Cost]]</f>
        <v>1560</v>
      </c>
      <c r="T332" s="6" t="str">
        <f>_xlfn.XLOOKUP(FactSales[[#This Row],[Customer_ID]],DimCustomer[Customer_ID],DimCustomer[Customer_Name])</f>
        <v>Rasel Uddin</v>
      </c>
      <c r="U332" s="6" t="str">
        <f>_xlfn.XLOOKUP(FactSales[[#This Row],[Salesperson_ID]],DimSalesman[Salesperson_ID],DimSalesman[Salesperson_Name])</f>
        <v>Fahim Hossain</v>
      </c>
      <c r="V332" s="6" t="str">
        <f>_xlfn.XLOOKUP(FactSales[[#This Row],[Region_ID]],DimRegion[Region_ID],DimRegion[Region_Name])</f>
        <v>Mymensingh</v>
      </c>
      <c r="W332" s="6" t="str">
        <f>_xlfn.XLOOKUP(FactSales[[#This Row],[Store_ID]],DimStore[Store_ID],DimStore[Store_Name])</f>
        <v>Mymensingh Kewatkhali Store</v>
      </c>
    </row>
    <row r="333" spans="1:23">
      <c r="A333" s="4" t="s">
        <v>1329</v>
      </c>
      <c r="B333" s="5">
        <v>46025</v>
      </c>
      <c r="C333" s="4" t="s">
        <v>559</v>
      </c>
      <c r="D333" s="4" t="s">
        <v>62</v>
      </c>
      <c r="E333" s="4" t="s">
        <v>740</v>
      </c>
      <c r="F333" s="4" t="s">
        <v>985</v>
      </c>
      <c r="G333" s="4" t="s">
        <v>893</v>
      </c>
      <c r="H333" s="4">
        <v>2</v>
      </c>
      <c r="I333" s="7">
        <v>7.0000000000000007E-2</v>
      </c>
      <c r="J333" s="6">
        <v>9461</v>
      </c>
      <c r="K333" s="4">
        <v>5</v>
      </c>
      <c r="L333" s="8">
        <f t="shared" si="5"/>
        <v>3.4</v>
      </c>
      <c r="M333" s="6" t="str">
        <f>_xlfn.XLOOKUP(FactSales[[#This Row],[Product_ID]],DimProduct[Product_ID],DimProduct[Product_Name])</f>
        <v>Office Chair</v>
      </c>
      <c r="N333" s="6" t="str">
        <f>_xlfn.XLOOKUP(FactSales[[#This Row],[Product_ID]],DimProduct[Product_ID],DimProduct[Category])</f>
        <v>Furniture</v>
      </c>
      <c r="O333" s="6">
        <f>_xlfn.XLOOKUP(FactSales[[#This Row],[Product_ID]],DimProduct[Product_ID],DimProduct[Unit_Price])</f>
        <v>4380</v>
      </c>
      <c r="P333" s="6">
        <f>_xlfn.XLOOKUP(FactSales[[#This Row],[Product_ID]],DimProduct[Product_ID],DimProduct[Unit_Cost])</f>
        <v>3150</v>
      </c>
      <c r="Q333" s="6">
        <f>FactSales[[#This Row],[Unit_Price]]*FactSales[[#This Row],[Quantity_Sold]]</f>
        <v>8760</v>
      </c>
      <c r="R333" s="6">
        <f>FactSales[[#This Row],[Unit_Cost]]*FactSales[[#This Row],[Quantity_Sold]]</f>
        <v>6300</v>
      </c>
      <c r="S333" s="6">
        <f>FactSales[[#This Row],[Sales_Amount]]-FactSales[[#This Row],[Total_Cost]]</f>
        <v>2460</v>
      </c>
      <c r="T333" s="6" t="str">
        <f>_xlfn.XLOOKUP(FactSales[[#This Row],[Customer_ID]],DimCustomer[Customer_ID],DimCustomer[Customer_Name])</f>
        <v>Morshed Sultana</v>
      </c>
      <c r="U333" s="6" t="str">
        <f>_xlfn.XLOOKUP(FactSales[[#This Row],[Salesperson_ID]],DimSalesman[Salesperson_ID],DimSalesman[Salesperson_Name])</f>
        <v>Tamanna Sultana</v>
      </c>
      <c r="V333" s="6" t="str">
        <f>_xlfn.XLOOKUP(FactSales[[#This Row],[Region_ID]],DimRegion[Region_ID],DimRegion[Region_Name])</f>
        <v>Mymensingh</v>
      </c>
      <c r="W333" s="6" t="str">
        <f>_xlfn.XLOOKUP(FactSales[[#This Row],[Store_ID]],DimStore[Store_ID],DimStore[Store_Name])</f>
        <v>Mymensingh Maskanda Store</v>
      </c>
    </row>
    <row r="334" spans="1:23">
      <c r="A334" s="4" t="s">
        <v>1330</v>
      </c>
      <c r="B334" s="5">
        <v>46006</v>
      </c>
      <c r="C334" s="4" t="s">
        <v>491</v>
      </c>
      <c r="D334" s="4" t="s">
        <v>57</v>
      </c>
      <c r="E334" s="4" t="s">
        <v>713</v>
      </c>
      <c r="F334" s="4" t="s">
        <v>972</v>
      </c>
      <c r="G334" s="4" t="s">
        <v>804</v>
      </c>
      <c r="H334" s="4">
        <v>2</v>
      </c>
      <c r="I334" s="7">
        <v>0.03</v>
      </c>
      <c r="J334" s="6">
        <v>851</v>
      </c>
      <c r="K334" s="4">
        <v>5</v>
      </c>
      <c r="L334" s="8">
        <f t="shared" si="5"/>
        <v>3.5</v>
      </c>
      <c r="M334" s="6" t="str">
        <f>_xlfn.XLOOKUP(FactSales[[#This Row],[Product_ID]],DimProduct[Product_ID],DimProduct[Product_Name])</f>
        <v>Soybean Oil 5L</v>
      </c>
      <c r="N334" s="6" t="str">
        <f>_xlfn.XLOOKUP(FactSales[[#This Row],[Product_ID]],DimProduct[Product_ID],DimProduct[Category])</f>
        <v>Grocery</v>
      </c>
      <c r="O334" s="6">
        <f>_xlfn.XLOOKUP(FactSales[[#This Row],[Product_ID]],DimProduct[Product_ID],DimProduct[Unit_Price])</f>
        <v>370</v>
      </c>
      <c r="P334" s="6">
        <f>_xlfn.XLOOKUP(FactSales[[#This Row],[Product_ID]],DimProduct[Product_ID],DimProduct[Unit_Cost])</f>
        <v>290</v>
      </c>
      <c r="Q334" s="6">
        <f>FactSales[[#This Row],[Unit_Price]]*FactSales[[#This Row],[Quantity_Sold]]</f>
        <v>740</v>
      </c>
      <c r="R334" s="6">
        <f>FactSales[[#This Row],[Unit_Cost]]*FactSales[[#This Row],[Quantity_Sold]]</f>
        <v>580</v>
      </c>
      <c r="S334" s="6">
        <f>FactSales[[#This Row],[Sales_Amount]]-FactSales[[#This Row],[Total_Cost]]</f>
        <v>160</v>
      </c>
      <c r="T334" s="6" t="str">
        <f>_xlfn.XLOOKUP(FactSales[[#This Row],[Customer_ID]],DimCustomer[Customer_ID],DimCustomer[Customer_Name])</f>
        <v>Rumana Akter</v>
      </c>
      <c r="U334" s="6" t="str">
        <f>_xlfn.XLOOKUP(FactSales[[#This Row],[Salesperson_ID]],DimSalesman[Salesperson_ID],DimSalesman[Salesperson_Name])</f>
        <v>Samiha Hossain</v>
      </c>
      <c r="V334" s="6" t="str">
        <f>_xlfn.XLOOKUP(FactSales[[#This Row],[Region_ID]],DimRegion[Region_ID],DimRegion[Region_Name])</f>
        <v>Rangpur</v>
      </c>
      <c r="W334" s="6" t="str">
        <f>_xlfn.XLOOKUP(FactSales[[#This Row],[Store_ID]],DimStore[Store_ID],DimStore[Store_Name])</f>
        <v>Rangpur Jahaj Company Store</v>
      </c>
    </row>
    <row r="335" spans="1:23">
      <c r="A335" s="4" t="s">
        <v>1331</v>
      </c>
      <c r="B335" s="5">
        <v>45767</v>
      </c>
      <c r="C335" s="4" t="s">
        <v>109</v>
      </c>
      <c r="D335" s="4" t="s">
        <v>27</v>
      </c>
      <c r="E335" s="4" t="s">
        <v>622</v>
      </c>
      <c r="F335" s="4" t="s">
        <v>916</v>
      </c>
      <c r="G335" s="4" t="s">
        <v>844</v>
      </c>
      <c r="H335" s="4">
        <v>4</v>
      </c>
      <c r="I335" s="7">
        <v>0.1</v>
      </c>
      <c r="J335" s="6">
        <v>11363</v>
      </c>
      <c r="K335" s="4">
        <v>1</v>
      </c>
      <c r="L335" s="8">
        <f t="shared" si="5"/>
        <v>4.7</v>
      </c>
      <c r="M335" s="6" t="str">
        <f>_xlfn.XLOOKUP(FactSales[[#This Row],[Product_ID]],DimProduct[Product_ID],DimProduct[Product_Name])</f>
        <v>Kids Sneaker</v>
      </c>
      <c r="N335" s="6" t="str">
        <f>_xlfn.XLOOKUP(FactSales[[#This Row],[Product_ID]],DimProduct[Product_ID],DimProduct[Category])</f>
        <v>Footwear</v>
      </c>
      <c r="O335" s="6">
        <f>_xlfn.XLOOKUP(FactSales[[#This Row],[Product_ID]],DimProduct[Product_ID],DimProduct[Unit_Price])</f>
        <v>2680</v>
      </c>
      <c r="P335" s="6">
        <f>_xlfn.XLOOKUP(FactSales[[#This Row],[Product_ID]],DimProduct[Product_ID],DimProduct[Unit_Cost])</f>
        <v>1610</v>
      </c>
      <c r="Q335" s="6">
        <f>FactSales[[#This Row],[Unit_Price]]*FactSales[[#This Row],[Quantity_Sold]]</f>
        <v>10720</v>
      </c>
      <c r="R335" s="6">
        <f>FactSales[[#This Row],[Unit_Cost]]*FactSales[[#This Row],[Quantity_Sold]]</f>
        <v>6440</v>
      </c>
      <c r="S335" s="6">
        <f>FactSales[[#This Row],[Sales_Amount]]-FactSales[[#This Row],[Total_Cost]]</f>
        <v>4280</v>
      </c>
      <c r="T335" s="6" t="str">
        <f>_xlfn.XLOOKUP(FactSales[[#This Row],[Customer_ID]],DimCustomer[Customer_ID],DimCustomer[Customer_Name])</f>
        <v>Arif Hossain</v>
      </c>
      <c r="U335" s="6" t="str">
        <f>_xlfn.XLOOKUP(FactSales[[#This Row],[Salesperson_ID]],DimSalesman[Salesperson_ID],DimSalesman[Salesperson_Name])</f>
        <v>Rafi Islam</v>
      </c>
      <c r="V335" s="6" t="str">
        <f>_xlfn.XLOOKUP(FactSales[[#This Row],[Region_ID]],DimRegion[Region_ID],DimRegion[Region_Name])</f>
        <v>Dhaka</v>
      </c>
      <c r="W335" s="6" t="str">
        <f>_xlfn.XLOOKUP(FactSales[[#This Row],[Store_ID]],DimStore[Store_ID],DimStore[Store_Name])</f>
        <v>Dhaka Dhanmondi Store</v>
      </c>
    </row>
    <row r="336" spans="1:23">
      <c r="A336" s="4" t="s">
        <v>1332</v>
      </c>
      <c r="B336" s="5">
        <v>45694</v>
      </c>
      <c r="C336" s="4" t="s">
        <v>205</v>
      </c>
      <c r="D336" s="4" t="s">
        <v>32</v>
      </c>
      <c r="E336" s="4" t="s">
        <v>647</v>
      </c>
      <c r="F336" s="4" t="s">
        <v>931</v>
      </c>
      <c r="G336" s="4" t="s">
        <v>762</v>
      </c>
      <c r="H336" s="4">
        <v>1</v>
      </c>
      <c r="I336" s="7">
        <v>0.18</v>
      </c>
      <c r="J336" s="6">
        <v>4412</v>
      </c>
      <c r="K336" s="4">
        <v>5</v>
      </c>
      <c r="L336" s="8">
        <f t="shared" si="5"/>
        <v>3.2</v>
      </c>
      <c r="M336" s="6" t="str">
        <f>_xlfn.XLOOKUP(FactSales[[#This Row],[Product_ID]],DimProduct[Product_ID],DimProduct[Product_Name])</f>
        <v>Smart Watch</v>
      </c>
      <c r="N336" s="6" t="str">
        <f>_xlfn.XLOOKUP(FactSales[[#This Row],[Product_ID]],DimProduct[Product_ID],DimProduct[Category])</f>
        <v>Electronics</v>
      </c>
      <c r="O336" s="6">
        <f>_xlfn.XLOOKUP(FactSales[[#This Row],[Product_ID]],DimProduct[Product_ID],DimProduct[Unit_Price])</f>
        <v>3870</v>
      </c>
      <c r="P336" s="6">
        <f>_xlfn.XLOOKUP(FactSales[[#This Row],[Product_ID]],DimProduct[Product_ID],DimProduct[Unit_Cost])</f>
        <v>2630</v>
      </c>
      <c r="Q336" s="6">
        <f>FactSales[[#This Row],[Unit_Price]]*FactSales[[#This Row],[Quantity_Sold]]</f>
        <v>3870</v>
      </c>
      <c r="R336" s="6">
        <f>FactSales[[#This Row],[Unit_Cost]]*FactSales[[#This Row],[Quantity_Sold]]</f>
        <v>2630</v>
      </c>
      <c r="S336" s="6">
        <f>FactSales[[#This Row],[Sales_Amount]]-FactSales[[#This Row],[Total_Cost]]</f>
        <v>1240</v>
      </c>
      <c r="T336" s="6" t="str">
        <f>_xlfn.XLOOKUP(FactSales[[#This Row],[Customer_ID]],DimCustomer[Customer_ID],DimCustomer[Customer_Name])</f>
        <v>Mahmud Islam</v>
      </c>
      <c r="U336" s="6" t="str">
        <f>_xlfn.XLOOKUP(FactSales[[#This Row],[Salesperson_ID]],DimSalesman[Salesperson_ID],DimSalesman[Salesperson_Name])</f>
        <v>Sadia Islam</v>
      </c>
      <c r="V336" s="6" t="str">
        <f>_xlfn.XLOOKUP(FactSales[[#This Row],[Region_ID]],DimRegion[Region_ID],DimRegion[Region_Name])</f>
        <v>Chattogram</v>
      </c>
      <c r="W336" s="6" t="str">
        <f>_xlfn.XLOOKUP(FactSales[[#This Row],[Store_ID]],DimStore[Store_ID],DimStore[Store_Name])</f>
        <v>Chattogram Nasirabad Store</v>
      </c>
    </row>
    <row r="337" spans="1:23">
      <c r="A337" s="4" t="s">
        <v>1333</v>
      </c>
      <c r="B337" s="5">
        <v>45674</v>
      </c>
      <c r="C337" s="4" t="s">
        <v>398</v>
      </c>
      <c r="D337" s="4" t="s">
        <v>47</v>
      </c>
      <c r="E337" s="4" t="s">
        <v>695</v>
      </c>
      <c r="F337" s="4" t="s">
        <v>955</v>
      </c>
      <c r="G337" s="4" t="s">
        <v>900</v>
      </c>
      <c r="H337" s="4">
        <v>1</v>
      </c>
      <c r="I337" s="7">
        <v>0.03</v>
      </c>
      <c r="J337" s="6">
        <v>5799</v>
      </c>
      <c r="K337" s="4">
        <v>7</v>
      </c>
      <c r="L337" s="8">
        <f t="shared" si="5"/>
        <v>2.9</v>
      </c>
      <c r="M337" s="6" t="str">
        <f>_xlfn.XLOOKUP(FactSales[[#This Row],[Product_ID]],DimProduct[Product_ID],DimProduct[Product_Name])</f>
        <v>Shoe Rack</v>
      </c>
      <c r="N337" s="6" t="str">
        <f>_xlfn.XLOOKUP(FactSales[[#This Row],[Product_ID]],DimProduct[Product_ID],DimProduct[Category])</f>
        <v>Furniture</v>
      </c>
      <c r="O337" s="6">
        <f>_xlfn.XLOOKUP(FactSales[[#This Row],[Product_ID]],DimProduct[Product_ID],DimProduct[Unit_Price])</f>
        <v>5320</v>
      </c>
      <c r="P337" s="6">
        <f>_xlfn.XLOOKUP(FactSales[[#This Row],[Product_ID]],DimProduct[Product_ID],DimProduct[Unit_Cost])</f>
        <v>3830</v>
      </c>
      <c r="Q337" s="6">
        <f>FactSales[[#This Row],[Unit_Price]]*FactSales[[#This Row],[Quantity_Sold]]</f>
        <v>5320</v>
      </c>
      <c r="R337" s="6">
        <f>FactSales[[#This Row],[Unit_Cost]]*FactSales[[#This Row],[Quantity_Sold]]</f>
        <v>3830</v>
      </c>
      <c r="S337" s="6">
        <f>FactSales[[#This Row],[Sales_Amount]]-FactSales[[#This Row],[Total_Cost]]</f>
        <v>1490</v>
      </c>
      <c r="T337" s="6" t="str">
        <f>_xlfn.XLOOKUP(FactSales[[#This Row],[Customer_ID]],DimCustomer[Customer_ID],DimCustomer[Customer_Name])</f>
        <v>Ayesha Akter</v>
      </c>
      <c r="U337" s="6" t="str">
        <f>_xlfn.XLOOKUP(FactSales[[#This Row],[Salesperson_ID]],DimSalesman[Salesperson_ID],DimSalesman[Salesperson_Name])</f>
        <v>Tania Chowdhury</v>
      </c>
      <c r="V337" s="6" t="str">
        <f>_xlfn.XLOOKUP(FactSales[[#This Row],[Region_ID]],DimRegion[Region_ID],DimRegion[Region_Name])</f>
        <v>Khulna</v>
      </c>
      <c r="W337" s="6" t="str">
        <f>_xlfn.XLOOKUP(FactSales[[#This Row],[Store_ID]],DimStore[Store_ID],DimStore[Store_Name])</f>
        <v>Khulna Shibbari Store</v>
      </c>
    </row>
    <row r="338" spans="1:23">
      <c r="A338" s="4" t="s">
        <v>1334</v>
      </c>
      <c r="B338" s="5">
        <v>46127</v>
      </c>
      <c r="C338" s="4" t="s">
        <v>483</v>
      </c>
      <c r="D338" s="4" t="s">
        <v>52</v>
      </c>
      <c r="E338" s="4" t="s">
        <v>698</v>
      </c>
      <c r="F338" s="4" t="s">
        <v>964</v>
      </c>
      <c r="G338" s="4" t="s">
        <v>758</v>
      </c>
      <c r="H338" s="4">
        <v>10</v>
      </c>
      <c r="I338" s="7">
        <v>0.1</v>
      </c>
      <c r="J338" s="6">
        <v>31808</v>
      </c>
      <c r="K338" s="4">
        <v>5</v>
      </c>
      <c r="L338" s="8">
        <f t="shared" si="5"/>
        <v>3.4</v>
      </c>
      <c r="M338" s="6" t="str">
        <f>_xlfn.XLOOKUP(FactSales[[#This Row],[Product_ID]],DimProduct[Product_ID],DimProduct[Product_Name])</f>
        <v>Power Bank</v>
      </c>
      <c r="N338" s="6" t="str">
        <f>_xlfn.XLOOKUP(FactSales[[#This Row],[Product_ID]],DimProduct[Product_ID],DimProduct[Category])</f>
        <v>Electronics</v>
      </c>
      <c r="O338" s="6">
        <f>_xlfn.XLOOKUP(FactSales[[#This Row],[Product_ID]],DimProduct[Product_ID],DimProduct[Unit_Price])</f>
        <v>2840</v>
      </c>
      <c r="P338" s="6">
        <f>_xlfn.XLOOKUP(FactSales[[#This Row],[Product_ID]],DimProduct[Product_ID],DimProduct[Unit_Cost])</f>
        <v>1930</v>
      </c>
      <c r="Q338" s="6">
        <f>FactSales[[#This Row],[Unit_Price]]*FactSales[[#This Row],[Quantity_Sold]]</f>
        <v>28400</v>
      </c>
      <c r="R338" s="6">
        <f>FactSales[[#This Row],[Unit_Cost]]*FactSales[[#This Row],[Quantity_Sold]]</f>
        <v>19300</v>
      </c>
      <c r="S338" s="6">
        <f>FactSales[[#This Row],[Sales_Amount]]-FactSales[[#This Row],[Total_Cost]]</f>
        <v>9100</v>
      </c>
      <c r="T338" s="6" t="str">
        <f>_xlfn.XLOOKUP(FactSales[[#This Row],[Customer_ID]],DimCustomer[Customer_ID],DimCustomer[Customer_Name])</f>
        <v>Rumana Chowdhury</v>
      </c>
      <c r="U338" s="6" t="str">
        <f>_xlfn.XLOOKUP(FactSales[[#This Row],[Salesperson_ID]],DimSalesman[Salesperson_ID],DimSalesman[Salesperson_Name])</f>
        <v>Shaila Uddin</v>
      </c>
      <c r="V338" s="6" t="str">
        <f>_xlfn.XLOOKUP(FactSales[[#This Row],[Region_ID]],DimRegion[Region_ID],DimRegion[Region_Name])</f>
        <v>Barishal</v>
      </c>
      <c r="W338" s="6" t="str">
        <f>_xlfn.XLOOKUP(FactSales[[#This Row],[Store_ID]],DimStore[Store_ID],DimStore[Store_Name])</f>
        <v>Barishal Nathullabad Store</v>
      </c>
    </row>
    <row r="339" spans="1:23">
      <c r="A339" s="4" t="s">
        <v>1335</v>
      </c>
      <c r="B339" s="5">
        <v>46140</v>
      </c>
      <c r="C339" s="4" t="s">
        <v>151</v>
      </c>
      <c r="D339" s="4" t="s">
        <v>32</v>
      </c>
      <c r="E339" s="4" t="s">
        <v>641</v>
      </c>
      <c r="F339" s="4" t="s">
        <v>927</v>
      </c>
      <c r="G339" s="4" t="s">
        <v>834</v>
      </c>
      <c r="H339" s="4">
        <v>8</v>
      </c>
      <c r="I339" s="7">
        <v>0.03</v>
      </c>
      <c r="J339" s="6">
        <v>32011</v>
      </c>
      <c r="K339" s="4">
        <v>4</v>
      </c>
      <c r="L339" s="8">
        <f t="shared" si="5"/>
        <v>3.9</v>
      </c>
      <c r="M339" s="6" t="str">
        <f>_xlfn.XLOOKUP(FactSales[[#This Row],[Product_ID]],DimProduct[Product_ID],DimProduct[Product_Name])</f>
        <v>Running Shoe</v>
      </c>
      <c r="N339" s="6" t="str">
        <f>_xlfn.XLOOKUP(FactSales[[#This Row],[Product_ID]],DimProduct[Product_ID],DimProduct[Category])</f>
        <v>Footwear</v>
      </c>
      <c r="O339" s="6">
        <f>_xlfn.XLOOKUP(FactSales[[#This Row],[Product_ID]],DimProduct[Product_ID],DimProduct[Unit_Price])</f>
        <v>3510</v>
      </c>
      <c r="P339" s="6">
        <f>_xlfn.XLOOKUP(FactSales[[#This Row],[Product_ID]],DimProduct[Product_ID],DimProduct[Unit_Cost])</f>
        <v>2110</v>
      </c>
      <c r="Q339" s="6">
        <f>FactSales[[#This Row],[Unit_Price]]*FactSales[[#This Row],[Quantity_Sold]]</f>
        <v>28080</v>
      </c>
      <c r="R339" s="6">
        <f>FactSales[[#This Row],[Unit_Cost]]*FactSales[[#This Row],[Quantity_Sold]]</f>
        <v>16880</v>
      </c>
      <c r="S339" s="6">
        <f>FactSales[[#This Row],[Sales_Amount]]-FactSales[[#This Row],[Total_Cost]]</f>
        <v>11200</v>
      </c>
      <c r="T339" s="6" t="str">
        <f>_xlfn.XLOOKUP(FactSales[[#This Row],[Customer_ID]],DimCustomer[Customer_ID],DimCustomer[Customer_Name])</f>
        <v>Arif Khan</v>
      </c>
      <c r="U339" s="6" t="str">
        <f>_xlfn.XLOOKUP(FactSales[[#This Row],[Salesperson_ID]],DimSalesman[Salesperson_ID],DimSalesman[Salesperson_Name])</f>
        <v>Shakib Ahmed</v>
      </c>
      <c r="V339" s="6" t="str">
        <f>_xlfn.XLOOKUP(FactSales[[#This Row],[Region_ID]],DimRegion[Region_ID],DimRegion[Region_Name])</f>
        <v>Chattogram</v>
      </c>
      <c r="W339" s="6" t="str">
        <f>_xlfn.XLOOKUP(FactSales[[#This Row],[Store_ID]],DimStore[Store_ID],DimStore[Store_Name])</f>
        <v>Chattogram GEC Store</v>
      </c>
    </row>
    <row r="340" spans="1:23">
      <c r="A340" s="4" t="s">
        <v>1336</v>
      </c>
      <c r="B340" s="5">
        <v>45709</v>
      </c>
      <c r="C340" s="4" t="s">
        <v>346</v>
      </c>
      <c r="D340" s="4" t="s">
        <v>42</v>
      </c>
      <c r="E340" s="4" t="s">
        <v>671</v>
      </c>
      <c r="F340" s="4" t="s">
        <v>943</v>
      </c>
      <c r="G340" s="4" t="s">
        <v>762</v>
      </c>
      <c r="H340" s="4">
        <v>6</v>
      </c>
      <c r="I340" s="7">
        <v>0.08</v>
      </c>
      <c r="J340" s="6">
        <v>25078</v>
      </c>
      <c r="K340" s="4">
        <v>3</v>
      </c>
      <c r="L340" s="8">
        <f t="shared" si="5"/>
        <v>4.0999999999999996</v>
      </c>
      <c r="M340" s="6" t="str">
        <f>_xlfn.XLOOKUP(FactSales[[#This Row],[Product_ID]],DimProduct[Product_ID],DimProduct[Product_Name])</f>
        <v>Smart Watch</v>
      </c>
      <c r="N340" s="6" t="str">
        <f>_xlfn.XLOOKUP(FactSales[[#This Row],[Product_ID]],DimProduct[Product_ID],DimProduct[Category])</f>
        <v>Electronics</v>
      </c>
      <c r="O340" s="6">
        <f>_xlfn.XLOOKUP(FactSales[[#This Row],[Product_ID]],DimProduct[Product_ID],DimProduct[Unit_Price])</f>
        <v>3870</v>
      </c>
      <c r="P340" s="6">
        <f>_xlfn.XLOOKUP(FactSales[[#This Row],[Product_ID]],DimProduct[Product_ID],DimProduct[Unit_Cost])</f>
        <v>2630</v>
      </c>
      <c r="Q340" s="6">
        <f>FactSales[[#This Row],[Unit_Price]]*FactSales[[#This Row],[Quantity_Sold]]</f>
        <v>23220</v>
      </c>
      <c r="R340" s="6">
        <f>FactSales[[#This Row],[Unit_Cost]]*FactSales[[#This Row],[Quantity_Sold]]</f>
        <v>15780</v>
      </c>
      <c r="S340" s="6">
        <f>FactSales[[#This Row],[Sales_Amount]]-FactSales[[#This Row],[Total_Cost]]</f>
        <v>7440</v>
      </c>
      <c r="T340" s="6" t="str">
        <f>_xlfn.XLOOKUP(FactSales[[#This Row],[Customer_ID]],DimCustomer[Customer_ID],DimCustomer[Customer_Name])</f>
        <v>Hasan Ahmed</v>
      </c>
      <c r="U340" s="6" t="str">
        <f>_xlfn.XLOOKUP(FactSales[[#This Row],[Salesperson_ID]],DimSalesman[Salesperson_ID],DimSalesman[Salesperson_Name])</f>
        <v>Imran Khan</v>
      </c>
      <c r="V340" s="6" t="str">
        <f>_xlfn.XLOOKUP(FactSales[[#This Row],[Region_ID]],DimRegion[Region_ID],DimRegion[Region_Name])</f>
        <v>Rajshahi</v>
      </c>
      <c r="W340" s="6" t="str">
        <f>_xlfn.XLOOKUP(FactSales[[#This Row],[Store_ID]],DimStore[Store_ID],DimStore[Store_Name])</f>
        <v>Rajshahi Kazla Store</v>
      </c>
    </row>
    <row r="341" spans="1:23">
      <c r="A341" s="4" t="s">
        <v>1337</v>
      </c>
      <c r="B341" s="5">
        <v>45883</v>
      </c>
      <c r="C341" s="4" t="s">
        <v>156</v>
      </c>
      <c r="D341" s="4" t="s">
        <v>32</v>
      </c>
      <c r="E341" s="4" t="s">
        <v>638</v>
      </c>
      <c r="F341" s="4" t="s">
        <v>927</v>
      </c>
      <c r="G341" s="4" t="s">
        <v>816</v>
      </c>
      <c r="H341" s="4">
        <v>1</v>
      </c>
      <c r="I341" s="7">
        <v>0.05</v>
      </c>
      <c r="J341" s="6">
        <v>1459</v>
      </c>
      <c r="K341" s="4">
        <v>5</v>
      </c>
      <c r="L341" s="8">
        <f t="shared" si="5"/>
        <v>3.5</v>
      </c>
      <c r="M341" s="6" t="str">
        <f>_xlfn.XLOOKUP(FactSales[[#This Row],[Product_ID]],DimProduct[Product_ID],DimProduct[Product_Name])</f>
        <v>Face Wash</v>
      </c>
      <c r="N341" s="6" t="str">
        <f>_xlfn.XLOOKUP(FactSales[[#This Row],[Product_ID]],DimProduct[Product_ID],DimProduct[Category])</f>
        <v>Beauty &amp; Personal Care</v>
      </c>
      <c r="O341" s="6">
        <f>_xlfn.XLOOKUP(FactSales[[#This Row],[Product_ID]],DimProduct[Product_ID],DimProduct[Unit_Price])</f>
        <v>1280</v>
      </c>
      <c r="P341" s="6">
        <f>_xlfn.XLOOKUP(FactSales[[#This Row],[Product_ID]],DimProduct[Product_ID],DimProduct[Unit_Cost])</f>
        <v>740</v>
      </c>
      <c r="Q341" s="6">
        <f>FactSales[[#This Row],[Unit_Price]]*FactSales[[#This Row],[Quantity_Sold]]</f>
        <v>1280</v>
      </c>
      <c r="R341" s="6">
        <f>FactSales[[#This Row],[Unit_Cost]]*FactSales[[#This Row],[Quantity_Sold]]</f>
        <v>740</v>
      </c>
      <c r="S341" s="6">
        <f>FactSales[[#This Row],[Sales_Amount]]-FactSales[[#This Row],[Total_Cost]]</f>
        <v>540</v>
      </c>
      <c r="T341" s="6" t="str">
        <f>_xlfn.XLOOKUP(FactSales[[#This Row],[Customer_ID]],DimCustomer[Customer_ID],DimCustomer[Customer_Name])</f>
        <v>Shaila Mia</v>
      </c>
      <c r="U341" s="6" t="str">
        <f>_xlfn.XLOOKUP(FactSales[[#This Row],[Salesperson_ID]],DimSalesman[Salesperson_ID],DimSalesman[Salesperson_Name])</f>
        <v>Shakib Ahmed</v>
      </c>
      <c r="V341" s="6" t="str">
        <f>_xlfn.XLOOKUP(FactSales[[#This Row],[Region_ID]],DimRegion[Region_ID],DimRegion[Region_Name])</f>
        <v>Chattogram</v>
      </c>
      <c r="W341" s="6" t="str">
        <f>_xlfn.XLOOKUP(FactSales[[#This Row],[Store_ID]],DimStore[Store_ID],DimStore[Store_Name])</f>
        <v>Chattogram Agrabad Store</v>
      </c>
    </row>
    <row r="342" spans="1:23">
      <c r="A342" s="4" t="s">
        <v>1338</v>
      </c>
      <c r="B342" s="5">
        <v>45798</v>
      </c>
      <c r="C342" s="4" t="s">
        <v>513</v>
      </c>
      <c r="D342" s="4" t="s">
        <v>57</v>
      </c>
      <c r="E342" s="4" t="s">
        <v>722</v>
      </c>
      <c r="F342" s="4" t="s">
        <v>972</v>
      </c>
      <c r="G342" s="4" t="s">
        <v>758</v>
      </c>
      <c r="H342" s="4">
        <v>2</v>
      </c>
      <c r="I342" s="7">
        <v>0.1</v>
      </c>
      <c r="J342" s="6">
        <v>6532</v>
      </c>
      <c r="K342" s="4">
        <v>6</v>
      </c>
      <c r="L342" s="8">
        <f t="shared" si="5"/>
        <v>3.1</v>
      </c>
      <c r="M342" s="6" t="str">
        <f>_xlfn.XLOOKUP(FactSales[[#This Row],[Product_ID]],DimProduct[Product_ID],DimProduct[Product_Name])</f>
        <v>Power Bank</v>
      </c>
      <c r="N342" s="6" t="str">
        <f>_xlfn.XLOOKUP(FactSales[[#This Row],[Product_ID]],DimProduct[Product_ID],DimProduct[Category])</f>
        <v>Electronics</v>
      </c>
      <c r="O342" s="6">
        <f>_xlfn.XLOOKUP(FactSales[[#This Row],[Product_ID]],DimProduct[Product_ID],DimProduct[Unit_Price])</f>
        <v>2840</v>
      </c>
      <c r="P342" s="6">
        <f>_xlfn.XLOOKUP(FactSales[[#This Row],[Product_ID]],DimProduct[Product_ID],DimProduct[Unit_Cost])</f>
        <v>1930</v>
      </c>
      <c r="Q342" s="6">
        <f>FactSales[[#This Row],[Unit_Price]]*FactSales[[#This Row],[Quantity_Sold]]</f>
        <v>5680</v>
      </c>
      <c r="R342" s="6">
        <f>FactSales[[#This Row],[Unit_Cost]]*FactSales[[#This Row],[Quantity_Sold]]</f>
        <v>3860</v>
      </c>
      <c r="S342" s="6">
        <f>FactSales[[#This Row],[Sales_Amount]]-FactSales[[#This Row],[Total_Cost]]</f>
        <v>1820</v>
      </c>
      <c r="T342" s="6" t="str">
        <f>_xlfn.XLOOKUP(FactSales[[#This Row],[Customer_ID]],DimCustomer[Customer_ID],DimCustomer[Customer_Name])</f>
        <v>Arif Akter</v>
      </c>
      <c r="U342" s="6" t="str">
        <f>_xlfn.XLOOKUP(FactSales[[#This Row],[Salesperson_ID]],DimSalesman[Salesperson_ID],DimSalesman[Salesperson_Name])</f>
        <v>Samiha Hossain</v>
      </c>
      <c r="V342" s="6" t="str">
        <f>_xlfn.XLOOKUP(FactSales[[#This Row],[Region_ID]],DimRegion[Region_ID],DimRegion[Region_Name])</f>
        <v>Rangpur</v>
      </c>
      <c r="W342" s="6" t="str">
        <f>_xlfn.XLOOKUP(FactSales[[#This Row],[Store_ID]],DimStore[Store_ID],DimStore[Store_Name])</f>
        <v>Rangpur Dhap Store</v>
      </c>
    </row>
    <row r="343" spans="1:23">
      <c r="A343" s="4" t="s">
        <v>1339</v>
      </c>
      <c r="B343" s="5">
        <v>46083</v>
      </c>
      <c r="C343" s="4" t="s">
        <v>429</v>
      </c>
      <c r="D343" s="4" t="s">
        <v>52</v>
      </c>
      <c r="E343" s="4" t="s">
        <v>698</v>
      </c>
      <c r="F343" s="4" t="s">
        <v>963</v>
      </c>
      <c r="G343" s="4" t="s">
        <v>758</v>
      </c>
      <c r="H343" s="4">
        <v>2</v>
      </c>
      <c r="I343" s="7">
        <v>0.18</v>
      </c>
      <c r="J343" s="6">
        <v>6362</v>
      </c>
      <c r="K343" s="4">
        <v>3</v>
      </c>
      <c r="L343" s="8">
        <f t="shared" si="5"/>
        <v>3.8</v>
      </c>
      <c r="M343" s="6" t="str">
        <f>_xlfn.XLOOKUP(FactSales[[#This Row],[Product_ID]],DimProduct[Product_ID],DimProduct[Product_Name])</f>
        <v>Power Bank</v>
      </c>
      <c r="N343" s="6" t="str">
        <f>_xlfn.XLOOKUP(FactSales[[#This Row],[Product_ID]],DimProduct[Product_ID],DimProduct[Category])</f>
        <v>Electronics</v>
      </c>
      <c r="O343" s="6">
        <f>_xlfn.XLOOKUP(FactSales[[#This Row],[Product_ID]],DimProduct[Product_ID],DimProduct[Unit_Price])</f>
        <v>2840</v>
      </c>
      <c r="P343" s="6">
        <f>_xlfn.XLOOKUP(FactSales[[#This Row],[Product_ID]],DimProduct[Product_ID],DimProduct[Unit_Cost])</f>
        <v>1930</v>
      </c>
      <c r="Q343" s="6">
        <f>FactSales[[#This Row],[Unit_Price]]*FactSales[[#This Row],[Quantity_Sold]]</f>
        <v>5680</v>
      </c>
      <c r="R343" s="6">
        <f>FactSales[[#This Row],[Unit_Cost]]*FactSales[[#This Row],[Quantity_Sold]]</f>
        <v>3860</v>
      </c>
      <c r="S343" s="6">
        <f>FactSales[[#This Row],[Sales_Amount]]-FactSales[[#This Row],[Total_Cost]]</f>
        <v>1820</v>
      </c>
      <c r="T343" s="6" t="str">
        <f>_xlfn.XLOOKUP(FactSales[[#This Row],[Customer_ID]],DimCustomer[Customer_ID],DimCustomer[Customer_Name])</f>
        <v>Arif Ahmed</v>
      </c>
      <c r="U343" s="6" t="str">
        <f>_xlfn.XLOOKUP(FactSales[[#This Row],[Salesperson_ID]],DimSalesman[Salesperson_ID],DimSalesman[Salesperson_Name])</f>
        <v>Rasel Uddin</v>
      </c>
      <c r="V343" s="6" t="str">
        <f>_xlfn.XLOOKUP(FactSales[[#This Row],[Region_ID]],DimRegion[Region_ID],DimRegion[Region_Name])</f>
        <v>Barishal</v>
      </c>
      <c r="W343" s="6" t="str">
        <f>_xlfn.XLOOKUP(FactSales[[#This Row],[Store_ID]],DimStore[Store_ID],DimStore[Store_Name])</f>
        <v>Barishal Nathullabad Store</v>
      </c>
    </row>
    <row r="344" spans="1:23">
      <c r="A344" s="4" t="s">
        <v>1340</v>
      </c>
      <c r="B344" s="5">
        <v>45760</v>
      </c>
      <c r="C344" s="4" t="s">
        <v>257</v>
      </c>
      <c r="D344" s="4" t="s">
        <v>37</v>
      </c>
      <c r="E344" s="4" t="s">
        <v>656</v>
      </c>
      <c r="F344" s="4" t="s">
        <v>939</v>
      </c>
      <c r="G344" s="4" t="s">
        <v>750</v>
      </c>
      <c r="H344" s="4">
        <v>6</v>
      </c>
      <c r="I344" s="7">
        <v>0.18</v>
      </c>
      <c r="J344" s="6">
        <v>20801</v>
      </c>
      <c r="K344" s="4">
        <v>2</v>
      </c>
      <c r="L344" s="8">
        <f t="shared" si="5"/>
        <v>4.2</v>
      </c>
      <c r="M344" s="6" t="str">
        <f>_xlfn.XLOOKUP(FactSales[[#This Row],[Product_ID]],DimProduct[Product_ID],DimProduct[Product_Name])</f>
        <v>Bluetooth Speaker</v>
      </c>
      <c r="N344" s="6" t="str">
        <f>_xlfn.XLOOKUP(FactSales[[#This Row],[Product_ID]],DimProduct[Product_ID],DimProduct[Category])</f>
        <v>Electronics</v>
      </c>
      <c r="O344" s="6">
        <f>_xlfn.XLOOKUP(FactSales[[#This Row],[Product_ID]],DimProduct[Product_ID],DimProduct[Unit_Price])</f>
        <v>3240</v>
      </c>
      <c r="P344" s="6">
        <f>_xlfn.XLOOKUP(FactSales[[#This Row],[Product_ID]],DimProduct[Product_ID],DimProduct[Unit_Cost])</f>
        <v>2200</v>
      </c>
      <c r="Q344" s="6">
        <f>FactSales[[#This Row],[Unit_Price]]*FactSales[[#This Row],[Quantity_Sold]]</f>
        <v>19440</v>
      </c>
      <c r="R344" s="6">
        <f>FactSales[[#This Row],[Unit_Cost]]*FactSales[[#This Row],[Quantity_Sold]]</f>
        <v>13200</v>
      </c>
      <c r="S344" s="6">
        <f>FactSales[[#This Row],[Sales_Amount]]-FactSales[[#This Row],[Total_Cost]]</f>
        <v>6240</v>
      </c>
      <c r="T344" s="6" t="str">
        <f>_xlfn.XLOOKUP(FactSales[[#This Row],[Customer_ID]],DimCustomer[Customer_ID],DimCustomer[Customer_Name])</f>
        <v>Sadia Sultana</v>
      </c>
      <c r="U344" s="6" t="str">
        <f>_xlfn.XLOOKUP(FactSales[[#This Row],[Salesperson_ID]],DimSalesman[Salesperson_ID],DimSalesman[Salesperson_Name])</f>
        <v>Fahim Mia</v>
      </c>
      <c r="V344" s="6" t="str">
        <f>_xlfn.XLOOKUP(FactSales[[#This Row],[Region_ID]],DimRegion[Region_ID],DimRegion[Region_Name])</f>
        <v>Sylhet</v>
      </c>
      <c r="W344" s="6" t="str">
        <f>_xlfn.XLOOKUP(FactSales[[#This Row],[Store_ID]],DimStore[Store_ID],DimStore[Store_Name])</f>
        <v>Sylhet Ambarkhana Store</v>
      </c>
    </row>
    <row r="345" spans="1:23">
      <c r="A345" s="4" t="s">
        <v>1341</v>
      </c>
      <c r="B345" s="5">
        <v>45749</v>
      </c>
      <c r="C345" s="4" t="s">
        <v>556</v>
      </c>
      <c r="D345" s="4" t="s">
        <v>62</v>
      </c>
      <c r="E345" s="4" t="s">
        <v>728</v>
      </c>
      <c r="F345" s="4" t="s">
        <v>978</v>
      </c>
      <c r="G345" s="4" t="s">
        <v>762</v>
      </c>
      <c r="H345" s="4">
        <v>6</v>
      </c>
      <c r="I345" s="7">
        <v>0.12</v>
      </c>
      <c r="J345" s="6">
        <v>25078</v>
      </c>
      <c r="K345" s="4">
        <v>5</v>
      </c>
      <c r="L345" s="8">
        <f t="shared" si="5"/>
        <v>3.3</v>
      </c>
      <c r="M345" s="6" t="str">
        <f>_xlfn.XLOOKUP(FactSales[[#This Row],[Product_ID]],DimProduct[Product_ID],DimProduct[Product_Name])</f>
        <v>Smart Watch</v>
      </c>
      <c r="N345" s="6" t="str">
        <f>_xlfn.XLOOKUP(FactSales[[#This Row],[Product_ID]],DimProduct[Product_ID],DimProduct[Category])</f>
        <v>Electronics</v>
      </c>
      <c r="O345" s="6">
        <f>_xlfn.XLOOKUP(FactSales[[#This Row],[Product_ID]],DimProduct[Product_ID],DimProduct[Unit_Price])</f>
        <v>3870</v>
      </c>
      <c r="P345" s="6">
        <f>_xlfn.XLOOKUP(FactSales[[#This Row],[Product_ID]],DimProduct[Product_ID],DimProduct[Unit_Cost])</f>
        <v>2630</v>
      </c>
      <c r="Q345" s="6">
        <f>FactSales[[#This Row],[Unit_Price]]*FactSales[[#This Row],[Quantity_Sold]]</f>
        <v>23220</v>
      </c>
      <c r="R345" s="6">
        <f>FactSales[[#This Row],[Unit_Cost]]*FactSales[[#This Row],[Quantity_Sold]]</f>
        <v>15780</v>
      </c>
      <c r="S345" s="6">
        <f>FactSales[[#This Row],[Sales_Amount]]-FactSales[[#This Row],[Total_Cost]]</f>
        <v>7440</v>
      </c>
      <c r="T345" s="6" t="str">
        <f>_xlfn.XLOOKUP(FactSales[[#This Row],[Customer_ID]],DimCustomer[Customer_ID],DimCustomer[Customer_Name])</f>
        <v>Rahim Khan</v>
      </c>
      <c r="U345" s="6" t="str">
        <f>_xlfn.XLOOKUP(FactSales[[#This Row],[Salesperson_ID]],DimSalesman[Salesperson_ID],DimSalesman[Salesperson_Name])</f>
        <v>Sajib Rahman</v>
      </c>
      <c r="V345" s="6" t="str">
        <f>_xlfn.XLOOKUP(FactSales[[#This Row],[Region_ID]],DimRegion[Region_ID],DimRegion[Region_Name])</f>
        <v>Mymensingh</v>
      </c>
      <c r="W345" s="6" t="str">
        <f>_xlfn.XLOOKUP(FactSales[[#This Row],[Store_ID]],DimStore[Store_ID],DimStore[Store_Name])</f>
        <v>Mymensingh Ganginarpar Store</v>
      </c>
    </row>
    <row r="346" spans="1:23">
      <c r="A346" s="4" t="s">
        <v>1342</v>
      </c>
      <c r="B346" s="5">
        <v>45804</v>
      </c>
      <c r="C346" s="4" t="s">
        <v>542</v>
      </c>
      <c r="D346" s="4" t="s">
        <v>57</v>
      </c>
      <c r="E346" s="4" t="s">
        <v>722</v>
      </c>
      <c r="F346" s="4" t="s">
        <v>977</v>
      </c>
      <c r="G346" s="4" t="s">
        <v>758</v>
      </c>
      <c r="H346" s="4">
        <v>3</v>
      </c>
      <c r="I346" s="7">
        <v>0.18</v>
      </c>
      <c r="J346" s="6">
        <v>9798</v>
      </c>
      <c r="K346" s="4">
        <v>5</v>
      </c>
      <c r="L346" s="8">
        <f t="shared" si="5"/>
        <v>3.2</v>
      </c>
      <c r="M346" s="6" t="str">
        <f>_xlfn.XLOOKUP(FactSales[[#This Row],[Product_ID]],DimProduct[Product_ID],DimProduct[Product_Name])</f>
        <v>Power Bank</v>
      </c>
      <c r="N346" s="6" t="str">
        <f>_xlfn.XLOOKUP(FactSales[[#This Row],[Product_ID]],DimProduct[Product_ID],DimProduct[Category])</f>
        <v>Electronics</v>
      </c>
      <c r="O346" s="6">
        <f>_xlfn.XLOOKUP(FactSales[[#This Row],[Product_ID]],DimProduct[Product_ID],DimProduct[Unit_Price])</f>
        <v>2840</v>
      </c>
      <c r="P346" s="6">
        <f>_xlfn.XLOOKUP(FactSales[[#This Row],[Product_ID]],DimProduct[Product_ID],DimProduct[Unit_Cost])</f>
        <v>1930</v>
      </c>
      <c r="Q346" s="6">
        <f>FactSales[[#This Row],[Unit_Price]]*FactSales[[#This Row],[Quantity_Sold]]</f>
        <v>8520</v>
      </c>
      <c r="R346" s="6">
        <f>FactSales[[#This Row],[Unit_Cost]]*FactSales[[#This Row],[Quantity_Sold]]</f>
        <v>5790</v>
      </c>
      <c r="S346" s="6">
        <f>FactSales[[#This Row],[Sales_Amount]]-FactSales[[#This Row],[Total_Cost]]</f>
        <v>2730</v>
      </c>
      <c r="T346" s="6" t="str">
        <f>_xlfn.XLOOKUP(FactSales[[#This Row],[Customer_ID]],DimCustomer[Customer_ID],DimCustomer[Customer_Name])</f>
        <v>Farhana Ahmed</v>
      </c>
      <c r="U346" s="6" t="str">
        <f>_xlfn.XLOOKUP(FactSales[[#This Row],[Salesperson_ID]],DimSalesman[Salesperson_ID],DimSalesman[Salesperson_Name])</f>
        <v>Tania Hossain</v>
      </c>
      <c r="V346" s="6" t="str">
        <f>_xlfn.XLOOKUP(FactSales[[#This Row],[Region_ID]],DimRegion[Region_ID],DimRegion[Region_Name])</f>
        <v>Rangpur</v>
      </c>
      <c r="W346" s="6" t="str">
        <f>_xlfn.XLOOKUP(FactSales[[#This Row],[Store_ID]],DimStore[Store_ID],DimStore[Store_Name])</f>
        <v>Rangpur Dhap Store</v>
      </c>
    </row>
    <row r="347" spans="1:23">
      <c r="A347" s="4" t="s">
        <v>1343</v>
      </c>
      <c r="B347" s="5">
        <v>46169</v>
      </c>
      <c r="C347" s="4" t="s">
        <v>270</v>
      </c>
      <c r="D347" s="4" t="s">
        <v>37</v>
      </c>
      <c r="E347" s="4" t="s">
        <v>653</v>
      </c>
      <c r="F347" s="4" t="s">
        <v>939</v>
      </c>
      <c r="G347" s="4" t="s">
        <v>762</v>
      </c>
      <c r="H347" s="4">
        <v>3</v>
      </c>
      <c r="I347" s="7">
        <v>0.08</v>
      </c>
      <c r="J347" s="6">
        <v>12423</v>
      </c>
      <c r="K347" s="4">
        <v>3</v>
      </c>
      <c r="L347" s="8">
        <f t="shared" si="5"/>
        <v>4.0999999999999996</v>
      </c>
      <c r="M347" s="6" t="str">
        <f>_xlfn.XLOOKUP(FactSales[[#This Row],[Product_ID]],DimProduct[Product_ID],DimProduct[Product_Name])</f>
        <v>Smart Watch</v>
      </c>
      <c r="N347" s="6" t="str">
        <f>_xlfn.XLOOKUP(FactSales[[#This Row],[Product_ID]],DimProduct[Product_ID],DimProduct[Category])</f>
        <v>Electronics</v>
      </c>
      <c r="O347" s="6">
        <f>_xlfn.XLOOKUP(FactSales[[#This Row],[Product_ID]],DimProduct[Product_ID],DimProduct[Unit_Price])</f>
        <v>3870</v>
      </c>
      <c r="P347" s="6">
        <f>_xlfn.XLOOKUP(FactSales[[#This Row],[Product_ID]],DimProduct[Product_ID],DimProduct[Unit_Cost])</f>
        <v>2630</v>
      </c>
      <c r="Q347" s="6">
        <f>FactSales[[#This Row],[Unit_Price]]*FactSales[[#This Row],[Quantity_Sold]]</f>
        <v>11610</v>
      </c>
      <c r="R347" s="6">
        <f>FactSales[[#This Row],[Unit_Cost]]*FactSales[[#This Row],[Quantity_Sold]]</f>
        <v>7890</v>
      </c>
      <c r="S347" s="6">
        <f>FactSales[[#This Row],[Sales_Amount]]-FactSales[[#This Row],[Total_Cost]]</f>
        <v>3720</v>
      </c>
      <c r="T347" s="6" t="str">
        <f>_xlfn.XLOOKUP(FactSales[[#This Row],[Customer_ID]],DimCustomer[Customer_ID],DimCustomer[Customer_Name])</f>
        <v>Shaila Uddin</v>
      </c>
      <c r="U347" s="6" t="str">
        <f>_xlfn.XLOOKUP(FactSales[[#This Row],[Salesperson_ID]],DimSalesman[Salesperson_ID],DimSalesman[Salesperson_Name])</f>
        <v>Fahim Mia</v>
      </c>
      <c r="V347" s="6" t="str">
        <f>_xlfn.XLOOKUP(FactSales[[#This Row],[Region_ID]],DimRegion[Region_ID],DimRegion[Region_Name])</f>
        <v>Sylhet</v>
      </c>
      <c r="W347" s="6" t="str">
        <f>_xlfn.XLOOKUP(FactSales[[#This Row],[Store_ID]],DimStore[Store_ID],DimStore[Store_Name])</f>
        <v>Sylhet Zindabazar Store</v>
      </c>
    </row>
    <row r="348" spans="1:23">
      <c r="A348" s="4" t="s">
        <v>1344</v>
      </c>
      <c r="B348" s="5">
        <v>45854</v>
      </c>
      <c r="C348" s="4" t="s">
        <v>387</v>
      </c>
      <c r="D348" s="4" t="s">
        <v>47</v>
      </c>
      <c r="E348" s="4" t="s">
        <v>692</v>
      </c>
      <c r="F348" s="4" t="s">
        <v>952</v>
      </c>
      <c r="G348" s="4" t="s">
        <v>810</v>
      </c>
      <c r="H348" s="4">
        <v>1</v>
      </c>
      <c r="I348" s="7">
        <v>0</v>
      </c>
      <c r="J348" s="6">
        <v>480</v>
      </c>
      <c r="K348" s="4">
        <v>1</v>
      </c>
      <c r="L348" s="8">
        <f t="shared" si="5"/>
        <v>4.9000000000000004</v>
      </c>
      <c r="M348" s="6" t="str">
        <f>_xlfn.XLOOKUP(FactSales[[#This Row],[Product_ID]],DimProduct[Product_ID],DimProduct[Product_Name])</f>
        <v>Flour 2kg</v>
      </c>
      <c r="N348" s="6" t="str">
        <f>_xlfn.XLOOKUP(FactSales[[#This Row],[Product_ID]],DimProduct[Product_ID],DimProduct[Category])</f>
        <v>Grocery</v>
      </c>
      <c r="O348" s="6">
        <f>_xlfn.XLOOKUP(FactSales[[#This Row],[Product_ID]],DimProduct[Product_ID],DimProduct[Unit_Price])</f>
        <v>440</v>
      </c>
      <c r="P348" s="6">
        <f>_xlfn.XLOOKUP(FactSales[[#This Row],[Product_ID]],DimProduct[Product_ID],DimProduct[Unit_Cost])</f>
        <v>340</v>
      </c>
      <c r="Q348" s="6">
        <f>FactSales[[#This Row],[Unit_Price]]*FactSales[[#This Row],[Quantity_Sold]]</f>
        <v>440</v>
      </c>
      <c r="R348" s="6">
        <f>FactSales[[#This Row],[Unit_Cost]]*FactSales[[#This Row],[Quantity_Sold]]</f>
        <v>340</v>
      </c>
      <c r="S348" s="6">
        <f>FactSales[[#This Row],[Sales_Amount]]-FactSales[[#This Row],[Total_Cost]]</f>
        <v>100</v>
      </c>
      <c r="T348" s="6" t="str">
        <f>_xlfn.XLOOKUP(FactSales[[#This Row],[Customer_ID]],DimCustomer[Customer_ID],DimCustomer[Customer_Name])</f>
        <v>Nayeem Chowdhury</v>
      </c>
      <c r="U348" s="6" t="str">
        <f>_xlfn.XLOOKUP(FactSales[[#This Row],[Salesperson_ID]],DimSalesman[Salesperson_ID],DimSalesman[Salesperson_Name])</f>
        <v>Samiha Islam</v>
      </c>
      <c r="V348" s="6" t="str">
        <f>_xlfn.XLOOKUP(FactSales[[#This Row],[Region_ID]],DimRegion[Region_ID],DimRegion[Region_Name])</f>
        <v>Khulna</v>
      </c>
      <c r="W348" s="6" t="str">
        <f>_xlfn.XLOOKUP(FactSales[[#This Row],[Store_ID]],DimStore[Store_ID],DimStore[Store_Name])</f>
        <v>Khulna Boyra Store</v>
      </c>
    </row>
    <row r="349" spans="1:23">
      <c r="A349" s="4" t="s">
        <v>1345</v>
      </c>
      <c r="B349" s="5">
        <v>45773</v>
      </c>
      <c r="C349" s="4" t="s">
        <v>323</v>
      </c>
      <c r="D349" s="4" t="s">
        <v>42</v>
      </c>
      <c r="E349" s="4" t="s">
        <v>671</v>
      </c>
      <c r="F349" s="4" t="s">
        <v>945</v>
      </c>
      <c r="G349" s="4" t="s">
        <v>750</v>
      </c>
      <c r="H349" s="4">
        <v>6</v>
      </c>
      <c r="I349" s="7">
        <v>0.15</v>
      </c>
      <c r="J349" s="6">
        <v>20995</v>
      </c>
      <c r="K349" s="4">
        <v>2</v>
      </c>
      <c r="L349" s="8">
        <f t="shared" si="5"/>
        <v>4.2</v>
      </c>
      <c r="M349" s="6" t="str">
        <f>_xlfn.XLOOKUP(FactSales[[#This Row],[Product_ID]],DimProduct[Product_ID],DimProduct[Product_Name])</f>
        <v>Bluetooth Speaker</v>
      </c>
      <c r="N349" s="6" t="str">
        <f>_xlfn.XLOOKUP(FactSales[[#This Row],[Product_ID]],DimProduct[Product_ID],DimProduct[Category])</f>
        <v>Electronics</v>
      </c>
      <c r="O349" s="6">
        <f>_xlfn.XLOOKUP(FactSales[[#This Row],[Product_ID]],DimProduct[Product_ID],DimProduct[Unit_Price])</f>
        <v>3240</v>
      </c>
      <c r="P349" s="6">
        <f>_xlfn.XLOOKUP(FactSales[[#This Row],[Product_ID]],DimProduct[Product_ID],DimProduct[Unit_Cost])</f>
        <v>2200</v>
      </c>
      <c r="Q349" s="6">
        <f>FactSales[[#This Row],[Unit_Price]]*FactSales[[#This Row],[Quantity_Sold]]</f>
        <v>19440</v>
      </c>
      <c r="R349" s="6">
        <f>FactSales[[#This Row],[Unit_Cost]]*FactSales[[#This Row],[Quantity_Sold]]</f>
        <v>13200</v>
      </c>
      <c r="S349" s="6">
        <f>FactSales[[#This Row],[Sales_Amount]]-FactSales[[#This Row],[Total_Cost]]</f>
        <v>6240</v>
      </c>
      <c r="T349" s="6" t="str">
        <f>_xlfn.XLOOKUP(FactSales[[#This Row],[Customer_ID]],DimCustomer[Customer_ID],DimCustomer[Customer_Name])</f>
        <v>Tania Mia</v>
      </c>
      <c r="U349" s="6" t="str">
        <f>_xlfn.XLOOKUP(FactSales[[#This Row],[Salesperson_ID]],DimSalesman[Salesperson_ID],DimSalesman[Salesperson_Name])</f>
        <v>Hasan Khan</v>
      </c>
      <c r="V349" s="6" t="str">
        <f>_xlfn.XLOOKUP(FactSales[[#This Row],[Region_ID]],DimRegion[Region_ID],DimRegion[Region_Name])</f>
        <v>Rajshahi</v>
      </c>
      <c r="W349" s="6" t="str">
        <f>_xlfn.XLOOKUP(FactSales[[#This Row],[Store_ID]],DimStore[Store_ID],DimStore[Store_Name])</f>
        <v>Rajshahi Kazla Store</v>
      </c>
    </row>
    <row r="350" spans="1:23">
      <c r="A350" s="4" t="s">
        <v>1346</v>
      </c>
      <c r="B350" s="5">
        <v>45713</v>
      </c>
      <c r="C350" s="4" t="s">
        <v>564</v>
      </c>
      <c r="D350" s="4" t="s">
        <v>62</v>
      </c>
      <c r="E350" s="4" t="s">
        <v>731</v>
      </c>
      <c r="F350" s="4" t="s">
        <v>987</v>
      </c>
      <c r="G350" s="4" t="s">
        <v>890</v>
      </c>
      <c r="H350" s="4">
        <v>3</v>
      </c>
      <c r="I350" s="7">
        <v>7.0000000000000007E-2</v>
      </c>
      <c r="J350" s="6">
        <v>2722</v>
      </c>
      <c r="K350" s="4">
        <v>4</v>
      </c>
      <c r="L350" s="8">
        <f t="shared" si="5"/>
        <v>3.8</v>
      </c>
      <c r="M350" s="6" t="str">
        <f>_xlfn.XLOOKUP(FactSales[[#This Row],[Product_ID]],DimProduct[Product_ID],DimProduct[Product_Name])</f>
        <v>Kids Story Book</v>
      </c>
      <c r="N350" s="6" t="str">
        <f>_xlfn.XLOOKUP(FactSales[[#This Row],[Product_ID]],DimProduct[Product_ID],DimProduct[Category])</f>
        <v>Kids &amp; Toys</v>
      </c>
      <c r="O350" s="6">
        <f>_xlfn.XLOOKUP(FactSales[[#This Row],[Product_ID]],DimProduct[Product_ID],DimProduct[Unit_Price])</f>
        <v>840</v>
      </c>
      <c r="P350" s="6">
        <f>_xlfn.XLOOKUP(FactSales[[#This Row],[Product_ID]],DimProduct[Product_ID],DimProduct[Unit_Cost])</f>
        <v>460</v>
      </c>
      <c r="Q350" s="6">
        <f>FactSales[[#This Row],[Unit_Price]]*FactSales[[#This Row],[Quantity_Sold]]</f>
        <v>2520</v>
      </c>
      <c r="R350" s="6">
        <f>FactSales[[#This Row],[Unit_Cost]]*FactSales[[#This Row],[Quantity_Sold]]</f>
        <v>1380</v>
      </c>
      <c r="S350" s="6">
        <f>FactSales[[#This Row],[Sales_Amount]]-FactSales[[#This Row],[Total_Cost]]</f>
        <v>1140</v>
      </c>
      <c r="T350" s="6" t="str">
        <f>_xlfn.XLOOKUP(FactSales[[#This Row],[Customer_ID]],DimCustomer[Customer_ID],DimCustomer[Customer_Name])</f>
        <v>Mim Ahmed</v>
      </c>
      <c r="U350" s="6" t="str">
        <f>_xlfn.XLOOKUP(FactSales[[#This Row],[Salesperson_ID]],DimSalesman[Salesperson_ID],DimSalesman[Salesperson_Name])</f>
        <v>Tanvir Chowdhury</v>
      </c>
      <c r="V350" s="6" t="str">
        <f>_xlfn.XLOOKUP(FactSales[[#This Row],[Region_ID]],DimRegion[Region_ID],DimRegion[Region_Name])</f>
        <v>Mymensingh</v>
      </c>
      <c r="W350" s="6" t="str">
        <f>_xlfn.XLOOKUP(FactSales[[#This Row],[Store_ID]],DimStore[Store_ID],DimStore[Store_Name])</f>
        <v>Mymensingh Town Hall Store</v>
      </c>
    </row>
    <row r="351" spans="1:23">
      <c r="A351" s="4" t="s">
        <v>1347</v>
      </c>
      <c r="B351" s="5">
        <v>45838</v>
      </c>
      <c r="C351" s="4" t="s">
        <v>553</v>
      </c>
      <c r="D351" s="4" t="s">
        <v>62</v>
      </c>
      <c r="E351" s="4" t="s">
        <v>728</v>
      </c>
      <c r="F351" s="4" t="s">
        <v>987</v>
      </c>
      <c r="G351" s="4" t="s">
        <v>750</v>
      </c>
      <c r="H351" s="4">
        <v>1</v>
      </c>
      <c r="I351" s="7">
        <v>0.08</v>
      </c>
      <c r="J351" s="6">
        <v>3499</v>
      </c>
      <c r="K351" s="4">
        <v>5</v>
      </c>
      <c r="L351" s="8">
        <f t="shared" si="5"/>
        <v>3.4</v>
      </c>
      <c r="M351" s="6" t="str">
        <f>_xlfn.XLOOKUP(FactSales[[#This Row],[Product_ID]],DimProduct[Product_ID],DimProduct[Product_Name])</f>
        <v>Bluetooth Speaker</v>
      </c>
      <c r="N351" s="6" t="str">
        <f>_xlfn.XLOOKUP(FactSales[[#This Row],[Product_ID]],DimProduct[Product_ID],DimProduct[Category])</f>
        <v>Electronics</v>
      </c>
      <c r="O351" s="6">
        <f>_xlfn.XLOOKUP(FactSales[[#This Row],[Product_ID]],DimProduct[Product_ID],DimProduct[Unit_Price])</f>
        <v>3240</v>
      </c>
      <c r="P351" s="6">
        <f>_xlfn.XLOOKUP(FactSales[[#This Row],[Product_ID]],DimProduct[Product_ID],DimProduct[Unit_Cost])</f>
        <v>2200</v>
      </c>
      <c r="Q351" s="6">
        <f>FactSales[[#This Row],[Unit_Price]]*FactSales[[#This Row],[Quantity_Sold]]</f>
        <v>3240</v>
      </c>
      <c r="R351" s="6">
        <f>FactSales[[#This Row],[Unit_Cost]]*FactSales[[#This Row],[Quantity_Sold]]</f>
        <v>2200</v>
      </c>
      <c r="S351" s="6">
        <f>FactSales[[#This Row],[Sales_Amount]]-FactSales[[#This Row],[Total_Cost]]</f>
        <v>1040</v>
      </c>
      <c r="T351" s="6" t="str">
        <f>_xlfn.XLOOKUP(FactSales[[#This Row],[Customer_ID]],DimCustomer[Customer_ID],DimCustomer[Customer_Name])</f>
        <v>Karim Chowdhury</v>
      </c>
      <c r="U351" s="6" t="str">
        <f>_xlfn.XLOOKUP(FactSales[[#This Row],[Salesperson_ID]],DimSalesman[Salesperson_ID],DimSalesman[Salesperson_Name])</f>
        <v>Tanvir Chowdhury</v>
      </c>
      <c r="V351" s="6" t="str">
        <f>_xlfn.XLOOKUP(FactSales[[#This Row],[Region_ID]],DimRegion[Region_ID],DimRegion[Region_Name])</f>
        <v>Mymensingh</v>
      </c>
      <c r="W351" s="6" t="str">
        <f>_xlfn.XLOOKUP(FactSales[[#This Row],[Store_ID]],DimStore[Store_ID],DimStore[Store_Name])</f>
        <v>Mymensingh Ganginarpar Store</v>
      </c>
    </row>
    <row r="352" spans="1:23">
      <c r="A352" s="4" t="s">
        <v>1348</v>
      </c>
      <c r="B352" s="5">
        <v>46113</v>
      </c>
      <c r="C352" s="4" t="s">
        <v>590</v>
      </c>
      <c r="D352" s="4" t="s">
        <v>62</v>
      </c>
      <c r="E352" s="4" t="s">
        <v>728</v>
      </c>
      <c r="F352" s="4" t="s">
        <v>978</v>
      </c>
      <c r="G352" s="4" t="s">
        <v>885</v>
      </c>
      <c r="H352" s="4">
        <v>4</v>
      </c>
      <c r="I352" s="7">
        <v>0.1</v>
      </c>
      <c r="J352" s="6">
        <v>9504</v>
      </c>
      <c r="K352" s="4">
        <v>5</v>
      </c>
      <c r="L352" s="8">
        <f t="shared" si="5"/>
        <v>3.4</v>
      </c>
      <c r="M352" s="6" t="str">
        <f>_xlfn.XLOOKUP(FactSales[[#This Row],[Product_ID]],DimProduct[Product_ID],DimProduct[Product_Name])</f>
        <v>Puzzle Board</v>
      </c>
      <c r="N352" s="6" t="str">
        <f>_xlfn.XLOOKUP(FactSales[[#This Row],[Product_ID]],DimProduct[Product_ID],DimProduct[Category])</f>
        <v>Kids &amp; Toys</v>
      </c>
      <c r="O352" s="6">
        <f>_xlfn.XLOOKUP(FactSales[[#This Row],[Product_ID]],DimProduct[Product_ID],DimProduct[Unit_Price])</f>
        <v>2200</v>
      </c>
      <c r="P352" s="6">
        <f>_xlfn.XLOOKUP(FactSales[[#This Row],[Product_ID]],DimProduct[Product_ID],DimProduct[Unit_Cost])</f>
        <v>1210</v>
      </c>
      <c r="Q352" s="6">
        <f>FactSales[[#This Row],[Unit_Price]]*FactSales[[#This Row],[Quantity_Sold]]</f>
        <v>8800</v>
      </c>
      <c r="R352" s="6">
        <f>FactSales[[#This Row],[Unit_Cost]]*FactSales[[#This Row],[Quantity_Sold]]</f>
        <v>4840</v>
      </c>
      <c r="S352" s="6">
        <f>FactSales[[#This Row],[Sales_Amount]]-FactSales[[#This Row],[Total_Cost]]</f>
        <v>3960</v>
      </c>
      <c r="T352" s="6" t="str">
        <f>_xlfn.XLOOKUP(FactSales[[#This Row],[Customer_ID]],DimCustomer[Customer_ID],DimCustomer[Customer_Name])</f>
        <v>Rafi Akter</v>
      </c>
      <c r="U352" s="6" t="str">
        <f>_xlfn.XLOOKUP(FactSales[[#This Row],[Salesperson_ID]],DimSalesman[Salesperson_ID],DimSalesman[Salesperson_Name])</f>
        <v>Sajib Rahman</v>
      </c>
      <c r="V352" s="6" t="str">
        <f>_xlfn.XLOOKUP(FactSales[[#This Row],[Region_ID]],DimRegion[Region_ID],DimRegion[Region_Name])</f>
        <v>Mymensingh</v>
      </c>
      <c r="W352" s="6" t="str">
        <f>_xlfn.XLOOKUP(FactSales[[#This Row],[Store_ID]],DimStore[Store_ID],DimStore[Store_Name])</f>
        <v>Mymensingh Ganginarpar Store</v>
      </c>
    </row>
    <row r="353" spans="1:23">
      <c r="A353" s="4" t="s">
        <v>1349</v>
      </c>
      <c r="B353" s="5">
        <v>45900</v>
      </c>
      <c r="C353" s="4" t="s">
        <v>442</v>
      </c>
      <c r="D353" s="4" t="s">
        <v>52</v>
      </c>
      <c r="E353" s="4" t="s">
        <v>698</v>
      </c>
      <c r="F353" s="4" t="s">
        <v>963</v>
      </c>
      <c r="G353" s="4" t="s">
        <v>765</v>
      </c>
      <c r="H353" s="4">
        <v>4</v>
      </c>
      <c r="I353" s="7">
        <v>0.1</v>
      </c>
      <c r="J353" s="6">
        <v>21907</v>
      </c>
      <c r="K353" s="4">
        <v>8</v>
      </c>
      <c r="L353" s="8">
        <f t="shared" si="5"/>
        <v>2.4</v>
      </c>
      <c r="M353" s="6" t="str">
        <f>_xlfn.XLOOKUP(FactSales[[#This Row],[Product_ID]],DimProduct[Product_ID],DimProduct[Product_Name])</f>
        <v>USB-C Hub</v>
      </c>
      <c r="N353" s="6" t="str">
        <f>_xlfn.XLOOKUP(FactSales[[#This Row],[Product_ID]],DimProduct[Product_ID],DimProduct[Category])</f>
        <v>Electronics</v>
      </c>
      <c r="O353" s="6">
        <f>_xlfn.XLOOKUP(FactSales[[#This Row],[Product_ID]],DimProduct[Product_ID],DimProduct[Unit_Price])</f>
        <v>4890</v>
      </c>
      <c r="P353" s="6">
        <f>_xlfn.XLOOKUP(FactSales[[#This Row],[Product_ID]],DimProduct[Product_ID],DimProduct[Unit_Cost])</f>
        <v>3330</v>
      </c>
      <c r="Q353" s="6">
        <f>FactSales[[#This Row],[Unit_Price]]*FactSales[[#This Row],[Quantity_Sold]]</f>
        <v>19560</v>
      </c>
      <c r="R353" s="6">
        <f>FactSales[[#This Row],[Unit_Cost]]*FactSales[[#This Row],[Quantity_Sold]]</f>
        <v>13320</v>
      </c>
      <c r="S353" s="6">
        <f>FactSales[[#This Row],[Sales_Amount]]-FactSales[[#This Row],[Total_Cost]]</f>
        <v>6240</v>
      </c>
      <c r="T353" s="6" t="str">
        <f>_xlfn.XLOOKUP(FactSales[[#This Row],[Customer_ID]],DimCustomer[Customer_ID],DimCustomer[Customer_Name])</f>
        <v>Rasel Chowdhury</v>
      </c>
      <c r="U353" s="6" t="str">
        <f>_xlfn.XLOOKUP(FactSales[[#This Row],[Salesperson_ID]],DimSalesman[Salesperson_ID],DimSalesman[Salesperson_Name])</f>
        <v>Rasel Uddin</v>
      </c>
      <c r="V353" s="6" t="str">
        <f>_xlfn.XLOOKUP(FactSales[[#This Row],[Region_ID]],DimRegion[Region_ID],DimRegion[Region_Name])</f>
        <v>Barishal</v>
      </c>
      <c r="W353" s="6" t="str">
        <f>_xlfn.XLOOKUP(FactSales[[#This Row],[Store_ID]],DimStore[Store_ID],DimStore[Store_Name])</f>
        <v>Barishal Nathullabad Store</v>
      </c>
    </row>
    <row r="354" spans="1:23">
      <c r="A354" s="4" t="s">
        <v>1350</v>
      </c>
      <c r="B354" s="5">
        <v>45713</v>
      </c>
      <c r="C354" s="4" t="s">
        <v>505</v>
      </c>
      <c r="D354" s="4" t="s">
        <v>57</v>
      </c>
      <c r="E354" s="4" t="s">
        <v>713</v>
      </c>
      <c r="F354" s="4" t="s">
        <v>974</v>
      </c>
      <c r="G354" s="4" t="s">
        <v>816</v>
      </c>
      <c r="H354" s="4">
        <v>6</v>
      </c>
      <c r="I354" s="7">
        <v>0.05</v>
      </c>
      <c r="J354" s="6">
        <v>8832</v>
      </c>
      <c r="K354" s="4">
        <v>7</v>
      </c>
      <c r="L354" s="8">
        <f t="shared" si="5"/>
        <v>2.9</v>
      </c>
      <c r="M354" s="6" t="str">
        <f>_xlfn.XLOOKUP(FactSales[[#This Row],[Product_ID]],DimProduct[Product_ID],DimProduct[Product_Name])</f>
        <v>Face Wash</v>
      </c>
      <c r="N354" s="6" t="str">
        <f>_xlfn.XLOOKUP(FactSales[[#This Row],[Product_ID]],DimProduct[Product_ID],DimProduct[Category])</f>
        <v>Beauty &amp; Personal Care</v>
      </c>
      <c r="O354" s="6">
        <f>_xlfn.XLOOKUP(FactSales[[#This Row],[Product_ID]],DimProduct[Product_ID],DimProduct[Unit_Price])</f>
        <v>1280</v>
      </c>
      <c r="P354" s="6">
        <f>_xlfn.XLOOKUP(FactSales[[#This Row],[Product_ID]],DimProduct[Product_ID],DimProduct[Unit_Cost])</f>
        <v>740</v>
      </c>
      <c r="Q354" s="6">
        <f>FactSales[[#This Row],[Unit_Price]]*FactSales[[#This Row],[Quantity_Sold]]</f>
        <v>7680</v>
      </c>
      <c r="R354" s="6">
        <f>FactSales[[#This Row],[Unit_Cost]]*FactSales[[#This Row],[Quantity_Sold]]</f>
        <v>4440</v>
      </c>
      <c r="S354" s="6">
        <f>FactSales[[#This Row],[Sales_Amount]]-FactSales[[#This Row],[Total_Cost]]</f>
        <v>3240</v>
      </c>
      <c r="T354" s="6" t="str">
        <f>_xlfn.XLOOKUP(FactSales[[#This Row],[Customer_ID]],DimCustomer[Customer_ID],DimCustomer[Customer_Name])</f>
        <v>Imran Mia</v>
      </c>
      <c r="U354" s="6" t="str">
        <f>_xlfn.XLOOKUP(FactSales[[#This Row],[Salesperson_ID]],DimSalesman[Salesperson_ID],DimSalesman[Salesperson_Name])</f>
        <v>Farhana Uddin</v>
      </c>
      <c r="V354" s="6" t="str">
        <f>_xlfn.XLOOKUP(FactSales[[#This Row],[Region_ID]],DimRegion[Region_ID],DimRegion[Region_Name])</f>
        <v>Rangpur</v>
      </c>
      <c r="W354" s="6" t="str">
        <f>_xlfn.XLOOKUP(FactSales[[#This Row],[Store_ID]],DimStore[Store_ID],DimStore[Store_Name])</f>
        <v>Rangpur Jahaj Company Store</v>
      </c>
    </row>
    <row r="355" spans="1:23">
      <c r="A355" s="4" t="s">
        <v>1351</v>
      </c>
      <c r="B355" s="5">
        <v>45856</v>
      </c>
      <c r="C355" s="4" t="s">
        <v>251</v>
      </c>
      <c r="D355" s="4" t="s">
        <v>37</v>
      </c>
      <c r="E355" s="4" t="s">
        <v>659</v>
      </c>
      <c r="F355" s="4" t="s">
        <v>934</v>
      </c>
      <c r="G355" s="4" t="s">
        <v>788</v>
      </c>
      <c r="H355" s="4">
        <v>3</v>
      </c>
      <c r="I355" s="7">
        <v>7.0000000000000007E-2</v>
      </c>
      <c r="J355" s="6">
        <v>5842</v>
      </c>
      <c r="K355" s="4">
        <v>5</v>
      </c>
      <c r="L355" s="8">
        <f t="shared" si="5"/>
        <v>3.4</v>
      </c>
      <c r="M355" s="6" t="str">
        <f>_xlfn.XLOOKUP(FactSales[[#This Row],[Product_ID]],DimProduct[Product_ID],DimProduct[Product_Name])</f>
        <v>Formal Shirt</v>
      </c>
      <c r="N355" s="6" t="str">
        <f>_xlfn.XLOOKUP(FactSales[[#This Row],[Product_ID]],DimProduct[Product_ID],DimProduct[Category])</f>
        <v>Fashion</v>
      </c>
      <c r="O355" s="6">
        <f>_xlfn.XLOOKUP(FactSales[[#This Row],[Product_ID]],DimProduct[Product_ID],DimProduct[Unit_Price])</f>
        <v>1820</v>
      </c>
      <c r="P355" s="6">
        <f>_xlfn.XLOOKUP(FactSales[[#This Row],[Product_ID]],DimProduct[Product_ID],DimProduct[Unit_Cost])</f>
        <v>1000</v>
      </c>
      <c r="Q355" s="6">
        <f>FactSales[[#This Row],[Unit_Price]]*FactSales[[#This Row],[Quantity_Sold]]</f>
        <v>5460</v>
      </c>
      <c r="R355" s="6">
        <f>FactSales[[#This Row],[Unit_Cost]]*FactSales[[#This Row],[Quantity_Sold]]</f>
        <v>3000</v>
      </c>
      <c r="S355" s="6">
        <f>FactSales[[#This Row],[Sales_Amount]]-FactSales[[#This Row],[Total_Cost]]</f>
        <v>2460</v>
      </c>
      <c r="T355" s="6" t="str">
        <f>_xlfn.XLOOKUP(FactSales[[#This Row],[Customer_ID]],DimCustomer[Customer_ID],DimCustomer[Customer_Name])</f>
        <v>Rasel Islam</v>
      </c>
      <c r="U355" s="6" t="str">
        <f>_xlfn.XLOOKUP(FactSales[[#This Row],[Salesperson_ID]],DimSalesman[Salesperson_ID],DimSalesman[Salesperson_Name])</f>
        <v>Hasan Mia</v>
      </c>
      <c r="V355" s="6" t="str">
        <f>_xlfn.XLOOKUP(FactSales[[#This Row],[Region_ID]],DimRegion[Region_ID],DimRegion[Region_Name])</f>
        <v>Sylhet</v>
      </c>
      <c r="W355" s="6" t="str">
        <f>_xlfn.XLOOKUP(FactSales[[#This Row],[Store_ID]],DimStore[Store_ID],DimStore[Store_Name])</f>
        <v>Sylhet South Surma Store</v>
      </c>
    </row>
    <row r="356" spans="1:23">
      <c r="A356" s="4" t="s">
        <v>1352</v>
      </c>
      <c r="B356" s="5">
        <v>45719</v>
      </c>
      <c r="C356" s="4" t="s">
        <v>312</v>
      </c>
      <c r="D356" s="4" t="s">
        <v>42</v>
      </c>
      <c r="E356" s="4" t="s">
        <v>671</v>
      </c>
      <c r="F356" s="4" t="s">
        <v>943</v>
      </c>
      <c r="G356" s="4" t="s">
        <v>841</v>
      </c>
      <c r="H356" s="4">
        <v>2</v>
      </c>
      <c r="I356" s="7">
        <v>0.1</v>
      </c>
      <c r="J356" s="6">
        <v>6955</v>
      </c>
      <c r="K356" s="4">
        <v>3</v>
      </c>
      <c r="L356" s="8">
        <f t="shared" si="5"/>
        <v>4</v>
      </c>
      <c r="M356" s="6" t="str">
        <f>_xlfn.XLOOKUP(FactSales[[#This Row],[Product_ID]],DimProduct[Product_ID],DimProduct[Product_Name])</f>
        <v>Ladies Sandal</v>
      </c>
      <c r="N356" s="6" t="str">
        <f>_xlfn.XLOOKUP(FactSales[[#This Row],[Product_ID]],DimProduct[Product_ID],DimProduct[Category])</f>
        <v>Footwear</v>
      </c>
      <c r="O356" s="6">
        <f>_xlfn.XLOOKUP(FactSales[[#This Row],[Product_ID]],DimProduct[Product_ID],DimProduct[Unit_Price])</f>
        <v>3220</v>
      </c>
      <c r="P356" s="6">
        <f>_xlfn.XLOOKUP(FactSales[[#This Row],[Product_ID]],DimProduct[Product_ID],DimProduct[Unit_Cost])</f>
        <v>1930</v>
      </c>
      <c r="Q356" s="6">
        <f>FactSales[[#This Row],[Unit_Price]]*FactSales[[#This Row],[Quantity_Sold]]</f>
        <v>6440</v>
      </c>
      <c r="R356" s="6">
        <f>FactSales[[#This Row],[Unit_Cost]]*FactSales[[#This Row],[Quantity_Sold]]</f>
        <v>3860</v>
      </c>
      <c r="S356" s="6">
        <f>FactSales[[#This Row],[Sales_Amount]]-FactSales[[#This Row],[Total_Cost]]</f>
        <v>2580</v>
      </c>
      <c r="T356" s="6" t="str">
        <f>_xlfn.XLOOKUP(FactSales[[#This Row],[Customer_ID]],DimCustomer[Customer_ID],DimCustomer[Customer_Name])</f>
        <v>Imran Uddin</v>
      </c>
      <c r="U356" s="6" t="str">
        <f>_xlfn.XLOOKUP(FactSales[[#This Row],[Salesperson_ID]],DimSalesman[Salesperson_ID],DimSalesman[Salesperson_Name])</f>
        <v>Imran Khan</v>
      </c>
      <c r="V356" s="6" t="str">
        <f>_xlfn.XLOOKUP(FactSales[[#This Row],[Region_ID]],DimRegion[Region_ID],DimRegion[Region_Name])</f>
        <v>Rajshahi</v>
      </c>
      <c r="W356" s="6" t="str">
        <f>_xlfn.XLOOKUP(FactSales[[#This Row],[Store_ID]],DimStore[Store_ID],DimStore[Store_Name])</f>
        <v>Rajshahi Kazla Store</v>
      </c>
    </row>
    <row r="357" spans="1:23">
      <c r="A357" s="4" t="s">
        <v>1353</v>
      </c>
      <c r="B357" s="5">
        <v>45832</v>
      </c>
      <c r="C357" s="4" t="s">
        <v>442</v>
      </c>
      <c r="D357" s="4" t="s">
        <v>52</v>
      </c>
      <c r="E357" s="4" t="s">
        <v>704</v>
      </c>
      <c r="F357" s="4" t="s">
        <v>965</v>
      </c>
      <c r="G357" s="4" t="s">
        <v>758</v>
      </c>
      <c r="H357" s="4">
        <v>3</v>
      </c>
      <c r="I357" s="7">
        <v>0.18</v>
      </c>
      <c r="J357" s="6">
        <v>9542</v>
      </c>
      <c r="K357" s="4">
        <v>5</v>
      </c>
      <c r="L357" s="8">
        <f t="shared" si="5"/>
        <v>3.2</v>
      </c>
      <c r="M357" s="6" t="str">
        <f>_xlfn.XLOOKUP(FactSales[[#This Row],[Product_ID]],DimProduct[Product_ID],DimProduct[Product_Name])</f>
        <v>Power Bank</v>
      </c>
      <c r="N357" s="6" t="str">
        <f>_xlfn.XLOOKUP(FactSales[[#This Row],[Product_ID]],DimProduct[Product_ID],DimProduct[Category])</f>
        <v>Electronics</v>
      </c>
      <c r="O357" s="6">
        <f>_xlfn.XLOOKUP(FactSales[[#This Row],[Product_ID]],DimProduct[Product_ID],DimProduct[Unit_Price])</f>
        <v>2840</v>
      </c>
      <c r="P357" s="6">
        <f>_xlfn.XLOOKUP(FactSales[[#This Row],[Product_ID]],DimProduct[Product_ID],DimProduct[Unit_Cost])</f>
        <v>1930</v>
      </c>
      <c r="Q357" s="6">
        <f>FactSales[[#This Row],[Unit_Price]]*FactSales[[#This Row],[Quantity_Sold]]</f>
        <v>8520</v>
      </c>
      <c r="R357" s="6">
        <f>FactSales[[#This Row],[Unit_Cost]]*FactSales[[#This Row],[Quantity_Sold]]</f>
        <v>5790</v>
      </c>
      <c r="S357" s="6">
        <f>FactSales[[#This Row],[Sales_Amount]]-FactSales[[#This Row],[Total_Cost]]</f>
        <v>2730</v>
      </c>
      <c r="T357" s="6" t="str">
        <f>_xlfn.XLOOKUP(FactSales[[#This Row],[Customer_ID]],DimCustomer[Customer_ID],DimCustomer[Customer_Name])</f>
        <v>Rasel Chowdhury</v>
      </c>
      <c r="U357" s="6" t="str">
        <f>_xlfn.XLOOKUP(FactSales[[#This Row],[Salesperson_ID]],DimSalesman[Salesperson_ID],DimSalesman[Salesperson_Name])</f>
        <v>Mehedi Khan</v>
      </c>
      <c r="V357" s="6" t="str">
        <f>_xlfn.XLOOKUP(FactSales[[#This Row],[Region_ID]],DimRegion[Region_ID],DimRegion[Region_Name])</f>
        <v>Barishal</v>
      </c>
      <c r="W357" s="6" t="str">
        <f>_xlfn.XLOOKUP(FactSales[[#This Row],[Store_ID]],DimStore[Store_ID],DimStore[Store_Name])</f>
        <v>Barishal Rupatali Store</v>
      </c>
    </row>
    <row r="358" spans="1:23">
      <c r="A358" s="4" t="s">
        <v>1354</v>
      </c>
      <c r="B358" s="5">
        <v>45879</v>
      </c>
      <c r="C358" s="4" t="s">
        <v>292</v>
      </c>
      <c r="D358" s="4" t="s">
        <v>42</v>
      </c>
      <c r="E358" s="4" t="s">
        <v>677</v>
      </c>
      <c r="F358" s="4" t="s">
        <v>949</v>
      </c>
      <c r="G358" s="4" t="s">
        <v>794</v>
      </c>
      <c r="H358" s="4">
        <v>3</v>
      </c>
      <c r="I358" s="7">
        <v>0.1</v>
      </c>
      <c r="J358" s="6">
        <v>2851</v>
      </c>
      <c r="K358" s="4">
        <v>3</v>
      </c>
      <c r="L358" s="8">
        <f t="shared" si="5"/>
        <v>4</v>
      </c>
      <c r="M358" s="6" t="str">
        <f>_xlfn.XLOOKUP(FactSales[[#This Row],[Product_ID]],DimProduct[Product_ID],DimProduct[Product_Name])</f>
        <v>Denim Jeans</v>
      </c>
      <c r="N358" s="6" t="str">
        <f>_xlfn.XLOOKUP(FactSales[[#This Row],[Product_ID]],DimProduct[Product_ID],DimProduct[Category])</f>
        <v>Fashion</v>
      </c>
      <c r="O358" s="6">
        <f>_xlfn.XLOOKUP(FactSales[[#This Row],[Product_ID]],DimProduct[Product_ID],DimProduct[Unit_Price])</f>
        <v>880</v>
      </c>
      <c r="P358" s="6">
        <f>_xlfn.XLOOKUP(FactSales[[#This Row],[Product_ID]],DimProduct[Product_ID],DimProduct[Unit_Cost])</f>
        <v>480</v>
      </c>
      <c r="Q358" s="6">
        <f>FactSales[[#This Row],[Unit_Price]]*FactSales[[#This Row],[Quantity_Sold]]</f>
        <v>2640</v>
      </c>
      <c r="R358" s="6">
        <f>FactSales[[#This Row],[Unit_Cost]]*FactSales[[#This Row],[Quantity_Sold]]</f>
        <v>1440</v>
      </c>
      <c r="S358" s="6">
        <f>FactSales[[#This Row],[Sales_Amount]]-FactSales[[#This Row],[Total_Cost]]</f>
        <v>1200</v>
      </c>
      <c r="T358" s="6" t="str">
        <f>_xlfn.XLOOKUP(FactSales[[#This Row],[Customer_ID]],DimCustomer[Customer_ID],DimCustomer[Customer_Name])</f>
        <v>Morshed Rahman</v>
      </c>
      <c r="U358" s="6" t="str">
        <f>_xlfn.XLOOKUP(FactSales[[#This Row],[Salesperson_ID]],DimSalesman[Salesperson_ID],DimSalesman[Salesperson_Name])</f>
        <v>Mahmud Chowdhury</v>
      </c>
      <c r="V358" s="6" t="str">
        <f>_xlfn.XLOOKUP(FactSales[[#This Row],[Region_ID]],DimRegion[Region_ID],DimRegion[Region_Name])</f>
        <v>Rajshahi</v>
      </c>
      <c r="W358" s="6" t="str">
        <f>_xlfn.XLOOKUP(FactSales[[#This Row],[Store_ID]],DimStore[Store_ID],DimStore[Store_Name])</f>
        <v>Rajshahi Railgate Store</v>
      </c>
    </row>
    <row r="359" spans="1:23">
      <c r="A359" s="4" t="s">
        <v>1355</v>
      </c>
      <c r="B359" s="5">
        <v>45810</v>
      </c>
      <c r="C359" s="4" t="s">
        <v>304</v>
      </c>
      <c r="D359" s="4" t="s">
        <v>42</v>
      </c>
      <c r="E359" s="4" t="s">
        <v>674</v>
      </c>
      <c r="F359" s="4" t="s">
        <v>947</v>
      </c>
      <c r="G359" s="4" t="s">
        <v>813</v>
      </c>
      <c r="H359" s="4">
        <v>6</v>
      </c>
      <c r="I359" s="7">
        <v>0</v>
      </c>
      <c r="J359" s="6">
        <v>13867</v>
      </c>
      <c r="K359" s="4">
        <v>7</v>
      </c>
      <c r="L359" s="8">
        <f t="shared" si="5"/>
        <v>3</v>
      </c>
      <c r="M359" s="6" t="str">
        <f>_xlfn.XLOOKUP(FactSales[[#This Row],[Product_ID]],DimProduct[Product_ID],DimProduct[Product_Name])</f>
        <v>Tea Pack 500g</v>
      </c>
      <c r="N359" s="6" t="str">
        <f>_xlfn.XLOOKUP(FactSales[[#This Row],[Product_ID]],DimProduct[Product_ID],DimProduct[Category])</f>
        <v>Grocery</v>
      </c>
      <c r="O359" s="6">
        <f>_xlfn.XLOOKUP(FactSales[[#This Row],[Product_ID]],DimProduct[Product_ID],DimProduct[Unit_Price])</f>
        <v>2140</v>
      </c>
      <c r="P359" s="6">
        <f>_xlfn.XLOOKUP(FactSales[[#This Row],[Product_ID]],DimProduct[Product_ID],DimProduct[Unit_Cost])</f>
        <v>1670</v>
      </c>
      <c r="Q359" s="6">
        <f>FactSales[[#This Row],[Unit_Price]]*FactSales[[#This Row],[Quantity_Sold]]</f>
        <v>12840</v>
      </c>
      <c r="R359" s="6">
        <f>FactSales[[#This Row],[Unit_Cost]]*FactSales[[#This Row],[Quantity_Sold]]</f>
        <v>10020</v>
      </c>
      <c r="S359" s="6">
        <f>FactSales[[#This Row],[Sales_Amount]]-FactSales[[#This Row],[Total_Cost]]</f>
        <v>2820</v>
      </c>
      <c r="T359" s="6" t="str">
        <f>_xlfn.XLOOKUP(FactSales[[#This Row],[Customer_ID]],DimCustomer[Customer_ID],DimCustomer[Customer_Name])</f>
        <v>Farhana Mia</v>
      </c>
      <c r="U359" s="6" t="str">
        <f>_xlfn.XLOOKUP(FactSales[[#This Row],[Salesperson_ID]],DimSalesman[Salesperson_ID],DimSalesman[Salesperson_Name])</f>
        <v>Farhana Rahman</v>
      </c>
      <c r="V359" s="6" t="str">
        <f>_xlfn.XLOOKUP(FactSales[[#This Row],[Region_ID]],DimRegion[Region_ID],DimRegion[Region_Name])</f>
        <v>Rajshahi</v>
      </c>
      <c r="W359" s="6" t="str">
        <f>_xlfn.XLOOKUP(FactSales[[#This Row],[Store_ID]],DimStore[Store_ID],DimStore[Store_Name])</f>
        <v>Rajshahi Uposhohor Store</v>
      </c>
    </row>
    <row r="360" spans="1:23">
      <c r="A360" s="4" t="s">
        <v>1356</v>
      </c>
      <c r="B360" s="5">
        <v>46174</v>
      </c>
      <c r="C360" s="4" t="s">
        <v>491</v>
      </c>
      <c r="D360" s="4" t="s">
        <v>57</v>
      </c>
      <c r="E360" s="4" t="s">
        <v>713</v>
      </c>
      <c r="F360" s="4" t="s">
        <v>974</v>
      </c>
      <c r="G360" s="4" t="s">
        <v>850</v>
      </c>
      <c r="H360" s="4">
        <v>1</v>
      </c>
      <c r="I360" s="7">
        <v>0.12</v>
      </c>
      <c r="J360" s="6">
        <v>3036</v>
      </c>
      <c r="K360" s="4">
        <v>3</v>
      </c>
      <c r="L360" s="8">
        <f t="shared" si="5"/>
        <v>4</v>
      </c>
      <c r="M360" s="6" t="str">
        <f>_xlfn.XLOOKUP(FactSales[[#This Row],[Product_ID]],DimProduct[Product_ID],DimProduct[Product_Name])</f>
        <v>Cricket Bat</v>
      </c>
      <c r="N360" s="6" t="str">
        <f>_xlfn.XLOOKUP(FactSales[[#This Row],[Product_ID]],DimProduct[Product_ID],DimProduct[Category])</f>
        <v>Sports</v>
      </c>
      <c r="O360" s="6">
        <f>_xlfn.XLOOKUP(FactSales[[#This Row],[Product_ID]],DimProduct[Product_ID],DimProduct[Unit_Price])</f>
        <v>2640</v>
      </c>
      <c r="P360" s="6">
        <f>_xlfn.XLOOKUP(FactSales[[#This Row],[Product_ID]],DimProduct[Product_ID],DimProduct[Unit_Cost])</f>
        <v>1640</v>
      </c>
      <c r="Q360" s="6">
        <f>FactSales[[#This Row],[Unit_Price]]*FactSales[[#This Row],[Quantity_Sold]]</f>
        <v>2640</v>
      </c>
      <c r="R360" s="6">
        <f>FactSales[[#This Row],[Unit_Cost]]*FactSales[[#This Row],[Quantity_Sold]]</f>
        <v>1640</v>
      </c>
      <c r="S360" s="6">
        <f>FactSales[[#This Row],[Sales_Amount]]-FactSales[[#This Row],[Total_Cost]]</f>
        <v>1000</v>
      </c>
      <c r="T360" s="6" t="str">
        <f>_xlfn.XLOOKUP(FactSales[[#This Row],[Customer_ID]],DimCustomer[Customer_ID],DimCustomer[Customer_Name])</f>
        <v>Rumana Akter</v>
      </c>
      <c r="U360" s="6" t="str">
        <f>_xlfn.XLOOKUP(FactSales[[#This Row],[Salesperson_ID]],DimSalesman[Salesperson_ID],DimSalesman[Salesperson_Name])</f>
        <v>Farhana Uddin</v>
      </c>
      <c r="V360" s="6" t="str">
        <f>_xlfn.XLOOKUP(FactSales[[#This Row],[Region_ID]],DimRegion[Region_ID],DimRegion[Region_Name])</f>
        <v>Rangpur</v>
      </c>
      <c r="W360" s="6" t="str">
        <f>_xlfn.XLOOKUP(FactSales[[#This Row],[Store_ID]],DimStore[Store_ID],DimStore[Store_Name])</f>
        <v>Rangpur Jahaj Company Store</v>
      </c>
    </row>
    <row r="361" spans="1:23">
      <c r="A361" s="4" t="s">
        <v>1357</v>
      </c>
      <c r="B361" s="5">
        <v>45670</v>
      </c>
      <c r="C361" s="4" t="s">
        <v>189</v>
      </c>
      <c r="D361" s="4" t="s">
        <v>32</v>
      </c>
      <c r="E361" s="4" t="s">
        <v>647</v>
      </c>
      <c r="F361" s="4" t="s">
        <v>924</v>
      </c>
      <c r="G361" s="4" t="s">
        <v>755</v>
      </c>
      <c r="H361" s="4">
        <v>4</v>
      </c>
      <c r="I361" s="7">
        <v>0.15</v>
      </c>
      <c r="J361" s="6">
        <v>15230</v>
      </c>
      <c r="K361" s="4">
        <v>7</v>
      </c>
      <c r="L361" s="8">
        <f t="shared" si="5"/>
        <v>2.6</v>
      </c>
      <c r="M361" s="6" t="str">
        <f>_xlfn.XLOOKUP(FactSales[[#This Row],[Product_ID]],DimProduct[Product_ID],DimProduct[Product_Name])</f>
        <v>Wireless Mouse</v>
      </c>
      <c r="N361" s="6" t="str">
        <f>_xlfn.XLOOKUP(FactSales[[#This Row],[Product_ID]],DimProduct[Product_ID],DimProduct[Category])</f>
        <v>Electronics</v>
      </c>
      <c r="O361" s="6">
        <f>_xlfn.XLOOKUP(FactSales[[#This Row],[Product_ID]],DimProduct[Product_ID],DimProduct[Unit_Price])</f>
        <v>3340</v>
      </c>
      <c r="P361" s="6">
        <f>_xlfn.XLOOKUP(FactSales[[#This Row],[Product_ID]],DimProduct[Product_ID],DimProduct[Unit_Cost])</f>
        <v>2270</v>
      </c>
      <c r="Q361" s="6">
        <f>FactSales[[#This Row],[Unit_Price]]*FactSales[[#This Row],[Quantity_Sold]]</f>
        <v>13360</v>
      </c>
      <c r="R361" s="6">
        <f>FactSales[[#This Row],[Unit_Cost]]*FactSales[[#This Row],[Quantity_Sold]]</f>
        <v>9080</v>
      </c>
      <c r="S361" s="6">
        <f>FactSales[[#This Row],[Sales_Amount]]-FactSales[[#This Row],[Total_Cost]]</f>
        <v>4280</v>
      </c>
      <c r="T361" s="6" t="str">
        <f>_xlfn.XLOOKUP(FactSales[[#This Row],[Customer_ID]],DimCustomer[Customer_ID],DimCustomer[Customer_Name])</f>
        <v>Sajib Sultana</v>
      </c>
      <c r="U361" s="6" t="str">
        <f>_xlfn.XLOOKUP(FactSales[[#This Row],[Salesperson_ID]],DimSalesman[Salesperson_ID],DimSalesman[Salesperson_Name])</f>
        <v>Rumana Khan</v>
      </c>
      <c r="V361" s="6" t="str">
        <f>_xlfn.XLOOKUP(FactSales[[#This Row],[Region_ID]],DimRegion[Region_ID],DimRegion[Region_Name])</f>
        <v>Chattogram</v>
      </c>
      <c r="W361" s="6" t="str">
        <f>_xlfn.XLOOKUP(FactSales[[#This Row],[Store_ID]],DimStore[Store_ID],DimStore[Store_Name])</f>
        <v>Chattogram Nasirabad Store</v>
      </c>
    </row>
    <row r="362" spans="1:23">
      <c r="A362" s="4" t="s">
        <v>1358</v>
      </c>
      <c r="B362" s="5">
        <v>45750</v>
      </c>
      <c r="C362" s="4" t="s">
        <v>297</v>
      </c>
      <c r="D362" s="4" t="s">
        <v>42</v>
      </c>
      <c r="E362" s="4" t="s">
        <v>674</v>
      </c>
      <c r="F362" s="4" t="s">
        <v>945</v>
      </c>
      <c r="G362" s="4" t="s">
        <v>765</v>
      </c>
      <c r="H362" s="4">
        <v>3</v>
      </c>
      <c r="I362" s="7">
        <v>0.12</v>
      </c>
      <c r="J362" s="6">
        <v>15844</v>
      </c>
      <c r="K362" s="4">
        <v>5</v>
      </c>
      <c r="L362" s="8">
        <f t="shared" si="5"/>
        <v>3.3</v>
      </c>
      <c r="M362" s="6" t="str">
        <f>_xlfn.XLOOKUP(FactSales[[#This Row],[Product_ID]],DimProduct[Product_ID],DimProduct[Product_Name])</f>
        <v>USB-C Hub</v>
      </c>
      <c r="N362" s="6" t="str">
        <f>_xlfn.XLOOKUP(FactSales[[#This Row],[Product_ID]],DimProduct[Product_ID],DimProduct[Category])</f>
        <v>Electronics</v>
      </c>
      <c r="O362" s="6">
        <f>_xlfn.XLOOKUP(FactSales[[#This Row],[Product_ID]],DimProduct[Product_ID],DimProduct[Unit_Price])</f>
        <v>4890</v>
      </c>
      <c r="P362" s="6">
        <f>_xlfn.XLOOKUP(FactSales[[#This Row],[Product_ID]],DimProduct[Product_ID],DimProduct[Unit_Cost])</f>
        <v>3330</v>
      </c>
      <c r="Q362" s="6">
        <f>FactSales[[#This Row],[Unit_Price]]*FactSales[[#This Row],[Quantity_Sold]]</f>
        <v>14670</v>
      </c>
      <c r="R362" s="6">
        <f>FactSales[[#This Row],[Unit_Cost]]*FactSales[[#This Row],[Quantity_Sold]]</f>
        <v>9990</v>
      </c>
      <c r="S362" s="6">
        <f>FactSales[[#This Row],[Sales_Amount]]-FactSales[[#This Row],[Total_Cost]]</f>
        <v>4680</v>
      </c>
      <c r="T362" s="6" t="str">
        <f>_xlfn.XLOOKUP(FactSales[[#This Row],[Customer_ID]],DimCustomer[Customer_ID],DimCustomer[Customer_Name])</f>
        <v>Tanjim Akter</v>
      </c>
      <c r="U362" s="6" t="str">
        <f>_xlfn.XLOOKUP(FactSales[[#This Row],[Salesperson_ID]],DimSalesman[Salesperson_ID],DimSalesman[Salesperson_Name])</f>
        <v>Hasan Khan</v>
      </c>
      <c r="V362" s="6" t="str">
        <f>_xlfn.XLOOKUP(FactSales[[#This Row],[Region_ID]],DimRegion[Region_ID],DimRegion[Region_Name])</f>
        <v>Rajshahi</v>
      </c>
      <c r="W362" s="6" t="str">
        <f>_xlfn.XLOOKUP(FactSales[[#This Row],[Store_ID]],DimStore[Store_ID],DimStore[Store_Name])</f>
        <v>Rajshahi Uposhohor Store</v>
      </c>
    </row>
    <row r="363" spans="1:23">
      <c r="A363" s="4" t="s">
        <v>1359</v>
      </c>
      <c r="B363" s="5">
        <v>46073</v>
      </c>
      <c r="C363" s="4" t="s">
        <v>115</v>
      </c>
      <c r="D363" s="4" t="s">
        <v>27</v>
      </c>
      <c r="E363" s="4" t="s">
        <v>630</v>
      </c>
      <c r="F363" s="4" t="s">
        <v>914</v>
      </c>
      <c r="G363" s="4" t="s">
        <v>878</v>
      </c>
      <c r="H363" s="4">
        <v>1</v>
      </c>
      <c r="I363" s="7">
        <v>7.0000000000000007E-2</v>
      </c>
      <c r="J363" s="6">
        <v>890</v>
      </c>
      <c r="K363" s="4">
        <v>4</v>
      </c>
      <c r="L363" s="8">
        <f t="shared" si="5"/>
        <v>3.8</v>
      </c>
      <c r="M363" s="6" t="str">
        <f>_xlfn.XLOOKUP(FactSales[[#This Row],[Product_ID]],DimProduct[Product_ID],DimProduct[Product_Name])</f>
        <v>Building Blocks</v>
      </c>
      <c r="N363" s="6" t="str">
        <f>_xlfn.XLOOKUP(FactSales[[#This Row],[Product_ID]],DimProduct[Product_ID],DimProduct[Category])</f>
        <v>Kids &amp; Toys</v>
      </c>
      <c r="O363" s="6">
        <f>_xlfn.XLOOKUP(FactSales[[#This Row],[Product_ID]],DimProduct[Product_ID],DimProduct[Unit_Price])</f>
        <v>840</v>
      </c>
      <c r="P363" s="6">
        <f>_xlfn.XLOOKUP(FactSales[[#This Row],[Product_ID]],DimProduct[Product_ID],DimProduct[Unit_Cost])</f>
        <v>460</v>
      </c>
      <c r="Q363" s="6">
        <f>FactSales[[#This Row],[Unit_Price]]*FactSales[[#This Row],[Quantity_Sold]]</f>
        <v>840</v>
      </c>
      <c r="R363" s="6">
        <f>FactSales[[#This Row],[Unit_Cost]]*FactSales[[#This Row],[Quantity_Sold]]</f>
        <v>460</v>
      </c>
      <c r="S363" s="6">
        <f>FactSales[[#This Row],[Sales_Amount]]-FactSales[[#This Row],[Total_Cost]]</f>
        <v>380</v>
      </c>
      <c r="T363" s="6" t="str">
        <f>_xlfn.XLOOKUP(FactSales[[#This Row],[Customer_ID]],DimCustomer[Customer_ID],DimCustomer[Customer_Name])</f>
        <v>Hasan Islam</v>
      </c>
      <c r="U363" s="6" t="str">
        <f>_xlfn.XLOOKUP(FactSales[[#This Row],[Salesperson_ID]],DimSalesman[Salesperson_ID],DimSalesman[Salesperson_Name])</f>
        <v>Rasel Rahman</v>
      </c>
      <c r="V363" s="6" t="str">
        <f>_xlfn.XLOOKUP(FactSales[[#This Row],[Region_ID]],DimRegion[Region_ID],DimRegion[Region_Name])</f>
        <v>Dhaka</v>
      </c>
      <c r="W363" s="6" t="str">
        <f>_xlfn.XLOOKUP(FactSales[[#This Row],[Store_ID]],DimStore[Store_ID],DimStore[Store_Name])</f>
        <v>Dhaka Uttara Store</v>
      </c>
    </row>
    <row r="364" spans="1:23">
      <c r="A364" s="4" t="s">
        <v>1360</v>
      </c>
      <c r="B364" s="5">
        <v>45998</v>
      </c>
      <c r="C364" s="4" t="s">
        <v>607</v>
      </c>
      <c r="D364" s="4" t="s">
        <v>62</v>
      </c>
      <c r="E364" s="4" t="s">
        <v>728</v>
      </c>
      <c r="F364" s="4" t="s">
        <v>987</v>
      </c>
      <c r="G364" s="4" t="s">
        <v>755</v>
      </c>
      <c r="H364" s="4">
        <v>4</v>
      </c>
      <c r="I364" s="7">
        <v>0.15</v>
      </c>
      <c r="J364" s="6">
        <v>14429</v>
      </c>
      <c r="K364" s="4">
        <v>4</v>
      </c>
      <c r="L364" s="8">
        <f t="shared" si="5"/>
        <v>3.6</v>
      </c>
      <c r="M364" s="6" t="str">
        <f>_xlfn.XLOOKUP(FactSales[[#This Row],[Product_ID]],DimProduct[Product_ID],DimProduct[Product_Name])</f>
        <v>Wireless Mouse</v>
      </c>
      <c r="N364" s="6" t="str">
        <f>_xlfn.XLOOKUP(FactSales[[#This Row],[Product_ID]],DimProduct[Product_ID],DimProduct[Category])</f>
        <v>Electronics</v>
      </c>
      <c r="O364" s="6">
        <f>_xlfn.XLOOKUP(FactSales[[#This Row],[Product_ID]],DimProduct[Product_ID],DimProduct[Unit_Price])</f>
        <v>3340</v>
      </c>
      <c r="P364" s="6">
        <f>_xlfn.XLOOKUP(FactSales[[#This Row],[Product_ID]],DimProduct[Product_ID],DimProduct[Unit_Cost])</f>
        <v>2270</v>
      </c>
      <c r="Q364" s="6">
        <f>FactSales[[#This Row],[Unit_Price]]*FactSales[[#This Row],[Quantity_Sold]]</f>
        <v>13360</v>
      </c>
      <c r="R364" s="6">
        <f>FactSales[[#This Row],[Unit_Cost]]*FactSales[[#This Row],[Quantity_Sold]]</f>
        <v>9080</v>
      </c>
      <c r="S364" s="6">
        <f>FactSales[[#This Row],[Sales_Amount]]-FactSales[[#This Row],[Total_Cost]]</f>
        <v>4280</v>
      </c>
      <c r="T364" s="6" t="str">
        <f>_xlfn.XLOOKUP(FactSales[[#This Row],[Customer_ID]],DimCustomer[Customer_ID],DimCustomer[Customer_Name])</f>
        <v>Ayesha Uddin</v>
      </c>
      <c r="U364" s="6" t="str">
        <f>_xlfn.XLOOKUP(FactSales[[#This Row],[Salesperson_ID]],DimSalesman[Salesperson_ID],DimSalesman[Salesperson_Name])</f>
        <v>Tanvir Chowdhury</v>
      </c>
      <c r="V364" s="6" t="str">
        <f>_xlfn.XLOOKUP(FactSales[[#This Row],[Region_ID]],DimRegion[Region_ID],DimRegion[Region_Name])</f>
        <v>Mymensingh</v>
      </c>
      <c r="W364" s="6" t="str">
        <f>_xlfn.XLOOKUP(FactSales[[#This Row],[Store_ID]],DimStore[Store_ID],DimStore[Store_Name])</f>
        <v>Mymensingh Ganginarpar Store</v>
      </c>
    </row>
    <row r="365" spans="1:23">
      <c r="A365" s="4" t="s">
        <v>1361</v>
      </c>
      <c r="B365" s="5">
        <v>45714</v>
      </c>
      <c r="C365" s="4" t="s">
        <v>344</v>
      </c>
      <c r="D365" s="4" t="s">
        <v>42</v>
      </c>
      <c r="E365" s="4" t="s">
        <v>668</v>
      </c>
      <c r="F365" s="4" t="s">
        <v>949</v>
      </c>
      <c r="G365" s="4" t="s">
        <v>882</v>
      </c>
      <c r="H365" s="4">
        <v>3</v>
      </c>
      <c r="I365" s="7">
        <v>7.0000000000000007E-2</v>
      </c>
      <c r="J365" s="6">
        <v>5897</v>
      </c>
      <c r="K365" s="4">
        <v>1</v>
      </c>
      <c r="L365" s="8">
        <f t="shared" si="5"/>
        <v>4.7</v>
      </c>
      <c r="M365" s="6" t="str">
        <f>_xlfn.XLOOKUP(FactSales[[#This Row],[Product_ID]],DimProduct[Product_ID],DimProduct[Product_Name])</f>
        <v>Toy Car Set</v>
      </c>
      <c r="N365" s="6" t="str">
        <f>_xlfn.XLOOKUP(FactSales[[#This Row],[Product_ID]],DimProduct[Product_ID],DimProduct[Category])</f>
        <v>Kids &amp; Toys</v>
      </c>
      <c r="O365" s="6">
        <f>_xlfn.XLOOKUP(FactSales[[#This Row],[Product_ID]],DimProduct[Product_ID],DimProduct[Unit_Price])</f>
        <v>1820</v>
      </c>
      <c r="P365" s="6">
        <f>_xlfn.XLOOKUP(FactSales[[#This Row],[Product_ID]],DimProduct[Product_ID],DimProduct[Unit_Cost])</f>
        <v>1000</v>
      </c>
      <c r="Q365" s="6">
        <f>FactSales[[#This Row],[Unit_Price]]*FactSales[[#This Row],[Quantity_Sold]]</f>
        <v>5460</v>
      </c>
      <c r="R365" s="6">
        <f>FactSales[[#This Row],[Unit_Cost]]*FactSales[[#This Row],[Quantity_Sold]]</f>
        <v>3000</v>
      </c>
      <c r="S365" s="6">
        <f>FactSales[[#This Row],[Sales_Amount]]-FactSales[[#This Row],[Total_Cost]]</f>
        <v>2460</v>
      </c>
      <c r="T365" s="6" t="str">
        <f>_xlfn.XLOOKUP(FactSales[[#This Row],[Customer_ID]],DimCustomer[Customer_ID],DimCustomer[Customer_Name])</f>
        <v>Mehedi Khan</v>
      </c>
      <c r="U365" s="6" t="str">
        <f>_xlfn.XLOOKUP(FactSales[[#This Row],[Salesperson_ID]],DimSalesman[Salesperson_ID],DimSalesman[Salesperson_Name])</f>
        <v>Mahmud Chowdhury</v>
      </c>
      <c r="V365" s="6" t="str">
        <f>_xlfn.XLOOKUP(FactSales[[#This Row],[Region_ID]],DimRegion[Region_ID],DimRegion[Region_Name])</f>
        <v>Rajshahi</v>
      </c>
      <c r="W365" s="6" t="str">
        <f>_xlfn.XLOOKUP(FactSales[[#This Row],[Store_ID]],DimStore[Store_ID],DimStore[Store_Name])</f>
        <v>Rajshahi Shaheb Bazar Store</v>
      </c>
    </row>
    <row r="366" spans="1:23">
      <c r="A366" s="4" t="s">
        <v>1362</v>
      </c>
      <c r="B366" s="5">
        <v>45699</v>
      </c>
      <c r="C366" s="4" t="s">
        <v>82</v>
      </c>
      <c r="D366" s="4" t="s">
        <v>27</v>
      </c>
      <c r="E366" s="4" t="s">
        <v>630</v>
      </c>
      <c r="F366" s="4" t="s">
        <v>916</v>
      </c>
      <c r="G366" s="4" t="s">
        <v>788</v>
      </c>
      <c r="H366" s="4">
        <v>2</v>
      </c>
      <c r="I366" s="7">
        <v>0.05</v>
      </c>
      <c r="J366" s="6">
        <v>3858</v>
      </c>
      <c r="K366" s="4">
        <v>1</v>
      </c>
      <c r="L366" s="8">
        <f t="shared" si="5"/>
        <v>4.8</v>
      </c>
      <c r="M366" s="6" t="str">
        <f>_xlfn.XLOOKUP(FactSales[[#This Row],[Product_ID]],DimProduct[Product_ID],DimProduct[Product_Name])</f>
        <v>Formal Shirt</v>
      </c>
      <c r="N366" s="6" t="str">
        <f>_xlfn.XLOOKUP(FactSales[[#This Row],[Product_ID]],DimProduct[Product_ID],DimProduct[Category])</f>
        <v>Fashion</v>
      </c>
      <c r="O366" s="6">
        <f>_xlfn.XLOOKUP(FactSales[[#This Row],[Product_ID]],DimProduct[Product_ID],DimProduct[Unit_Price])</f>
        <v>1820</v>
      </c>
      <c r="P366" s="6">
        <f>_xlfn.XLOOKUP(FactSales[[#This Row],[Product_ID]],DimProduct[Product_ID],DimProduct[Unit_Cost])</f>
        <v>1000</v>
      </c>
      <c r="Q366" s="6">
        <f>FactSales[[#This Row],[Unit_Price]]*FactSales[[#This Row],[Quantity_Sold]]</f>
        <v>3640</v>
      </c>
      <c r="R366" s="6">
        <f>FactSales[[#This Row],[Unit_Cost]]*FactSales[[#This Row],[Quantity_Sold]]</f>
        <v>2000</v>
      </c>
      <c r="S366" s="6">
        <f>FactSales[[#This Row],[Sales_Amount]]-FactSales[[#This Row],[Total_Cost]]</f>
        <v>1640</v>
      </c>
      <c r="T366" s="6" t="str">
        <f>_xlfn.XLOOKUP(FactSales[[#This Row],[Customer_ID]],DimCustomer[Customer_ID],DimCustomer[Customer_Name])</f>
        <v>Mahmud Ahmed</v>
      </c>
      <c r="U366" s="6" t="str">
        <f>_xlfn.XLOOKUP(FactSales[[#This Row],[Salesperson_ID]],DimSalesman[Salesperson_ID],DimSalesman[Salesperson_Name])</f>
        <v>Rafi Islam</v>
      </c>
      <c r="V366" s="6" t="str">
        <f>_xlfn.XLOOKUP(FactSales[[#This Row],[Region_ID]],DimRegion[Region_ID],DimRegion[Region_Name])</f>
        <v>Dhaka</v>
      </c>
      <c r="W366" s="6" t="str">
        <f>_xlfn.XLOOKUP(FactSales[[#This Row],[Store_ID]],DimStore[Store_ID],DimStore[Store_Name])</f>
        <v>Dhaka Uttara Store</v>
      </c>
    </row>
    <row r="367" spans="1:23">
      <c r="A367" s="4" t="s">
        <v>1363</v>
      </c>
      <c r="B367" s="5">
        <v>46147</v>
      </c>
      <c r="C367" s="4" t="s">
        <v>297</v>
      </c>
      <c r="D367" s="4" t="s">
        <v>42</v>
      </c>
      <c r="E367" s="4" t="s">
        <v>674</v>
      </c>
      <c r="F367" s="4" t="s">
        <v>944</v>
      </c>
      <c r="G367" s="4" t="s">
        <v>804</v>
      </c>
      <c r="H367" s="4">
        <v>4</v>
      </c>
      <c r="I367" s="7">
        <v>0.02</v>
      </c>
      <c r="J367" s="6">
        <v>1598</v>
      </c>
      <c r="K367" s="4">
        <v>2</v>
      </c>
      <c r="L367" s="8">
        <f t="shared" si="5"/>
        <v>4.5</v>
      </c>
      <c r="M367" s="6" t="str">
        <f>_xlfn.XLOOKUP(FactSales[[#This Row],[Product_ID]],DimProduct[Product_ID],DimProduct[Product_Name])</f>
        <v>Soybean Oil 5L</v>
      </c>
      <c r="N367" s="6" t="str">
        <f>_xlfn.XLOOKUP(FactSales[[#This Row],[Product_ID]],DimProduct[Product_ID],DimProduct[Category])</f>
        <v>Grocery</v>
      </c>
      <c r="O367" s="6">
        <f>_xlfn.XLOOKUP(FactSales[[#This Row],[Product_ID]],DimProduct[Product_ID],DimProduct[Unit_Price])</f>
        <v>370</v>
      </c>
      <c r="P367" s="6">
        <f>_xlfn.XLOOKUP(FactSales[[#This Row],[Product_ID]],DimProduct[Product_ID],DimProduct[Unit_Cost])</f>
        <v>290</v>
      </c>
      <c r="Q367" s="6">
        <f>FactSales[[#This Row],[Unit_Price]]*FactSales[[#This Row],[Quantity_Sold]]</f>
        <v>1480</v>
      </c>
      <c r="R367" s="6">
        <f>FactSales[[#This Row],[Unit_Cost]]*FactSales[[#This Row],[Quantity_Sold]]</f>
        <v>1160</v>
      </c>
      <c r="S367" s="6">
        <f>FactSales[[#This Row],[Sales_Amount]]-FactSales[[#This Row],[Total_Cost]]</f>
        <v>320</v>
      </c>
      <c r="T367" s="6" t="str">
        <f>_xlfn.XLOOKUP(FactSales[[#This Row],[Customer_ID]],DimCustomer[Customer_ID],DimCustomer[Customer_Name])</f>
        <v>Tanjim Akter</v>
      </c>
      <c r="U367" s="6" t="str">
        <f>_xlfn.XLOOKUP(FactSales[[#This Row],[Salesperson_ID]],DimSalesman[Salesperson_ID],DimSalesman[Salesperson_Name])</f>
        <v>Karim Khan</v>
      </c>
      <c r="V367" s="6" t="str">
        <f>_xlfn.XLOOKUP(FactSales[[#This Row],[Region_ID]],DimRegion[Region_ID],DimRegion[Region_Name])</f>
        <v>Rajshahi</v>
      </c>
      <c r="W367" s="6" t="str">
        <f>_xlfn.XLOOKUP(FactSales[[#This Row],[Store_ID]],DimStore[Store_ID],DimStore[Store_Name])</f>
        <v>Rajshahi Uposhohor Store</v>
      </c>
    </row>
    <row r="368" spans="1:23">
      <c r="A368" s="4" t="s">
        <v>1364</v>
      </c>
      <c r="B368" s="5">
        <v>46091</v>
      </c>
      <c r="C368" s="4" t="s">
        <v>312</v>
      </c>
      <c r="D368" s="4" t="s">
        <v>42</v>
      </c>
      <c r="E368" s="4" t="s">
        <v>674</v>
      </c>
      <c r="F368" s="4" t="s">
        <v>945</v>
      </c>
      <c r="G368" s="4" t="s">
        <v>797</v>
      </c>
      <c r="H368" s="4">
        <v>2</v>
      </c>
      <c r="I368" s="7">
        <v>7.0000000000000007E-2</v>
      </c>
      <c r="J368" s="6">
        <v>5659</v>
      </c>
      <c r="K368" s="4">
        <v>3</v>
      </c>
      <c r="L368" s="8">
        <f t="shared" si="5"/>
        <v>4.0999999999999996</v>
      </c>
      <c r="M368" s="6" t="str">
        <f>_xlfn.XLOOKUP(FactSales[[#This Row],[Product_ID]],DimProduct[Product_ID],DimProduct[Product_Name])</f>
        <v>Leather Belt</v>
      </c>
      <c r="N368" s="6" t="str">
        <f>_xlfn.XLOOKUP(FactSales[[#This Row],[Product_ID]],DimProduct[Product_ID],DimProduct[Category])</f>
        <v>Fashion</v>
      </c>
      <c r="O368" s="6">
        <f>_xlfn.XLOOKUP(FactSales[[#This Row],[Product_ID]],DimProduct[Product_ID],DimProduct[Unit_Price])</f>
        <v>2620</v>
      </c>
      <c r="P368" s="6">
        <f>_xlfn.XLOOKUP(FactSales[[#This Row],[Product_ID]],DimProduct[Product_ID],DimProduct[Unit_Cost])</f>
        <v>1440</v>
      </c>
      <c r="Q368" s="6">
        <f>FactSales[[#This Row],[Unit_Price]]*FactSales[[#This Row],[Quantity_Sold]]</f>
        <v>5240</v>
      </c>
      <c r="R368" s="6">
        <f>FactSales[[#This Row],[Unit_Cost]]*FactSales[[#This Row],[Quantity_Sold]]</f>
        <v>2880</v>
      </c>
      <c r="S368" s="6">
        <f>FactSales[[#This Row],[Sales_Amount]]-FactSales[[#This Row],[Total_Cost]]</f>
        <v>2360</v>
      </c>
      <c r="T368" s="6" t="str">
        <f>_xlfn.XLOOKUP(FactSales[[#This Row],[Customer_ID]],DimCustomer[Customer_ID],DimCustomer[Customer_Name])</f>
        <v>Imran Uddin</v>
      </c>
      <c r="U368" s="6" t="str">
        <f>_xlfn.XLOOKUP(FactSales[[#This Row],[Salesperson_ID]],DimSalesman[Salesperson_ID],DimSalesman[Salesperson_Name])</f>
        <v>Hasan Khan</v>
      </c>
      <c r="V368" s="6" t="str">
        <f>_xlfn.XLOOKUP(FactSales[[#This Row],[Region_ID]],DimRegion[Region_ID],DimRegion[Region_Name])</f>
        <v>Rajshahi</v>
      </c>
      <c r="W368" s="6" t="str">
        <f>_xlfn.XLOOKUP(FactSales[[#This Row],[Store_ID]],DimStore[Store_ID],DimStore[Store_Name])</f>
        <v>Rajshahi Uposhohor Store</v>
      </c>
    </row>
    <row r="369" spans="1:23">
      <c r="A369" s="4" t="s">
        <v>1365</v>
      </c>
      <c r="B369" s="5">
        <v>45957</v>
      </c>
      <c r="C369" s="4" t="s">
        <v>192</v>
      </c>
      <c r="D369" s="4" t="s">
        <v>32</v>
      </c>
      <c r="E369" s="4" t="s">
        <v>650</v>
      </c>
      <c r="F369" s="4" t="s">
        <v>931</v>
      </c>
      <c r="G369" s="4" t="s">
        <v>871</v>
      </c>
      <c r="H369" s="4">
        <v>2</v>
      </c>
      <c r="I369" s="7">
        <v>0.03</v>
      </c>
      <c r="J369" s="6">
        <v>775</v>
      </c>
      <c r="K369" s="4">
        <v>7</v>
      </c>
      <c r="L369" s="8">
        <f t="shared" si="5"/>
        <v>2.9</v>
      </c>
      <c r="M369" s="6" t="str">
        <f>_xlfn.XLOOKUP(FactSales[[#This Row],[Product_ID]],DimProduct[Product_ID],DimProduct[Product_Name])</f>
        <v>Office File Set</v>
      </c>
      <c r="N369" s="6" t="str">
        <f>_xlfn.XLOOKUP(FactSales[[#This Row],[Product_ID]],DimProduct[Product_ID],DimProduct[Category])</f>
        <v>Stationery</v>
      </c>
      <c r="O369" s="6">
        <f>_xlfn.XLOOKUP(FactSales[[#This Row],[Product_ID]],DimProduct[Product_ID],DimProduct[Unit_Price])</f>
        <v>340</v>
      </c>
      <c r="P369" s="6">
        <f>_xlfn.XLOOKUP(FactSales[[#This Row],[Product_ID]],DimProduct[Product_ID],DimProduct[Unit_Cost])</f>
        <v>170</v>
      </c>
      <c r="Q369" s="6">
        <f>FactSales[[#This Row],[Unit_Price]]*FactSales[[#This Row],[Quantity_Sold]]</f>
        <v>680</v>
      </c>
      <c r="R369" s="6">
        <f>FactSales[[#This Row],[Unit_Cost]]*FactSales[[#This Row],[Quantity_Sold]]</f>
        <v>340</v>
      </c>
      <c r="S369" s="6">
        <f>FactSales[[#This Row],[Sales_Amount]]-FactSales[[#This Row],[Total_Cost]]</f>
        <v>340</v>
      </c>
      <c r="T369" s="6" t="str">
        <f>_xlfn.XLOOKUP(FactSales[[#This Row],[Customer_ID]],DimCustomer[Customer_ID],DimCustomer[Customer_Name])</f>
        <v>Arif Ahmed</v>
      </c>
      <c r="U369" s="6" t="str">
        <f>_xlfn.XLOOKUP(FactSales[[#This Row],[Salesperson_ID]],DimSalesman[Salesperson_ID],DimSalesman[Salesperson_Name])</f>
        <v>Sadia Islam</v>
      </c>
      <c r="V369" s="6" t="str">
        <f>_xlfn.XLOOKUP(FactSales[[#This Row],[Region_ID]],DimRegion[Region_ID],DimRegion[Region_Name])</f>
        <v>Chattogram</v>
      </c>
      <c r="W369" s="6" t="str">
        <f>_xlfn.XLOOKUP(FactSales[[#This Row],[Store_ID]],DimStore[Store_ID],DimStore[Store_Name])</f>
        <v>Chattogram Halishahar Store</v>
      </c>
    </row>
    <row r="370" spans="1:23">
      <c r="A370" s="4" t="s">
        <v>1366</v>
      </c>
      <c r="B370" s="5">
        <v>45841</v>
      </c>
      <c r="C370" s="4" t="s">
        <v>165</v>
      </c>
      <c r="D370" s="4" t="s">
        <v>32</v>
      </c>
      <c r="E370" s="4" t="s">
        <v>647</v>
      </c>
      <c r="F370" s="4" t="s">
        <v>922</v>
      </c>
      <c r="G370" s="4" t="s">
        <v>755</v>
      </c>
      <c r="H370" s="4">
        <v>2</v>
      </c>
      <c r="I370" s="7">
        <v>0.08</v>
      </c>
      <c r="J370" s="6">
        <v>7615</v>
      </c>
      <c r="K370" s="4">
        <v>6</v>
      </c>
      <c r="L370" s="8">
        <f t="shared" si="5"/>
        <v>3.1</v>
      </c>
      <c r="M370" s="6" t="str">
        <f>_xlfn.XLOOKUP(FactSales[[#This Row],[Product_ID]],DimProduct[Product_ID],DimProduct[Product_Name])</f>
        <v>Wireless Mouse</v>
      </c>
      <c r="N370" s="6" t="str">
        <f>_xlfn.XLOOKUP(FactSales[[#This Row],[Product_ID]],DimProduct[Product_ID],DimProduct[Category])</f>
        <v>Electronics</v>
      </c>
      <c r="O370" s="6">
        <f>_xlfn.XLOOKUP(FactSales[[#This Row],[Product_ID]],DimProduct[Product_ID],DimProduct[Unit_Price])</f>
        <v>3340</v>
      </c>
      <c r="P370" s="6">
        <f>_xlfn.XLOOKUP(FactSales[[#This Row],[Product_ID]],DimProduct[Product_ID],DimProduct[Unit_Cost])</f>
        <v>2270</v>
      </c>
      <c r="Q370" s="6">
        <f>FactSales[[#This Row],[Unit_Price]]*FactSales[[#This Row],[Quantity_Sold]]</f>
        <v>6680</v>
      </c>
      <c r="R370" s="6">
        <f>FactSales[[#This Row],[Unit_Cost]]*FactSales[[#This Row],[Quantity_Sold]]</f>
        <v>4540</v>
      </c>
      <c r="S370" s="6">
        <f>FactSales[[#This Row],[Sales_Amount]]-FactSales[[#This Row],[Total_Cost]]</f>
        <v>2140</v>
      </c>
      <c r="T370" s="6" t="str">
        <f>_xlfn.XLOOKUP(FactSales[[#This Row],[Customer_ID]],DimCustomer[Customer_ID],DimCustomer[Customer_Name])</f>
        <v>Mehedi Khan</v>
      </c>
      <c r="U370" s="6" t="str">
        <f>_xlfn.XLOOKUP(FactSales[[#This Row],[Salesperson_ID]],DimSalesman[Salesperson_ID],DimSalesman[Salesperson_Name])</f>
        <v>Rafi Sultana</v>
      </c>
      <c r="V370" s="6" t="str">
        <f>_xlfn.XLOOKUP(FactSales[[#This Row],[Region_ID]],DimRegion[Region_ID],DimRegion[Region_Name])</f>
        <v>Chattogram</v>
      </c>
      <c r="W370" s="6" t="str">
        <f>_xlfn.XLOOKUP(FactSales[[#This Row],[Store_ID]],DimStore[Store_ID],DimStore[Store_Name])</f>
        <v>Chattogram Nasirabad Store</v>
      </c>
    </row>
    <row r="371" spans="1:23">
      <c r="A371" s="4" t="s">
        <v>1367</v>
      </c>
      <c r="B371" s="5">
        <v>45681</v>
      </c>
      <c r="C371" s="4" t="s">
        <v>259</v>
      </c>
      <c r="D371" s="4" t="s">
        <v>37</v>
      </c>
      <c r="E371" s="4" t="s">
        <v>656</v>
      </c>
      <c r="F371" s="4" t="s">
        <v>934</v>
      </c>
      <c r="G371" s="4" t="s">
        <v>800</v>
      </c>
      <c r="H371" s="4">
        <v>2</v>
      </c>
      <c r="I371" s="7">
        <v>0.02</v>
      </c>
      <c r="J371" s="6">
        <v>2375</v>
      </c>
      <c r="K371" s="4">
        <v>4</v>
      </c>
      <c r="L371" s="8">
        <f t="shared" si="5"/>
        <v>3.9</v>
      </c>
      <c r="M371" s="6" t="str">
        <f>_xlfn.XLOOKUP(FactSales[[#This Row],[Product_ID]],DimProduct[Product_ID],DimProduct[Product_Name])</f>
        <v>Premium Rice 5kg</v>
      </c>
      <c r="N371" s="6" t="str">
        <f>_xlfn.XLOOKUP(FactSales[[#This Row],[Product_ID]],DimProduct[Product_ID],DimProduct[Category])</f>
        <v>Grocery</v>
      </c>
      <c r="O371" s="6">
        <f>_xlfn.XLOOKUP(FactSales[[#This Row],[Product_ID]],DimProduct[Product_ID],DimProduct[Unit_Price])</f>
        <v>1110</v>
      </c>
      <c r="P371" s="6">
        <f>_xlfn.XLOOKUP(FactSales[[#This Row],[Product_ID]],DimProduct[Product_ID],DimProduct[Unit_Cost])</f>
        <v>870</v>
      </c>
      <c r="Q371" s="6">
        <f>FactSales[[#This Row],[Unit_Price]]*FactSales[[#This Row],[Quantity_Sold]]</f>
        <v>2220</v>
      </c>
      <c r="R371" s="6">
        <f>FactSales[[#This Row],[Unit_Cost]]*FactSales[[#This Row],[Quantity_Sold]]</f>
        <v>1740</v>
      </c>
      <c r="S371" s="6">
        <f>FactSales[[#This Row],[Sales_Amount]]-FactSales[[#This Row],[Total_Cost]]</f>
        <v>480</v>
      </c>
      <c r="T371" s="6" t="str">
        <f>_xlfn.XLOOKUP(FactSales[[#This Row],[Customer_ID]],DimCustomer[Customer_ID],DimCustomer[Customer_Name])</f>
        <v>Hasan Akter</v>
      </c>
      <c r="U371" s="6" t="str">
        <f>_xlfn.XLOOKUP(FactSales[[#This Row],[Salesperson_ID]],DimSalesman[Salesperson_ID],DimSalesman[Salesperson_Name])</f>
        <v>Hasan Mia</v>
      </c>
      <c r="V371" s="6" t="str">
        <f>_xlfn.XLOOKUP(FactSales[[#This Row],[Region_ID]],DimRegion[Region_ID],DimRegion[Region_Name])</f>
        <v>Sylhet</v>
      </c>
      <c r="W371" s="6" t="str">
        <f>_xlfn.XLOOKUP(FactSales[[#This Row],[Store_ID]],DimStore[Store_ID],DimStore[Store_Name])</f>
        <v>Sylhet Ambarkhana Store</v>
      </c>
    </row>
    <row r="372" spans="1:23">
      <c r="A372" s="4" t="s">
        <v>1368</v>
      </c>
      <c r="B372" s="5">
        <v>45679</v>
      </c>
      <c r="C372" s="4" t="s">
        <v>579</v>
      </c>
      <c r="D372" s="4" t="s">
        <v>62</v>
      </c>
      <c r="E372" s="4" t="s">
        <v>737</v>
      </c>
      <c r="F372" s="4" t="s">
        <v>983</v>
      </c>
      <c r="G372" s="4" t="s">
        <v>854</v>
      </c>
      <c r="H372" s="4">
        <v>2</v>
      </c>
      <c r="I372" s="7">
        <v>0.03</v>
      </c>
      <c r="J372" s="6">
        <v>8035</v>
      </c>
      <c r="K372" s="4">
        <v>7</v>
      </c>
      <c r="L372" s="8">
        <f t="shared" si="5"/>
        <v>2.9</v>
      </c>
      <c r="M372" s="6" t="str">
        <f>_xlfn.XLOOKUP(FactSales[[#This Row],[Product_ID]],DimProduct[Product_ID],DimProduct[Product_Name])</f>
        <v>Football</v>
      </c>
      <c r="N372" s="6" t="str">
        <f>_xlfn.XLOOKUP(FactSales[[#This Row],[Product_ID]],DimProduct[Product_ID],DimProduct[Category])</f>
        <v>Sports</v>
      </c>
      <c r="O372" s="6">
        <f>_xlfn.XLOOKUP(FactSales[[#This Row],[Product_ID]],DimProduct[Product_ID],DimProduct[Unit_Price])</f>
        <v>3720</v>
      </c>
      <c r="P372" s="6">
        <f>_xlfn.XLOOKUP(FactSales[[#This Row],[Product_ID]],DimProduct[Product_ID],DimProduct[Unit_Cost])</f>
        <v>2310</v>
      </c>
      <c r="Q372" s="6">
        <f>FactSales[[#This Row],[Unit_Price]]*FactSales[[#This Row],[Quantity_Sold]]</f>
        <v>7440</v>
      </c>
      <c r="R372" s="6">
        <f>FactSales[[#This Row],[Unit_Cost]]*FactSales[[#This Row],[Quantity_Sold]]</f>
        <v>4620</v>
      </c>
      <c r="S372" s="6">
        <f>FactSales[[#This Row],[Sales_Amount]]-FactSales[[#This Row],[Total_Cost]]</f>
        <v>2820</v>
      </c>
      <c r="T372" s="6" t="str">
        <f>_xlfn.XLOOKUP(FactSales[[#This Row],[Customer_ID]],DimCustomer[Customer_ID],DimCustomer[Customer_Name])</f>
        <v>Nabila Khan</v>
      </c>
      <c r="U372" s="6" t="str">
        <f>_xlfn.XLOOKUP(FactSales[[#This Row],[Salesperson_ID]],DimSalesman[Salesperson_ID],DimSalesman[Salesperson_Name])</f>
        <v>Fahim Hossain</v>
      </c>
      <c r="V372" s="6" t="str">
        <f>_xlfn.XLOOKUP(FactSales[[#This Row],[Region_ID]],DimRegion[Region_ID],DimRegion[Region_Name])</f>
        <v>Mymensingh</v>
      </c>
      <c r="W372" s="6" t="str">
        <f>_xlfn.XLOOKUP(FactSales[[#This Row],[Store_ID]],DimStore[Store_ID],DimStore[Store_Name])</f>
        <v>Mymensingh Kewatkhali Store</v>
      </c>
    </row>
    <row r="373" spans="1:23">
      <c r="A373" s="4" t="s">
        <v>1369</v>
      </c>
      <c r="B373" s="5">
        <v>45992</v>
      </c>
      <c r="C373" s="4" t="s">
        <v>457</v>
      </c>
      <c r="D373" s="4" t="s">
        <v>52</v>
      </c>
      <c r="E373" s="4" t="s">
        <v>710</v>
      </c>
      <c r="F373" s="4" t="s">
        <v>963</v>
      </c>
      <c r="G373" s="4" t="s">
        <v>834</v>
      </c>
      <c r="H373" s="4">
        <v>4</v>
      </c>
      <c r="I373" s="7">
        <v>0.12</v>
      </c>
      <c r="J373" s="6">
        <v>15725</v>
      </c>
      <c r="K373" s="4">
        <v>5</v>
      </c>
      <c r="L373" s="8">
        <f t="shared" si="5"/>
        <v>3.3</v>
      </c>
      <c r="M373" s="6" t="str">
        <f>_xlfn.XLOOKUP(FactSales[[#This Row],[Product_ID]],DimProduct[Product_ID],DimProduct[Product_Name])</f>
        <v>Running Shoe</v>
      </c>
      <c r="N373" s="6" t="str">
        <f>_xlfn.XLOOKUP(FactSales[[#This Row],[Product_ID]],DimProduct[Product_ID],DimProduct[Category])</f>
        <v>Footwear</v>
      </c>
      <c r="O373" s="6">
        <f>_xlfn.XLOOKUP(FactSales[[#This Row],[Product_ID]],DimProduct[Product_ID],DimProduct[Unit_Price])</f>
        <v>3510</v>
      </c>
      <c r="P373" s="6">
        <f>_xlfn.XLOOKUP(FactSales[[#This Row],[Product_ID]],DimProduct[Product_ID],DimProduct[Unit_Cost])</f>
        <v>2110</v>
      </c>
      <c r="Q373" s="6">
        <f>FactSales[[#This Row],[Unit_Price]]*FactSales[[#This Row],[Quantity_Sold]]</f>
        <v>14040</v>
      </c>
      <c r="R373" s="6">
        <f>FactSales[[#This Row],[Unit_Cost]]*FactSales[[#This Row],[Quantity_Sold]]</f>
        <v>8440</v>
      </c>
      <c r="S373" s="6">
        <f>FactSales[[#This Row],[Sales_Amount]]-FactSales[[#This Row],[Total_Cost]]</f>
        <v>5600</v>
      </c>
      <c r="T373" s="6" t="str">
        <f>_xlfn.XLOOKUP(FactSales[[#This Row],[Customer_ID]],DimCustomer[Customer_ID],DimCustomer[Customer_Name])</f>
        <v>Rasel Ahmed</v>
      </c>
      <c r="U373" s="6" t="str">
        <f>_xlfn.XLOOKUP(FactSales[[#This Row],[Salesperson_ID]],DimSalesman[Salesperson_ID],DimSalesman[Salesperson_Name])</f>
        <v>Rasel Uddin</v>
      </c>
      <c r="V373" s="6" t="str">
        <f>_xlfn.XLOOKUP(FactSales[[#This Row],[Region_ID]],DimRegion[Region_ID],DimRegion[Region_Name])</f>
        <v>Barishal</v>
      </c>
      <c r="W373" s="6" t="str">
        <f>_xlfn.XLOOKUP(FactSales[[#This Row],[Store_ID]],DimStore[Store_ID],DimStore[Store_Name])</f>
        <v>Barishal Kawnia Store</v>
      </c>
    </row>
    <row r="374" spans="1:23">
      <c r="A374" s="4" t="s">
        <v>1370</v>
      </c>
      <c r="B374" s="5">
        <v>45971</v>
      </c>
      <c r="C374" s="4" t="s">
        <v>585</v>
      </c>
      <c r="D374" s="4" t="s">
        <v>62</v>
      </c>
      <c r="E374" s="4" t="s">
        <v>734</v>
      </c>
      <c r="F374" s="4" t="s">
        <v>985</v>
      </c>
      <c r="G374" s="4" t="s">
        <v>758</v>
      </c>
      <c r="H374" s="4">
        <v>1</v>
      </c>
      <c r="I374" s="7">
        <v>0.12</v>
      </c>
      <c r="J374" s="6">
        <v>3067</v>
      </c>
      <c r="K374" s="4">
        <v>4</v>
      </c>
      <c r="L374" s="8">
        <f t="shared" si="5"/>
        <v>3.7</v>
      </c>
      <c r="M374" s="6" t="str">
        <f>_xlfn.XLOOKUP(FactSales[[#This Row],[Product_ID]],DimProduct[Product_ID],DimProduct[Product_Name])</f>
        <v>Power Bank</v>
      </c>
      <c r="N374" s="6" t="str">
        <f>_xlfn.XLOOKUP(FactSales[[#This Row],[Product_ID]],DimProduct[Product_ID],DimProduct[Category])</f>
        <v>Electronics</v>
      </c>
      <c r="O374" s="6">
        <f>_xlfn.XLOOKUP(FactSales[[#This Row],[Product_ID]],DimProduct[Product_ID],DimProduct[Unit_Price])</f>
        <v>2840</v>
      </c>
      <c r="P374" s="6">
        <f>_xlfn.XLOOKUP(FactSales[[#This Row],[Product_ID]],DimProduct[Product_ID],DimProduct[Unit_Cost])</f>
        <v>1930</v>
      </c>
      <c r="Q374" s="6">
        <f>FactSales[[#This Row],[Unit_Price]]*FactSales[[#This Row],[Quantity_Sold]]</f>
        <v>2840</v>
      </c>
      <c r="R374" s="6">
        <f>FactSales[[#This Row],[Unit_Cost]]*FactSales[[#This Row],[Quantity_Sold]]</f>
        <v>1930</v>
      </c>
      <c r="S374" s="6">
        <f>FactSales[[#This Row],[Sales_Amount]]-FactSales[[#This Row],[Total_Cost]]</f>
        <v>910</v>
      </c>
      <c r="T374" s="6" t="str">
        <f>_xlfn.XLOOKUP(FactSales[[#This Row],[Customer_ID]],DimCustomer[Customer_ID],DimCustomer[Customer_Name])</f>
        <v>Shaila Hossain</v>
      </c>
      <c r="U374" s="6" t="str">
        <f>_xlfn.XLOOKUP(FactSales[[#This Row],[Salesperson_ID]],DimSalesman[Salesperson_ID],DimSalesman[Salesperson_Name])</f>
        <v>Tamanna Sultana</v>
      </c>
      <c r="V374" s="6" t="str">
        <f>_xlfn.XLOOKUP(FactSales[[#This Row],[Region_ID]],DimRegion[Region_ID],DimRegion[Region_Name])</f>
        <v>Mymensingh</v>
      </c>
      <c r="W374" s="6" t="str">
        <f>_xlfn.XLOOKUP(FactSales[[#This Row],[Store_ID]],DimStore[Store_ID],DimStore[Store_Name])</f>
        <v>Mymensingh Charpara Store</v>
      </c>
    </row>
    <row r="375" spans="1:23">
      <c r="A375" s="4" t="s">
        <v>1371</v>
      </c>
      <c r="B375" s="5">
        <v>46124</v>
      </c>
      <c r="C375" s="4" t="s">
        <v>422</v>
      </c>
      <c r="D375" s="4" t="s">
        <v>47</v>
      </c>
      <c r="E375" s="4" t="s">
        <v>683</v>
      </c>
      <c r="F375" s="4" t="s">
        <v>953</v>
      </c>
      <c r="G375" s="4" t="s">
        <v>775</v>
      </c>
      <c r="H375" s="4">
        <v>10</v>
      </c>
      <c r="I375" s="7">
        <v>0.1</v>
      </c>
      <c r="J375" s="6">
        <v>26487</v>
      </c>
      <c r="K375" s="4">
        <v>7</v>
      </c>
      <c r="L375" s="8">
        <f t="shared" si="5"/>
        <v>2.7</v>
      </c>
      <c r="M375" s="6" t="str">
        <f>_xlfn.XLOOKUP(FactSales[[#This Row],[Product_ID]],DimProduct[Product_ID],DimProduct[Product_Name])</f>
        <v>Blender Machine</v>
      </c>
      <c r="N375" s="6" t="str">
        <f>_xlfn.XLOOKUP(FactSales[[#This Row],[Product_ID]],DimProduct[Product_ID],DimProduct[Category])</f>
        <v>Home Appliance</v>
      </c>
      <c r="O375" s="6">
        <f>_xlfn.XLOOKUP(FactSales[[#This Row],[Product_ID]],DimProduct[Product_ID],DimProduct[Unit_Price])</f>
        <v>2430</v>
      </c>
      <c r="P375" s="6">
        <f>_xlfn.XLOOKUP(FactSales[[#This Row],[Product_ID]],DimProduct[Product_ID],DimProduct[Unit_Cost])</f>
        <v>1700</v>
      </c>
      <c r="Q375" s="6">
        <f>FactSales[[#This Row],[Unit_Price]]*FactSales[[#This Row],[Quantity_Sold]]</f>
        <v>24300</v>
      </c>
      <c r="R375" s="6">
        <f>FactSales[[#This Row],[Unit_Cost]]*FactSales[[#This Row],[Quantity_Sold]]</f>
        <v>17000</v>
      </c>
      <c r="S375" s="6">
        <f>FactSales[[#This Row],[Sales_Amount]]-FactSales[[#This Row],[Total_Cost]]</f>
        <v>7300</v>
      </c>
      <c r="T375" s="6" t="str">
        <f>_xlfn.XLOOKUP(FactSales[[#This Row],[Customer_ID]],DimCustomer[Customer_ID],DimCustomer[Customer_Name])</f>
        <v>Tanjim Khan</v>
      </c>
      <c r="U375" s="6" t="str">
        <f>_xlfn.XLOOKUP(FactSales[[#This Row],[Salesperson_ID]],DimSalesman[Salesperson_ID],DimSalesman[Salesperson_Name])</f>
        <v>Nusrat Akter</v>
      </c>
      <c r="V375" s="6" t="str">
        <f>_xlfn.XLOOKUP(FactSales[[#This Row],[Region_ID]],DimRegion[Region_ID],DimRegion[Region_Name])</f>
        <v>Khulna</v>
      </c>
      <c r="W375" s="6" t="str">
        <f>_xlfn.XLOOKUP(FactSales[[#This Row],[Store_ID]],DimStore[Store_ID],DimStore[Store_Name])</f>
        <v>Khulna Sonadanga Store</v>
      </c>
    </row>
    <row r="376" spans="1:23">
      <c r="A376" s="4" t="s">
        <v>1372</v>
      </c>
      <c r="B376" s="5">
        <v>45815</v>
      </c>
      <c r="C376" s="4" t="s">
        <v>369</v>
      </c>
      <c r="D376" s="4" t="s">
        <v>47</v>
      </c>
      <c r="E376" s="4" t="s">
        <v>686</v>
      </c>
      <c r="F376" s="4" t="s">
        <v>958</v>
      </c>
      <c r="G376" s="4" t="s">
        <v>841</v>
      </c>
      <c r="H376" s="4">
        <v>1</v>
      </c>
      <c r="I376" s="7">
        <v>0.03</v>
      </c>
      <c r="J376" s="6">
        <v>3510</v>
      </c>
      <c r="K376" s="4">
        <v>5</v>
      </c>
      <c r="L376" s="8">
        <f t="shared" si="5"/>
        <v>3.5</v>
      </c>
      <c r="M376" s="6" t="str">
        <f>_xlfn.XLOOKUP(FactSales[[#This Row],[Product_ID]],DimProduct[Product_ID],DimProduct[Product_Name])</f>
        <v>Ladies Sandal</v>
      </c>
      <c r="N376" s="6" t="str">
        <f>_xlfn.XLOOKUP(FactSales[[#This Row],[Product_ID]],DimProduct[Product_ID],DimProduct[Category])</f>
        <v>Footwear</v>
      </c>
      <c r="O376" s="6">
        <f>_xlfn.XLOOKUP(FactSales[[#This Row],[Product_ID]],DimProduct[Product_ID],DimProduct[Unit_Price])</f>
        <v>3220</v>
      </c>
      <c r="P376" s="6">
        <f>_xlfn.XLOOKUP(FactSales[[#This Row],[Product_ID]],DimProduct[Product_ID],DimProduct[Unit_Cost])</f>
        <v>1930</v>
      </c>
      <c r="Q376" s="6">
        <f>FactSales[[#This Row],[Unit_Price]]*FactSales[[#This Row],[Quantity_Sold]]</f>
        <v>3220</v>
      </c>
      <c r="R376" s="6">
        <f>FactSales[[#This Row],[Unit_Cost]]*FactSales[[#This Row],[Quantity_Sold]]</f>
        <v>1930</v>
      </c>
      <c r="S376" s="6">
        <f>FactSales[[#This Row],[Sales_Amount]]-FactSales[[#This Row],[Total_Cost]]</f>
        <v>1290</v>
      </c>
      <c r="T376" s="6" t="str">
        <f>_xlfn.XLOOKUP(FactSales[[#This Row],[Customer_ID]],DimCustomer[Customer_ID],DimCustomer[Customer_Name])</f>
        <v>Sadia Ahmed</v>
      </c>
      <c r="U376" s="6" t="str">
        <f>_xlfn.XLOOKUP(FactSales[[#This Row],[Salesperson_ID]],DimSalesman[Salesperson_ID],DimSalesman[Salesperson_Name])</f>
        <v>Fahim Uddin</v>
      </c>
      <c r="V376" s="6" t="str">
        <f>_xlfn.XLOOKUP(FactSales[[#This Row],[Region_ID]],DimRegion[Region_ID],DimRegion[Region_Name])</f>
        <v>Khulna</v>
      </c>
      <c r="W376" s="6" t="str">
        <f>_xlfn.XLOOKUP(FactSales[[#This Row],[Store_ID]],DimStore[Store_ID],DimStore[Store_Name])</f>
        <v>Khulna Khalishpur Store</v>
      </c>
    </row>
    <row r="377" spans="1:23">
      <c r="A377" s="4" t="s">
        <v>1373</v>
      </c>
      <c r="B377" s="5">
        <v>45693</v>
      </c>
      <c r="C377" s="4" t="s">
        <v>257</v>
      </c>
      <c r="D377" s="4" t="s">
        <v>37</v>
      </c>
      <c r="E377" s="4" t="s">
        <v>659</v>
      </c>
      <c r="F377" s="4" t="s">
        <v>936</v>
      </c>
      <c r="G377" s="4" t="s">
        <v>762</v>
      </c>
      <c r="H377" s="4">
        <v>3</v>
      </c>
      <c r="I377" s="7">
        <v>0.12</v>
      </c>
      <c r="J377" s="6">
        <v>12423</v>
      </c>
      <c r="K377" s="4">
        <v>3</v>
      </c>
      <c r="L377" s="8">
        <f t="shared" si="5"/>
        <v>4</v>
      </c>
      <c r="M377" s="6" t="str">
        <f>_xlfn.XLOOKUP(FactSales[[#This Row],[Product_ID]],DimProduct[Product_ID],DimProduct[Product_Name])</f>
        <v>Smart Watch</v>
      </c>
      <c r="N377" s="6" t="str">
        <f>_xlfn.XLOOKUP(FactSales[[#This Row],[Product_ID]],DimProduct[Product_ID],DimProduct[Category])</f>
        <v>Electronics</v>
      </c>
      <c r="O377" s="6">
        <f>_xlfn.XLOOKUP(FactSales[[#This Row],[Product_ID]],DimProduct[Product_ID],DimProduct[Unit_Price])</f>
        <v>3870</v>
      </c>
      <c r="P377" s="6">
        <f>_xlfn.XLOOKUP(FactSales[[#This Row],[Product_ID]],DimProduct[Product_ID],DimProduct[Unit_Cost])</f>
        <v>2630</v>
      </c>
      <c r="Q377" s="6">
        <f>FactSales[[#This Row],[Unit_Price]]*FactSales[[#This Row],[Quantity_Sold]]</f>
        <v>11610</v>
      </c>
      <c r="R377" s="6">
        <f>FactSales[[#This Row],[Unit_Cost]]*FactSales[[#This Row],[Quantity_Sold]]</f>
        <v>7890</v>
      </c>
      <c r="S377" s="6">
        <f>FactSales[[#This Row],[Sales_Amount]]-FactSales[[#This Row],[Total_Cost]]</f>
        <v>3720</v>
      </c>
      <c r="T377" s="6" t="str">
        <f>_xlfn.XLOOKUP(FactSales[[#This Row],[Customer_ID]],DimCustomer[Customer_ID],DimCustomer[Customer_Name])</f>
        <v>Sadia Sultana</v>
      </c>
      <c r="U377" s="6" t="str">
        <f>_xlfn.XLOOKUP(FactSales[[#This Row],[Salesperson_ID]],DimSalesman[Salesperson_ID],DimSalesman[Salesperson_Name])</f>
        <v>Mehedi Chowdhury</v>
      </c>
      <c r="V377" s="6" t="str">
        <f>_xlfn.XLOOKUP(FactSales[[#This Row],[Region_ID]],DimRegion[Region_ID],DimRegion[Region_Name])</f>
        <v>Sylhet</v>
      </c>
      <c r="W377" s="6" t="str">
        <f>_xlfn.XLOOKUP(FactSales[[#This Row],[Store_ID]],DimStore[Store_ID],DimStore[Store_Name])</f>
        <v>Sylhet South Surma Store</v>
      </c>
    </row>
    <row r="378" spans="1:23">
      <c r="A378" s="4" t="s">
        <v>1374</v>
      </c>
      <c r="B378" s="5">
        <v>45966</v>
      </c>
      <c r="C378" s="4" t="s">
        <v>248</v>
      </c>
      <c r="D378" s="4" t="s">
        <v>37</v>
      </c>
      <c r="E378" s="4" t="s">
        <v>662</v>
      </c>
      <c r="F378" s="4" t="s">
        <v>939</v>
      </c>
      <c r="G378" s="4" t="s">
        <v>903</v>
      </c>
      <c r="H378" s="4">
        <v>1</v>
      </c>
      <c r="I378" s="7">
        <v>0.03</v>
      </c>
      <c r="J378" s="6">
        <v>4526</v>
      </c>
      <c r="K378" s="4">
        <v>3</v>
      </c>
      <c r="L378" s="8">
        <f t="shared" si="5"/>
        <v>4.2</v>
      </c>
      <c r="M378" s="6" t="str">
        <f>_xlfn.XLOOKUP(FactSales[[#This Row],[Product_ID]],DimProduct[Product_ID],DimProduct[Product_Name])</f>
        <v>Bookshelf</v>
      </c>
      <c r="N378" s="6" t="str">
        <f>_xlfn.XLOOKUP(FactSales[[#This Row],[Product_ID]],DimProduct[Product_ID],DimProduct[Category])</f>
        <v>Furniture</v>
      </c>
      <c r="O378" s="6">
        <f>_xlfn.XLOOKUP(FactSales[[#This Row],[Product_ID]],DimProduct[Product_ID],DimProduct[Unit_Price])</f>
        <v>4230</v>
      </c>
      <c r="P378" s="6">
        <f>_xlfn.XLOOKUP(FactSales[[#This Row],[Product_ID]],DimProduct[Product_ID],DimProduct[Unit_Cost])</f>
        <v>3050</v>
      </c>
      <c r="Q378" s="6">
        <f>FactSales[[#This Row],[Unit_Price]]*FactSales[[#This Row],[Quantity_Sold]]</f>
        <v>4230</v>
      </c>
      <c r="R378" s="6">
        <f>FactSales[[#This Row],[Unit_Cost]]*FactSales[[#This Row],[Quantity_Sold]]</f>
        <v>3050</v>
      </c>
      <c r="S378" s="6">
        <f>FactSales[[#This Row],[Sales_Amount]]-FactSales[[#This Row],[Total_Cost]]</f>
        <v>1180</v>
      </c>
      <c r="T378" s="6" t="str">
        <f>_xlfn.XLOOKUP(FactSales[[#This Row],[Customer_ID]],DimCustomer[Customer_ID],DimCustomer[Customer_Name])</f>
        <v>Tamanna Rahman</v>
      </c>
      <c r="U378" s="6" t="str">
        <f>_xlfn.XLOOKUP(FactSales[[#This Row],[Salesperson_ID]],DimSalesman[Salesperson_ID],DimSalesman[Salesperson_Name])</f>
        <v>Fahim Mia</v>
      </c>
      <c r="V378" s="6" t="str">
        <f>_xlfn.XLOOKUP(FactSales[[#This Row],[Region_ID]],DimRegion[Region_ID],DimRegion[Region_Name])</f>
        <v>Sylhet</v>
      </c>
      <c r="W378" s="6" t="str">
        <f>_xlfn.XLOOKUP(FactSales[[#This Row],[Store_ID]],DimStore[Store_ID],DimStore[Store_Name])</f>
        <v>Sylhet Subidbazar Store</v>
      </c>
    </row>
    <row r="379" spans="1:23">
      <c r="A379" s="4" t="s">
        <v>1375</v>
      </c>
      <c r="B379" s="5">
        <v>46177</v>
      </c>
      <c r="C379" s="4" t="s">
        <v>257</v>
      </c>
      <c r="D379" s="4" t="s">
        <v>37</v>
      </c>
      <c r="E379" s="4" t="s">
        <v>659</v>
      </c>
      <c r="F379" s="4" t="s">
        <v>934</v>
      </c>
      <c r="G379" s="4" t="s">
        <v>750</v>
      </c>
      <c r="H379" s="4">
        <v>2</v>
      </c>
      <c r="I379" s="7">
        <v>0.12</v>
      </c>
      <c r="J379" s="6">
        <v>6934</v>
      </c>
      <c r="K379" s="4">
        <v>4</v>
      </c>
      <c r="L379" s="8">
        <f t="shared" si="5"/>
        <v>3.7</v>
      </c>
      <c r="M379" s="6" t="str">
        <f>_xlfn.XLOOKUP(FactSales[[#This Row],[Product_ID]],DimProduct[Product_ID],DimProduct[Product_Name])</f>
        <v>Bluetooth Speaker</v>
      </c>
      <c r="N379" s="6" t="str">
        <f>_xlfn.XLOOKUP(FactSales[[#This Row],[Product_ID]],DimProduct[Product_ID],DimProduct[Category])</f>
        <v>Electronics</v>
      </c>
      <c r="O379" s="6">
        <f>_xlfn.XLOOKUP(FactSales[[#This Row],[Product_ID]],DimProduct[Product_ID],DimProduct[Unit_Price])</f>
        <v>3240</v>
      </c>
      <c r="P379" s="6">
        <f>_xlfn.XLOOKUP(FactSales[[#This Row],[Product_ID]],DimProduct[Product_ID],DimProduct[Unit_Cost])</f>
        <v>2200</v>
      </c>
      <c r="Q379" s="6">
        <f>FactSales[[#This Row],[Unit_Price]]*FactSales[[#This Row],[Quantity_Sold]]</f>
        <v>6480</v>
      </c>
      <c r="R379" s="6">
        <f>FactSales[[#This Row],[Unit_Cost]]*FactSales[[#This Row],[Quantity_Sold]]</f>
        <v>4400</v>
      </c>
      <c r="S379" s="6">
        <f>FactSales[[#This Row],[Sales_Amount]]-FactSales[[#This Row],[Total_Cost]]</f>
        <v>2080</v>
      </c>
      <c r="T379" s="6" t="str">
        <f>_xlfn.XLOOKUP(FactSales[[#This Row],[Customer_ID]],DimCustomer[Customer_ID],DimCustomer[Customer_Name])</f>
        <v>Sadia Sultana</v>
      </c>
      <c r="U379" s="6" t="str">
        <f>_xlfn.XLOOKUP(FactSales[[#This Row],[Salesperson_ID]],DimSalesman[Salesperson_ID],DimSalesman[Salesperson_Name])</f>
        <v>Hasan Mia</v>
      </c>
      <c r="V379" s="6" t="str">
        <f>_xlfn.XLOOKUP(FactSales[[#This Row],[Region_ID]],DimRegion[Region_ID],DimRegion[Region_Name])</f>
        <v>Sylhet</v>
      </c>
      <c r="W379" s="6" t="str">
        <f>_xlfn.XLOOKUP(FactSales[[#This Row],[Store_ID]],DimStore[Store_ID],DimStore[Store_Name])</f>
        <v>Sylhet South Surma Store</v>
      </c>
    </row>
    <row r="380" spans="1:23">
      <c r="A380" s="4" t="s">
        <v>1376</v>
      </c>
      <c r="B380" s="5">
        <v>46110</v>
      </c>
      <c r="C380" s="4" t="s">
        <v>575</v>
      </c>
      <c r="D380" s="4" t="s">
        <v>62</v>
      </c>
      <c r="E380" s="4" t="s">
        <v>740</v>
      </c>
      <c r="F380" s="4" t="s">
        <v>987</v>
      </c>
      <c r="G380" s="4" t="s">
        <v>758</v>
      </c>
      <c r="H380" s="4">
        <v>2</v>
      </c>
      <c r="I380" s="7">
        <v>0.15</v>
      </c>
      <c r="J380" s="6">
        <v>6134</v>
      </c>
      <c r="K380" s="4">
        <v>5</v>
      </c>
      <c r="L380" s="8">
        <f t="shared" si="5"/>
        <v>3.3</v>
      </c>
      <c r="M380" s="6" t="str">
        <f>_xlfn.XLOOKUP(FactSales[[#This Row],[Product_ID]],DimProduct[Product_ID],DimProduct[Product_Name])</f>
        <v>Power Bank</v>
      </c>
      <c r="N380" s="6" t="str">
        <f>_xlfn.XLOOKUP(FactSales[[#This Row],[Product_ID]],DimProduct[Product_ID],DimProduct[Category])</f>
        <v>Electronics</v>
      </c>
      <c r="O380" s="6">
        <f>_xlfn.XLOOKUP(FactSales[[#This Row],[Product_ID]],DimProduct[Product_ID],DimProduct[Unit_Price])</f>
        <v>2840</v>
      </c>
      <c r="P380" s="6">
        <f>_xlfn.XLOOKUP(FactSales[[#This Row],[Product_ID]],DimProduct[Product_ID],DimProduct[Unit_Cost])</f>
        <v>1930</v>
      </c>
      <c r="Q380" s="6">
        <f>FactSales[[#This Row],[Unit_Price]]*FactSales[[#This Row],[Quantity_Sold]]</f>
        <v>5680</v>
      </c>
      <c r="R380" s="6">
        <f>FactSales[[#This Row],[Unit_Cost]]*FactSales[[#This Row],[Quantity_Sold]]</f>
        <v>3860</v>
      </c>
      <c r="S380" s="6">
        <f>FactSales[[#This Row],[Sales_Amount]]-FactSales[[#This Row],[Total_Cost]]</f>
        <v>1820</v>
      </c>
      <c r="T380" s="6" t="str">
        <f>_xlfn.XLOOKUP(FactSales[[#This Row],[Customer_ID]],DimCustomer[Customer_ID],DimCustomer[Customer_Name])</f>
        <v>Jannat Sultana</v>
      </c>
      <c r="U380" s="6" t="str">
        <f>_xlfn.XLOOKUP(FactSales[[#This Row],[Salesperson_ID]],DimSalesman[Salesperson_ID],DimSalesman[Salesperson_Name])</f>
        <v>Tanvir Chowdhury</v>
      </c>
      <c r="V380" s="6" t="str">
        <f>_xlfn.XLOOKUP(FactSales[[#This Row],[Region_ID]],DimRegion[Region_ID],DimRegion[Region_Name])</f>
        <v>Mymensingh</v>
      </c>
      <c r="W380" s="6" t="str">
        <f>_xlfn.XLOOKUP(FactSales[[#This Row],[Store_ID]],DimStore[Store_ID],DimStore[Store_Name])</f>
        <v>Mymensingh Maskanda Store</v>
      </c>
    </row>
    <row r="381" spans="1:23">
      <c r="A381" s="4" t="s">
        <v>1377</v>
      </c>
      <c r="B381" s="5">
        <v>45883</v>
      </c>
      <c r="C381" s="4" t="s">
        <v>174</v>
      </c>
      <c r="D381" s="4" t="s">
        <v>32</v>
      </c>
      <c r="E381" s="4" t="s">
        <v>638</v>
      </c>
      <c r="F381" s="4" t="s">
        <v>927</v>
      </c>
      <c r="G381" s="4" t="s">
        <v>825</v>
      </c>
      <c r="H381" s="4">
        <v>2</v>
      </c>
      <c r="I381" s="7">
        <v>0.03</v>
      </c>
      <c r="J381" s="6">
        <v>2645</v>
      </c>
      <c r="K381" s="4">
        <v>4</v>
      </c>
      <c r="L381" s="8">
        <f t="shared" si="5"/>
        <v>3.9</v>
      </c>
      <c r="M381" s="6" t="str">
        <f>_xlfn.XLOOKUP(FactSales[[#This Row],[Product_ID]],DimProduct[Product_ID],DimProduct[Product_Name])</f>
        <v>Body Lotion</v>
      </c>
      <c r="N381" s="6" t="str">
        <f>_xlfn.XLOOKUP(FactSales[[#This Row],[Product_ID]],DimProduct[Product_ID],DimProduct[Category])</f>
        <v>Beauty &amp; Personal Care</v>
      </c>
      <c r="O381" s="6">
        <f>_xlfn.XLOOKUP(FactSales[[#This Row],[Product_ID]],DimProduct[Product_ID],DimProduct[Unit_Price])</f>
        <v>1160</v>
      </c>
      <c r="P381" s="6">
        <f>_xlfn.XLOOKUP(FactSales[[#This Row],[Product_ID]],DimProduct[Product_ID],DimProduct[Unit_Cost])</f>
        <v>670</v>
      </c>
      <c r="Q381" s="6">
        <f>FactSales[[#This Row],[Unit_Price]]*FactSales[[#This Row],[Quantity_Sold]]</f>
        <v>2320</v>
      </c>
      <c r="R381" s="6">
        <f>FactSales[[#This Row],[Unit_Cost]]*FactSales[[#This Row],[Quantity_Sold]]</f>
        <v>1340</v>
      </c>
      <c r="S381" s="6">
        <f>FactSales[[#This Row],[Sales_Amount]]-FactSales[[#This Row],[Total_Cost]]</f>
        <v>980</v>
      </c>
      <c r="T381" s="6" t="str">
        <f>_xlfn.XLOOKUP(FactSales[[#This Row],[Customer_ID]],DimCustomer[Customer_ID],DimCustomer[Customer_Name])</f>
        <v>Jannat Ahmed</v>
      </c>
      <c r="U381" s="6" t="str">
        <f>_xlfn.XLOOKUP(FactSales[[#This Row],[Salesperson_ID]],DimSalesman[Salesperson_ID],DimSalesman[Salesperson_Name])</f>
        <v>Shakib Ahmed</v>
      </c>
      <c r="V381" s="6" t="str">
        <f>_xlfn.XLOOKUP(FactSales[[#This Row],[Region_ID]],DimRegion[Region_ID],DimRegion[Region_Name])</f>
        <v>Chattogram</v>
      </c>
      <c r="W381" s="6" t="str">
        <f>_xlfn.XLOOKUP(FactSales[[#This Row],[Store_ID]],DimStore[Store_ID],DimStore[Store_Name])</f>
        <v>Chattogram Agrabad Store</v>
      </c>
    </row>
    <row r="382" spans="1:23">
      <c r="A382" s="4" t="s">
        <v>1378</v>
      </c>
      <c r="B382" s="5">
        <v>45885</v>
      </c>
      <c r="C382" s="4" t="s">
        <v>427</v>
      </c>
      <c r="D382" s="4" t="s">
        <v>52</v>
      </c>
      <c r="E382" s="4" t="s">
        <v>710</v>
      </c>
      <c r="F382" s="4" t="s">
        <v>966</v>
      </c>
      <c r="G382" s="4" t="s">
        <v>762</v>
      </c>
      <c r="H382" s="4">
        <v>4</v>
      </c>
      <c r="I382" s="7">
        <v>0.12</v>
      </c>
      <c r="J382" s="6">
        <v>17338</v>
      </c>
      <c r="K382" s="4">
        <v>5</v>
      </c>
      <c r="L382" s="8">
        <f t="shared" si="5"/>
        <v>3.3</v>
      </c>
      <c r="M382" s="6" t="str">
        <f>_xlfn.XLOOKUP(FactSales[[#This Row],[Product_ID]],DimProduct[Product_ID],DimProduct[Product_Name])</f>
        <v>Smart Watch</v>
      </c>
      <c r="N382" s="6" t="str">
        <f>_xlfn.XLOOKUP(FactSales[[#This Row],[Product_ID]],DimProduct[Product_ID],DimProduct[Category])</f>
        <v>Electronics</v>
      </c>
      <c r="O382" s="6">
        <f>_xlfn.XLOOKUP(FactSales[[#This Row],[Product_ID]],DimProduct[Product_ID],DimProduct[Unit_Price])</f>
        <v>3870</v>
      </c>
      <c r="P382" s="6">
        <f>_xlfn.XLOOKUP(FactSales[[#This Row],[Product_ID]],DimProduct[Product_ID],DimProduct[Unit_Cost])</f>
        <v>2630</v>
      </c>
      <c r="Q382" s="6">
        <f>FactSales[[#This Row],[Unit_Price]]*FactSales[[#This Row],[Quantity_Sold]]</f>
        <v>15480</v>
      </c>
      <c r="R382" s="6">
        <f>FactSales[[#This Row],[Unit_Cost]]*FactSales[[#This Row],[Quantity_Sold]]</f>
        <v>10520</v>
      </c>
      <c r="S382" s="6">
        <f>FactSales[[#This Row],[Sales_Amount]]-FactSales[[#This Row],[Total_Cost]]</f>
        <v>4960</v>
      </c>
      <c r="T382" s="6" t="str">
        <f>_xlfn.XLOOKUP(FactSales[[#This Row],[Customer_ID]],DimCustomer[Customer_ID],DimCustomer[Customer_Name])</f>
        <v>Nabila Khan</v>
      </c>
      <c r="U382" s="6" t="str">
        <f>_xlfn.XLOOKUP(FactSales[[#This Row],[Salesperson_ID]],DimSalesman[Salesperson_ID],DimSalesman[Salesperson_Name])</f>
        <v>Nayeem Akter</v>
      </c>
      <c r="V382" s="6" t="str">
        <f>_xlfn.XLOOKUP(FactSales[[#This Row],[Region_ID]],DimRegion[Region_ID],DimRegion[Region_Name])</f>
        <v>Barishal</v>
      </c>
      <c r="W382" s="6" t="str">
        <f>_xlfn.XLOOKUP(FactSales[[#This Row],[Store_ID]],DimStore[Store_ID],DimStore[Store_Name])</f>
        <v>Barishal Kawnia Store</v>
      </c>
    </row>
    <row r="383" spans="1:23">
      <c r="A383" s="4" t="s">
        <v>1379</v>
      </c>
      <c r="B383" s="5">
        <v>46160</v>
      </c>
      <c r="C383" s="4" t="s">
        <v>604</v>
      </c>
      <c r="D383" s="4" t="s">
        <v>62</v>
      </c>
      <c r="E383" s="4" t="s">
        <v>728</v>
      </c>
      <c r="F383" s="4" t="s">
        <v>985</v>
      </c>
      <c r="G383" s="4" t="s">
        <v>781</v>
      </c>
      <c r="H383" s="4">
        <v>2</v>
      </c>
      <c r="I383" s="7">
        <v>0.18</v>
      </c>
      <c r="J383" s="6">
        <v>6718</v>
      </c>
      <c r="K383" s="4">
        <v>7</v>
      </c>
      <c r="L383" s="8">
        <f t="shared" si="5"/>
        <v>2.6</v>
      </c>
      <c r="M383" s="6" t="str">
        <f>_xlfn.XLOOKUP(FactSales[[#This Row],[Product_ID]],DimProduct[Product_ID],DimProduct[Product_Name])</f>
        <v>Table Fan</v>
      </c>
      <c r="N383" s="6" t="str">
        <f>_xlfn.XLOOKUP(FactSales[[#This Row],[Product_ID]],DimProduct[Product_ID],DimProduct[Category])</f>
        <v>Home Appliance</v>
      </c>
      <c r="O383" s="6">
        <f>_xlfn.XLOOKUP(FactSales[[#This Row],[Product_ID]],DimProduct[Product_ID],DimProduct[Unit_Price])</f>
        <v>3110</v>
      </c>
      <c r="P383" s="6">
        <f>_xlfn.XLOOKUP(FactSales[[#This Row],[Product_ID]],DimProduct[Product_ID],DimProduct[Unit_Cost])</f>
        <v>2180</v>
      </c>
      <c r="Q383" s="6">
        <f>FactSales[[#This Row],[Unit_Price]]*FactSales[[#This Row],[Quantity_Sold]]</f>
        <v>6220</v>
      </c>
      <c r="R383" s="6">
        <f>FactSales[[#This Row],[Unit_Cost]]*FactSales[[#This Row],[Quantity_Sold]]</f>
        <v>4360</v>
      </c>
      <c r="S383" s="6">
        <f>FactSales[[#This Row],[Sales_Amount]]-FactSales[[#This Row],[Total_Cost]]</f>
        <v>1860</v>
      </c>
      <c r="T383" s="6" t="str">
        <f>_xlfn.XLOOKUP(FactSales[[#This Row],[Customer_ID]],DimCustomer[Customer_ID],DimCustomer[Customer_Name])</f>
        <v>Shamim Rahman</v>
      </c>
      <c r="U383" s="6" t="str">
        <f>_xlfn.XLOOKUP(FactSales[[#This Row],[Salesperson_ID]],DimSalesman[Salesperson_ID],DimSalesman[Salesperson_Name])</f>
        <v>Tamanna Sultana</v>
      </c>
      <c r="V383" s="6" t="str">
        <f>_xlfn.XLOOKUP(FactSales[[#This Row],[Region_ID]],DimRegion[Region_ID],DimRegion[Region_Name])</f>
        <v>Mymensingh</v>
      </c>
      <c r="W383" s="6" t="str">
        <f>_xlfn.XLOOKUP(FactSales[[#This Row],[Store_ID]],DimStore[Store_ID],DimStore[Store_Name])</f>
        <v>Mymensingh Ganginarpar Store</v>
      </c>
    </row>
    <row r="384" spans="1:23">
      <c r="A384" s="4" t="s">
        <v>1380</v>
      </c>
      <c r="B384" s="5">
        <v>46095</v>
      </c>
      <c r="C384" s="4" t="s">
        <v>136</v>
      </c>
      <c r="D384" s="4" t="s">
        <v>27</v>
      </c>
      <c r="E384" s="4" t="s">
        <v>626</v>
      </c>
      <c r="F384" s="4" t="s">
        <v>918</v>
      </c>
      <c r="G384" s="4" t="s">
        <v>758</v>
      </c>
      <c r="H384" s="4">
        <v>3</v>
      </c>
      <c r="I384" s="7">
        <v>0.08</v>
      </c>
      <c r="J384" s="6">
        <v>9031</v>
      </c>
      <c r="K384" s="4">
        <v>2</v>
      </c>
      <c r="L384" s="8">
        <f t="shared" si="5"/>
        <v>4.4000000000000004</v>
      </c>
      <c r="M384" s="6" t="str">
        <f>_xlfn.XLOOKUP(FactSales[[#This Row],[Product_ID]],DimProduct[Product_ID],DimProduct[Product_Name])</f>
        <v>Power Bank</v>
      </c>
      <c r="N384" s="6" t="str">
        <f>_xlfn.XLOOKUP(FactSales[[#This Row],[Product_ID]],DimProduct[Product_ID],DimProduct[Category])</f>
        <v>Electronics</v>
      </c>
      <c r="O384" s="6">
        <f>_xlfn.XLOOKUP(FactSales[[#This Row],[Product_ID]],DimProduct[Product_ID],DimProduct[Unit_Price])</f>
        <v>2840</v>
      </c>
      <c r="P384" s="6">
        <f>_xlfn.XLOOKUP(FactSales[[#This Row],[Product_ID]],DimProduct[Product_ID],DimProduct[Unit_Cost])</f>
        <v>1930</v>
      </c>
      <c r="Q384" s="6">
        <f>FactSales[[#This Row],[Unit_Price]]*FactSales[[#This Row],[Quantity_Sold]]</f>
        <v>8520</v>
      </c>
      <c r="R384" s="6">
        <f>FactSales[[#This Row],[Unit_Cost]]*FactSales[[#This Row],[Quantity_Sold]]</f>
        <v>5790</v>
      </c>
      <c r="S384" s="6">
        <f>FactSales[[#This Row],[Sales_Amount]]-FactSales[[#This Row],[Total_Cost]]</f>
        <v>2730</v>
      </c>
      <c r="T384" s="6" t="str">
        <f>_xlfn.XLOOKUP(FactSales[[#This Row],[Customer_ID]],DimCustomer[Customer_ID],DimCustomer[Customer_Name])</f>
        <v>Arif Rahman</v>
      </c>
      <c r="U384" s="6" t="str">
        <f>_xlfn.XLOOKUP(FactSales[[#This Row],[Salesperson_ID]],DimSalesman[Salesperson_ID],DimSalesman[Salesperson_Name])</f>
        <v>Tania Sultana</v>
      </c>
      <c r="V384" s="6" t="str">
        <f>_xlfn.XLOOKUP(FactSales[[#This Row],[Region_ID]],DimRegion[Region_ID],DimRegion[Region_Name])</f>
        <v>Dhaka</v>
      </c>
      <c r="W384" s="6" t="str">
        <f>_xlfn.XLOOKUP(FactSales[[#This Row],[Store_ID]],DimStore[Store_ID],DimStore[Store_Name])</f>
        <v>Dhaka Mirpur Store</v>
      </c>
    </row>
    <row r="385" spans="1:23">
      <c r="A385" s="4" t="s">
        <v>1381</v>
      </c>
      <c r="B385" s="5">
        <v>46112</v>
      </c>
      <c r="C385" s="4" t="s">
        <v>593</v>
      </c>
      <c r="D385" s="4" t="s">
        <v>62</v>
      </c>
      <c r="E385" s="4" t="s">
        <v>728</v>
      </c>
      <c r="F385" s="4" t="s">
        <v>979</v>
      </c>
      <c r="G385" s="4" t="s">
        <v>850</v>
      </c>
      <c r="H385" s="4">
        <v>5</v>
      </c>
      <c r="I385" s="7">
        <v>0.1</v>
      </c>
      <c r="J385" s="6">
        <v>14256</v>
      </c>
      <c r="K385" s="4">
        <v>6</v>
      </c>
      <c r="L385" s="8">
        <f t="shared" si="5"/>
        <v>3.1</v>
      </c>
      <c r="M385" s="6" t="str">
        <f>_xlfn.XLOOKUP(FactSales[[#This Row],[Product_ID]],DimProduct[Product_ID],DimProduct[Product_Name])</f>
        <v>Cricket Bat</v>
      </c>
      <c r="N385" s="6" t="str">
        <f>_xlfn.XLOOKUP(FactSales[[#This Row],[Product_ID]],DimProduct[Product_ID],DimProduct[Category])</f>
        <v>Sports</v>
      </c>
      <c r="O385" s="6">
        <f>_xlfn.XLOOKUP(FactSales[[#This Row],[Product_ID]],DimProduct[Product_ID],DimProduct[Unit_Price])</f>
        <v>2640</v>
      </c>
      <c r="P385" s="6">
        <f>_xlfn.XLOOKUP(FactSales[[#This Row],[Product_ID]],DimProduct[Product_ID],DimProduct[Unit_Cost])</f>
        <v>1640</v>
      </c>
      <c r="Q385" s="6">
        <f>FactSales[[#This Row],[Unit_Price]]*FactSales[[#This Row],[Quantity_Sold]]</f>
        <v>13200</v>
      </c>
      <c r="R385" s="6">
        <f>FactSales[[#This Row],[Unit_Cost]]*FactSales[[#This Row],[Quantity_Sold]]</f>
        <v>8200</v>
      </c>
      <c r="S385" s="6">
        <f>FactSales[[#This Row],[Sales_Amount]]-FactSales[[#This Row],[Total_Cost]]</f>
        <v>5000</v>
      </c>
      <c r="T385" s="6" t="str">
        <f>_xlfn.XLOOKUP(FactSales[[#This Row],[Customer_ID]],DimCustomer[Customer_ID],DimCustomer[Customer_Name])</f>
        <v>Nusrat Akter</v>
      </c>
      <c r="U385" s="6" t="str">
        <f>_xlfn.XLOOKUP(FactSales[[#This Row],[Salesperson_ID]],DimSalesman[Salesperson_ID],DimSalesman[Salesperson_Name])</f>
        <v>Rahim Rahman</v>
      </c>
      <c r="V385" s="6" t="str">
        <f>_xlfn.XLOOKUP(FactSales[[#This Row],[Region_ID]],DimRegion[Region_ID],DimRegion[Region_Name])</f>
        <v>Mymensingh</v>
      </c>
      <c r="W385" s="6" t="str">
        <f>_xlfn.XLOOKUP(FactSales[[#This Row],[Store_ID]],DimStore[Store_ID],DimStore[Store_Name])</f>
        <v>Mymensingh Ganginarpar Store</v>
      </c>
    </row>
    <row r="386" spans="1:23">
      <c r="A386" s="4" t="s">
        <v>1382</v>
      </c>
      <c r="B386" s="5">
        <v>45800</v>
      </c>
      <c r="C386" s="4" t="s">
        <v>369</v>
      </c>
      <c r="D386" s="4" t="s">
        <v>47</v>
      </c>
      <c r="E386" s="4" t="s">
        <v>692</v>
      </c>
      <c r="F386" s="4" t="s">
        <v>958</v>
      </c>
      <c r="G386" s="4" t="s">
        <v>885</v>
      </c>
      <c r="H386" s="4">
        <v>5</v>
      </c>
      <c r="I386" s="7">
        <v>0.12</v>
      </c>
      <c r="J386" s="6">
        <v>11990</v>
      </c>
      <c r="K386" s="4">
        <v>4</v>
      </c>
      <c r="L386" s="8">
        <f t="shared" ref="L386:L449" si="6">MAX(1,MIN(5,ROUND(5.2-(K386*0.32)-(I386*2.2),1)))</f>
        <v>3.7</v>
      </c>
      <c r="M386" s="6" t="str">
        <f>_xlfn.XLOOKUP(FactSales[[#This Row],[Product_ID]],DimProduct[Product_ID],DimProduct[Product_Name])</f>
        <v>Puzzle Board</v>
      </c>
      <c r="N386" s="6" t="str">
        <f>_xlfn.XLOOKUP(FactSales[[#This Row],[Product_ID]],DimProduct[Product_ID],DimProduct[Category])</f>
        <v>Kids &amp; Toys</v>
      </c>
      <c r="O386" s="6">
        <f>_xlfn.XLOOKUP(FactSales[[#This Row],[Product_ID]],DimProduct[Product_ID],DimProduct[Unit_Price])</f>
        <v>2200</v>
      </c>
      <c r="P386" s="6">
        <f>_xlfn.XLOOKUP(FactSales[[#This Row],[Product_ID]],DimProduct[Product_ID],DimProduct[Unit_Cost])</f>
        <v>1210</v>
      </c>
      <c r="Q386" s="6">
        <f>FactSales[[#This Row],[Unit_Price]]*FactSales[[#This Row],[Quantity_Sold]]</f>
        <v>11000</v>
      </c>
      <c r="R386" s="6">
        <f>FactSales[[#This Row],[Unit_Cost]]*FactSales[[#This Row],[Quantity_Sold]]</f>
        <v>6050</v>
      </c>
      <c r="S386" s="6">
        <f>FactSales[[#This Row],[Sales_Amount]]-FactSales[[#This Row],[Total_Cost]]</f>
        <v>4950</v>
      </c>
      <c r="T386" s="6" t="str">
        <f>_xlfn.XLOOKUP(FactSales[[#This Row],[Customer_ID]],DimCustomer[Customer_ID],DimCustomer[Customer_Name])</f>
        <v>Sadia Ahmed</v>
      </c>
      <c r="U386" s="6" t="str">
        <f>_xlfn.XLOOKUP(FactSales[[#This Row],[Salesperson_ID]],DimSalesman[Salesperson_ID],DimSalesman[Salesperson_Name])</f>
        <v>Fahim Uddin</v>
      </c>
      <c r="V386" s="6" t="str">
        <f>_xlfn.XLOOKUP(FactSales[[#This Row],[Region_ID]],DimRegion[Region_ID],DimRegion[Region_Name])</f>
        <v>Khulna</v>
      </c>
      <c r="W386" s="6" t="str">
        <f>_xlfn.XLOOKUP(FactSales[[#This Row],[Store_ID]],DimStore[Store_ID],DimStore[Store_Name])</f>
        <v>Khulna Boyra Store</v>
      </c>
    </row>
    <row r="387" spans="1:23">
      <c r="A387" s="4" t="s">
        <v>1383</v>
      </c>
      <c r="B387" s="5">
        <v>46042</v>
      </c>
      <c r="C387" s="4" t="s">
        <v>590</v>
      </c>
      <c r="D387" s="4" t="s">
        <v>62</v>
      </c>
      <c r="E387" s="4" t="s">
        <v>734</v>
      </c>
      <c r="F387" s="4" t="s">
        <v>978</v>
      </c>
      <c r="G387" s="4" t="s">
        <v>893</v>
      </c>
      <c r="H387" s="4">
        <v>1</v>
      </c>
      <c r="I387" s="7">
        <v>0.1</v>
      </c>
      <c r="J387" s="6">
        <v>4730</v>
      </c>
      <c r="K387" s="4">
        <v>7</v>
      </c>
      <c r="L387" s="8">
        <f t="shared" si="6"/>
        <v>2.7</v>
      </c>
      <c r="M387" s="6" t="str">
        <f>_xlfn.XLOOKUP(FactSales[[#This Row],[Product_ID]],DimProduct[Product_ID],DimProduct[Product_Name])</f>
        <v>Office Chair</v>
      </c>
      <c r="N387" s="6" t="str">
        <f>_xlfn.XLOOKUP(FactSales[[#This Row],[Product_ID]],DimProduct[Product_ID],DimProduct[Category])</f>
        <v>Furniture</v>
      </c>
      <c r="O387" s="6">
        <f>_xlfn.XLOOKUP(FactSales[[#This Row],[Product_ID]],DimProduct[Product_ID],DimProduct[Unit_Price])</f>
        <v>4380</v>
      </c>
      <c r="P387" s="6">
        <f>_xlfn.XLOOKUP(FactSales[[#This Row],[Product_ID]],DimProduct[Product_ID],DimProduct[Unit_Cost])</f>
        <v>3150</v>
      </c>
      <c r="Q387" s="6">
        <f>FactSales[[#This Row],[Unit_Price]]*FactSales[[#This Row],[Quantity_Sold]]</f>
        <v>4380</v>
      </c>
      <c r="R387" s="6">
        <f>FactSales[[#This Row],[Unit_Cost]]*FactSales[[#This Row],[Quantity_Sold]]</f>
        <v>3150</v>
      </c>
      <c r="S387" s="6">
        <f>FactSales[[#This Row],[Sales_Amount]]-FactSales[[#This Row],[Total_Cost]]</f>
        <v>1230</v>
      </c>
      <c r="T387" s="6" t="str">
        <f>_xlfn.XLOOKUP(FactSales[[#This Row],[Customer_ID]],DimCustomer[Customer_ID],DimCustomer[Customer_Name])</f>
        <v>Rafi Akter</v>
      </c>
      <c r="U387" s="6" t="str">
        <f>_xlfn.XLOOKUP(FactSales[[#This Row],[Salesperson_ID]],DimSalesman[Salesperson_ID],DimSalesman[Salesperson_Name])</f>
        <v>Sajib Rahman</v>
      </c>
      <c r="V387" s="6" t="str">
        <f>_xlfn.XLOOKUP(FactSales[[#This Row],[Region_ID]],DimRegion[Region_ID],DimRegion[Region_Name])</f>
        <v>Mymensingh</v>
      </c>
      <c r="W387" s="6" t="str">
        <f>_xlfn.XLOOKUP(FactSales[[#This Row],[Store_ID]],DimStore[Store_ID],DimStore[Store_Name])</f>
        <v>Mymensingh Charpara Store</v>
      </c>
    </row>
    <row r="388" spans="1:23">
      <c r="A388" s="4" t="s">
        <v>1384</v>
      </c>
      <c r="B388" s="5">
        <v>45798</v>
      </c>
      <c r="C388" s="4" t="s">
        <v>393</v>
      </c>
      <c r="D388" s="4" t="s">
        <v>47</v>
      </c>
      <c r="E388" s="4" t="s">
        <v>686</v>
      </c>
      <c r="F388" s="4" t="s">
        <v>956</v>
      </c>
      <c r="G388" s="4" t="s">
        <v>788</v>
      </c>
      <c r="H388" s="4">
        <v>1</v>
      </c>
      <c r="I388" s="7">
        <v>0.1</v>
      </c>
      <c r="J388" s="6">
        <v>1984</v>
      </c>
      <c r="K388" s="4">
        <v>2</v>
      </c>
      <c r="L388" s="8">
        <f t="shared" si="6"/>
        <v>4.3</v>
      </c>
      <c r="M388" s="6" t="str">
        <f>_xlfn.XLOOKUP(FactSales[[#This Row],[Product_ID]],DimProduct[Product_ID],DimProduct[Product_Name])</f>
        <v>Formal Shirt</v>
      </c>
      <c r="N388" s="6" t="str">
        <f>_xlfn.XLOOKUP(FactSales[[#This Row],[Product_ID]],DimProduct[Product_ID],DimProduct[Category])</f>
        <v>Fashion</v>
      </c>
      <c r="O388" s="6">
        <f>_xlfn.XLOOKUP(FactSales[[#This Row],[Product_ID]],DimProduct[Product_ID],DimProduct[Unit_Price])</f>
        <v>1820</v>
      </c>
      <c r="P388" s="6">
        <f>_xlfn.XLOOKUP(FactSales[[#This Row],[Product_ID]],DimProduct[Product_ID],DimProduct[Unit_Cost])</f>
        <v>1000</v>
      </c>
      <c r="Q388" s="6">
        <f>FactSales[[#This Row],[Unit_Price]]*FactSales[[#This Row],[Quantity_Sold]]</f>
        <v>1820</v>
      </c>
      <c r="R388" s="6">
        <f>FactSales[[#This Row],[Unit_Cost]]*FactSales[[#This Row],[Quantity_Sold]]</f>
        <v>1000</v>
      </c>
      <c r="S388" s="6">
        <f>FactSales[[#This Row],[Sales_Amount]]-FactSales[[#This Row],[Total_Cost]]</f>
        <v>820</v>
      </c>
      <c r="T388" s="6" t="str">
        <f>_xlfn.XLOOKUP(FactSales[[#This Row],[Customer_ID]],DimCustomer[Customer_ID],DimCustomer[Customer_Name])</f>
        <v>Imran Uddin</v>
      </c>
      <c r="U388" s="6" t="str">
        <f>_xlfn.XLOOKUP(FactSales[[#This Row],[Salesperson_ID]],DimSalesman[Salesperson_ID],DimSalesman[Salesperson_Name])</f>
        <v>Rafi Ahmed</v>
      </c>
      <c r="V388" s="6" t="str">
        <f>_xlfn.XLOOKUP(FactSales[[#This Row],[Region_ID]],DimRegion[Region_ID],DimRegion[Region_Name])</f>
        <v>Khulna</v>
      </c>
      <c r="W388" s="6" t="str">
        <f>_xlfn.XLOOKUP(FactSales[[#This Row],[Store_ID]],DimStore[Store_ID],DimStore[Store_Name])</f>
        <v>Khulna Khalishpur Store</v>
      </c>
    </row>
    <row r="389" spans="1:23">
      <c r="A389" s="4" t="s">
        <v>1385</v>
      </c>
      <c r="B389" s="5">
        <v>46132</v>
      </c>
      <c r="C389" s="4" t="s">
        <v>406</v>
      </c>
      <c r="D389" s="4" t="s">
        <v>47</v>
      </c>
      <c r="E389" s="4" t="s">
        <v>689</v>
      </c>
      <c r="F389" s="4" t="s">
        <v>955</v>
      </c>
      <c r="G389" s="4" t="s">
        <v>810</v>
      </c>
      <c r="H389" s="4">
        <v>1</v>
      </c>
      <c r="I389" s="7">
        <v>0.02</v>
      </c>
      <c r="J389" s="6">
        <v>480</v>
      </c>
      <c r="K389" s="4">
        <v>5</v>
      </c>
      <c r="L389" s="8">
        <f t="shared" si="6"/>
        <v>3.6</v>
      </c>
      <c r="M389" s="6" t="str">
        <f>_xlfn.XLOOKUP(FactSales[[#This Row],[Product_ID]],DimProduct[Product_ID],DimProduct[Product_Name])</f>
        <v>Flour 2kg</v>
      </c>
      <c r="N389" s="6" t="str">
        <f>_xlfn.XLOOKUP(FactSales[[#This Row],[Product_ID]],DimProduct[Product_ID],DimProduct[Category])</f>
        <v>Grocery</v>
      </c>
      <c r="O389" s="6">
        <f>_xlfn.XLOOKUP(FactSales[[#This Row],[Product_ID]],DimProduct[Product_ID],DimProduct[Unit_Price])</f>
        <v>440</v>
      </c>
      <c r="P389" s="6">
        <f>_xlfn.XLOOKUP(FactSales[[#This Row],[Product_ID]],DimProduct[Product_ID],DimProduct[Unit_Cost])</f>
        <v>340</v>
      </c>
      <c r="Q389" s="6">
        <f>FactSales[[#This Row],[Unit_Price]]*FactSales[[#This Row],[Quantity_Sold]]</f>
        <v>440</v>
      </c>
      <c r="R389" s="6">
        <f>FactSales[[#This Row],[Unit_Cost]]*FactSales[[#This Row],[Quantity_Sold]]</f>
        <v>340</v>
      </c>
      <c r="S389" s="6">
        <f>FactSales[[#This Row],[Sales_Amount]]-FactSales[[#This Row],[Total_Cost]]</f>
        <v>100</v>
      </c>
      <c r="T389" s="6" t="str">
        <f>_xlfn.XLOOKUP(FactSales[[#This Row],[Customer_ID]],DimCustomer[Customer_ID],DimCustomer[Customer_Name])</f>
        <v>Ayesha Uddin</v>
      </c>
      <c r="U389" s="6" t="str">
        <f>_xlfn.XLOOKUP(FactSales[[#This Row],[Salesperson_ID]],DimSalesman[Salesperson_ID],DimSalesman[Salesperson_Name])</f>
        <v>Tania Chowdhury</v>
      </c>
      <c r="V389" s="6" t="str">
        <f>_xlfn.XLOOKUP(FactSales[[#This Row],[Region_ID]],DimRegion[Region_ID],DimRegion[Region_Name])</f>
        <v>Khulna</v>
      </c>
      <c r="W389" s="6" t="str">
        <f>_xlfn.XLOOKUP(FactSales[[#This Row],[Store_ID]],DimStore[Store_ID],DimStore[Store_Name])</f>
        <v>Khulna Daulatpur Store</v>
      </c>
    </row>
    <row r="390" spans="1:23">
      <c r="A390" s="4" t="s">
        <v>1386</v>
      </c>
      <c r="B390" s="5">
        <v>45952</v>
      </c>
      <c r="C390" s="4" t="s">
        <v>381</v>
      </c>
      <c r="D390" s="4" t="s">
        <v>47</v>
      </c>
      <c r="E390" s="4" t="s">
        <v>692</v>
      </c>
      <c r="F390" s="4" t="s">
        <v>952</v>
      </c>
      <c r="G390" s="4" t="s">
        <v>834</v>
      </c>
      <c r="H390" s="4">
        <v>2</v>
      </c>
      <c r="I390" s="7">
        <v>0.1</v>
      </c>
      <c r="J390" s="6">
        <v>7652</v>
      </c>
      <c r="K390" s="4">
        <v>5</v>
      </c>
      <c r="L390" s="8">
        <f t="shared" si="6"/>
        <v>3.4</v>
      </c>
      <c r="M390" s="6" t="str">
        <f>_xlfn.XLOOKUP(FactSales[[#This Row],[Product_ID]],DimProduct[Product_ID],DimProduct[Product_Name])</f>
        <v>Running Shoe</v>
      </c>
      <c r="N390" s="6" t="str">
        <f>_xlfn.XLOOKUP(FactSales[[#This Row],[Product_ID]],DimProduct[Product_ID],DimProduct[Category])</f>
        <v>Footwear</v>
      </c>
      <c r="O390" s="6">
        <f>_xlfn.XLOOKUP(FactSales[[#This Row],[Product_ID]],DimProduct[Product_ID],DimProduct[Unit_Price])</f>
        <v>3510</v>
      </c>
      <c r="P390" s="6">
        <f>_xlfn.XLOOKUP(FactSales[[#This Row],[Product_ID]],DimProduct[Product_ID],DimProduct[Unit_Cost])</f>
        <v>2110</v>
      </c>
      <c r="Q390" s="6">
        <f>FactSales[[#This Row],[Unit_Price]]*FactSales[[#This Row],[Quantity_Sold]]</f>
        <v>7020</v>
      </c>
      <c r="R390" s="6">
        <f>FactSales[[#This Row],[Unit_Cost]]*FactSales[[#This Row],[Quantity_Sold]]</f>
        <v>4220</v>
      </c>
      <c r="S390" s="6">
        <f>FactSales[[#This Row],[Sales_Amount]]-FactSales[[#This Row],[Total_Cost]]</f>
        <v>2800</v>
      </c>
      <c r="T390" s="6" t="str">
        <f>_xlfn.XLOOKUP(FactSales[[#This Row],[Customer_ID]],DimCustomer[Customer_ID],DimCustomer[Customer_Name])</f>
        <v>Nabila Islam</v>
      </c>
      <c r="U390" s="6" t="str">
        <f>_xlfn.XLOOKUP(FactSales[[#This Row],[Salesperson_ID]],DimSalesman[Salesperson_ID],DimSalesman[Salesperson_Name])</f>
        <v>Samiha Islam</v>
      </c>
      <c r="V390" s="6" t="str">
        <f>_xlfn.XLOOKUP(FactSales[[#This Row],[Region_ID]],DimRegion[Region_ID],DimRegion[Region_Name])</f>
        <v>Khulna</v>
      </c>
      <c r="W390" s="6" t="str">
        <f>_xlfn.XLOOKUP(FactSales[[#This Row],[Store_ID]],DimStore[Store_ID],DimStore[Store_Name])</f>
        <v>Khulna Boyra Store</v>
      </c>
    </row>
    <row r="391" spans="1:23">
      <c r="A391" s="4" t="s">
        <v>1387</v>
      </c>
      <c r="B391" s="5">
        <v>45726</v>
      </c>
      <c r="C391" s="4" t="s">
        <v>82</v>
      </c>
      <c r="D391" s="4" t="s">
        <v>27</v>
      </c>
      <c r="E391" s="4" t="s">
        <v>626</v>
      </c>
      <c r="F391" s="4" t="s">
        <v>918</v>
      </c>
      <c r="G391" s="4" t="s">
        <v>905</v>
      </c>
      <c r="H391" s="4">
        <v>4</v>
      </c>
      <c r="I391" s="7">
        <v>0.12</v>
      </c>
      <c r="J391" s="6">
        <v>24889</v>
      </c>
      <c r="K391" s="4">
        <v>3</v>
      </c>
      <c r="L391" s="8">
        <f t="shared" si="6"/>
        <v>4</v>
      </c>
      <c r="M391" s="6" t="str">
        <f>_xlfn.XLOOKUP(FactSales[[#This Row],[Product_ID]],DimProduct[Product_ID],DimProduct[Product_Name])</f>
        <v>Bedside Table</v>
      </c>
      <c r="N391" s="6" t="str">
        <f>_xlfn.XLOOKUP(FactSales[[#This Row],[Product_ID]],DimProduct[Product_ID],DimProduct[Category])</f>
        <v>Furniture</v>
      </c>
      <c r="O391" s="6">
        <f>_xlfn.XLOOKUP(FactSales[[#This Row],[Product_ID]],DimProduct[Product_ID],DimProduct[Unit_Price])</f>
        <v>5870</v>
      </c>
      <c r="P391" s="6">
        <f>_xlfn.XLOOKUP(FactSales[[#This Row],[Product_ID]],DimProduct[Product_ID],DimProduct[Unit_Cost])</f>
        <v>4230</v>
      </c>
      <c r="Q391" s="6">
        <f>FactSales[[#This Row],[Unit_Price]]*FactSales[[#This Row],[Quantity_Sold]]</f>
        <v>23480</v>
      </c>
      <c r="R391" s="6">
        <f>FactSales[[#This Row],[Unit_Cost]]*FactSales[[#This Row],[Quantity_Sold]]</f>
        <v>16920</v>
      </c>
      <c r="S391" s="6">
        <f>FactSales[[#This Row],[Sales_Amount]]-FactSales[[#This Row],[Total_Cost]]</f>
        <v>6560</v>
      </c>
      <c r="T391" s="6" t="str">
        <f>_xlfn.XLOOKUP(FactSales[[#This Row],[Customer_ID]],DimCustomer[Customer_ID],DimCustomer[Customer_Name])</f>
        <v>Mahmud Ahmed</v>
      </c>
      <c r="U391" s="6" t="str">
        <f>_xlfn.XLOOKUP(FactSales[[#This Row],[Salesperson_ID]],DimSalesman[Salesperson_ID],DimSalesman[Salesperson_Name])</f>
        <v>Tania Sultana</v>
      </c>
      <c r="V391" s="6" t="str">
        <f>_xlfn.XLOOKUP(FactSales[[#This Row],[Region_ID]],DimRegion[Region_ID],DimRegion[Region_Name])</f>
        <v>Dhaka</v>
      </c>
      <c r="W391" s="6" t="str">
        <f>_xlfn.XLOOKUP(FactSales[[#This Row],[Store_ID]],DimStore[Store_ID],DimStore[Store_Name])</f>
        <v>Dhaka Mirpur Store</v>
      </c>
    </row>
    <row r="392" spans="1:23">
      <c r="A392" s="4" t="s">
        <v>1388</v>
      </c>
      <c r="B392" s="5">
        <v>46145</v>
      </c>
      <c r="C392" s="4" t="s">
        <v>596</v>
      </c>
      <c r="D392" s="4" t="s">
        <v>62</v>
      </c>
      <c r="E392" s="4" t="s">
        <v>737</v>
      </c>
      <c r="F392" s="4" t="s">
        <v>981</v>
      </c>
      <c r="G392" s="4" t="s">
        <v>828</v>
      </c>
      <c r="H392" s="4">
        <v>8</v>
      </c>
      <c r="I392" s="7">
        <v>0.03</v>
      </c>
      <c r="J392" s="6">
        <v>12182</v>
      </c>
      <c r="K392" s="4">
        <v>2</v>
      </c>
      <c r="L392" s="8">
        <f t="shared" si="6"/>
        <v>4.5</v>
      </c>
      <c r="M392" s="6" t="str">
        <f>_xlfn.XLOOKUP(FactSales[[#This Row],[Product_ID]],DimProduct[Product_ID],DimProduct[Product_Name])</f>
        <v>Toothpaste Twin Pack</v>
      </c>
      <c r="N392" s="6" t="str">
        <f>_xlfn.XLOOKUP(FactSales[[#This Row],[Product_ID]],DimProduct[Product_ID],DimProduct[Category])</f>
        <v>Beauty &amp; Personal Care</v>
      </c>
      <c r="O392" s="6">
        <f>_xlfn.XLOOKUP(FactSales[[#This Row],[Product_ID]],DimProduct[Product_ID],DimProduct[Unit_Price])</f>
        <v>1410</v>
      </c>
      <c r="P392" s="6">
        <f>_xlfn.XLOOKUP(FactSales[[#This Row],[Product_ID]],DimProduct[Product_ID],DimProduct[Unit_Cost])</f>
        <v>820</v>
      </c>
      <c r="Q392" s="6">
        <f>FactSales[[#This Row],[Unit_Price]]*FactSales[[#This Row],[Quantity_Sold]]</f>
        <v>11280</v>
      </c>
      <c r="R392" s="6">
        <f>FactSales[[#This Row],[Unit_Cost]]*FactSales[[#This Row],[Quantity_Sold]]</f>
        <v>6560</v>
      </c>
      <c r="S392" s="6">
        <f>FactSales[[#This Row],[Sales_Amount]]-FactSales[[#This Row],[Total_Cost]]</f>
        <v>4720</v>
      </c>
      <c r="T392" s="6" t="str">
        <f>_xlfn.XLOOKUP(FactSales[[#This Row],[Customer_ID]],DimCustomer[Customer_ID],DimCustomer[Customer_Name])</f>
        <v>Hasan Sultana</v>
      </c>
      <c r="U392" s="6" t="str">
        <f>_xlfn.XLOOKUP(FactSales[[#This Row],[Salesperson_ID]],DimSalesman[Salesperson_ID],DimSalesman[Salesperson_Name])</f>
        <v>Morshed Islam</v>
      </c>
      <c r="V392" s="6" t="str">
        <f>_xlfn.XLOOKUP(FactSales[[#This Row],[Region_ID]],DimRegion[Region_ID],DimRegion[Region_Name])</f>
        <v>Mymensingh</v>
      </c>
      <c r="W392" s="6" t="str">
        <f>_xlfn.XLOOKUP(FactSales[[#This Row],[Store_ID]],DimStore[Store_ID],DimStore[Store_Name])</f>
        <v>Mymensingh Kewatkhali Store</v>
      </c>
    </row>
    <row r="393" spans="1:23">
      <c r="A393" s="4" t="s">
        <v>1389</v>
      </c>
      <c r="B393" s="5">
        <v>45985</v>
      </c>
      <c r="C393" s="4" t="s">
        <v>98</v>
      </c>
      <c r="D393" s="4" t="s">
        <v>27</v>
      </c>
      <c r="E393" s="4" t="s">
        <v>622</v>
      </c>
      <c r="F393" s="4" t="s">
        <v>919</v>
      </c>
      <c r="G393" s="4" t="s">
        <v>755</v>
      </c>
      <c r="H393" s="4">
        <v>2</v>
      </c>
      <c r="I393" s="7">
        <v>0.1</v>
      </c>
      <c r="J393" s="6">
        <v>7081</v>
      </c>
      <c r="K393" s="4">
        <v>4</v>
      </c>
      <c r="L393" s="8">
        <f t="shared" si="6"/>
        <v>3.7</v>
      </c>
      <c r="M393" s="6" t="str">
        <f>_xlfn.XLOOKUP(FactSales[[#This Row],[Product_ID]],DimProduct[Product_ID],DimProduct[Product_Name])</f>
        <v>Wireless Mouse</v>
      </c>
      <c r="N393" s="6" t="str">
        <f>_xlfn.XLOOKUP(FactSales[[#This Row],[Product_ID]],DimProduct[Product_ID],DimProduct[Category])</f>
        <v>Electronics</v>
      </c>
      <c r="O393" s="6">
        <f>_xlfn.XLOOKUP(FactSales[[#This Row],[Product_ID]],DimProduct[Product_ID],DimProduct[Unit_Price])</f>
        <v>3340</v>
      </c>
      <c r="P393" s="6">
        <f>_xlfn.XLOOKUP(FactSales[[#This Row],[Product_ID]],DimProduct[Product_ID],DimProduct[Unit_Cost])</f>
        <v>2270</v>
      </c>
      <c r="Q393" s="6">
        <f>FactSales[[#This Row],[Unit_Price]]*FactSales[[#This Row],[Quantity_Sold]]</f>
        <v>6680</v>
      </c>
      <c r="R393" s="6">
        <f>FactSales[[#This Row],[Unit_Cost]]*FactSales[[#This Row],[Quantity_Sold]]</f>
        <v>4540</v>
      </c>
      <c r="S393" s="6">
        <f>FactSales[[#This Row],[Sales_Amount]]-FactSales[[#This Row],[Total_Cost]]</f>
        <v>2140</v>
      </c>
      <c r="T393" s="6" t="str">
        <f>_xlfn.XLOOKUP(FactSales[[#This Row],[Customer_ID]],DimCustomer[Customer_ID],DimCustomer[Customer_Name])</f>
        <v>Rumana Ahmed</v>
      </c>
      <c r="U393" s="6" t="str">
        <f>_xlfn.XLOOKUP(FactSales[[#This Row],[Salesperson_ID]],DimSalesman[Salesperson_ID],DimSalesman[Salesperson_Name])</f>
        <v>Imran Mia</v>
      </c>
      <c r="V393" s="6" t="str">
        <f>_xlfn.XLOOKUP(FactSales[[#This Row],[Region_ID]],DimRegion[Region_ID],DimRegion[Region_Name])</f>
        <v>Dhaka</v>
      </c>
      <c r="W393" s="6" t="str">
        <f>_xlfn.XLOOKUP(FactSales[[#This Row],[Store_ID]],DimStore[Store_ID],DimStore[Store_Name])</f>
        <v>Dhaka Dhanmondi Store</v>
      </c>
    </row>
    <row r="394" spans="1:23">
      <c r="A394" s="4" t="s">
        <v>1390</v>
      </c>
      <c r="B394" s="5">
        <v>46022</v>
      </c>
      <c r="C394" s="4" t="s">
        <v>436</v>
      </c>
      <c r="D394" s="4" t="s">
        <v>52</v>
      </c>
      <c r="E394" s="4" t="s">
        <v>698</v>
      </c>
      <c r="F394" s="4" t="s">
        <v>963</v>
      </c>
      <c r="G394" s="4" t="s">
        <v>778</v>
      </c>
      <c r="H394" s="4">
        <v>2</v>
      </c>
      <c r="I394" s="7">
        <v>0.18</v>
      </c>
      <c r="J394" s="6">
        <v>10214</v>
      </c>
      <c r="K394" s="4">
        <v>7</v>
      </c>
      <c r="L394" s="8">
        <f t="shared" si="6"/>
        <v>2.6</v>
      </c>
      <c r="M394" s="6" t="str">
        <f>_xlfn.XLOOKUP(FactSales[[#This Row],[Product_ID]],DimProduct[Product_ID],DimProduct[Product_Name])</f>
        <v>Steam Iron</v>
      </c>
      <c r="N394" s="6" t="str">
        <f>_xlfn.XLOOKUP(FactSales[[#This Row],[Product_ID]],DimProduct[Product_ID],DimProduct[Category])</f>
        <v>Home Appliance</v>
      </c>
      <c r="O394" s="6">
        <f>_xlfn.XLOOKUP(FactSales[[#This Row],[Product_ID]],DimProduct[Product_ID],DimProduct[Unit_Price])</f>
        <v>4560</v>
      </c>
      <c r="P394" s="6">
        <f>_xlfn.XLOOKUP(FactSales[[#This Row],[Product_ID]],DimProduct[Product_ID],DimProduct[Unit_Cost])</f>
        <v>3190</v>
      </c>
      <c r="Q394" s="6">
        <f>FactSales[[#This Row],[Unit_Price]]*FactSales[[#This Row],[Quantity_Sold]]</f>
        <v>9120</v>
      </c>
      <c r="R394" s="6">
        <f>FactSales[[#This Row],[Unit_Cost]]*FactSales[[#This Row],[Quantity_Sold]]</f>
        <v>6380</v>
      </c>
      <c r="S394" s="6">
        <f>FactSales[[#This Row],[Sales_Amount]]-FactSales[[#This Row],[Total_Cost]]</f>
        <v>2740</v>
      </c>
      <c r="T394" s="6" t="str">
        <f>_xlfn.XLOOKUP(FactSales[[#This Row],[Customer_ID]],DimCustomer[Customer_ID],DimCustomer[Customer_Name])</f>
        <v>Shamim Ahmed</v>
      </c>
      <c r="U394" s="6" t="str">
        <f>_xlfn.XLOOKUP(FactSales[[#This Row],[Salesperson_ID]],DimSalesman[Salesperson_ID],DimSalesman[Salesperson_Name])</f>
        <v>Rasel Uddin</v>
      </c>
      <c r="V394" s="6" t="str">
        <f>_xlfn.XLOOKUP(FactSales[[#This Row],[Region_ID]],DimRegion[Region_ID],DimRegion[Region_Name])</f>
        <v>Barishal</v>
      </c>
      <c r="W394" s="6" t="str">
        <f>_xlfn.XLOOKUP(FactSales[[#This Row],[Store_ID]],DimStore[Store_ID],DimStore[Store_Name])</f>
        <v>Barishal Nathullabad Store</v>
      </c>
    </row>
    <row r="395" spans="1:23">
      <c r="A395" s="4" t="s">
        <v>1391</v>
      </c>
      <c r="B395" s="5">
        <v>45829</v>
      </c>
      <c r="C395" s="4" t="s">
        <v>352</v>
      </c>
      <c r="D395" s="4" t="s">
        <v>42</v>
      </c>
      <c r="E395" s="4" t="s">
        <v>671</v>
      </c>
      <c r="F395" s="4" t="s">
        <v>943</v>
      </c>
      <c r="G395" s="4" t="s">
        <v>821</v>
      </c>
      <c r="H395" s="4">
        <v>3</v>
      </c>
      <c r="I395" s="7">
        <v>7.0000000000000007E-2</v>
      </c>
      <c r="J395" s="6">
        <v>5378</v>
      </c>
      <c r="K395" s="4">
        <v>3</v>
      </c>
      <c r="L395" s="8">
        <f t="shared" si="6"/>
        <v>4.0999999999999996</v>
      </c>
      <c r="M395" s="6" t="str">
        <f>_xlfn.XLOOKUP(FactSales[[#This Row],[Product_ID]],DimProduct[Product_ID],DimProduct[Product_Name])</f>
        <v>Shampoo 375ml</v>
      </c>
      <c r="N395" s="6" t="str">
        <f>_xlfn.XLOOKUP(FactSales[[#This Row],[Product_ID]],DimProduct[Product_ID],DimProduct[Category])</f>
        <v>Beauty &amp; Personal Care</v>
      </c>
      <c r="O395" s="6">
        <f>_xlfn.XLOOKUP(FactSales[[#This Row],[Product_ID]],DimProduct[Product_ID],DimProduct[Unit_Price])</f>
        <v>1660</v>
      </c>
      <c r="P395" s="6">
        <f>_xlfn.XLOOKUP(FactSales[[#This Row],[Product_ID]],DimProduct[Product_ID],DimProduct[Unit_Cost])</f>
        <v>960</v>
      </c>
      <c r="Q395" s="6">
        <f>FactSales[[#This Row],[Unit_Price]]*FactSales[[#This Row],[Quantity_Sold]]</f>
        <v>4980</v>
      </c>
      <c r="R395" s="6">
        <f>FactSales[[#This Row],[Unit_Cost]]*FactSales[[#This Row],[Quantity_Sold]]</f>
        <v>2880</v>
      </c>
      <c r="S395" s="6">
        <f>FactSales[[#This Row],[Sales_Amount]]-FactSales[[#This Row],[Total_Cost]]</f>
        <v>2100</v>
      </c>
      <c r="T395" s="6" t="str">
        <f>_xlfn.XLOOKUP(FactSales[[#This Row],[Customer_ID]],DimCustomer[Customer_ID],DimCustomer[Customer_Name])</f>
        <v>Mehedi Khan</v>
      </c>
      <c r="U395" s="6" t="str">
        <f>_xlfn.XLOOKUP(FactSales[[#This Row],[Salesperson_ID]],DimSalesman[Salesperson_ID],DimSalesman[Salesperson_Name])</f>
        <v>Imran Khan</v>
      </c>
      <c r="V395" s="6" t="str">
        <f>_xlfn.XLOOKUP(FactSales[[#This Row],[Region_ID]],DimRegion[Region_ID],DimRegion[Region_Name])</f>
        <v>Rajshahi</v>
      </c>
      <c r="W395" s="6" t="str">
        <f>_xlfn.XLOOKUP(FactSales[[#This Row],[Store_ID]],DimStore[Store_ID],DimStore[Store_Name])</f>
        <v>Rajshahi Kazla Store</v>
      </c>
    </row>
    <row r="396" spans="1:23">
      <c r="A396" s="4" t="s">
        <v>1392</v>
      </c>
      <c r="B396" s="5">
        <v>46018</v>
      </c>
      <c r="C396" s="4" t="s">
        <v>378</v>
      </c>
      <c r="D396" s="4" t="s">
        <v>47</v>
      </c>
      <c r="E396" s="4" t="s">
        <v>689</v>
      </c>
      <c r="F396" s="4" t="s">
        <v>952</v>
      </c>
      <c r="G396" s="4" t="s">
        <v>804</v>
      </c>
      <c r="H396" s="4">
        <v>5</v>
      </c>
      <c r="I396" s="7">
        <v>0.02</v>
      </c>
      <c r="J396" s="6">
        <v>2017</v>
      </c>
      <c r="K396" s="4">
        <v>1</v>
      </c>
      <c r="L396" s="8">
        <f t="shared" si="6"/>
        <v>4.8</v>
      </c>
      <c r="M396" s="6" t="str">
        <f>_xlfn.XLOOKUP(FactSales[[#This Row],[Product_ID]],DimProduct[Product_ID],DimProduct[Product_Name])</f>
        <v>Soybean Oil 5L</v>
      </c>
      <c r="N396" s="6" t="str">
        <f>_xlfn.XLOOKUP(FactSales[[#This Row],[Product_ID]],DimProduct[Product_ID],DimProduct[Category])</f>
        <v>Grocery</v>
      </c>
      <c r="O396" s="6">
        <f>_xlfn.XLOOKUP(FactSales[[#This Row],[Product_ID]],DimProduct[Product_ID],DimProduct[Unit_Price])</f>
        <v>370</v>
      </c>
      <c r="P396" s="6">
        <f>_xlfn.XLOOKUP(FactSales[[#This Row],[Product_ID]],DimProduct[Product_ID],DimProduct[Unit_Cost])</f>
        <v>290</v>
      </c>
      <c r="Q396" s="6">
        <f>FactSales[[#This Row],[Unit_Price]]*FactSales[[#This Row],[Quantity_Sold]]</f>
        <v>1850</v>
      </c>
      <c r="R396" s="6">
        <f>FactSales[[#This Row],[Unit_Cost]]*FactSales[[#This Row],[Quantity_Sold]]</f>
        <v>1450</v>
      </c>
      <c r="S396" s="6">
        <f>FactSales[[#This Row],[Sales_Amount]]-FactSales[[#This Row],[Total_Cost]]</f>
        <v>400</v>
      </c>
      <c r="T396" s="6" t="str">
        <f>_xlfn.XLOOKUP(FactSales[[#This Row],[Customer_ID]],DimCustomer[Customer_ID],DimCustomer[Customer_Name])</f>
        <v>Arif Akter</v>
      </c>
      <c r="U396" s="6" t="str">
        <f>_xlfn.XLOOKUP(FactSales[[#This Row],[Salesperson_ID]],DimSalesman[Salesperson_ID],DimSalesman[Salesperson_Name])</f>
        <v>Samiha Islam</v>
      </c>
      <c r="V396" s="6" t="str">
        <f>_xlfn.XLOOKUP(FactSales[[#This Row],[Region_ID]],DimRegion[Region_ID],DimRegion[Region_Name])</f>
        <v>Khulna</v>
      </c>
      <c r="W396" s="6" t="str">
        <f>_xlfn.XLOOKUP(FactSales[[#This Row],[Store_ID]],DimStore[Store_ID],DimStore[Store_Name])</f>
        <v>Khulna Daulatpur Store</v>
      </c>
    </row>
    <row r="397" spans="1:23">
      <c r="A397" s="4" t="s">
        <v>1393</v>
      </c>
      <c r="B397" s="5">
        <v>45816</v>
      </c>
      <c r="C397" s="4" t="s">
        <v>583</v>
      </c>
      <c r="D397" s="4" t="s">
        <v>62</v>
      </c>
      <c r="E397" s="4" t="s">
        <v>734</v>
      </c>
      <c r="F397" s="4" t="s">
        <v>979</v>
      </c>
      <c r="G397" s="4" t="s">
        <v>755</v>
      </c>
      <c r="H397" s="4">
        <v>3</v>
      </c>
      <c r="I397" s="7">
        <v>0.1</v>
      </c>
      <c r="J397" s="6">
        <v>10822</v>
      </c>
      <c r="K397" s="4">
        <v>4</v>
      </c>
      <c r="L397" s="8">
        <f t="shared" si="6"/>
        <v>3.7</v>
      </c>
      <c r="M397" s="6" t="str">
        <f>_xlfn.XLOOKUP(FactSales[[#This Row],[Product_ID]],DimProduct[Product_ID],DimProduct[Product_Name])</f>
        <v>Wireless Mouse</v>
      </c>
      <c r="N397" s="6" t="str">
        <f>_xlfn.XLOOKUP(FactSales[[#This Row],[Product_ID]],DimProduct[Product_ID],DimProduct[Category])</f>
        <v>Electronics</v>
      </c>
      <c r="O397" s="6">
        <f>_xlfn.XLOOKUP(FactSales[[#This Row],[Product_ID]],DimProduct[Product_ID],DimProduct[Unit_Price])</f>
        <v>3340</v>
      </c>
      <c r="P397" s="6">
        <f>_xlfn.XLOOKUP(FactSales[[#This Row],[Product_ID]],DimProduct[Product_ID],DimProduct[Unit_Cost])</f>
        <v>2270</v>
      </c>
      <c r="Q397" s="6">
        <f>FactSales[[#This Row],[Unit_Price]]*FactSales[[#This Row],[Quantity_Sold]]</f>
        <v>10020</v>
      </c>
      <c r="R397" s="6">
        <f>FactSales[[#This Row],[Unit_Cost]]*FactSales[[#This Row],[Quantity_Sold]]</f>
        <v>6810</v>
      </c>
      <c r="S397" s="6">
        <f>FactSales[[#This Row],[Sales_Amount]]-FactSales[[#This Row],[Total_Cost]]</f>
        <v>3210</v>
      </c>
      <c r="T397" s="6" t="str">
        <f>_xlfn.XLOOKUP(FactSales[[#This Row],[Customer_ID]],DimCustomer[Customer_ID],DimCustomer[Customer_Name])</f>
        <v>Tamanna Islam</v>
      </c>
      <c r="U397" s="6" t="str">
        <f>_xlfn.XLOOKUP(FactSales[[#This Row],[Salesperson_ID]],DimSalesman[Salesperson_ID],DimSalesman[Salesperson_Name])</f>
        <v>Rahim Rahman</v>
      </c>
      <c r="V397" s="6" t="str">
        <f>_xlfn.XLOOKUP(FactSales[[#This Row],[Region_ID]],DimRegion[Region_ID],DimRegion[Region_Name])</f>
        <v>Mymensingh</v>
      </c>
      <c r="W397" s="6" t="str">
        <f>_xlfn.XLOOKUP(FactSales[[#This Row],[Store_ID]],DimStore[Store_ID],DimStore[Store_Name])</f>
        <v>Mymensingh Charpara Store</v>
      </c>
    </row>
    <row r="398" spans="1:23">
      <c r="A398" s="4" t="s">
        <v>1394</v>
      </c>
      <c r="B398" s="5">
        <v>45792</v>
      </c>
      <c r="C398" s="4" t="s">
        <v>186</v>
      </c>
      <c r="D398" s="4" t="s">
        <v>32</v>
      </c>
      <c r="E398" s="4" t="s">
        <v>647</v>
      </c>
      <c r="F398" s="4" t="s">
        <v>922</v>
      </c>
      <c r="G398" s="4" t="s">
        <v>758</v>
      </c>
      <c r="H398" s="4">
        <v>6</v>
      </c>
      <c r="I398" s="7">
        <v>0.15</v>
      </c>
      <c r="J398" s="6">
        <v>19426</v>
      </c>
      <c r="K398" s="4">
        <v>3</v>
      </c>
      <c r="L398" s="8">
        <f t="shared" si="6"/>
        <v>3.9</v>
      </c>
      <c r="M398" s="6" t="str">
        <f>_xlfn.XLOOKUP(FactSales[[#This Row],[Product_ID]],DimProduct[Product_ID],DimProduct[Product_Name])</f>
        <v>Power Bank</v>
      </c>
      <c r="N398" s="6" t="str">
        <f>_xlfn.XLOOKUP(FactSales[[#This Row],[Product_ID]],DimProduct[Product_ID],DimProduct[Category])</f>
        <v>Electronics</v>
      </c>
      <c r="O398" s="6">
        <f>_xlfn.XLOOKUP(FactSales[[#This Row],[Product_ID]],DimProduct[Product_ID],DimProduct[Unit_Price])</f>
        <v>2840</v>
      </c>
      <c r="P398" s="6">
        <f>_xlfn.XLOOKUP(FactSales[[#This Row],[Product_ID]],DimProduct[Product_ID],DimProduct[Unit_Cost])</f>
        <v>1930</v>
      </c>
      <c r="Q398" s="6">
        <f>FactSales[[#This Row],[Unit_Price]]*FactSales[[#This Row],[Quantity_Sold]]</f>
        <v>17040</v>
      </c>
      <c r="R398" s="6">
        <f>FactSales[[#This Row],[Unit_Cost]]*FactSales[[#This Row],[Quantity_Sold]]</f>
        <v>11580</v>
      </c>
      <c r="S398" s="6">
        <f>FactSales[[#This Row],[Sales_Amount]]-FactSales[[#This Row],[Total_Cost]]</f>
        <v>5460</v>
      </c>
      <c r="T398" s="6" t="str">
        <f>_xlfn.XLOOKUP(FactSales[[#This Row],[Customer_ID]],DimCustomer[Customer_ID],DimCustomer[Customer_Name])</f>
        <v>Ayesha Sultana</v>
      </c>
      <c r="U398" s="6" t="str">
        <f>_xlfn.XLOOKUP(FactSales[[#This Row],[Salesperson_ID]],DimSalesman[Salesperson_ID],DimSalesman[Salesperson_Name])</f>
        <v>Rafi Sultana</v>
      </c>
      <c r="V398" s="6" t="str">
        <f>_xlfn.XLOOKUP(FactSales[[#This Row],[Region_ID]],DimRegion[Region_ID],DimRegion[Region_Name])</f>
        <v>Chattogram</v>
      </c>
      <c r="W398" s="6" t="str">
        <f>_xlfn.XLOOKUP(FactSales[[#This Row],[Store_ID]],DimStore[Store_ID],DimStore[Store_Name])</f>
        <v>Chattogram Nasirabad Store</v>
      </c>
    </row>
    <row r="399" spans="1:23">
      <c r="A399" s="4" t="s">
        <v>1395</v>
      </c>
      <c r="B399" s="5">
        <v>46008</v>
      </c>
      <c r="C399" s="4" t="s">
        <v>257</v>
      </c>
      <c r="D399" s="4" t="s">
        <v>37</v>
      </c>
      <c r="E399" s="4" t="s">
        <v>665</v>
      </c>
      <c r="F399" s="4" t="s">
        <v>939</v>
      </c>
      <c r="G399" s="4" t="s">
        <v>856</v>
      </c>
      <c r="H399" s="4">
        <v>2</v>
      </c>
      <c r="I399" s="7">
        <v>0.03</v>
      </c>
      <c r="J399" s="6">
        <v>6634</v>
      </c>
      <c r="K399" s="4">
        <v>5</v>
      </c>
      <c r="L399" s="8">
        <f t="shared" si="6"/>
        <v>3.5</v>
      </c>
      <c r="M399" s="6" t="str">
        <f>_xlfn.XLOOKUP(FactSales[[#This Row],[Product_ID]],DimProduct[Product_ID],DimProduct[Product_Name])</f>
        <v>Badminton Racket</v>
      </c>
      <c r="N399" s="6" t="str">
        <f>_xlfn.XLOOKUP(FactSales[[#This Row],[Product_ID]],DimProduct[Product_ID],DimProduct[Category])</f>
        <v>Sports</v>
      </c>
      <c r="O399" s="6">
        <f>_xlfn.XLOOKUP(FactSales[[#This Row],[Product_ID]],DimProduct[Product_ID],DimProduct[Unit_Price])</f>
        <v>3100</v>
      </c>
      <c r="P399" s="6">
        <f>_xlfn.XLOOKUP(FactSales[[#This Row],[Product_ID]],DimProduct[Product_ID],DimProduct[Unit_Cost])</f>
        <v>1920</v>
      </c>
      <c r="Q399" s="6">
        <f>FactSales[[#This Row],[Unit_Price]]*FactSales[[#This Row],[Quantity_Sold]]</f>
        <v>6200</v>
      </c>
      <c r="R399" s="6">
        <f>FactSales[[#This Row],[Unit_Cost]]*FactSales[[#This Row],[Quantity_Sold]]</f>
        <v>3840</v>
      </c>
      <c r="S399" s="6">
        <f>FactSales[[#This Row],[Sales_Amount]]-FactSales[[#This Row],[Total_Cost]]</f>
        <v>2360</v>
      </c>
      <c r="T399" s="6" t="str">
        <f>_xlfn.XLOOKUP(FactSales[[#This Row],[Customer_ID]],DimCustomer[Customer_ID],DimCustomer[Customer_Name])</f>
        <v>Sadia Sultana</v>
      </c>
      <c r="U399" s="6" t="str">
        <f>_xlfn.XLOOKUP(FactSales[[#This Row],[Salesperson_ID]],DimSalesman[Salesperson_ID],DimSalesman[Salesperson_Name])</f>
        <v>Fahim Mia</v>
      </c>
      <c r="V399" s="6" t="str">
        <f>_xlfn.XLOOKUP(FactSales[[#This Row],[Region_ID]],DimRegion[Region_ID],DimRegion[Region_Name])</f>
        <v>Sylhet</v>
      </c>
      <c r="W399" s="6" t="str">
        <f>_xlfn.XLOOKUP(FactSales[[#This Row],[Store_ID]],DimStore[Store_ID],DimStore[Store_Name])</f>
        <v>Sylhet Upashahar Store</v>
      </c>
    </row>
    <row r="400" spans="1:23">
      <c r="A400" s="4" t="s">
        <v>1396</v>
      </c>
      <c r="B400" s="5">
        <v>45890</v>
      </c>
      <c r="C400" s="4" t="s">
        <v>168</v>
      </c>
      <c r="D400" s="4" t="s">
        <v>32</v>
      </c>
      <c r="E400" s="4" t="s">
        <v>641</v>
      </c>
      <c r="F400" s="4" t="s">
        <v>931</v>
      </c>
      <c r="G400" s="4" t="s">
        <v>758</v>
      </c>
      <c r="H400" s="4">
        <v>2</v>
      </c>
      <c r="I400" s="7">
        <v>0.1</v>
      </c>
      <c r="J400" s="6">
        <v>6475</v>
      </c>
      <c r="K400" s="4">
        <v>5</v>
      </c>
      <c r="L400" s="8">
        <f t="shared" si="6"/>
        <v>3.4</v>
      </c>
      <c r="M400" s="6" t="str">
        <f>_xlfn.XLOOKUP(FactSales[[#This Row],[Product_ID]],DimProduct[Product_ID],DimProduct[Product_Name])</f>
        <v>Power Bank</v>
      </c>
      <c r="N400" s="6" t="str">
        <f>_xlfn.XLOOKUP(FactSales[[#This Row],[Product_ID]],DimProduct[Product_ID],DimProduct[Category])</f>
        <v>Electronics</v>
      </c>
      <c r="O400" s="6">
        <f>_xlfn.XLOOKUP(FactSales[[#This Row],[Product_ID]],DimProduct[Product_ID],DimProduct[Unit_Price])</f>
        <v>2840</v>
      </c>
      <c r="P400" s="6">
        <f>_xlfn.XLOOKUP(FactSales[[#This Row],[Product_ID]],DimProduct[Product_ID],DimProduct[Unit_Cost])</f>
        <v>1930</v>
      </c>
      <c r="Q400" s="6">
        <f>FactSales[[#This Row],[Unit_Price]]*FactSales[[#This Row],[Quantity_Sold]]</f>
        <v>5680</v>
      </c>
      <c r="R400" s="6">
        <f>FactSales[[#This Row],[Unit_Cost]]*FactSales[[#This Row],[Quantity_Sold]]</f>
        <v>3860</v>
      </c>
      <c r="S400" s="6">
        <f>FactSales[[#This Row],[Sales_Amount]]-FactSales[[#This Row],[Total_Cost]]</f>
        <v>1820</v>
      </c>
      <c r="T400" s="6" t="str">
        <f>_xlfn.XLOOKUP(FactSales[[#This Row],[Customer_ID]],DimCustomer[Customer_ID],DimCustomer[Customer_Name])</f>
        <v>Mim Akter</v>
      </c>
      <c r="U400" s="6" t="str">
        <f>_xlfn.XLOOKUP(FactSales[[#This Row],[Salesperson_ID]],DimSalesman[Salesperson_ID],DimSalesman[Salesperson_Name])</f>
        <v>Sadia Islam</v>
      </c>
      <c r="V400" s="6" t="str">
        <f>_xlfn.XLOOKUP(FactSales[[#This Row],[Region_ID]],DimRegion[Region_ID],DimRegion[Region_Name])</f>
        <v>Chattogram</v>
      </c>
      <c r="W400" s="6" t="str">
        <f>_xlfn.XLOOKUP(FactSales[[#This Row],[Store_ID]],DimStore[Store_ID],DimStore[Store_Name])</f>
        <v>Chattogram GEC Store</v>
      </c>
    </row>
    <row r="401" spans="1:23">
      <c r="A401" s="4" t="s">
        <v>1397</v>
      </c>
      <c r="B401" s="5">
        <v>45701</v>
      </c>
      <c r="C401" s="4" t="s">
        <v>153</v>
      </c>
      <c r="D401" s="4" t="s">
        <v>32</v>
      </c>
      <c r="E401" s="4" t="s">
        <v>638</v>
      </c>
      <c r="F401" s="4" t="s">
        <v>927</v>
      </c>
      <c r="G401" s="4" t="s">
        <v>856</v>
      </c>
      <c r="H401" s="4">
        <v>1</v>
      </c>
      <c r="I401" s="7">
        <v>0.03</v>
      </c>
      <c r="J401" s="6">
        <v>3534</v>
      </c>
      <c r="K401" s="4">
        <v>6</v>
      </c>
      <c r="L401" s="8">
        <f t="shared" si="6"/>
        <v>3.2</v>
      </c>
      <c r="M401" s="6" t="str">
        <f>_xlfn.XLOOKUP(FactSales[[#This Row],[Product_ID]],DimProduct[Product_ID],DimProduct[Product_Name])</f>
        <v>Badminton Racket</v>
      </c>
      <c r="N401" s="6" t="str">
        <f>_xlfn.XLOOKUP(FactSales[[#This Row],[Product_ID]],DimProduct[Product_ID],DimProduct[Category])</f>
        <v>Sports</v>
      </c>
      <c r="O401" s="6">
        <f>_xlfn.XLOOKUP(FactSales[[#This Row],[Product_ID]],DimProduct[Product_ID],DimProduct[Unit_Price])</f>
        <v>3100</v>
      </c>
      <c r="P401" s="6">
        <f>_xlfn.XLOOKUP(FactSales[[#This Row],[Product_ID]],DimProduct[Product_ID],DimProduct[Unit_Cost])</f>
        <v>1920</v>
      </c>
      <c r="Q401" s="6">
        <f>FactSales[[#This Row],[Unit_Price]]*FactSales[[#This Row],[Quantity_Sold]]</f>
        <v>3100</v>
      </c>
      <c r="R401" s="6">
        <f>FactSales[[#This Row],[Unit_Cost]]*FactSales[[#This Row],[Quantity_Sold]]</f>
        <v>1920</v>
      </c>
      <c r="S401" s="6">
        <f>FactSales[[#This Row],[Sales_Amount]]-FactSales[[#This Row],[Total_Cost]]</f>
        <v>1180</v>
      </c>
      <c r="T401" s="6" t="str">
        <f>_xlfn.XLOOKUP(FactSales[[#This Row],[Customer_ID]],DimCustomer[Customer_ID],DimCustomer[Customer_Name])</f>
        <v>Shuvo Mia</v>
      </c>
      <c r="U401" s="6" t="str">
        <f>_xlfn.XLOOKUP(FactSales[[#This Row],[Salesperson_ID]],DimSalesman[Salesperson_ID],DimSalesman[Salesperson_Name])</f>
        <v>Shakib Ahmed</v>
      </c>
      <c r="V401" s="6" t="str">
        <f>_xlfn.XLOOKUP(FactSales[[#This Row],[Region_ID]],DimRegion[Region_ID],DimRegion[Region_Name])</f>
        <v>Chattogram</v>
      </c>
      <c r="W401" s="6" t="str">
        <f>_xlfn.XLOOKUP(FactSales[[#This Row],[Store_ID]],DimStore[Store_ID],DimStore[Store_Name])</f>
        <v>Chattogram Agrabad Store</v>
      </c>
    </row>
    <row r="402" spans="1:23">
      <c r="A402" s="4" t="s">
        <v>1398</v>
      </c>
      <c r="B402" s="5">
        <v>45966</v>
      </c>
      <c r="C402" s="4" t="s">
        <v>118</v>
      </c>
      <c r="D402" s="4" t="s">
        <v>27</v>
      </c>
      <c r="E402" s="4" t="s">
        <v>618</v>
      </c>
      <c r="F402" s="4" t="s">
        <v>916</v>
      </c>
      <c r="G402" s="4" t="s">
        <v>750</v>
      </c>
      <c r="H402" s="4">
        <v>3</v>
      </c>
      <c r="I402" s="7">
        <v>0.08</v>
      </c>
      <c r="J402" s="6">
        <v>10303</v>
      </c>
      <c r="K402" s="4">
        <v>3</v>
      </c>
      <c r="L402" s="8">
        <f t="shared" si="6"/>
        <v>4.0999999999999996</v>
      </c>
      <c r="M402" s="6" t="str">
        <f>_xlfn.XLOOKUP(FactSales[[#This Row],[Product_ID]],DimProduct[Product_ID],DimProduct[Product_Name])</f>
        <v>Bluetooth Speaker</v>
      </c>
      <c r="N402" s="6" t="str">
        <f>_xlfn.XLOOKUP(FactSales[[#This Row],[Product_ID]],DimProduct[Product_ID],DimProduct[Category])</f>
        <v>Electronics</v>
      </c>
      <c r="O402" s="6">
        <f>_xlfn.XLOOKUP(FactSales[[#This Row],[Product_ID]],DimProduct[Product_ID],DimProduct[Unit_Price])</f>
        <v>3240</v>
      </c>
      <c r="P402" s="6">
        <f>_xlfn.XLOOKUP(FactSales[[#This Row],[Product_ID]],DimProduct[Product_ID],DimProduct[Unit_Cost])</f>
        <v>2200</v>
      </c>
      <c r="Q402" s="6">
        <f>FactSales[[#This Row],[Unit_Price]]*FactSales[[#This Row],[Quantity_Sold]]</f>
        <v>9720</v>
      </c>
      <c r="R402" s="6">
        <f>FactSales[[#This Row],[Unit_Cost]]*FactSales[[#This Row],[Quantity_Sold]]</f>
        <v>6600</v>
      </c>
      <c r="S402" s="6">
        <f>FactSales[[#This Row],[Sales_Amount]]-FactSales[[#This Row],[Total_Cost]]</f>
        <v>3120</v>
      </c>
      <c r="T402" s="6" t="str">
        <f>_xlfn.XLOOKUP(FactSales[[#This Row],[Customer_ID]],DimCustomer[Customer_ID],DimCustomer[Customer_Name])</f>
        <v>Rafi Hossain</v>
      </c>
      <c r="U402" s="6" t="str">
        <f>_xlfn.XLOOKUP(FactSales[[#This Row],[Salesperson_ID]],DimSalesman[Salesperson_ID],DimSalesman[Salesperson_Name])</f>
        <v>Rafi Islam</v>
      </c>
      <c r="V402" s="6" t="str">
        <f>_xlfn.XLOOKUP(FactSales[[#This Row],[Region_ID]],DimRegion[Region_ID],DimRegion[Region_Name])</f>
        <v>Dhaka</v>
      </c>
      <c r="W402" s="6" t="str">
        <f>_xlfn.XLOOKUP(FactSales[[#This Row],[Store_ID]],DimStore[Store_ID],DimStore[Store_Name])</f>
        <v>Dhaka Gulshan Store</v>
      </c>
    </row>
    <row r="403" spans="1:23">
      <c r="A403" s="4" t="s">
        <v>1399</v>
      </c>
      <c r="B403" s="5">
        <v>45687</v>
      </c>
      <c r="C403" s="4" t="s">
        <v>335</v>
      </c>
      <c r="D403" s="4" t="s">
        <v>42</v>
      </c>
      <c r="E403" s="4" t="s">
        <v>671</v>
      </c>
      <c r="F403" s="4" t="s">
        <v>944</v>
      </c>
      <c r="G403" s="4" t="s">
        <v>838</v>
      </c>
      <c r="H403" s="4">
        <v>1</v>
      </c>
      <c r="I403" s="7">
        <v>7.0000000000000007E-2</v>
      </c>
      <c r="J403" s="6">
        <v>1307</v>
      </c>
      <c r="K403" s="4">
        <v>1</v>
      </c>
      <c r="L403" s="8">
        <f t="shared" si="6"/>
        <v>4.7</v>
      </c>
      <c r="M403" s="6" t="str">
        <f>_xlfn.XLOOKUP(FactSales[[#This Row],[Product_ID]],DimProduct[Product_ID],DimProduct[Product_Name])</f>
        <v>Formal Shoe</v>
      </c>
      <c r="N403" s="6" t="str">
        <f>_xlfn.XLOOKUP(FactSales[[#This Row],[Product_ID]],DimProduct[Product_ID],DimProduct[Category])</f>
        <v>Footwear</v>
      </c>
      <c r="O403" s="6">
        <f>_xlfn.XLOOKUP(FactSales[[#This Row],[Product_ID]],DimProduct[Product_ID],DimProduct[Unit_Price])</f>
        <v>1210</v>
      </c>
      <c r="P403" s="6">
        <f>_xlfn.XLOOKUP(FactSales[[#This Row],[Product_ID]],DimProduct[Product_ID],DimProduct[Unit_Cost])</f>
        <v>730</v>
      </c>
      <c r="Q403" s="6">
        <f>FactSales[[#This Row],[Unit_Price]]*FactSales[[#This Row],[Quantity_Sold]]</f>
        <v>1210</v>
      </c>
      <c r="R403" s="6">
        <f>FactSales[[#This Row],[Unit_Cost]]*FactSales[[#This Row],[Quantity_Sold]]</f>
        <v>730</v>
      </c>
      <c r="S403" s="6">
        <f>FactSales[[#This Row],[Sales_Amount]]-FactSales[[#This Row],[Total_Cost]]</f>
        <v>480</v>
      </c>
      <c r="T403" s="6" t="str">
        <f>_xlfn.XLOOKUP(FactSales[[#This Row],[Customer_ID]],DimCustomer[Customer_ID],DimCustomer[Customer_Name])</f>
        <v>Shuvo Khan</v>
      </c>
      <c r="U403" s="6" t="str">
        <f>_xlfn.XLOOKUP(FactSales[[#This Row],[Salesperson_ID]],DimSalesman[Salesperson_ID],DimSalesman[Salesperson_Name])</f>
        <v>Karim Khan</v>
      </c>
      <c r="V403" s="6" t="str">
        <f>_xlfn.XLOOKUP(FactSales[[#This Row],[Region_ID]],DimRegion[Region_ID],DimRegion[Region_Name])</f>
        <v>Rajshahi</v>
      </c>
      <c r="W403" s="6" t="str">
        <f>_xlfn.XLOOKUP(FactSales[[#This Row],[Store_ID]],DimStore[Store_ID],DimStore[Store_Name])</f>
        <v>Rajshahi Kazla Store</v>
      </c>
    </row>
    <row r="404" spans="1:23">
      <c r="A404" s="4" t="s">
        <v>1400</v>
      </c>
      <c r="B404" s="5">
        <v>45905</v>
      </c>
      <c r="C404" s="4" t="s">
        <v>451</v>
      </c>
      <c r="D404" s="4" t="s">
        <v>52</v>
      </c>
      <c r="E404" s="4" t="s">
        <v>701</v>
      </c>
      <c r="F404" s="4" t="s">
        <v>965</v>
      </c>
      <c r="G404" s="4" t="s">
        <v>862</v>
      </c>
      <c r="H404" s="4">
        <v>3</v>
      </c>
      <c r="I404" s="7">
        <v>0.03</v>
      </c>
      <c r="J404" s="6">
        <v>3730</v>
      </c>
      <c r="K404" s="4">
        <v>7</v>
      </c>
      <c r="L404" s="8">
        <f t="shared" si="6"/>
        <v>2.9</v>
      </c>
      <c r="M404" s="6" t="str">
        <f>_xlfn.XLOOKUP(FactSales[[#This Row],[Product_ID]],DimProduct[Product_ID],DimProduct[Product_Name])</f>
        <v>Dumbbell Set</v>
      </c>
      <c r="N404" s="6" t="str">
        <f>_xlfn.XLOOKUP(FactSales[[#This Row],[Product_ID]],DimProduct[Product_ID],DimProduct[Category])</f>
        <v>Sports</v>
      </c>
      <c r="O404" s="6">
        <f>_xlfn.XLOOKUP(FactSales[[#This Row],[Product_ID]],DimProduct[Product_ID],DimProduct[Unit_Price])</f>
        <v>1110</v>
      </c>
      <c r="P404" s="6">
        <f>_xlfn.XLOOKUP(FactSales[[#This Row],[Product_ID]],DimProduct[Product_ID],DimProduct[Unit_Cost])</f>
        <v>690</v>
      </c>
      <c r="Q404" s="6">
        <f>FactSales[[#This Row],[Unit_Price]]*FactSales[[#This Row],[Quantity_Sold]]</f>
        <v>3330</v>
      </c>
      <c r="R404" s="6">
        <f>FactSales[[#This Row],[Unit_Cost]]*FactSales[[#This Row],[Quantity_Sold]]</f>
        <v>2070</v>
      </c>
      <c r="S404" s="6">
        <f>FactSales[[#This Row],[Sales_Amount]]-FactSales[[#This Row],[Total_Cost]]</f>
        <v>1260</v>
      </c>
      <c r="T404" s="6" t="str">
        <f>_xlfn.XLOOKUP(FactSales[[#This Row],[Customer_ID]],DimCustomer[Customer_ID],DimCustomer[Customer_Name])</f>
        <v>Hasan Uddin</v>
      </c>
      <c r="U404" s="6" t="str">
        <f>_xlfn.XLOOKUP(FactSales[[#This Row],[Salesperson_ID]],DimSalesman[Salesperson_ID],DimSalesman[Salesperson_Name])</f>
        <v>Mehedi Khan</v>
      </c>
      <c r="V404" s="6" t="str">
        <f>_xlfn.XLOOKUP(FactSales[[#This Row],[Region_ID]],DimRegion[Region_ID],DimRegion[Region_Name])</f>
        <v>Barishal</v>
      </c>
      <c r="W404" s="6" t="str">
        <f>_xlfn.XLOOKUP(FactSales[[#This Row],[Store_ID]],DimStore[Store_ID],DimStore[Store_Name])</f>
        <v>Barishal Sadar Road Store</v>
      </c>
    </row>
    <row r="405" spans="1:23">
      <c r="A405" s="4" t="s">
        <v>1401</v>
      </c>
      <c r="B405" s="5">
        <v>45946</v>
      </c>
      <c r="C405" s="4" t="s">
        <v>121</v>
      </c>
      <c r="D405" s="4" t="s">
        <v>27</v>
      </c>
      <c r="E405" s="4" t="s">
        <v>622</v>
      </c>
      <c r="F405" s="4" t="s">
        <v>920</v>
      </c>
      <c r="G405" s="4" t="s">
        <v>762</v>
      </c>
      <c r="H405" s="4">
        <v>1</v>
      </c>
      <c r="I405" s="7">
        <v>0.18</v>
      </c>
      <c r="J405" s="6">
        <v>4102</v>
      </c>
      <c r="K405" s="4">
        <v>3</v>
      </c>
      <c r="L405" s="8">
        <f t="shared" si="6"/>
        <v>3.8</v>
      </c>
      <c r="M405" s="6" t="str">
        <f>_xlfn.XLOOKUP(FactSales[[#This Row],[Product_ID]],DimProduct[Product_ID],DimProduct[Product_Name])</f>
        <v>Smart Watch</v>
      </c>
      <c r="N405" s="6" t="str">
        <f>_xlfn.XLOOKUP(FactSales[[#This Row],[Product_ID]],DimProduct[Product_ID],DimProduct[Category])</f>
        <v>Electronics</v>
      </c>
      <c r="O405" s="6">
        <f>_xlfn.XLOOKUP(FactSales[[#This Row],[Product_ID]],DimProduct[Product_ID],DimProduct[Unit_Price])</f>
        <v>3870</v>
      </c>
      <c r="P405" s="6">
        <f>_xlfn.XLOOKUP(FactSales[[#This Row],[Product_ID]],DimProduct[Product_ID],DimProduct[Unit_Cost])</f>
        <v>2630</v>
      </c>
      <c r="Q405" s="6">
        <f>FactSales[[#This Row],[Unit_Price]]*FactSales[[#This Row],[Quantity_Sold]]</f>
        <v>3870</v>
      </c>
      <c r="R405" s="6">
        <f>FactSales[[#This Row],[Unit_Cost]]*FactSales[[#This Row],[Quantity_Sold]]</f>
        <v>2630</v>
      </c>
      <c r="S405" s="6">
        <f>FactSales[[#This Row],[Sales_Amount]]-FactSales[[#This Row],[Total_Cost]]</f>
        <v>1240</v>
      </c>
      <c r="T405" s="6" t="str">
        <f>_xlfn.XLOOKUP(FactSales[[#This Row],[Customer_ID]],DimCustomer[Customer_ID],DimCustomer[Customer_Name])</f>
        <v>Shakib Khan</v>
      </c>
      <c r="U405" s="6" t="str">
        <f>_xlfn.XLOOKUP(FactSales[[#This Row],[Salesperson_ID]],DimSalesman[Salesperson_ID],DimSalesman[Salesperson_Name])</f>
        <v>Rahim Hossain</v>
      </c>
      <c r="V405" s="6" t="str">
        <f>_xlfn.XLOOKUP(FactSales[[#This Row],[Region_ID]],DimRegion[Region_ID],DimRegion[Region_Name])</f>
        <v>Dhaka</v>
      </c>
      <c r="W405" s="6" t="str">
        <f>_xlfn.XLOOKUP(FactSales[[#This Row],[Store_ID]],DimStore[Store_ID],DimStore[Store_Name])</f>
        <v>Dhaka Dhanmondi Store</v>
      </c>
    </row>
    <row r="406" spans="1:23">
      <c r="A406" s="4" t="s">
        <v>1402</v>
      </c>
      <c r="B406" s="5">
        <v>46144</v>
      </c>
      <c r="C406" s="4" t="s">
        <v>142</v>
      </c>
      <c r="D406" s="4" t="s">
        <v>27</v>
      </c>
      <c r="E406" s="4" t="s">
        <v>618</v>
      </c>
      <c r="F406" s="4" t="s">
        <v>914</v>
      </c>
      <c r="G406" s="4" t="s">
        <v>890</v>
      </c>
      <c r="H406" s="4">
        <v>2</v>
      </c>
      <c r="I406" s="7">
        <v>0.12</v>
      </c>
      <c r="J406" s="6">
        <v>1781</v>
      </c>
      <c r="K406" s="4">
        <v>3</v>
      </c>
      <c r="L406" s="8">
        <f t="shared" si="6"/>
        <v>4</v>
      </c>
      <c r="M406" s="6" t="str">
        <f>_xlfn.XLOOKUP(FactSales[[#This Row],[Product_ID]],DimProduct[Product_ID],DimProduct[Product_Name])</f>
        <v>Kids Story Book</v>
      </c>
      <c r="N406" s="6" t="str">
        <f>_xlfn.XLOOKUP(FactSales[[#This Row],[Product_ID]],DimProduct[Product_ID],DimProduct[Category])</f>
        <v>Kids &amp; Toys</v>
      </c>
      <c r="O406" s="6">
        <f>_xlfn.XLOOKUP(FactSales[[#This Row],[Product_ID]],DimProduct[Product_ID],DimProduct[Unit_Price])</f>
        <v>840</v>
      </c>
      <c r="P406" s="6">
        <f>_xlfn.XLOOKUP(FactSales[[#This Row],[Product_ID]],DimProduct[Product_ID],DimProduct[Unit_Cost])</f>
        <v>460</v>
      </c>
      <c r="Q406" s="6">
        <f>FactSales[[#This Row],[Unit_Price]]*FactSales[[#This Row],[Quantity_Sold]]</f>
        <v>1680</v>
      </c>
      <c r="R406" s="6">
        <f>FactSales[[#This Row],[Unit_Cost]]*FactSales[[#This Row],[Quantity_Sold]]</f>
        <v>920</v>
      </c>
      <c r="S406" s="6">
        <f>FactSales[[#This Row],[Sales_Amount]]-FactSales[[#This Row],[Total_Cost]]</f>
        <v>760</v>
      </c>
      <c r="T406" s="6" t="str">
        <f>_xlfn.XLOOKUP(FactSales[[#This Row],[Customer_ID]],DimCustomer[Customer_ID],DimCustomer[Customer_Name])</f>
        <v>Hasan Akter</v>
      </c>
      <c r="U406" s="6" t="str">
        <f>_xlfn.XLOOKUP(FactSales[[#This Row],[Salesperson_ID]],DimSalesman[Salesperson_ID],DimSalesman[Salesperson_Name])</f>
        <v>Rasel Rahman</v>
      </c>
      <c r="V406" s="6" t="str">
        <f>_xlfn.XLOOKUP(FactSales[[#This Row],[Region_ID]],DimRegion[Region_ID],DimRegion[Region_Name])</f>
        <v>Dhaka</v>
      </c>
      <c r="W406" s="6" t="str">
        <f>_xlfn.XLOOKUP(FactSales[[#This Row],[Store_ID]],DimStore[Store_ID],DimStore[Store_Name])</f>
        <v>Dhaka Gulshan Store</v>
      </c>
    </row>
    <row r="407" spans="1:23">
      <c r="A407" s="4" t="s">
        <v>1403</v>
      </c>
      <c r="B407" s="5">
        <v>46184</v>
      </c>
      <c r="C407" s="4" t="s">
        <v>162</v>
      </c>
      <c r="D407" s="4" t="s">
        <v>32</v>
      </c>
      <c r="E407" s="4" t="s">
        <v>644</v>
      </c>
      <c r="F407" s="4" t="s">
        <v>927</v>
      </c>
      <c r="G407" s="4" t="s">
        <v>784</v>
      </c>
      <c r="H407" s="4">
        <v>1</v>
      </c>
      <c r="I407" s="7">
        <v>0.03</v>
      </c>
      <c r="J407" s="6">
        <v>2132</v>
      </c>
      <c r="K407" s="4">
        <v>7</v>
      </c>
      <c r="L407" s="8">
        <f t="shared" si="6"/>
        <v>2.9</v>
      </c>
      <c r="M407" s="6" t="str">
        <f>_xlfn.XLOOKUP(FactSales[[#This Row],[Product_ID]],DimProduct[Product_ID],DimProduct[Product_Name])</f>
        <v>Cotton T-Shirt</v>
      </c>
      <c r="N407" s="6" t="str">
        <f>_xlfn.XLOOKUP(FactSales[[#This Row],[Product_ID]],DimProduct[Product_ID],DimProduct[Category])</f>
        <v>Fashion</v>
      </c>
      <c r="O407" s="6">
        <f>_xlfn.XLOOKUP(FactSales[[#This Row],[Product_ID]],DimProduct[Product_ID],DimProduct[Unit_Price])</f>
        <v>1870</v>
      </c>
      <c r="P407" s="6">
        <f>_xlfn.XLOOKUP(FactSales[[#This Row],[Product_ID]],DimProduct[Product_ID],DimProduct[Unit_Cost])</f>
        <v>1030</v>
      </c>
      <c r="Q407" s="6">
        <f>FactSales[[#This Row],[Unit_Price]]*FactSales[[#This Row],[Quantity_Sold]]</f>
        <v>1870</v>
      </c>
      <c r="R407" s="6">
        <f>FactSales[[#This Row],[Unit_Cost]]*FactSales[[#This Row],[Quantity_Sold]]</f>
        <v>1030</v>
      </c>
      <c r="S407" s="6">
        <f>FactSales[[#This Row],[Sales_Amount]]-FactSales[[#This Row],[Total_Cost]]</f>
        <v>840</v>
      </c>
      <c r="T407" s="6" t="str">
        <f>_xlfn.XLOOKUP(FactSales[[#This Row],[Customer_ID]],DimCustomer[Customer_ID],DimCustomer[Customer_Name])</f>
        <v>Karim Rahman</v>
      </c>
      <c r="U407" s="6" t="str">
        <f>_xlfn.XLOOKUP(FactSales[[#This Row],[Salesperson_ID]],DimSalesman[Salesperson_ID],DimSalesman[Salesperson_Name])</f>
        <v>Shakib Ahmed</v>
      </c>
      <c r="V407" s="6" t="str">
        <f>_xlfn.XLOOKUP(FactSales[[#This Row],[Region_ID]],DimRegion[Region_ID],DimRegion[Region_Name])</f>
        <v>Chattogram</v>
      </c>
      <c r="W407" s="6" t="str">
        <f>_xlfn.XLOOKUP(FactSales[[#This Row],[Store_ID]],DimStore[Store_ID],DimStore[Store_Name])</f>
        <v>Chattogram Panchlaish Store</v>
      </c>
    </row>
    <row r="408" spans="1:23">
      <c r="A408" s="4" t="s">
        <v>1404</v>
      </c>
      <c r="B408" s="5">
        <v>46165</v>
      </c>
      <c r="C408" s="4" t="s">
        <v>431</v>
      </c>
      <c r="D408" s="4" t="s">
        <v>52</v>
      </c>
      <c r="E408" s="4" t="s">
        <v>707</v>
      </c>
      <c r="F408" s="4" t="s">
        <v>960</v>
      </c>
      <c r="G408" s="4" t="s">
        <v>800</v>
      </c>
      <c r="H408" s="4">
        <v>4</v>
      </c>
      <c r="I408" s="7">
        <v>0.03</v>
      </c>
      <c r="J408" s="6">
        <v>4973</v>
      </c>
      <c r="K408" s="4">
        <v>5</v>
      </c>
      <c r="L408" s="8">
        <f t="shared" si="6"/>
        <v>3.5</v>
      </c>
      <c r="M408" s="6" t="str">
        <f>_xlfn.XLOOKUP(FactSales[[#This Row],[Product_ID]],DimProduct[Product_ID],DimProduct[Product_Name])</f>
        <v>Premium Rice 5kg</v>
      </c>
      <c r="N408" s="6" t="str">
        <f>_xlfn.XLOOKUP(FactSales[[#This Row],[Product_ID]],DimProduct[Product_ID],DimProduct[Category])</f>
        <v>Grocery</v>
      </c>
      <c r="O408" s="6">
        <f>_xlfn.XLOOKUP(FactSales[[#This Row],[Product_ID]],DimProduct[Product_ID],DimProduct[Unit_Price])</f>
        <v>1110</v>
      </c>
      <c r="P408" s="6">
        <f>_xlfn.XLOOKUP(FactSales[[#This Row],[Product_ID]],DimProduct[Product_ID],DimProduct[Unit_Cost])</f>
        <v>870</v>
      </c>
      <c r="Q408" s="6">
        <f>FactSales[[#This Row],[Unit_Price]]*FactSales[[#This Row],[Quantity_Sold]]</f>
        <v>4440</v>
      </c>
      <c r="R408" s="6">
        <f>FactSales[[#This Row],[Unit_Cost]]*FactSales[[#This Row],[Quantity_Sold]]</f>
        <v>3480</v>
      </c>
      <c r="S408" s="6">
        <f>FactSales[[#This Row],[Sales_Amount]]-FactSales[[#This Row],[Total_Cost]]</f>
        <v>960</v>
      </c>
      <c r="T408" s="6" t="str">
        <f>_xlfn.XLOOKUP(FactSales[[#This Row],[Customer_ID]],DimCustomer[Customer_ID],DimCustomer[Customer_Name])</f>
        <v>Rasel Uddin</v>
      </c>
      <c r="U408" s="6" t="str">
        <f>_xlfn.XLOOKUP(FactSales[[#This Row],[Salesperson_ID]],DimSalesman[Salesperson_ID],DimSalesman[Salesperson_Name])</f>
        <v>Mim Akter</v>
      </c>
      <c r="V408" s="6" t="str">
        <f>_xlfn.XLOOKUP(FactSales[[#This Row],[Region_ID]],DimRegion[Region_ID],DimRegion[Region_Name])</f>
        <v>Barishal</v>
      </c>
      <c r="W408" s="6" t="str">
        <f>_xlfn.XLOOKUP(FactSales[[#This Row],[Store_ID]],DimStore[Store_ID],DimStore[Store_Name])</f>
        <v>Barishal Chowmatha Store</v>
      </c>
    </row>
    <row r="409" spans="1:23">
      <c r="A409" s="4" t="s">
        <v>1405</v>
      </c>
      <c r="B409" s="5">
        <v>45977</v>
      </c>
      <c r="C409" s="4" t="s">
        <v>462</v>
      </c>
      <c r="D409" s="4" t="s">
        <v>52</v>
      </c>
      <c r="E409" s="4" t="s">
        <v>698</v>
      </c>
      <c r="F409" s="4" t="s">
        <v>964</v>
      </c>
      <c r="G409" s="4" t="s">
        <v>768</v>
      </c>
      <c r="H409" s="4">
        <v>4</v>
      </c>
      <c r="I409" s="7">
        <v>0.15</v>
      </c>
      <c r="J409" s="6">
        <v>32256</v>
      </c>
      <c r="K409" s="4">
        <v>7</v>
      </c>
      <c r="L409" s="8">
        <f t="shared" si="6"/>
        <v>2.6</v>
      </c>
      <c r="M409" s="6" t="str">
        <f>_xlfn.XLOOKUP(FactSales[[#This Row],[Product_ID]],DimProduct[Product_ID],DimProduct[Product_Name])</f>
        <v>Electric Kettle</v>
      </c>
      <c r="N409" s="6" t="str">
        <f>_xlfn.XLOOKUP(FactSales[[#This Row],[Product_ID]],DimProduct[Product_ID],DimProduct[Category])</f>
        <v>Home Appliance</v>
      </c>
      <c r="O409" s="6">
        <f>_xlfn.XLOOKUP(FactSales[[#This Row],[Product_ID]],DimProduct[Product_ID],DimProduct[Unit_Price])</f>
        <v>7200</v>
      </c>
      <c r="P409" s="6">
        <f>_xlfn.XLOOKUP(FactSales[[#This Row],[Product_ID]],DimProduct[Product_ID],DimProduct[Unit_Cost])</f>
        <v>5040</v>
      </c>
      <c r="Q409" s="6">
        <f>FactSales[[#This Row],[Unit_Price]]*FactSales[[#This Row],[Quantity_Sold]]</f>
        <v>28800</v>
      </c>
      <c r="R409" s="6">
        <f>FactSales[[#This Row],[Unit_Cost]]*FactSales[[#This Row],[Quantity_Sold]]</f>
        <v>20160</v>
      </c>
      <c r="S409" s="6">
        <f>FactSales[[#This Row],[Sales_Amount]]-FactSales[[#This Row],[Total_Cost]]</f>
        <v>8640</v>
      </c>
      <c r="T409" s="6" t="str">
        <f>_xlfn.XLOOKUP(FactSales[[#This Row],[Customer_ID]],DimCustomer[Customer_ID],DimCustomer[Customer_Name])</f>
        <v>Sajib Islam</v>
      </c>
      <c r="U409" s="6" t="str">
        <f>_xlfn.XLOOKUP(FactSales[[#This Row],[Salesperson_ID]],DimSalesman[Salesperson_ID],DimSalesman[Salesperson_Name])</f>
        <v>Shaila Uddin</v>
      </c>
      <c r="V409" s="6" t="str">
        <f>_xlfn.XLOOKUP(FactSales[[#This Row],[Region_ID]],DimRegion[Region_ID],DimRegion[Region_Name])</f>
        <v>Barishal</v>
      </c>
      <c r="W409" s="6" t="str">
        <f>_xlfn.XLOOKUP(FactSales[[#This Row],[Store_ID]],DimStore[Store_ID],DimStore[Store_Name])</f>
        <v>Barishal Nathullabad Store</v>
      </c>
    </row>
    <row r="410" spans="1:23">
      <c r="A410" s="4" t="s">
        <v>1406</v>
      </c>
      <c r="B410" s="5">
        <v>46096</v>
      </c>
      <c r="C410" s="4" t="s">
        <v>332</v>
      </c>
      <c r="D410" s="4" t="s">
        <v>42</v>
      </c>
      <c r="E410" s="4" t="s">
        <v>677</v>
      </c>
      <c r="F410" s="4" t="s">
        <v>945</v>
      </c>
      <c r="G410" s="4" t="s">
        <v>903</v>
      </c>
      <c r="H410" s="4">
        <v>1</v>
      </c>
      <c r="I410" s="7">
        <v>0.1</v>
      </c>
      <c r="J410" s="6">
        <v>4568</v>
      </c>
      <c r="K410" s="4">
        <v>8</v>
      </c>
      <c r="L410" s="8">
        <f t="shared" si="6"/>
        <v>2.4</v>
      </c>
      <c r="M410" s="6" t="str">
        <f>_xlfn.XLOOKUP(FactSales[[#This Row],[Product_ID]],DimProduct[Product_ID],DimProduct[Product_Name])</f>
        <v>Bookshelf</v>
      </c>
      <c r="N410" s="6" t="str">
        <f>_xlfn.XLOOKUP(FactSales[[#This Row],[Product_ID]],DimProduct[Product_ID],DimProduct[Category])</f>
        <v>Furniture</v>
      </c>
      <c r="O410" s="6">
        <f>_xlfn.XLOOKUP(FactSales[[#This Row],[Product_ID]],DimProduct[Product_ID],DimProduct[Unit_Price])</f>
        <v>4230</v>
      </c>
      <c r="P410" s="6">
        <f>_xlfn.XLOOKUP(FactSales[[#This Row],[Product_ID]],DimProduct[Product_ID],DimProduct[Unit_Cost])</f>
        <v>3050</v>
      </c>
      <c r="Q410" s="6">
        <f>FactSales[[#This Row],[Unit_Price]]*FactSales[[#This Row],[Quantity_Sold]]</f>
        <v>4230</v>
      </c>
      <c r="R410" s="6">
        <f>FactSales[[#This Row],[Unit_Cost]]*FactSales[[#This Row],[Quantity_Sold]]</f>
        <v>3050</v>
      </c>
      <c r="S410" s="6">
        <f>FactSales[[#This Row],[Sales_Amount]]-FactSales[[#This Row],[Total_Cost]]</f>
        <v>1180</v>
      </c>
      <c r="T410" s="6" t="str">
        <f>_xlfn.XLOOKUP(FactSales[[#This Row],[Customer_ID]],DimCustomer[Customer_ID],DimCustomer[Customer_Name])</f>
        <v>Samiha Mia</v>
      </c>
      <c r="U410" s="6" t="str">
        <f>_xlfn.XLOOKUP(FactSales[[#This Row],[Salesperson_ID]],DimSalesman[Salesperson_ID],DimSalesman[Salesperson_Name])</f>
        <v>Hasan Khan</v>
      </c>
      <c r="V410" s="6" t="str">
        <f>_xlfn.XLOOKUP(FactSales[[#This Row],[Region_ID]],DimRegion[Region_ID],DimRegion[Region_Name])</f>
        <v>Rajshahi</v>
      </c>
      <c r="W410" s="6" t="str">
        <f>_xlfn.XLOOKUP(FactSales[[#This Row],[Store_ID]],DimStore[Store_ID],DimStore[Store_Name])</f>
        <v>Rajshahi Railgate Store</v>
      </c>
    </row>
    <row r="411" spans="1:23">
      <c r="A411" s="4" t="s">
        <v>1407</v>
      </c>
      <c r="B411" s="5">
        <v>46106</v>
      </c>
      <c r="C411" s="4" t="s">
        <v>136</v>
      </c>
      <c r="D411" s="4" t="s">
        <v>27</v>
      </c>
      <c r="E411" s="4" t="s">
        <v>630</v>
      </c>
      <c r="F411" s="4" t="s">
        <v>920</v>
      </c>
      <c r="G411" s="4" t="s">
        <v>755</v>
      </c>
      <c r="H411" s="4">
        <v>5</v>
      </c>
      <c r="I411" s="7">
        <v>0.08</v>
      </c>
      <c r="J411" s="6">
        <v>17702</v>
      </c>
      <c r="K411" s="4">
        <v>1</v>
      </c>
      <c r="L411" s="8">
        <f t="shared" si="6"/>
        <v>4.7</v>
      </c>
      <c r="M411" s="6" t="str">
        <f>_xlfn.XLOOKUP(FactSales[[#This Row],[Product_ID]],DimProduct[Product_ID],DimProduct[Product_Name])</f>
        <v>Wireless Mouse</v>
      </c>
      <c r="N411" s="6" t="str">
        <f>_xlfn.XLOOKUP(FactSales[[#This Row],[Product_ID]],DimProduct[Product_ID],DimProduct[Category])</f>
        <v>Electronics</v>
      </c>
      <c r="O411" s="6">
        <f>_xlfn.XLOOKUP(FactSales[[#This Row],[Product_ID]],DimProduct[Product_ID],DimProduct[Unit_Price])</f>
        <v>3340</v>
      </c>
      <c r="P411" s="6">
        <f>_xlfn.XLOOKUP(FactSales[[#This Row],[Product_ID]],DimProduct[Product_ID],DimProduct[Unit_Cost])</f>
        <v>2270</v>
      </c>
      <c r="Q411" s="6">
        <f>FactSales[[#This Row],[Unit_Price]]*FactSales[[#This Row],[Quantity_Sold]]</f>
        <v>16700</v>
      </c>
      <c r="R411" s="6">
        <f>FactSales[[#This Row],[Unit_Cost]]*FactSales[[#This Row],[Quantity_Sold]]</f>
        <v>11350</v>
      </c>
      <c r="S411" s="6">
        <f>FactSales[[#This Row],[Sales_Amount]]-FactSales[[#This Row],[Total_Cost]]</f>
        <v>5350</v>
      </c>
      <c r="T411" s="6" t="str">
        <f>_xlfn.XLOOKUP(FactSales[[#This Row],[Customer_ID]],DimCustomer[Customer_ID],DimCustomer[Customer_Name])</f>
        <v>Arif Rahman</v>
      </c>
      <c r="U411" s="6" t="str">
        <f>_xlfn.XLOOKUP(FactSales[[#This Row],[Salesperson_ID]],DimSalesman[Salesperson_ID],DimSalesman[Salesperson_Name])</f>
        <v>Rahim Hossain</v>
      </c>
      <c r="V411" s="6" t="str">
        <f>_xlfn.XLOOKUP(FactSales[[#This Row],[Region_ID]],DimRegion[Region_ID],DimRegion[Region_Name])</f>
        <v>Dhaka</v>
      </c>
      <c r="W411" s="6" t="str">
        <f>_xlfn.XLOOKUP(FactSales[[#This Row],[Store_ID]],DimStore[Store_ID],DimStore[Store_Name])</f>
        <v>Dhaka Uttara Store</v>
      </c>
    </row>
    <row r="412" spans="1:23">
      <c r="A412" s="4" t="s">
        <v>1408</v>
      </c>
      <c r="B412" s="5">
        <v>45762</v>
      </c>
      <c r="C412" s="4" t="s">
        <v>159</v>
      </c>
      <c r="D412" s="4" t="s">
        <v>32</v>
      </c>
      <c r="E412" s="4" t="s">
        <v>647</v>
      </c>
      <c r="F412" s="4" t="s">
        <v>927</v>
      </c>
      <c r="G412" s="4" t="s">
        <v>844</v>
      </c>
      <c r="H412" s="4">
        <v>4</v>
      </c>
      <c r="I412" s="7">
        <v>0.03</v>
      </c>
      <c r="J412" s="6">
        <v>12221</v>
      </c>
      <c r="K412" s="4">
        <v>4</v>
      </c>
      <c r="L412" s="8">
        <f t="shared" si="6"/>
        <v>3.9</v>
      </c>
      <c r="M412" s="6" t="str">
        <f>_xlfn.XLOOKUP(FactSales[[#This Row],[Product_ID]],DimProduct[Product_ID],DimProduct[Product_Name])</f>
        <v>Kids Sneaker</v>
      </c>
      <c r="N412" s="6" t="str">
        <f>_xlfn.XLOOKUP(FactSales[[#This Row],[Product_ID]],DimProduct[Product_ID],DimProduct[Category])</f>
        <v>Footwear</v>
      </c>
      <c r="O412" s="6">
        <f>_xlfn.XLOOKUP(FactSales[[#This Row],[Product_ID]],DimProduct[Product_ID],DimProduct[Unit_Price])</f>
        <v>2680</v>
      </c>
      <c r="P412" s="6">
        <f>_xlfn.XLOOKUP(FactSales[[#This Row],[Product_ID]],DimProduct[Product_ID],DimProduct[Unit_Cost])</f>
        <v>1610</v>
      </c>
      <c r="Q412" s="6">
        <f>FactSales[[#This Row],[Unit_Price]]*FactSales[[#This Row],[Quantity_Sold]]</f>
        <v>10720</v>
      </c>
      <c r="R412" s="6">
        <f>FactSales[[#This Row],[Unit_Cost]]*FactSales[[#This Row],[Quantity_Sold]]</f>
        <v>6440</v>
      </c>
      <c r="S412" s="6">
        <f>FactSales[[#This Row],[Sales_Amount]]-FactSales[[#This Row],[Total_Cost]]</f>
        <v>4280</v>
      </c>
      <c r="T412" s="6" t="str">
        <f>_xlfn.XLOOKUP(FactSales[[#This Row],[Customer_ID]],DimCustomer[Customer_ID],DimCustomer[Customer_Name])</f>
        <v>Shakib Mia</v>
      </c>
      <c r="U412" s="6" t="str">
        <f>_xlfn.XLOOKUP(FactSales[[#This Row],[Salesperson_ID]],DimSalesman[Salesperson_ID],DimSalesman[Salesperson_Name])</f>
        <v>Shakib Ahmed</v>
      </c>
      <c r="V412" s="6" t="str">
        <f>_xlfn.XLOOKUP(FactSales[[#This Row],[Region_ID]],DimRegion[Region_ID],DimRegion[Region_Name])</f>
        <v>Chattogram</v>
      </c>
      <c r="W412" s="6" t="str">
        <f>_xlfn.XLOOKUP(FactSales[[#This Row],[Store_ID]],DimStore[Store_ID],DimStore[Store_Name])</f>
        <v>Chattogram Nasirabad Store</v>
      </c>
    </row>
    <row r="413" spans="1:23">
      <c r="A413" s="4" t="s">
        <v>1409</v>
      </c>
      <c r="B413" s="5">
        <v>46092</v>
      </c>
      <c r="C413" s="4" t="s">
        <v>338</v>
      </c>
      <c r="D413" s="4" t="s">
        <v>42</v>
      </c>
      <c r="E413" s="4" t="s">
        <v>677</v>
      </c>
      <c r="F413" s="4" t="s">
        <v>943</v>
      </c>
      <c r="G413" s="4" t="s">
        <v>765</v>
      </c>
      <c r="H413" s="4">
        <v>5</v>
      </c>
      <c r="I413" s="7">
        <v>0.18</v>
      </c>
      <c r="J413" s="6">
        <v>26406</v>
      </c>
      <c r="K413" s="4">
        <v>5</v>
      </c>
      <c r="L413" s="8">
        <f t="shared" si="6"/>
        <v>3.2</v>
      </c>
      <c r="M413" s="6" t="str">
        <f>_xlfn.XLOOKUP(FactSales[[#This Row],[Product_ID]],DimProduct[Product_ID],DimProduct[Product_Name])</f>
        <v>USB-C Hub</v>
      </c>
      <c r="N413" s="6" t="str">
        <f>_xlfn.XLOOKUP(FactSales[[#This Row],[Product_ID]],DimProduct[Product_ID],DimProduct[Category])</f>
        <v>Electronics</v>
      </c>
      <c r="O413" s="6">
        <f>_xlfn.XLOOKUP(FactSales[[#This Row],[Product_ID]],DimProduct[Product_ID],DimProduct[Unit_Price])</f>
        <v>4890</v>
      </c>
      <c r="P413" s="6">
        <f>_xlfn.XLOOKUP(FactSales[[#This Row],[Product_ID]],DimProduct[Product_ID],DimProduct[Unit_Cost])</f>
        <v>3330</v>
      </c>
      <c r="Q413" s="6">
        <f>FactSales[[#This Row],[Unit_Price]]*FactSales[[#This Row],[Quantity_Sold]]</f>
        <v>24450</v>
      </c>
      <c r="R413" s="6">
        <f>FactSales[[#This Row],[Unit_Cost]]*FactSales[[#This Row],[Quantity_Sold]]</f>
        <v>16650</v>
      </c>
      <c r="S413" s="6">
        <f>FactSales[[#This Row],[Sales_Amount]]-FactSales[[#This Row],[Total_Cost]]</f>
        <v>7800</v>
      </c>
      <c r="T413" s="6" t="str">
        <f>_xlfn.XLOOKUP(FactSales[[#This Row],[Customer_ID]],DimCustomer[Customer_ID],DimCustomer[Customer_Name])</f>
        <v>Shakib Uddin</v>
      </c>
      <c r="U413" s="6" t="str">
        <f>_xlfn.XLOOKUP(FactSales[[#This Row],[Salesperson_ID]],DimSalesman[Salesperson_ID],DimSalesman[Salesperson_Name])</f>
        <v>Imran Khan</v>
      </c>
      <c r="V413" s="6" t="str">
        <f>_xlfn.XLOOKUP(FactSales[[#This Row],[Region_ID]],DimRegion[Region_ID],DimRegion[Region_Name])</f>
        <v>Rajshahi</v>
      </c>
      <c r="W413" s="6" t="str">
        <f>_xlfn.XLOOKUP(FactSales[[#This Row],[Store_ID]],DimStore[Store_ID],DimStore[Store_Name])</f>
        <v>Rajshahi Railgate Store</v>
      </c>
    </row>
    <row r="414" spans="1:23">
      <c r="A414" s="4" t="s">
        <v>1410</v>
      </c>
      <c r="B414" s="5">
        <v>46072</v>
      </c>
      <c r="C414" s="4" t="s">
        <v>422</v>
      </c>
      <c r="D414" s="4" t="s">
        <v>47</v>
      </c>
      <c r="E414" s="4" t="s">
        <v>692</v>
      </c>
      <c r="F414" s="4" t="s">
        <v>954</v>
      </c>
      <c r="G414" s="4" t="s">
        <v>790</v>
      </c>
      <c r="H414" s="4">
        <v>10</v>
      </c>
      <c r="I414" s="7">
        <v>0.12</v>
      </c>
      <c r="J414" s="6">
        <v>21691</v>
      </c>
      <c r="K414" s="4">
        <v>2</v>
      </c>
      <c r="L414" s="8">
        <f t="shared" si="6"/>
        <v>4.3</v>
      </c>
      <c r="M414" s="6" t="str">
        <f>_xlfn.XLOOKUP(FactSales[[#This Row],[Product_ID]],DimProduct[Product_ID],DimProduct[Product_Name])</f>
        <v>Women Kurti</v>
      </c>
      <c r="N414" s="6" t="str">
        <f>_xlfn.XLOOKUP(FactSales[[#This Row],[Product_ID]],DimProduct[Product_ID],DimProduct[Category])</f>
        <v>Fashion</v>
      </c>
      <c r="O414" s="6">
        <f>_xlfn.XLOOKUP(FactSales[[#This Row],[Product_ID]],DimProduct[Product_ID],DimProduct[Unit_Price])</f>
        <v>1990</v>
      </c>
      <c r="P414" s="6">
        <f>_xlfn.XLOOKUP(FactSales[[#This Row],[Product_ID]],DimProduct[Product_ID],DimProduct[Unit_Cost])</f>
        <v>1090</v>
      </c>
      <c r="Q414" s="6">
        <f>FactSales[[#This Row],[Unit_Price]]*FactSales[[#This Row],[Quantity_Sold]]</f>
        <v>19900</v>
      </c>
      <c r="R414" s="6">
        <f>FactSales[[#This Row],[Unit_Cost]]*FactSales[[#This Row],[Quantity_Sold]]</f>
        <v>10900</v>
      </c>
      <c r="S414" s="6">
        <f>FactSales[[#This Row],[Sales_Amount]]-FactSales[[#This Row],[Total_Cost]]</f>
        <v>9000</v>
      </c>
      <c r="T414" s="6" t="str">
        <f>_xlfn.XLOOKUP(FactSales[[#This Row],[Customer_ID]],DimCustomer[Customer_ID],DimCustomer[Customer_Name])</f>
        <v>Tanjim Khan</v>
      </c>
      <c r="U414" s="6" t="str">
        <f>_xlfn.XLOOKUP(FactSales[[#This Row],[Salesperson_ID]],DimSalesman[Salesperson_ID],DimSalesman[Salesperson_Name])</f>
        <v>Sadia Sultana</v>
      </c>
      <c r="V414" s="6" t="str">
        <f>_xlfn.XLOOKUP(FactSales[[#This Row],[Region_ID]],DimRegion[Region_ID],DimRegion[Region_Name])</f>
        <v>Khulna</v>
      </c>
      <c r="W414" s="6" t="str">
        <f>_xlfn.XLOOKUP(FactSales[[#This Row],[Store_ID]],DimStore[Store_ID],DimStore[Store_Name])</f>
        <v>Khulna Boyra Store</v>
      </c>
    </row>
    <row r="415" spans="1:23">
      <c r="A415" s="4" t="s">
        <v>1411</v>
      </c>
      <c r="B415" s="5">
        <v>45795</v>
      </c>
      <c r="C415" s="4" t="s">
        <v>156</v>
      </c>
      <c r="D415" s="4" t="s">
        <v>32</v>
      </c>
      <c r="E415" s="4" t="s">
        <v>644</v>
      </c>
      <c r="F415" s="4" t="s">
        <v>927</v>
      </c>
      <c r="G415" s="4" t="s">
        <v>794</v>
      </c>
      <c r="H415" s="4">
        <v>1</v>
      </c>
      <c r="I415" s="7">
        <v>0.03</v>
      </c>
      <c r="J415" s="6">
        <v>1003</v>
      </c>
      <c r="K415" s="4">
        <v>8</v>
      </c>
      <c r="L415" s="8">
        <f t="shared" si="6"/>
        <v>2.6</v>
      </c>
      <c r="M415" s="6" t="str">
        <f>_xlfn.XLOOKUP(FactSales[[#This Row],[Product_ID]],DimProduct[Product_ID],DimProduct[Product_Name])</f>
        <v>Denim Jeans</v>
      </c>
      <c r="N415" s="6" t="str">
        <f>_xlfn.XLOOKUP(FactSales[[#This Row],[Product_ID]],DimProduct[Product_ID],DimProduct[Category])</f>
        <v>Fashion</v>
      </c>
      <c r="O415" s="6">
        <f>_xlfn.XLOOKUP(FactSales[[#This Row],[Product_ID]],DimProduct[Product_ID],DimProduct[Unit_Price])</f>
        <v>880</v>
      </c>
      <c r="P415" s="6">
        <f>_xlfn.XLOOKUP(FactSales[[#This Row],[Product_ID]],DimProduct[Product_ID],DimProduct[Unit_Cost])</f>
        <v>480</v>
      </c>
      <c r="Q415" s="6">
        <f>FactSales[[#This Row],[Unit_Price]]*FactSales[[#This Row],[Quantity_Sold]]</f>
        <v>880</v>
      </c>
      <c r="R415" s="6">
        <f>FactSales[[#This Row],[Unit_Cost]]*FactSales[[#This Row],[Quantity_Sold]]</f>
        <v>480</v>
      </c>
      <c r="S415" s="6">
        <f>FactSales[[#This Row],[Sales_Amount]]-FactSales[[#This Row],[Total_Cost]]</f>
        <v>400</v>
      </c>
      <c r="T415" s="6" t="str">
        <f>_xlfn.XLOOKUP(FactSales[[#This Row],[Customer_ID]],DimCustomer[Customer_ID],DimCustomer[Customer_Name])</f>
        <v>Shaila Mia</v>
      </c>
      <c r="U415" s="6" t="str">
        <f>_xlfn.XLOOKUP(FactSales[[#This Row],[Salesperson_ID]],DimSalesman[Salesperson_ID],DimSalesman[Salesperson_Name])</f>
        <v>Shakib Ahmed</v>
      </c>
      <c r="V415" s="6" t="str">
        <f>_xlfn.XLOOKUP(FactSales[[#This Row],[Region_ID]],DimRegion[Region_ID],DimRegion[Region_Name])</f>
        <v>Chattogram</v>
      </c>
      <c r="W415" s="6" t="str">
        <f>_xlfn.XLOOKUP(FactSales[[#This Row],[Store_ID]],DimStore[Store_ID],DimStore[Store_Name])</f>
        <v>Chattogram Panchlaish Store</v>
      </c>
    </row>
    <row r="416" spans="1:23">
      <c r="A416" s="4" t="s">
        <v>1412</v>
      </c>
      <c r="B416" s="5">
        <v>45992</v>
      </c>
      <c r="C416" s="4" t="s">
        <v>192</v>
      </c>
      <c r="D416" s="4" t="s">
        <v>32</v>
      </c>
      <c r="E416" s="4" t="s">
        <v>638</v>
      </c>
      <c r="F416" s="4" t="s">
        <v>924</v>
      </c>
      <c r="G416" s="4" t="s">
        <v>778</v>
      </c>
      <c r="H416" s="4">
        <v>3</v>
      </c>
      <c r="I416" s="7">
        <v>0.18</v>
      </c>
      <c r="J416" s="6">
        <v>15595</v>
      </c>
      <c r="K416" s="4">
        <v>8</v>
      </c>
      <c r="L416" s="8">
        <f t="shared" si="6"/>
        <v>2.2000000000000002</v>
      </c>
      <c r="M416" s="6" t="str">
        <f>_xlfn.XLOOKUP(FactSales[[#This Row],[Product_ID]],DimProduct[Product_ID],DimProduct[Product_Name])</f>
        <v>Steam Iron</v>
      </c>
      <c r="N416" s="6" t="str">
        <f>_xlfn.XLOOKUP(FactSales[[#This Row],[Product_ID]],DimProduct[Product_ID],DimProduct[Category])</f>
        <v>Home Appliance</v>
      </c>
      <c r="O416" s="6">
        <f>_xlfn.XLOOKUP(FactSales[[#This Row],[Product_ID]],DimProduct[Product_ID],DimProduct[Unit_Price])</f>
        <v>4560</v>
      </c>
      <c r="P416" s="6">
        <f>_xlfn.XLOOKUP(FactSales[[#This Row],[Product_ID]],DimProduct[Product_ID],DimProduct[Unit_Cost])</f>
        <v>3190</v>
      </c>
      <c r="Q416" s="6">
        <f>FactSales[[#This Row],[Unit_Price]]*FactSales[[#This Row],[Quantity_Sold]]</f>
        <v>13680</v>
      </c>
      <c r="R416" s="6">
        <f>FactSales[[#This Row],[Unit_Cost]]*FactSales[[#This Row],[Quantity_Sold]]</f>
        <v>9570</v>
      </c>
      <c r="S416" s="6">
        <f>FactSales[[#This Row],[Sales_Amount]]-FactSales[[#This Row],[Total_Cost]]</f>
        <v>4110</v>
      </c>
      <c r="T416" s="6" t="str">
        <f>_xlfn.XLOOKUP(FactSales[[#This Row],[Customer_ID]],DimCustomer[Customer_ID],DimCustomer[Customer_Name])</f>
        <v>Arif Ahmed</v>
      </c>
      <c r="U416" s="6" t="str">
        <f>_xlfn.XLOOKUP(FactSales[[#This Row],[Salesperson_ID]],DimSalesman[Salesperson_ID],DimSalesman[Salesperson_Name])</f>
        <v>Rumana Khan</v>
      </c>
      <c r="V416" s="6" t="str">
        <f>_xlfn.XLOOKUP(FactSales[[#This Row],[Region_ID]],DimRegion[Region_ID],DimRegion[Region_Name])</f>
        <v>Chattogram</v>
      </c>
      <c r="W416" s="6" t="str">
        <f>_xlfn.XLOOKUP(FactSales[[#This Row],[Store_ID]],DimStore[Store_ID],DimStore[Store_Name])</f>
        <v>Chattogram Agrabad Store</v>
      </c>
    </row>
    <row r="417" spans="1:23">
      <c r="A417" s="4" t="s">
        <v>1413</v>
      </c>
      <c r="B417" s="5">
        <v>46160</v>
      </c>
      <c r="C417" s="4" t="s">
        <v>585</v>
      </c>
      <c r="D417" s="4" t="s">
        <v>62</v>
      </c>
      <c r="E417" s="4" t="s">
        <v>731</v>
      </c>
      <c r="F417" s="4" t="s">
        <v>981</v>
      </c>
      <c r="G417" s="4" t="s">
        <v>834</v>
      </c>
      <c r="H417" s="4">
        <v>3</v>
      </c>
      <c r="I417" s="7">
        <v>0.12</v>
      </c>
      <c r="J417" s="6">
        <v>11372</v>
      </c>
      <c r="K417" s="4">
        <v>4</v>
      </c>
      <c r="L417" s="8">
        <f t="shared" si="6"/>
        <v>3.7</v>
      </c>
      <c r="M417" s="6" t="str">
        <f>_xlfn.XLOOKUP(FactSales[[#This Row],[Product_ID]],DimProduct[Product_ID],DimProduct[Product_Name])</f>
        <v>Running Shoe</v>
      </c>
      <c r="N417" s="6" t="str">
        <f>_xlfn.XLOOKUP(FactSales[[#This Row],[Product_ID]],DimProduct[Product_ID],DimProduct[Category])</f>
        <v>Footwear</v>
      </c>
      <c r="O417" s="6">
        <f>_xlfn.XLOOKUP(FactSales[[#This Row],[Product_ID]],DimProduct[Product_ID],DimProduct[Unit_Price])</f>
        <v>3510</v>
      </c>
      <c r="P417" s="6">
        <f>_xlfn.XLOOKUP(FactSales[[#This Row],[Product_ID]],DimProduct[Product_ID],DimProduct[Unit_Cost])</f>
        <v>2110</v>
      </c>
      <c r="Q417" s="6">
        <f>FactSales[[#This Row],[Unit_Price]]*FactSales[[#This Row],[Quantity_Sold]]</f>
        <v>10530</v>
      </c>
      <c r="R417" s="6">
        <f>FactSales[[#This Row],[Unit_Cost]]*FactSales[[#This Row],[Quantity_Sold]]</f>
        <v>6330</v>
      </c>
      <c r="S417" s="6">
        <f>FactSales[[#This Row],[Sales_Amount]]-FactSales[[#This Row],[Total_Cost]]</f>
        <v>4200</v>
      </c>
      <c r="T417" s="6" t="str">
        <f>_xlfn.XLOOKUP(FactSales[[#This Row],[Customer_ID]],DimCustomer[Customer_ID],DimCustomer[Customer_Name])</f>
        <v>Shaila Hossain</v>
      </c>
      <c r="U417" s="6" t="str">
        <f>_xlfn.XLOOKUP(FactSales[[#This Row],[Salesperson_ID]],DimSalesman[Salesperson_ID],DimSalesman[Salesperson_Name])</f>
        <v>Morshed Islam</v>
      </c>
      <c r="V417" s="6" t="str">
        <f>_xlfn.XLOOKUP(FactSales[[#This Row],[Region_ID]],DimRegion[Region_ID],DimRegion[Region_Name])</f>
        <v>Mymensingh</v>
      </c>
      <c r="W417" s="6" t="str">
        <f>_xlfn.XLOOKUP(FactSales[[#This Row],[Store_ID]],DimStore[Store_ID],DimStore[Store_Name])</f>
        <v>Mymensingh Town Hall Store</v>
      </c>
    </row>
    <row r="418" spans="1:23">
      <c r="A418" s="4" t="s">
        <v>1414</v>
      </c>
      <c r="B418" s="5">
        <v>45690</v>
      </c>
      <c r="C418" s="4" t="s">
        <v>468</v>
      </c>
      <c r="D418" s="4" t="s">
        <v>52</v>
      </c>
      <c r="E418" s="4" t="s">
        <v>710</v>
      </c>
      <c r="F418" s="4" t="s">
        <v>960</v>
      </c>
      <c r="G418" s="4" t="s">
        <v>897</v>
      </c>
      <c r="H418" s="4">
        <v>10</v>
      </c>
      <c r="I418" s="7">
        <v>0.03</v>
      </c>
      <c r="J418" s="6">
        <v>130816</v>
      </c>
      <c r="K418" s="4">
        <v>6</v>
      </c>
      <c r="L418" s="8">
        <f t="shared" si="6"/>
        <v>3.2</v>
      </c>
      <c r="M418" s="6" t="str">
        <f>_xlfn.XLOOKUP(FactSales[[#This Row],[Product_ID]],DimProduct[Product_ID],DimProduct[Product_Name])</f>
        <v>Study Table</v>
      </c>
      <c r="N418" s="6" t="str">
        <f>_xlfn.XLOOKUP(FactSales[[#This Row],[Product_ID]],DimProduct[Product_ID],DimProduct[Category])</f>
        <v>Furniture</v>
      </c>
      <c r="O418" s="6">
        <f>_xlfn.XLOOKUP(FactSales[[#This Row],[Product_ID]],DimProduct[Product_ID],DimProduct[Unit_Price])</f>
        <v>11680</v>
      </c>
      <c r="P418" s="6">
        <f>_xlfn.XLOOKUP(FactSales[[#This Row],[Product_ID]],DimProduct[Product_ID],DimProduct[Unit_Cost])</f>
        <v>8410</v>
      </c>
      <c r="Q418" s="6">
        <f>FactSales[[#This Row],[Unit_Price]]*FactSales[[#This Row],[Quantity_Sold]]</f>
        <v>116800</v>
      </c>
      <c r="R418" s="6">
        <f>FactSales[[#This Row],[Unit_Cost]]*FactSales[[#This Row],[Quantity_Sold]]</f>
        <v>84100</v>
      </c>
      <c r="S418" s="6">
        <f>FactSales[[#This Row],[Sales_Amount]]-FactSales[[#This Row],[Total_Cost]]</f>
        <v>32700</v>
      </c>
      <c r="T418" s="6" t="str">
        <f>_xlfn.XLOOKUP(FactSales[[#This Row],[Customer_ID]],DimCustomer[Customer_ID],DimCustomer[Customer_Name])</f>
        <v>Samiha Ahmed</v>
      </c>
      <c r="U418" s="6" t="str">
        <f>_xlfn.XLOOKUP(FactSales[[#This Row],[Salesperson_ID]],DimSalesman[Salesperson_ID],DimSalesman[Salesperson_Name])</f>
        <v>Mim Akter</v>
      </c>
      <c r="V418" s="6" t="str">
        <f>_xlfn.XLOOKUP(FactSales[[#This Row],[Region_ID]],DimRegion[Region_ID],DimRegion[Region_Name])</f>
        <v>Barishal</v>
      </c>
      <c r="W418" s="6" t="str">
        <f>_xlfn.XLOOKUP(FactSales[[#This Row],[Store_ID]],DimStore[Store_ID],DimStore[Store_Name])</f>
        <v>Barishal Kawnia Store</v>
      </c>
    </row>
    <row r="419" spans="1:23">
      <c r="A419" s="4" t="s">
        <v>1415</v>
      </c>
      <c r="B419" s="5">
        <v>45968</v>
      </c>
      <c r="C419" s="4" t="s">
        <v>522</v>
      </c>
      <c r="D419" s="4" t="s">
        <v>57</v>
      </c>
      <c r="E419" s="4" t="s">
        <v>722</v>
      </c>
      <c r="F419" s="4" t="s">
        <v>968</v>
      </c>
      <c r="G419" s="4" t="s">
        <v>750</v>
      </c>
      <c r="H419" s="4">
        <v>6</v>
      </c>
      <c r="I419" s="7">
        <v>0.1</v>
      </c>
      <c r="J419" s="6">
        <v>22356</v>
      </c>
      <c r="K419" s="4">
        <v>7</v>
      </c>
      <c r="L419" s="8">
        <f t="shared" si="6"/>
        <v>2.7</v>
      </c>
      <c r="M419" s="6" t="str">
        <f>_xlfn.XLOOKUP(FactSales[[#This Row],[Product_ID]],DimProduct[Product_ID],DimProduct[Product_Name])</f>
        <v>Bluetooth Speaker</v>
      </c>
      <c r="N419" s="6" t="str">
        <f>_xlfn.XLOOKUP(FactSales[[#This Row],[Product_ID]],DimProduct[Product_ID],DimProduct[Category])</f>
        <v>Electronics</v>
      </c>
      <c r="O419" s="6">
        <f>_xlfn.XLOOKUP(FactSales[[#This Row],[Product_ID]],DimProduct[Product_ID],DimProduct[Unit_Price])</f>
        <v>3240</v>
      </c>
      <c r="P419" s="6">
        <f>_xlfn.XLOOKUP(FactSales[[#This Row],[Product_ID]],DimProduct[Product_ID],DimProduct[Unit_Cost])</f>
        <v>2200</v>
      </c>
      <c r="Q419" s="6">
        <f>FactSales[[#This Row],[Unit_Price]]*FactSales[[#This Row],[Quantity_Sold]]</f>
        <v>19440</v>
      </c>
      <c r="R419" s="6">
        <f>FactSales[[#This Row],[Unit_Cost]]*FactSales[[#This Row],[Quantity_Sold]]</f>
        <v>13200</v>
      </c>
      <c r="S419" s="6">
        <f>FactSales[[#This Row],[Sales_Amount]]-FactSales[[#This Row],[Total_Cost]]</f>
        <v>6240</v>
      </c>
      <c r="T419" s="6" t="str">
        <f>_xlfn.XLOOKUP(FactSales[[#This Row],[Customer_ID]],DimCustomer[Customer_ID],DimCustomer[Customer_Name])</f>
        <v>Shamim Uddin</v>
      </c>
      <c r="U419" s="6" t="str">
        <f>_xlfn.XLOOKUP(FactSales[[#This Row],[Salesperson_ID]],DimSalesman[Salesperson_ID],DimSalesman[Salesperson_Name])</f>
        <v>Morshed Ahmed</v>
      </c>
      <c r="V419" s="6" t="str">
        <f>_xlfn.XLOOKUP(FactSales[[#This Row],[Region_ID]],DimRegion[Region_ID],DimRegion[Region_Name])</f>
        <v>Rangpur</v>
      </c>
      <c r="W419" s="6" t="str">
        <f>_xlfn.XLOOKUP(FactSales[[#This Row],[Store_ID]],DimStore[Store_ID],DimStore[Store_Name])</f>
        <v>Rangpur Dhap Store</v>
      </c>
    </row>
    <row r="420" spans="1:23">
      <c r="A420" s="4" t="s">
        <v>1416</v>
      </c>
      <c r="B420" s="5">
        <v>46157</v>
      </c>
      <c r="C420" s="4" t="s">
        <v>583</v>
      </c>
      <c r="D420" s="4" t="s">
        <v>62</v>
      </c>
      <c r="E420" s="4" t="s">
        <v>731</v>
      </c>
      <c r="F420" s="4" t="s">
        <v>981</v>
      </c>
      <c r="G420" s="4" t="s">
        <v>847</v>
      </c>
      <c r="H420" s="4">
        <v>4</v>
      </c>
      <c r="I420" s="7">
        <v>0.12</v>
      </c>
      <c r="J420" s="6">
        <v>8078</v>
      </c>
      <c r="K420" s="4">
        <v>3</v>
      </c>
      <c r="L420" s="8">
        <f t="shared" si="6"/>
        <v>4</v>
      </c>
      <c r="M420" s="6" t="str">
        <f>_xlfn.XLOOKUP(FactSales[[#This Row],[Product_ID]],DimProduct[Product_ID],DimProduct[Product_Name])</f>
        <v>Casual Loafer</v>
      </c>
      <c r="N420" s="6" t="str">
        <f>_xlfn.XLOOKUP(FactSales[[#This Row],[Product_ID]],DimProduct[Product_ID],DimProduct[Category])</f>
        <v>Footwear</v>
      </c>
      <c r="O420" s="6">
        <f>_xlfn.XLOOKUP(FactSales[[#This Row],[Product_ID]],DimProduct[Product_ID],DimProduct[Unit_Price])</f>
        <v>1870</v>
      </c>
      <c r="P420" s="6">
        <f>_xlfn.XLOOKUP(FactSales[[#This Row],[Product_ID]],DimProduct[Product_ID],DimProduct[Unit_Cost])</f>
        <v>1120</v>
      </c>
      <c r="Q420" s="6">
        <f>FactSales[[#This Row],[Unit_Price]]*FactSales[[#This Row],[Quantity_Sold]]</f>
        <v>7480</v>
      </c>
      <c r="R420" s="6">
        <f>FactSales[[#This Row],[Unit_Cost]]*FactSales[[#This Row],[Quantity_Sold]]</f>
        <v>4480</v>
      </c>
      <c r="S420" s="6">
        <f>FactSales[[#This Row],[Sales_Amount]]-FactSales[[#This Row],[Total_Cost]]</f>
        <v>3000</v>
      </c>
      <c r="T420" s="6" t="str">
        <f>_xlfn.XLOOKUP(FactSales[[#This Row],[Customer_ID]],DimCustomer[Customer_ID],DimCustomer[Customer_Name])</f>
        <v>Tamanna Islam</v>
      </c>
      <c r="U420" s="6" t="str">
        <f>_xlfn.XLOOKUP(FactSales[[#This Row],[Salesperson_ID]],DimSalesman[Salesperson_ID],DimSalesman[Salesperson_Name])</f>
        <v>Morshed Islam</v>
      </c>
      <c r="V420" s="6" t="str">
        <f>_xlfn.XLOOKUP(FactSales[[#This Row],[Region_ID]],DimRegion[Region_ID],DimRegion[Region_Name])</f>
        <v>Mymensingh</v>
      </c>
      <c r="W420" s="6" t="str">
        <f>_xlfn.XLOOKUP(FactSales[[#This Row],[Store_ID]],DimStore[Store_ID],DimStore[Store_Name])</f>
        <v>Mymensingh Town Hall Store</v>
      </c>
    </row>
    <row r="421" spans="1:23">
      <c r="A421" s="4" t="s">
        <v>1417</v>
      </c>
      <c r="B421" s="5">
        <v>46058</v>
      </c>
      <c r="C421" s="4" t="s">
        <v>588</v>
      </c>
      <c r="D421" s="4" t="s">
        <v>62</v>
      </c>
      <c r="E421" s="4" t="s">
        <v>740</v>
      </c>
      <c r="F421" s="4" t="s">
        <v>979</v>
      </c>
      <c r="G421" s="4" t="s">
        <v>797</v>
      </c>
      <c r="H421" s="4">
        <v>2</v>
      </c>
      <c r="I421" s="7">
        <v>0.12</v>
      </c>
      <c r="J421" s="6">
        <v>5659</v>
      </c>
      <c r="K421" s="4">
        <v>2</v>
      </c>
      <c r="L421" s="8">
        <f t="shared" si="6"/>
        <v>4.3</v>
      </c>
      <c r="M421" s="6" t="str">
        <f>_xlfn.XLOOKUP(FactSales[[#This Row],[Product_ID]],DimProduct[Product_ID],DimProduct[Product_Name])</f>
        <v>Leather Belt</v>
      </c>
      <c r="N421" s="6" t="str">
        <f>_xlfn.XLOOKUP(FactSales[[#This Row],[Product_ID]],DimProduct[Product_ID],DimProduct[Category])</f>
        <v>Fashion</v>
      </c>
      <c r="O421" s="6">
        <f>_xlfn.XLOOKUP(FactSales[[#This Row],[Product_ID]],DimProduct[Product_ID],DimProduct[Unit_Price])</f>
        <v>2620</v>
      </c>
      <c r="P421" s="6">
        <f>_xlfn.XLOOKUP(FactSales[[#This Row],[Product_ID]],DimProduct[Product_ID],DimProduct[Unit_Cost])</f>
        <v>1440</v>
      </c>
      <c r="Q421" s="6">
        <f>FactSales[[#This Row],[Unit_Price]]*FactSales[[#This Row],[Quantity_Sold]]</f>
        <v>5240</v>
      </c>
      <c r="R421" s="6">
        <f>FactSales[[#This Row],[Unit_Cost]]*FactSales[[#This Row],[Quantity_Sold]]</f>
        <v>2880</v>
      </c>
      <c r="S421" s="6">
        <f>FactSales[[#This Row],[Sales_Amount]]-FactSales[[#This Row],[Total_Cost]]</f>
        <v>2360</v>
      </c>
      <c r="T421" s="6" t="str">
        <f>_xlfn.XLOOKUP(FactSales[[#This Row],[Customer_ID]],DimCustomer[Customer_ID],DimCustomer[Customer_Name])</f>
        <v>Rasel Uddin</v>
      </c>
      <c r="U421" s="6" t="str">
        <f>_xlfn.XLOOKUP(FactSales[[#This Row],[Salesperson_ID]],DimSalesman[Salesperson_ID],DimSalesman[Salesperson_Name])</f>
        <v>Rahim Rahman</v>
      </c>
      <c r="V421" s="6" t="str">
        <f>_xlfn.XLOOKUP(FactSales[[#This Row],[Region_ID]],DimRegion[Region_ID],DimRegion[Region_Name])</f>
        <v>Mymensingh</v>
      </c>
      <c r="W421" s="6" t="str">
        <f>_xlfn.XLOOKUP(FactSales[[#This Row],[Store_ID]],DimStore[Store_ID],DimStore[Store_Name])</f>
        <v>Mymensingh Maskanda Store</v>
      </c>
    </row>
    <row r="422" spans="1:23">
      <c r="A422" s="4" t="s">
        <v>1418</v>
      </c>
      <c r="B422" s="5">
        <v>45686</v>
      </c>
      <c r="C422" s="4" t="s">
        <v>535</v>
      </c>
      <c r="D422" s="4" t="s">
        <v>57</v>
      </c>
      <c r="E422" s="4" t="s">
        <v>719</v>
      </c>
      <c r="F422" s="4" t="s">
        <v>972</v>
      </c>
      <c r="G422" s="4" t="s">
        <v>773</v>
      </c>
      <c r="H422" s="4">
        <v>3</v>
      </c>
      <c r="I422" s="7">
        <v>0.1</v>
      </c>
      <c r="J422" s="6">
        <v>25633</v>
      </c>
      <c r="K422" s="4">
        <v>9</v>
      </c>
      <c r="L422" s="8">
        <f t="shared" si="6"/>
        <v>2.1</v>
      </c>
      <c r="M422" s="6" t="str">
        <f>_xlfn.XLOOKUP(FactSales[[#This Row],[Product_ID]],DimProduct[Product_ID],DimProduct[Product_Name])</f>
        <v>Rice Cooker</v>
      </c>
      <c r="N422" s="6" t="str">
        <f>_xlfn.XLOOKUP(FactSales[[#This Row],[Product_ID]],DimProduct[Product_ID],DimProduct[Category])</f>
        <v>Home Appliance</v>
      </c>
      <c r="O422" s="6">
        <f>_xlfn.XLOOKUP(FactSales[[#This Row],[Product_ID]],DimProduct[Product_ID],DimProduct[Unit_Price])</f>
        <v>7430</v>
      </c>
      <c r="P422" s="6">
        <f>_xlfn.XLOOKUP(FactSales[[#This Row],[Product_ID]],DimProduct[Product_ID],DimProduct[Unit_Cost])</f>
        <v>5200</v>
      </c>
      <c r="Q422" s="6">
        <f>FactSales[[#This Row],[Unit_Price]]*FactSales[[#This Row],[Quantity_Sold]]</f>
        <v>22290</v>
      </c>
      <c r="R422" s="6">
        <f>FactSales[[#This Row],[Unit_Cost]]*FactSales[[#This Row],[Quantity_Sold]]</f>
        <v>15600</v>
      </c>
      <c r="S422" s="6">
        <f>FactSales[[#This Row],[Sales_Amount]]-FactSales[[#This Row],[Total_Cost]]</f>
        <v>6690</v>
      </c>
      <c r="T422" s="6" t="str">
        <f>_xlfn.XLOOKUP(FactSales[[#This Row],[Customer_ID]],DimCustomer[Customer_ID],DimCustomer[Customer_Name])</f>
        <v>Shuvo Uddin</v>
      </c>
      <c r="U422" s="6" t="str">
        <f>_xlfn.XLOOKUP(FactSales[[#This Row],[Salesperson_ID]],DimSalesman[Salesperson_ID],DimSalesman[Salesperson_Name])</f>
        <v>Samiha Hossain</v>
      </c>
      <c r="V422" s="6" t="str">
        <f>_xlfn.XLOOKUP(FactSales[[#This Row],[Region_ID]],DimRegion[Region_ID],DimRegion[Region_Name])</f>
        <v>Rangpur</v>
      </c>
      <c r="W422" s="6" t="str">
        <f>_xlfn.XLOOKUP(FactSales[[#This Row],[Store_ID]],DimStore[Store_ID],DimStore[Store_Name])</f>
        <v>Rangpur Modern More Store</v>
      </c>
    </row>
    <row r="423" spans="1:23">
      <c r="A423" s="4" t="s">
        <v>1419</v>
      </c>
      <c r="B423" s="5">
        <v>46011</v>
      </c>
      <c r="C423" s="4" t="s">
        <v>145</v>
      </c>
      <c r="D423" s="4" t="s">
        <v>27</v>
      </c>
      <c r="E423" s="4" t="s">
        <v>626</v>
      </c>
      <c r="F423" s="4" t="s">
        <v>918</v>
      </c>
      <c r="G423" s="4" t="s">
        <v>755</v>
      </c>
      <c r="H423" s="4">
        <v>11</v>
      </c>
      <c r="I423" s="7">
        <v>0.12</v>
      </c>
      <c r="J423" s="6">
        <v>38944</v>
      </c>
      <c r="K423" s="4">
        <v>1</v>
      </c>
      <c r="L423" s="8">
        <f t="shared" si="6"/>
        <v>4.5999999999999996</v>
      </c>
      <c r="M423" s="6" t="str">
        <f>_xlfn.XLOOKUP(FactSales[[#This Row],[Product_ID]],DimProduct[Product_ID],DimProduct[Product_Name])</f>
        <v>Wireless Mouse</v>
      </c>
      <c r="N423" s="6" t="str">
        <f>_xlfn.XLOOKUP(FactSales[[#This Row],[Product_ID]],DimProduct[Product_ID],DimProduct[Category])</f>
        <v>Electronics</v>
      </c>
      <c r="O423" s="6">
        <f>_xlfn.XLOOKUP(FactSales[[#This Row],[Product_ID]],DimProduct[Product_ID],DimProduct[Unit_Price])</f>
        <v>3340</v>
      </c>
      <c r="P423" s="6">
        <f>_xlfn.XLOOKUP(FactSales[[#This Row],[Product_ID]],DimProduct[Product_ID],DimProduct[Unit_Cost])</f>
        <v>2270</v>
      </c>
      <c r="Q423" s="6">
        <f>FactSales[[#This Row],[Unit_Price]]*FactSales[[#This Row],[Quantity_Sold]]</f>
        <v>36740</v>
      </c>
      <c r="R423" s="6">
        <f>FactSales[[#This Row],[Unit_Cost]]*FactSales[[#This Row],[Quantity_Sold]]</f>
        <v>24970</v>
      </c>
      <c r="S423" s="6">
        <f>FactSales[[#This Row],[Sales_Amount]]-FactSales[[#This Row],[Total_Cost]]</f>
        <v>11770</v>
      </c>
      <c r="T423" s="6" t="str">
        <f>_xlfn.XLOOKUP(FactSales[[#This Row],[Customer_ID]],DimCustomer[Customer_ID],DimCustomer[Customer_Name])</f>
        <v>Nabila Sultana</v>
      </c>
      <c r="U423" s="6" t="str">
        <f>_xlfn.XLOOKUP(FactSales[[#This Row],[Salesperson_ID]],DimSalesman[Salesperson_ID],DimSalesman[Salesperson_Name])</f>
        <v>Tania Sultana</v>
      </c>
      <c r="V423" s="6" t="str">
        <f>_xlfn.XLOOKUP(FactSales[[#This Row],[Region_ID]],DimRegion[Region_ID],DimRegion[Region_Name])</f>
        <v>Dhaka</v>
      </c>
      <c r="W423" s="6" t="str">
        <f>_xlfn.XLOOKUP(FactSales[[#This Row],[Store_ID]],DimStore[Store_ID],DimStore[Store_Name])</f>
        <v>Dhaka Mirpur Store</v>
      </c>
    </row>
    <row r="424" spans="1:23">
      <c r="A424" s="4" t="s">
        <v>1420</v>
      </c>
      <c r="B424" s="5">
        <v>45977</v>
      </c>
      <c r="C424" s="4" t="s">
        <v>136</v>
      </c>
      <c r="D424" s="4" t="s">
        <v>27</v>
      </c>
      <c r="E424" s="4" t="s">
        <v>622</v>
      </c>
      <c r="F424" s="4" t="s">
        <v>914</v>
      </c>
      <c r="G424" s="4" t="s">
        <v>765</v>
      </c>
      <c r="H424" s="4">
        <v>3</v>
      </c>
      <c r="I424" s="7">
        <v>0.08</v>
      </c>
      <c r="J424" s="6">
        <v>15550</v>
      </c>
      <c r="K424" s="4">
        <v>3</v>
      </c>
      <c r="L424" s="8">
        <f t="shared" si="6"/>
        <v>4.0999999999999996</v>
      </c>
      <c r="M424" s="6" t="str">
        <f>_xlfn.XLOOKUP(FactSales[[#This Row],[Product_ID]],DimProduct[Product_ID],DimProduct[Product_Name])</f>
        <v>USB-C Hub</v>
      </c>
      <c r="N424" s="6" t="str">
        <f>_xlfn.XLOOKUP(FactSales[[#This Row],[Product_ID]],DimProduct[Product_ID],DimProduct[Category])</f>
        <v>Electronics</v>
      </c>
      <c r="O424" s="6">
        <f>_xlfn.XLOOKUP(FactSales[[#This Row],[Product_ID]],DimProduct[Product_ID],DimProduct[Unit_Price])</f>
        <v>4890</v>
      </c>
      <c r="P424" s="6">
        <f>_xlfn.XLOOKUP(FactSales[[#This Row],[Product_ID]],DimProduct[Product_ID],DimProduct[Unit_Cost])</f>
        <v>3330</v>
      </c>
      <c r="Q424" s="6">
        <f>FactSales[[#This Row],[Unit_Price]]*FactSales[[#This Row],[Quantity_Sold]]</f>
        <v>14670</v>
      </c>
      <c r="R424" s="6">
        <f>FactSales[[#This Row],[Unit_Cost]]*FactSales[[#This Row],[Quantity_Sold]]</f>
        <v>9990</v>
      </c>
      <c r="S424" s="6">
        <f>FactSales[[#This Row],[Sales_Amount]]-FactSales[[#This Row],[Total_Cost]]</f>
        <v>4680</v>
      </c>
      <c r="T424" s="6" t="str">
        <f>_xlfn.XLOOKUP(FactSales[[#This Row],[Customer_ID]],DimCustomer[Customer_ID],DimCustomer[Customer_Name])</f>
        <v>Arif Rahman</v>
      </c>
      <c r="U424" s="6" t="str">
        <f>_xlfn.XLOOKUP(FactSales[[#This Row],[Salesperson_ID]],DimSalesman[Salesperson_ID],DimSalesman[Salesperson_Name])</f>
        <v>Rasel Rahman</v>
      </c>
      <c r="V424" s="6" t="str">
        <f>_xlfn.XLOOKUP(FactSales[[#This Row],[Region_ID]],DimRegion[Region_ID],DimRegion[Region_Name])</f>
        <v>Dhaka</v>
      </c>
      <c r="W424" s="6" t="str">
        <f>_xlfn.XLOOKUP(FactSales[[#This Row],[Store_ID]],DimStore[Store_ID],DimStore[Store_Name])</f>
        <v>Dhaka Dhanmondi Store</v>
      </c>
    </row>
    <row r="425" spans="1:23">
      <c r="A425" s="4" t="s">
        <v>1421</v>
      </c>
      <c r="B425" s="5">
        <v>46090</v>
      </c>
      <c r="C425" s="4" t="s">
        <v>217</v>
      </c>
      <c r="D425" s="4" t="s">
        <v>37</v>
      </c>
      <c r="E425" s="4" t="s">
        <v>665</v>
      </c>
      <c r="F425" s="4" t="s">
        <v>936</v>
      </c>
      <c r="G425" s="4" t="s">
        <v>750</v>
      </c>
      <c r="H425" s="4">
        <v>4</v>
      </c>
      <c r="I425" s="7">
        <v>0.12</v>
      </c>
      <c r="J425" s="6">
        <v>13867</v>
      </c>
      <c r="K425" s="4">
        <v>2</v>
      </c>
      <c r="L425" s="8">
        <f t="shared" si="6"/>
        <v>4.3</v>
      </c>
      <c r="M425" s="6" t="str">
        <f>_xlfn.XLOOKUP(FactSales[[#This Row],[Product_ID]],DimProduct[Product_ID],DimProduct[Product_Name])</f>
        <v>Bluetooth Speaker</v>
      </c>
      <c r="N425" s="6" t="str">
        <f>_xlfn.XLOOKUP(FactSales[[#This Row],[Product_ID]],DimProduct[Product_ID],DimProduct[Category])</f>
        <v>Electronics</v>
      </c>
      <c r="O425" s="6">
        <f>_xlfn.XLOOKUP(FactSales[[#This Row],[Product_ID]],DimProduct[Product_ID],DimProduct[Unit_Price])</f>
        <v>3240</v>
      </c>
      <c r="P425" s="6">
        <f>_xlfn.XLOOKUP(FactSales[[#This Row],[Product_ID]],DimProduct[Product_ID],DimProduct[Unit_Cost])</f>
        <v>2200</v>
      </c>
      <c r="Q425" s="6">
        <f>FactSales[[#This Row],[Unit_Price]]*FactSales[[#This Row],[Quantity_Sold]]</f>
        <v>12960</v>
      </c>
      <c r="R425" s="6">
        <f>FactSales[[#This Row],[Unit_Cost]]*FactSales[[#This Row],[Quantity_Sold]]</f>
        <v>8800</v>
      </c>
      <c r="S425" s="6">
        <f>FactSales[[#This Row],[Sales_Amount]]-FactSales[[#This Row],[Total_Cost]]</f>
        <v>4160</v>
      </c>
      <c r="T425" s="6" t="str">
        <f>_xlfn.XLOOKUP(FactSales[[#This Row],[Customer_ID]],DimCustomer[Customer_ID],DimCustomer[Customer_Name])</f>
        <v>Karim Khan</v>
      </c>
      <c r="U425" s="6" t="str">
        <f>_xlfn.XLOOKUP(FactSales[[#This Row],[Salesperson_ID]],DimSalesman[Salesperson_ID],DimSalesman[Salesperson_Name])</f>
        <v>Mehedi Chowdhury</v>
      </c>
      <c r="V425" s="6" t="str">
        <f>_xlfn.XLOOKUP(FactSales[[#This Row],[Region_ID]],DimRegion[Region_ID],DimRegion[Region_Name])</f>
        <v>Sylhet</v>
      </c>
      <c r="W425" s="6" t="str">
        <f>_xlfn.XLOOKUP(FactSales[[#This Row],[Store_ID]],DimStore[Store_ID],DimStore[Store_Name])</f>
        <v>Sylhet Upashahar Store</v>
      </c>
    </row>
    <row r="426" spans="1:23">
      <c r="A426" s="4" t="s">
        <v>1422</v>
      </c>
      <c r="B426" s="5">
        <v>45982</v>
      </c>
      <c r="C426" s="4" t="s">
        <v>139</v>
      </c>
      <c r="D426" s="4" t="s">
        <v>27</v>
      </c>
      <c r="E426" s="4" t="s">
        <v>630</v>
      </c>
      <c r="F426" s="4" t="s">
        <v>919</v>
      </c>
      <c r="G426" s="4" t="s">
        <v>750</v>
      </c>
      <c r="H426" s="4">
        <v>2</v>
      </c>
      <c r="I426" s="7">
        <v>0.15</v>
      </c>
      <c r="J426" s="6">
        <v>6869</v>
      </c>
      <c r="K426" s="4">
        <v>2</v>
      </c>
      <c r="L426" s="8">
        <f t="shared" si="6"/>
        <v>4.2</v>
      </c>
      <c r="M426" s="6" t="str">
        <f>_xlfn.XLOOKUP(FactSales[[#This Row],[Product_ID]],DimProduct[Product_ID],DimProduct[Product_Name])</f>
        <v>Bluetooth Speaker</v>
      </c>
      <c r="N426" s="6" t="str">
        <f>_xlfn.XLOOKUP(FactSales[[#This Row],[Product_ID]],DimProduct[Product_ID],DimProduct[Category])</f>
        <v>Electronics</v>
      </c>
      <c r="O426" s="6">
        <f>_xlfn.XLOOKUP(FactSales[[#This Row],[Product_ID]],DimProduct[Product_ID],DimProduct[Unit_Price])</f>
        <v>3240</v>
      </c>
      <c r="P426" s="6">
        <f>_xlfn.XLOOKUP(FactSales[[#This Row],[Product_ID]],DimProduct[Product_ID],DimProduct[Unit_Cost])</f>
        <v>2200</v>
      </c>
      <c r="Q426" s="6">
        <f>FactSales[[#This Row],[Unit_Price]]*FactSales[[#This Row],[Quantity_Sold]]</f>
        <v>6480</v>
      </c>
      <c r="R426" s="6">
        <f>FactSales[[#This Row],[Unit_Cost]]*FactSales[[#This Row],[Quantity_Sold]]</f>
        <v>4400</v>
      </c>
      <c r="S426" s="6">
        <f>FactSales[[#This Row],[Sales_Amount]]-FactSales[[#This Row],[Total_Cost]]</f>
        <v>2080</v>
      </c>
      <c r="T426" s="6" t="str">
        <f>_xlfn.XLOOKUP(FactSales[[#This Row],[Customer_ID]],DimCustomer[Customer_ID],DimCustomer[Customer_Name])</f>
        <v>Nayeem Uddin</v>
      </c>
      <c r="U426" s="6" t="str">
        <f>_xlfn.XLOOKUP(FactSales[[#This Row],[Salesperson_ID]],DimSalesman[Salesperson_ID],DimSalesman[Salesperson_Name])</f>
        <v>Imran Mia</v>
      </c>
      <c r="V426" s="6" t="str">
        <f>_xlfn.XLOOKUP(FactSales[[#This Row],[Region_ID]],DimRegion[Region_ID],DimRegion[Region_Name])</f>
        <v>Dhaka</v>
      </c>
      <c r="W426" s="6" t="str">
        <f>_xlfn.XLOOKUP(FactSales[[#This Row],[Store_ID]],DimStore[Store_ID],DimStore[Store_Name])</f>
        <v>Dhaka Uttara Store</v>
      </c>
    </row>
    <row r="427" spans="1:23">
      <c r="A427" s="4" t="s">
        <v>1423</v>
      </c>
      <c r="B427" s="5">
        <v>46005</v>
      </c>
      <c r="C427" s="4" t="s">
        <v>559</v>
      </c>
      <c r="D427" s="4" t="s">
        <v>62</v>
      </c>
      <c r="E427" s="4" t="s">
        <v>731</v>
      </c>
      <c r="F427" s="4" t="s">
        <v>981</v>
      </c>
      <c r="G427" s="4" t="s">
        <v>794</v>
      </c>
      <c r="H427" s="4">
        <v>2</v>
      </c>
      <c r="I427" s="7">
        <v>7.0000000000000007E-2</v>
      </c>
      <c r="J427" s="6">
        <v>1901</v>
      </c>
      <c r="K427" s="4">
        <v>5</v>
      </c>
      <c r="L427" s="8">
        <f t="shared" si="6"/>
        <v>3.4</v>
      </c>
      <c r="M427" s="6" t="str">
        <f>_xlfn.XLOOKUP(FactSales[[#This Row],[Product_ID]],DimProduct[Product_ID],DimProduct[Product_Name])</f>
        <v>Denim Jeans</v>
      </c>
      <c r="N427" s="6" t="str">
        <f>_xlfn.XLOOKUP(FactSales[[#This Row],[Product_ID]],DimProduct[Product_ID],DimProduct[Category])</f>
        <v>Fashion</v>
      </c>
      <c r="O427" s="6">
        <f>_xlfn.XLOOKUP(FactSales[[#This Row],[Product_ID]],DimProduct[Product_ID],DimProduct[Unit_Price])</f>
        <v>880</v>
      </c>
      <c r="P427" s="6">
        <f>_xlfn.XLOOKUP(FactSales[[#This Row],[Product_ID]],DimProduct[Product_ID],DimProduct[Unit_Cost])</f>
        <v>480</v>
      </c>
      <c r="Q427" s="6">
        <f>FactSales[[#This Row],[Unit_Price]]*FactSales[[#This Row],[Quantity_Sold]]</f>
        <v>1760</v>
      </c>
      <c r="R427" s="6">
        <f>FactSales[[#This Row],[Unit_Cost]]*FactSales[[#This Row],[Quantity_Sold]]</f>
        <v>960</v>
      </c>
      <c r="S427" s="6">
        <f>FactSales[[#This Row],[Sales_Amount]]-FactSales[[#This Row],[Total_Cost]]</f>
        <v>800</v>
      </c>
      <c r="T427" s="6" t="str">
        <f>_xlfn.XLOOKUP(FactSales[[#This Row],[Customer_ID]],DimCustomer[Customer_ID],DimCustomer[Customer_Name])</f>
        <v>Morshed Sultana</v>
      </c>
      <c r="U427" s="6" t="str">
        <f>_xlfn.XLOOKUP(FactSales[[#This Row],[Salesperson_ID]],DimSalesman[Salesperson_ID],DimSalesman[Salesperson_Name])</f>
        <v>Morshed Islam</v>
      </c>
      <c r="V427" s="6" t="str">
        <f>_xlfn.XLOOKUP(FactSales[[#This Row],[Region_ID]],DimRegion[Region_ID],DimRegion[Region_Name])</f>
        <v>Mymensingh</v>
      </c>
      <c r="W427" s="6" t="str">
        <f>_xlfn.XLOOKUP(FactSales[[#This Row],[Store_ID]],DimStore[Store_ID],DimStore[Store_Name])</f>
        <v>Mymensingh Town Hall Store</v>
      </c>
    </row>
    <row r="428" spans="1:23">
      <c r="A428" s="4" t="s">
        <v>1424</v>
      </c>
      <c r="B428" s="5">
        <v>45735</v>
      </c>
      <c r="C428" s="4" t="s">
        <v>503</v>
      </c>
      <c r="D428" s="4" t="s">
        <v>57</v>
      </c>
      <c r="E428" s="4" t="s">
        <v>722</v>
      </c>
      <c r="F428" s="4" t="s">
        <v>977</v>
      </c>
      <c r="G428" s="4" t="s">
        <v>876</v>
      </c>
      <c r="H428" s="4">
        <v>7</v>
      </c>
      <c r="I428" s="7">
        <v>0.02</v>
      </c>
      <c r="J428" s="6">
        <v>6118</v>
      </c>
      <c r="K428" s="4">
        <v>6</v>
      </c>
      <c r="L428" s="8">
        <f t="shared" si="6"/>
        <v>3.2</v>
      </c>
      <c r="M428" s="6" t="str">
        <f>_xlfn.XLOOKUP(FactSales[[#This Row],[Product_ID]],DimProduct[Product_ID],DimProduct[Product_Name])</f>
        <v>Sticky Notes</v>
      </c>
      <c r="N428" s="6" t="str">
        <f>_xlfn.XLOOKUP(FactSales[[#This Row],[Product_ID]],DimProduct[Product_ID],DimProduct[Category])</f>
        <v>Stationery</v>
      </c>
      <c r="O428" s="6">
        <f>_xlfn.XLOOKUP(FactSales[[#This Row],[Product_ID]],DimProduct[Product_ID],DimProduct[Unit_Price])</f>
        <v>760</v>
      </c>
      <c r="P428" s="6">
        <f>_xlfn.XLOOKUP(FactSales[[#This Row],[Product_ID]],DimProduct[Product_ID],DimProduct[Unit_Cost])</f>
        <v>380</v>
      </c>
      <c r="Q428" s="6">
        <f>FactSales[[#This Row],[Unit_Price]]*FactSales[[#This Row],[Quantity_Sold]]</f>
        <v>5320</v>
      </c>
      <c r="R428" s="6">
        <f>FactSales[[#This Row],[Unit_Cost]]*FactSales[[#This Row],[Quantity_Sold]]</f>
        <v>2660</v>
      </c>
      <c r="S428" s="6">
        <f>FactSales[[#This Row],[Sales_Amount]]-FactSales[[#This Row],[Total_Cost]]</f>
        <v>2660</v>
      </c>
      <c r="T428" s="6" t="str">
        <f>_xlfn.XLOOKUP(FactSales[[#This Row],[Customer_ID]],DimCustomer[Customer_ID],DimCustomer[Customer_Name])</f>
        <v>Hasan Rahman</v>
      </c>
      <c r="U428" s="6" t="str">
        <f>_xlfn.XLOOKUP(FactSales[[#This Row],[Salesperson_ID]],DimSalesman[Salesperson_ID],DimSalesman[Salesperson_Name])</f>
        <v>Tania Hossain</v>
      </c>
      <c r="V428" s="6" t="str">
        <f>_xlfn.XLOOKUP(FactSales[[#This Row],[Region_ID]],DimRegion[Region_ID],DimRegion[Region_Name])</f>
        <v>Rangpur</v>
      </c>
      <c r="W428" s="6" t="str">
        <f>_xlfn.XLOOKUP(FactSales[[#This Row],[Store_ID]],DimStore[Store_ID],DimStore[Store_Name])</f>
        <v>Rangpur Dhap Store</v>
      </c>
    </row>
    <row r="429" spans="1:23">
      <c r="A429" s="4" t="s">
        <v>1425</v>
      </c>
      <c r="B429" s="5">
        <v>45755</v>
      </c>
      <c r="C429" s="4" t="s">
        <v>505</v>
      </c>
      <c r="D429" s="4" t="s">
        <v>57</v>
      </c>
      <c r="E429" s="4" t="s">
        <v>725</v>
      </c>
      <c r="F429" s="4" t="s">
        <v>977</v>
      </c>
      <c r="G429" s="4" t="s">
        <v>897</v>
      </c>
      <c r="H429" s="4">
        <v>4</v>
      </c>
      <c r="I429" s="7">
        <v>0.03</v>
      </c>
      <c r="J429" s="6">
        <v>53728</v>
      </c>
      <c r="K429" s="4">
        <v>9</v>
      </c>
      <c r="L429" s="8">
        <f t="shared" si="6"/>
        <v>2.2999999999999998</v>
      </c>
      <c r="M429" s="6" t="str">
        <f>_xlfn.XLOOKUP(FactSales[[#This Row],[Product_ID]],DimProduct[Product_ID],DimProduct[Product_Name])</f>
        <v>Study Table</v>
      </c>
      <c r="N429" s="6" t="str">
        <f>_xlfn.XLOOKUP(FactSales[[#This Row],[Product_ID]],DimProduct[Product_ID],DimProduct[Category])</f>
        <v>Furniture</v>
      </c>
      <c r="O429" s="6">
        <f>_xlfn.XLOOKUP(FactSales[[#This Row],[Product_ID]],DimProduct[Product_ID],DimProduct[Unit_Price])</f>
        <v>11680</v>
      </c>
      <c r="P429" s="6">
        <f>_xlfn.XLOOKUP(FactSales[[#This Row],[Product_ID]],DimProduct[Product_ID],DimProduct[Unit_Cost])</f>
        <v>8410</v>
      </c>
      <c r="Q429" s="6">
        <f>FactSales[[#This Row],[Unit_Price]]*FactSales[[#This Row],[Quantity_Sold]]</f>
        <v>46720</v>
      </c>
      <c r="R429" s="6">
        <f>FactSales[[#This Row],[Unit_Cost]]*FactSales[[#This Row],[Quantity_Sold]]</f>
        <v>33640</v>
      </c>
      <c r="S429" s="6">
        <f>FactSales[[#This Row],[Sales_Amount]]-FactSales[[#This Row],[Total_Cost]]</f>
        <v>13080</v>
      </c>
      <c r="T429" s="6" t="str">
        <f>_xlfn.XLOOKUP(FactSales[[#This Row],[Customer_ID]],DimCustomer[Customer_ID],DimCustomer[Customer_Name])</f>
        <v>Imran Mia</v>
      </c>
      <c r="U429" s="6" t="str">
        <f>_xlfn.XLOOKUP(FactSales[[#This Row],[Salesperson_ID]],DimSalesman[Salesperson_ID],DimSalesman[Salesperson_Name])</f>
        <v>Tania Hossain</v>
      </c>
      <c r="V429" s="6" t="str">
        <f>_xlfn.XLOOKUP(FactSales[[#This Row],[Region_ID]],DimRegion[Region_ID],DimRegion[Region_Name])</f>
        <v>Rangpur</v>
      </c>
      <c r="W429" s="6" t="str">
        <f>_xlfn.XLOOKUP(FactSales[[#This Row],[Store_ID]],DimStore[Store_ID],DimStore[Store_Name])</f>
        <v>Rangpur Central Road Store</v>
      </c>
    </row>
    <row r="430" spans="1:23">
      <c r="A430" s="4" t="s">
        <v>1426</v>
      </c>
      <c r="B430" s="5">
        <v>45967</v>
      </c>
      <c r="C430" s="4" t="s">
        <v>583</v>
      </c>
      <c r="D430" s="4" t="s">
        <v>62</v>
      </c>
      <c r="E430" s="4" t="s">
        <v>731</v>
      </c>
      <c r="F430" s="4" t="s">
        <v>981</v>
      </c>
      <c r="G430" s="4" t="s">
        <v>864</v>
      </c>
      <c r="H430" s="4">
        <v>3</v>
      </c>
      <c r="I430" s="7">
        <v>0.03</v>
      </c>
      <c r="J430" s="6">
        <v>1296</v>
      </c>
      <c r="K430" s="4">
        <v>2</v>
      </c>
      <c r="L430" s="8">
        <f t="shared" si="6"/>
        <v>4.5</v>
      </c>
      <c r="M430" s="6" t="str">
        <f>_xlfn.XLOOKUP(FactSales[[#This Row],[Product_ID]],DimProduct[Product_ID],DimProduct[Product_Name])</f>
        <v>Notebook Pack</v>
      </c>
      <c r="N430" s="6" t="str">
        <f>_xlfn.XLOOKUP(FactSales[[#This Row],[Product_ID]],DimProduct[Product_ID],DimProduct[Category])</f>
        <v>Stationery</v>
      </c>
      <c r="O430" s="6">
        <f>_xlfn.XLOOKUP(FactSales[[#This Row],[Product_ID]],DimProduct[Product_ID],DimProduct[Unit_Price])</f>
        <v>400</v>
      </c>
      <c r="P430" s="6">
        <f>_xlfn.XLOOKUP(FactSales[[#This Row],[Product_ID]],DimProduct[Product_ID],DimProduct[Unit_Cost])</f>
        <v>200</v>
      </c>
      <c r="Q430" s="6">
        <f>FactSales[[#This Row],[Unit_Price]]*FactSales[[#This Row],[Quantity_Sold]]</f>
        <v>1200</v>
      </c>
      <c r="R430" s="6">
        <f>FactSales[[#This Row],[Unit_Cost]]*FactSales[[#This Row],[Quantity_Sold]]</f>
        <v>600</v>
      </c>
      <c r="S430" s="6">
        <f>FactSales[[#This Row],[Sales_Amount]]-FactSales[[#This Row],[Total_Cost]]</f>
        <v>600</v>
      </c>
      <c r="T430" s="6" t="str">
        <f>_xlfn.XLOOKUP(FactSales[[#This Row],[Customer_ID]],DimCustomer[Customer_ID],DimCustomer[Customer_Name])</f>
        <v>Tamanna Islam</v>
      </c>
      <c r="U430" s="6" t="str">
        <f>_xlfn.XLOOKUP(FactSales[[#This Row],[Salesperson_ID]],DimSalesman[Salesperson_ID],DimSalesman[Salesperson_Name])</f>
        <v>Morshed Islam</v>
      </c>
      <c r="V430" s="6" t="str">
        <f>_xlfn.XLOOKUP(FactSales[[#This Row],[Region_ID]],DimRegion[Region_ID],DimRegion[Region_Name])</f>
        <v>Mymensingh</v>
      </c>
      <c r="W430" s="6" t="str">
        <f>_xlfn.XLOOKUP(FactSales[[#This Row],[Store_ID]],DimStore[Store_ID],DimStore[Store_Name])</f>
        <v>Mymensingh Town Hall Store</v>
      </c>
    </row>
    <row r="431" spans="1:23">
      <c r="A431" s="4" t="s">
        <v>1427</v>
      </c>
      <c r="B431" s="5">
        <v>46122</v>
      </c>
      <c r="C431" s="4" t="s">
        <v>320</v>
      </c>
      <c r="D431" s="4" t="s">
        <v>42</v>
      </c>
      <c r="E431" s="4" t="s">
        <v>677</v>
      </c>
      <c r="F431" s="4" t="s">
        <v>945</v>
      </c>
      <c r="G431" s="4" t="s">
        <v>825</v>
      </c>
      <c r="H431" s="4">
        <v>5</v>
      </c>
      <c r="I431" s="7">
        <v>0.05</v>
      </c>
      <c r="J431" s="6">
        <v>6264</v>
      </c>
      <c r="K431" s="4">
        <v>5</v>
      </c>
      <c r="L431" s="8">
        <f t="shared" si="6"/>
        <v>3.5</v>
      </c>
      <c r="M431" s="6" t="str">
        <f>_xlfn.XLOOKUP(FactSales[[#This Row],[Product_ID]],DimProduct[Product_ID],DimProduct[Product_Name])</f>
        <v>Body Lotion</v>
      </c>
      <c r="N431" s="6" t="str">
        <f>_xlfn.XLOOKUP(FactSales[[#This Row],[Product_ID]],DimProduct[Product_ID],DimProduct[Category])</f>
        <v>Beauty &amp; Personal Care</v>
      </c>
      <c r="O431" s="6">
        <f>_xlfn.XLOOKUP(FactSales[[#This Row],[Product_ID]],DimProduct[Product_ID],DimProduct[Unit_Price])</f>
        <v>1160</v>
      </c>
      <c r="P431" s="6">
        <f>_xlfn.XLOOKUP(FactSales[[#This Row],[Product_ID]],DimProduct[Product_ID],DimProduct[Unit_Cost])</f>
        <v>670</v>
      </c>
      <c r="Q431" s="6">
        <f>FactSales[[#This Row],[Unit_Price]]*FactSales[[#This Row],[Quantity_Sold]]</f>
        <v>5800</v>
      </c>
      <c r="R431" s="6">
        <f>FactSales[[#This Row],[Unit_Cost]]*FactSales[[#This Row],[Quantity_Sold]]</f>
        <v>3350</v>
      </c>
      <c r="S431" s="6">
        <f>FactSales[[#This Row],[Sales_Amount]]-FactSales[[#This Row],[Total_Cost]]</f>
        <v>2450</v>
      </c>
      <c r="T431" s="6" t="str">
        <f>_xlfn.XLOOKUP(FactSales[[#This Row],[Customer_ID]],DimCustomer[Customer_ID],DimCustomer[Customer_Name])</f>
        <v>Shuvo Sultana</v>
      </c>
      <c r="U431" s="6" t="str">
        <f>_xlfn.XLOOKUP(FactSales[[#This Row],[Salesperson_ID]],DimSalesman[Salesperson_ID],DimSalesman[Salesperson_Name])</f>
        <v>Hasan Khan</v>
      </c>
      <c r="V431" s="6" t="str">
        <f>_xlfn.XLOOKUP(FactSales[[#This Row],[Region_ID]],DimRegion[Region_ID],DimRegion[Region_Name])</f>
        <v>Rajshahi</v>
      </c>
      <c r="W431" s="6" t="str">
        <f>_xlfn.XLOOKUP(FactSales[[#This Row],[Store_ID]],DimStore[Store_ID],DimStore[Store_Name])</f>
        <v>Rajshahi Railgate Store</v>
      </c>
    </row>
    <row r="432" spans="1:23">
      <c r="A432" s="4" t="s">
        <v>1428</v>
      </c>
      <c r="B432" s="5">
        <v>45876</v>
      </c>
      <c r="C432" s="4" t="s">
        <v>133</v>
      </c>
      <c r="D432" s="4" t="s">
        <v>27</v>
      </c>
      <c r="E432" s="4" t="s">
        <v>634</v>
      </c>
      <c r="F432" s="4" t="s">
        <v>914</v>
      </c>
      <c r="G432" s="4" t="s">
        <v>813</v>
      </c>
      <c r="H432" s="4">
        <v>3</v>
      </c>
      <c r="I432" s="7">
        <v>0.05</v>
      </c>
      <c r="J432" s="6">
        <v>6805</v>
      </c>
      <c r="K432" s="4">
        <v>2</v>
      </c>
      <c r="L432" s="8">
        <f t="shared" si="6"/>
        <v>4.5</v>
      </c>
      <c r="M432" s="6" t="str">
        <f>_xlfn.XLOOKUP(FactSales[[#This Row],[Product_ID]],DimProduct[Product_ID],DimProduct[Product_Name])</f>
        <v>Tea Pack 500g</v>
      </c>
      <c r="N432" s="6" t="str">
        <f>_xlfn.XLOOKUP(FactSales[[#This Row],[Product_ID]],DimProduct[Product_ID],DimProduct[Category])</f>
        <v>Grocery</v>
      </c>
      <c r="O432" s="6">
        <f>_xlfn.XLOOKUP(FactSales[[#This Row],[Product_ID]],DimProduct[Product_ID],DimProduct[Unit_Price])</f>
        <v>2140</v>
      </c>
      <c r="P432" s="6">
        <f>_xlfn.XLOOKUP(FactSales[[#This Row],[Product_ID]],DimProduct[Product_ID],DimProduct[Unit_Cost])</f>
        <v>1670</v>
      </c>
      <c r="Q432" s="6">
        <f>FactSales[[#This Row],[Unit_Price]]*FactSales[[#This Row],[Quantity_Sold]]</f>
        <v>6420</v>
      </c>
      <c r="R432" s="6">
        <f>FactSales[[#This Row],[Unit_Cost]]*FactSales[[#This Row],[Quantity_Sold]]</f>
        <v>5010</v>
      </c>
      <c r="S432" s="6">
        <f>FactSales[[#This Row],[Sales_Amount]]-FactSales[[#This Row],[Total_Cost]]</f>
        <v>1410</v>
      </c>
      <c r="T432" s="6" t="str">
        <f>_xlfn.XLOOKUP(FactSales[[#This Row],[Customer_ID]],DimCustomer[Customer_ID],DimCustomer[Customer_Name])</f>
        <v>Tanjim Chowdhury</v>
      </c>
      <c r="U432" s="6" t="str">
        <f>_xlfn.XLOOKUP(FactSales[[#This Row],[Salesperson_ID]],DimSalesman[Salesperson_ID],DimSalesman[Salesperson_Name])</f>
        <v>Rasel Rahman</v>
      </c>
      <c r="V432" s="6" t="str">
        <f>_xlfn.XLOOKUP(FactSales[[#This Row],[Region_ID]],DimRegion[Region_ID],DimRegion[Region_Name])</f>
        <v>Dhaka</v>
      </c>
      <c r="W432" s="6" t="str">
        <f>_xlfn.XLOOKUP(FactSales[[#This Row],[Store_ID]],DimStore[Store_ID],DimStore[Store_Name])</f>
        <v>Dhaka Motijheel Store</v>
      </c>
    </row>
    <row r="433" spans="1:23">
      <c r="A433" s="4" t="s">
        <v>1429</v>
      </c>
      <c r="B433" s="5">
        <v>46131</v>
      </c>
      <c r="C433" s="4" t="s">
        <v>533</v>
      </c>
      <c r="D433" s="4" t="s">
        <v>57</v>
      </c>
      <c r="E433" s="4" t="s">
        <v>713</v>
      </c>
      <c r="F433" s="4" t="s">
        <v>976</v>
      </c>
      <c r="G433" s="4" t="s">
        <v>762</v>
      </c>
      <c r="H433" s="4">
        <v>1</v>
      </c>
      <c r="I433" s="7">
        <v>0.12</v>
      </c>
      <c r="J433" s="6">
        <v>4450</v>
      </c>
      <c r="K433" s="4">
        <v>9</v>
      </c>
      <c r="L433" s="8">
        <f t="shared" si="6"/>
        <v>2.1</v>
      </c>
      <c r="M433" s="6" t="str">
        <f>_xlfn.XLOOKUP(FactSales[[#This Row],[Product_ID]],DimProduct[Product_ID],DimProduct[Product_Name])</f>
        <v>Smart Watch</v>
      </c>
      <c r="N433" s="6" t="str">
        <f>_xlfn.XLOOKUP(FactSales[[#This Row],[Product_ID]],DimProduct[Product_ID],DimProduct[Category])</f>
        <v>Electronics</v>
      </c>
      <c r="O433" s="6">
        <f>_xlfn.XLOOKUP(FactSales[[#This Row],[Product_ID]],DimProduct[Product_ID],DimProduct[Unit_Price])</f>
        <v>3870</v>
      </c>
      <c r="P433" s="6">
        <f>_xlfn.XLOOKUP(FactSales[[#This Row],[Product_ID]],DimProduct[Product_ID],DimProduct[Unit_Cost])</f>
        <v>2630</v>
      </c>
      <c r="Q433" s="6">
        <f>FactSales[[#This Row],[Unit_Price]]*FactSales[[#This Row],[Quantity_Sold]]</f>
        <v>3870</v>
      </c>
      <c r="R433" s="6">
        <f>FactSales[[#This Row],[Unit_Cost]]*FactSales[[#This Row],[Quantity_Sold]]</f>
        <v>2630</v>
      </c>
      <c r="S433" s="6">
        <f>FactSales[[#This Row],[Sales_Amount]]-FactSales[[#This Row],[Total_Cost]]</f>
        <v>1240</v>
      </c>
      <c r="T433" s="6" t="str">
        <f>_xlfn.XLOOKUP(FactSales[[#This Row],[Customer_ID]],DimCustomer[Customer_ID],DimCustomer[Customer_Name])</f>
        <v>Tania Mia</v>
      </c>
      <c r="U433" s="6" t="str">
        <f>_xlfn.XLOOKUP(FactSales[[#This Row],[Salesperson_ID]],DimSalesman[Salesperson_ID],DimSalesman[Salesperson_Name])</f>
        <v>Nayeem Rahman</v>
      </c>
      <c r="V433" s="6" t="str">
        <f>_xlfn.XLOOKUP(FactSales[[#This Row],[Region_ID]],DimRegion[Region_ID],DimRegion[Region_Name])</f>
        <v>Rangpur</v>
      </c>
      <c r="W433" s="6" t="str">
        <f>_xlfn.XLOOKUP(FactSales[[#This Row],[Store_ID]],DimStore[Store_ID],DimStore[Store_Name])</f>
        <v>Rangpur Jahaj Company Store</v>
      </c>
    </row>
    <row r="434" spans="1:23">
      <c r="A434" s="4" t="s">
        <v>1430</v>
      </c>
      <c r="B434" s="5">
        <v>46080</v>
      </c>
      <c r="C434" s="4" t="s">
        <v>520</v>
      </c>
      <c r="D434" s="4" t="s">
        <v>57</v>
      </c>
      <c r="E434" s="4" t="s">
        <v>719</v>
      </c>
      <c r="F434" s="4" t="s">
        <v>968</v>
      </c>
      <c r="G434" s="4" t="s">
        <v>828</v>
      </c>
      <c r="H434" s="4">
        <v>2</v>
      </c>
      <c r="I434" s="7">
        <v>7.0000000000000007E-2</v>
      </c>
      <c r="J434" s="6">
        <v>3243</v>
      </c>
      <c r="K434" s="4">
        <v>5</v>
      </c>
      <c r="L434" s="8">
        <f t="shared" si="6"/>
        <v>3.4</v>
      </c>
      <c r="M434" s="6" t="str">
        <f>_xlfn.XLOOKUP(FactSales[[#This Row],[Product_ID]],DimProduct[Product_ID],DimProduct[Product_Name])</f>
        <v>Toothpaste Twin Pack</v>
      </c>
      <c r="N434" s="6" t="str">
        <f>_xlfn.XLOOKUP(FactSales[[#This Row],[Product_ID]],DimProduct[Product_ID],DimProduct[Category])</f>
        <v>Beauty &amp; Personal Care</v>
      </c>
      <c r="O434" s="6">
        <f>_xlfn.XLOOKUP(FactSales[[#This Row],[Product_ID]],DimProduct[Product_ID],DimProduct[Unit_Price])</f>
        <v>1410</v>
      </c>
      <c r="P434" s="6">
        <f>_xlfn.XLOOKUP(FactSales[[#This Row],[Product_ID]],DimProduct[Product_ID],DimProduct[Unit_Cost])</f>
        <v>820</v>
      </c>
      <c r="Q434" s="6">
        <f>FactSales[[#This Row],[Unit_Price]]*FactSales[[#This Row],[Quantity_Sold]]</f>
        <v>2820</v>
      </c>
      <c r="R434" s="6">
        <f>FactSales[[#This Row],[Unit_Cost]]*FactSales[[#This Row],[Quantity_Sold]]</f>
        <v>1640</v>
      </c>
      <c r="S434" s="6">
        <f>FactSales[[#This Row],[Sales_Amount]]-FactSales[[#This Row],[Total_Cost]]</f>
        <v>1180</v>
      </c>
      <c r="T434" s="6" t="str">
        <f>_xlfn.XLOOKUP(FactSales[[#This Row],[Customer_ID]],DimCustomer[Customer_ID],DimCustomer[Customer_Name])</f>
        <v>Samiha Uddin</v>
      </c>
      <c r="U434" s="6" t="str">
        <f>_xlfn.XLOOKUP(FactSales[[#This Row],[Salesperson_ID]],DimSalesman[Salesperson_ID],DimSalesman[Salesperson_Name])</f>
        <v>Morshed Ahmed</v>
      </c>
      <c r="V434" s="6" t="str">
        <f>_xlfn.XLOOKUP(FactSales[[#This Row],[Region_ID]],DimRegion[Region_ID],DimRegion[Region_Name])</f>
        <v>Rangpur</v>
      </c>
      <c r="W434" s="6" t="str">
        <f>_xlfn.XLOOKUP(FactSales[[#This Row],[Store_ID]],DimStore[Store_ID],DimStore[Store_Name])</f>
        <v>Rangpur Modern More Store</v>
      </c>
    </row>
    <row r="435" spans="1:23">
      <c r="A435" s="4" t="s">
        <v>1431</v>
      </c>
      <c r="B435" s="5">
        <v>45686</v>
      </c>
      <c r="C435" s="4" t="s">
        <v>317</v>
      </c>
      <c r="D435" s="4" t="s">
        <v>42</v>
      </c>
      <c r="E435" s="4" t="s">
        <v>671</v>
      </c>
      <c r="F435" s="4" t="s">
        <v>943</v>
      </c>
      <c r="G435" s="4" t="s">
        <v>758</v>
      </c>
      <c r="H435" s="4">
        <v>1</v>
      </c>
      <c r="I435" s="7">
        <v>0.12</v>
      </c>
      <c r="J435" s="6">
        <v>3067</v>
      </c>
      <c r="K435" s="4">
        <v>3</v>
      </c>
      <c r="L435" s="8">
        <f t="shared" si="6"/>
        <v>4</v>
      </c>
      <c r="M435" s="6" t="str">
        <f>_xlfn.XLOOKUP(FactSales[[#This Row],[Product_ID]],DimProduct[Product_ID],DimProduct[Product_Name])</f>
        <v>Power Bank</v>
      </c>
      <c r="N435" s="6" t="str">
        <f>_xlfn.XLOOKUP(FactSales[[#This Row],[Product_ID]],DimProduct[Product_ID],DimProduct[Category])</f>
        <v>Electronics</v>
      </c>
      <c r="O435" s="6">
        <f>_xlfn.XLOOKUP(FactSales[[#This Row],[Product_ID]],DimProduct[Product_ID],DimProduct[Unit_Price])</f>
        <v>2840</v>
      </c>
      <c r="P435" s="6">
        <f>_xlfn.XLOOKUP(FactSales[[#This Row],[Product_ID]],DimProduct[Product_ID],DimProduct[Unit_Cost])</f>
        <v>1930</v>
      </c>
      <c r="Q435" s="6">
        <f>FactSales[[#This Row],[Unit_Price]]*FactSales[[#This Row],[Quantity_Sold]]</f>
        <v>2840</v>
      </c>
      <c r="R435" s="6">
        <f>FactSales[[#This Row],[Unit_Cost]]*FactSales[[#This Row],[Quantity_Sold]]</f>
        <v>1930</v>
      </c>
      <c r="S435" s="6">
        <f>FactSales[[#This Row],[Sales_Amount]]-FactSales[[#This Row],[Total_Cost]]</f>
        <v>910</v>
      </c>
      <c r="T435" s="6" t="str">
        <f>_xlfn.XLOOKUP(FactSales[[#This Row],[Customer_ID]],DimCustomer[Customer_ID],DimCustomer[Customer_Name])</f>
        <v>Imran Khan</v>
      </c>
      <c r="U435" s="6" t="str">
        <f>_xlfn.XLOOKUP(FactSales[[#This Row],[Salesperson_ID]],DimSalesman[Salesperson_ID],DimSalesman[Salesperson_Name])</f>
        <v>Imran Khan</v>
      </c>
      <c r="V435" s="6" t="str">
        <f>_xlfn.XLOOKUP(FactSales[[#This Row],[Region_ID]],DimRegion[Region_ID],DimRegion[Region_Name])</f>
        <v>Rajshahi</v>
      </c>
      <c r="W435" s="6" t="str">
        <f>_xlfn.XLOOKUP(FactSales[[#This Row],[Store_ID]],DimStore[Store_ID],DimStore[Store_Name])</f>
        <v>Rajshahi Kazla Store</v>
      </c>
    </row>
    <row r="436" spans="1:23">
      <c r="A436" s="4" t="s">
        <v>1432</v>
      </c>
      <c r="B436" s="5">
        <v>45695</v>
      </c>
      <c r="C436" s="4" t="s">
        <v>588</v>
      </c>
      <c r="D436" s="4" t="s">
        <v>62</v>
      </c>
      <c r="E436" s="4" t="s">
        <v>740</v>
      </c>
      <c r="F436" s="4" t="s">
        <v>983</v>
      </c>
      <c r="G436" s="4" t="s">
        <v>784</v>
      </c>
      <c r="H436" s="4">
        <v>1</v>
      </c>
      <c r="I436" s="7">
        <v>7.0000000000000007E-2</v>
      </c>
      <c r="J436" s="6">
        <v>2020</v>
      </c>
      <c r="K436" s="4">
        <v>5</v>
      </c>
      <c r="L436" s="8">
        <f t="shared" si="6"/>
        <v>3.4</v>
      </c>
      <c r="M436" s="6" t="str">
        <f>_xlfn.XLOOKUP(FactSales[[#This Row],[Product_ID]],DimProduct[Product_ID],DimProduct[Product_Name])</f>
        <v>Cotton T-Shirt</v>
      </c>
      <c r="N436" s="6" t="str">
        <f>_xlfn.XLOOKUP(FactSales[[#This Row],[Product_ID]],DimProduct[Product_ID],DimProduct[Category])</f>
        <v>Fashion</v>
      </c>
      <c r="O436" s="6">
        <f>_xlfn.XLOOKUP(FactSales[[#This Row],[Product_ID]],DimProduct[Product_ID],DimProduct[Unit_Price])</f>
        <v>1870</v>
      </c>
      <c r="P436" s="6">
        <f>_xlfn.XLOOKUP(FactSales[[#This Row],[Product_ID]],DimProduct[Product_ID],DimProduct[Unit_Cost])</f>
        <v>1030</v>
      </c>
      <c r="Q436" s="6">
        <f>FactSales[[#This Row],[Unit_Price]]*FactSales[[#This Row],[Quantity_Sold]]</f>
        <v>1870</v>
      </c>
      <c r="R436" s="6">
        <f>FactSales[[#This Row],[Unit_Cost]]*FactSales[[#This Row],[Quantity_Sold]]</f>
        <v>1030</v>
      </c>
      <c r="S436" s="6">
        <f>FactSales[[#This Row],[Sales_Amount]]-FactSales[[#This Row],[Total_Cost]]</f>
        <v>840</v>
      </c>
      <c r="T436" s="6" t="str">
        <f>_xlfn.XLOOKUP(FactSales[[#This Row],[Customer_ID]],DimCustomer[Customer_ID],DimCustomer[Customer_Name])</f>
        <v>Rasel Uddin</v>
      </c>
      <c r="U436" s="6" t="str">
        <f>_xlfn.XLOOKUP(FactSales[[#This Row],[Salesperson_ID]],DimSalesman[Salesperson_ID],DimSalesman[Salesperson_Name])</f>
        <v>Fahim Hossain</v>
      </c>
      <c r="V436" s="6" t="str">
        <f>_xlfn.XLOOKUP(FactSales[[#This Row],[Region_ID]],DimRegion[Region_ID],DimRegion[Region_Name])</f>
        <v>Mymensingh</v>
      </c>
      <c r="W436" s="6" t="str">
        <f>_xlfn.XLOOKUP(FactSales[[#This Row],[Store_ID]],DimStore[Store_ID],DimStore[Store_Name])</f>
        <v>Mymensingh Maskanda Store</v>
      </c>
    </row>
    <row r="437" spans="1:23">
      <c r="A437" s="4" t="s">
        <v>1433</v>
      </c>
      <c r="B437" s="5">
        <v>45701</v>
      </c>
      <c r="C437" s="4" t="s">
        <v>413</v>
      </c>
      <c r="D437" s="4" t="s">
        <v>47</v>
      </c>
      <c r="E437" s="4" t="s">
        <v>695</v>
      </c>
      <c r="F437" s="4" t="s">
        <v>953</v>
      </c>
      <c r="G437" s="4" t="s">
        <v>831</v>
      </c>
      <c r="H437" s="4">
        <v>8</v>
      </c>
      <c r="I437" s="7">
        <v>0.1</v>
      </c>
      <c r="J437" s="6">
        <v>10987</v>
      </c>
      <c r="K437" s="4">
        <v>4</v>
      </c>
      <c r="L437" s="8">
        <f t="shared" si="6"/>
        <v>3.7</v>
      </c>
      <c r="M437" s="6" t="str">
        <f>_xlfn.XLOOKUP(FactSales[[#This Row],[Product_ID]],DimProduct[Product_ID],DimProduct[Product_Name])</f>
        <v>Perfume Spray</v>
      </c>
      <c r="N437" s="6" t="str">
        <f>_xlfn.XLOOKUP(FactSales[[#This Row],[Product_ID]],DimProduct[Product_ID],DimProduct[Category])</f>
        <v>Beauty &amp; Personal Care</v>
      </c>
      <c r="O437" s="6">
        <f>_xlfn.XLOOKUP(FactSales[[#This Row],[Product_ID]],DimProduct[Product_ID],DimProduct[Unit_Price])</f>
        <v>1260</v>
      </c>
      <c r="P437" s="6">
        <f>_xlfn.XLOOKUP(FactSales[[#This Row],[Product_ID]],DimProduct[Product_ID],DimProduct[Unit_Cost])</f>
        <v>730</v>
      </c>
      <c r="Q437" s="6">
        <f>FactSales[[#This Row],[Unit_Price]]*FactSales[[#This Row],[Quantity_Sold]]</f>
        <v>10080</v>
      </c>
      <c r="R437" s="6">
        <f>FactSales[[#This Row],[Unit_Cost]]*FactSales[[#This Row],[Quantity_Sold]]</f>
        <v>5840</v>
      </c>
      <c r="S437" s="6">
        <f>FactSales[[#This Row],[Sales_Amount]]-FactSales[[#This Row],[Total_Cost]]</f>
        <v>4240</v>
      </c>
      <c r="T437" s="6" t="str">
        <f>_xlfn.XLOOKUP(FactSales[[#This Row],[Customer_ID]],DimCustomer[Customer_ID],DimCustomer[Customer_Name])</f>
        <v>Samiha Sultana</v>
      </c>
      <c r="U437" s="6" t="str">
        <f>_xlfn.XLOOKUP(FactSales[[#This Row],[Salesperson_ID]],DimSalesman[Salesperson_ID],DimSalesman[Salesperson_Name])</f>
        <v>Nusrat Akter</v>
      </c>
      <c r="V437" s="6" t="str">
        <f>_xlfn.XLOOKUP(FactSales[[#This Row],[Region_ID]],DimRegion[Region_ID],DimRegion[Region_Name])</f>
        <v>Khulna</v>
      </c>
      <c r="W437" s="6" t="str">
        <f>_xlfn.XLOOKUP(FactSales[[#This Row],[Store_ID]],DimStore[Store_ID],DimStore[Store_Name])</f>
        <v>Khulna Shibbari Store</v>
      </c>
    </row>
    <row r="438" spans="1:23">
      <c r="A438" s="4" t="s">
        <v>1434</v>
      </c>
      <c r="B438" s="5">
        <v>45723</v>
      </c>
      <c r="C438" s="4" t="s">
        <v>76</v>
      </c>
      <c r="D438" s="4" t="s">
        <v>27</v>
      </c>
      <c r="E438" s="4" t="s">
        <v>618</v>
      </c>
      <c r="F438" s="4" t="s">
        <v>916</v>
      </c>
      <c r="G438" s="4" t="s">
        <v>821</v>
      </c>
      <c r="H438" s="4">
        <v>7</v>
      </c>
      <c r="I438" s="7">
        <v>7.0000000000000007E-2</v>
      </c>
      <c r="J438" s="6">
        <v>12317</v>
      </c>
      <c r="K438" s="4">
        <v>1</v>
      </c>
      <c r="L438" s="8">
        <f t="shared" si="6"/>
        <v>4.7</v>
      </c>
      <c r="M438" s="6" t="str">
        <f>_xlfn.XLOOKUP(FactSales[[#This Row],[Product_ID]],DimProduct[Product_ID],DimProduct[Product_Name])</f>
        <v>Shampoo 375ml</v>
      </c>
      <c r="N438" s="6" t="str">
        <f>_xlfn.XLOOKUP(FactSales[[#This Row],[Product_ID]],DimProduct[Product_ID],DimProduct[Category])</f>
        <v>Beauty &amp; Personal Care</v>
      </c>
      <c r="O438" s="6">
        <f>_xlfn.XLOOKUP(FactSales[[#This Row],[Product_ID]],DimProduct[Product_ID],DimProduct[Unit_Price])</f>
        <v>1660</v>
      </c>
      <c r="P438" s="6">
        <f>_xlfn.XLOOKUP(FactSales[[#This Row],[Product_ID]],DimProduct[Product_ID],DimProduct[Unit_Cost])</f>
        <v>960</v>
      </c>
      <c r="Q438" s="6">
        <f>FactSales[[#This Row],[Unit_Price]]*FactSales[[#This Row],[Quantity_Sold]]</f>
        <v>11620</v>
      </c>
      <c r="R438" s="6">
        <f>FactSales[[#This Row],[Unit_Cost]]*FactSales[[#This Row],[Quantity_Sold]]</f>
        <v>6720</v>
      </c>
      <c r="S438" s="6">
        <f>FactSales[[#This Row],[Sales_Amount]]-FactSales[[#This Row],[Total_Cost]]</f>
        <v>4900</v>
      </c>
      <c r="T438" s="6" t="str">
        <f>_xlfn.XLOOKUP(FactSales[[#This Row],[Customer_ID]],DimCustomer[Customer_ID],DimCustomer[Customer_Name])</f>
        <v>Tamanna Hossain</v>
      </c>
      <c r="U438" s="6" t="str">
        <f>_xlfn.XLOOKUP(FactSales[[#This Row],[Salesperson_ID]],DimSalesman[Salesperson_ID],DimSalesman[Salesperson_Name])</f>
        <v>Rafi Islam</v>
      </c>
      <c r="V438" s="6" t="str">
        <f>_xlfn.XLOOKUP(FactSales[[#This Row],[Region_ID]],DimRegion[Region_ID],DimRegion[Region_Name])</f>
        <v>Dhaka</v>
      </c>
      <c r="W438" s="6" t="str">
        <f>_xlfn.XLOOKUP(FactSales[[#This Row],[Store_ID]],DimStore[Store_ID],DimStore[Store_Name])</f>
        <v>Dhaka Gulshan Store</v>
      </c>
    </row>
    <row r="439" spans="1:23">
      <c r="A439" s="4" t="s">
        <v>1435</v>
      </c>
      <c r="B439" s="5">
        <v>46170</v>
      </c>
      <c r="C439" s="4" t="s">
        <v>545</v>
      </c>
      <c r="D439" s="4" t="s">
        <v>57</v>
      </c>
      <c r="E439" s="4" t="s">
        <v>716</v>
      </c>
      <c r="F439" s="4" t="s">
        <v>970</v>
      </c>
      <c r="G439" s="4" t="s">
        <v>758</v>
      </c>
      <c r="H439" s="4">
        <v>6</v>
      </c>
      <c r="I439" s="7">
        <v>0.18</v>
      </c>
      <c r="J439" s="6">
        <v>19596</v>
      </c>
      <c r="K439" s="4">
        <v>3</v>
      </c>
      <c r="L439" s="8">
        <f t="shared" si="6"/>
        <v>3.8</v>
      </c>
      <c r="M439" s="6" t="str">
        <f>_xlfn.XLOOKUP(FactSales[[#This Row],[Product_ID]],DimProduct[Product_ID],DimProduct[Product_Name])</f>
        <v>Power Bank</v>
      </c>
      <c r="N439" s="6" t="str">
        <f>_xlfn.XLOOKUP(FactSales[[#This Row],[Product_ID]],DimProduct[Product_ID],DimProduct[Category])</f>
        <v>Electronics</v>
      </c>
      <c r="O439" s="6">
        <f>_xlfn.XLOOKUP(FactSales[[#This Row],[Product_ID]],DimProduct[Product_ID],DimProduct[Unit_Price])</f>
        <v>2840</v>
      </c>
      <c r="P439" s="6">
        <f>_xlfn.XLOOKUP(FactSales[[#This Row],[Product_ID]],DimProduct[Product_ID],DimProduct[Unit_Cost])</f>
        <v>1930</v>
      </c>
      <c r="Q439" s="6">
        <f>FactSales[[#This Row],[Unit_Price]]*FactSales[[#This Row],[Quantity_Sold]]</f>
        <v>17040</v>
      </c>
      <c r="R439" s="6">
        <f>FactSales[[#This Row],[Unit_Cost]]*FactSales[[#This Row],[Quantity_Sold]]</f>
        <v>11580</v>
      </c>
      <c r="S439" s="6">
        <f>FactSales[[#This Row],[Sales_Amount]]-FactSales[[#This Row],[Total_Cost]]</f>
        <v>5460</v>
      </c>
      <c r="T439" s="6" t="str">
        <f>_xlfn.XLOOKUP(FactSales[[#This Row],[Customer_ID]],DimCustomer[Customer_ID],DimCustomer[Customer_Name])</f>
        <v>Shuvo Hossain</v>
      </c>
      <c r="U439" s="6" t="str">
        <f>_xlfn.XLOOKUP(FactSales[[#This Row],[Salesperson_ID]],DimSalesman[Salesperson_ID],DimSalesman[Salesperson_Name])</f>
        <v>Tanvir Islam</v>
      </c>
      <c r="V439" s="6" t="str">
        <f>_xlfn.XLOOKUP(FactSales[[#This Row],[Region_ID]],DimRegion[Region_ID],DimRegion[Region_Name])</f>
        <v>Rangpur</v>
      </c>
      <c r="W439" s="6" t="str">
        <f>_xlfn.XLOOKUP(FactSales[[#This Row],[Store_ID]],DimStore[Store_ID],DimStore[Store_Name])</f>
        <v>Rangpur Shapla Chattar Store</v>
      </c>
    </row>
    <row r="440" spans="1:23">
      <c r="A440" s="4" t="s">
        <v>1436</v>
      </c>
      <c r="B440" s="5">
        <v>45978</v>
      </c>
      <c r="C440" s="4" t="s">
        <v>398</v>
      </c>
      <c r="D440" s="4" t="s">
        <v>47</v>
      </c>
      <c r="E440" s="4" t="s">
        <v>683</v>
      </c>
      <c r="F440" s="4" t="s">
        <v>953</v>
      </c>
      <c r="G440" s="4" t="s">
        <v>821</v>
      </c>
      <c r="H440" s="4">
        <v>2</v>
      </c>
      <c r="I440" s="7">
        <v>0.12</v>
      </c>
      <c r="J440" s="6">
        <v>3619</v>
      </c>
      <c r="K440" s="4">
        <v>3</v>
      </c>
      <c r="L440" s="8">
        <f t="shared" si="6"/>
        <v>4</v>
      </c>
      <c r="M440" s="6" t="str">
        <f>_xlfn.XLOOKUP(FactSales[[#This Row],[Product_ID]],DimProduct[Product_ID],DimProduct[Product_Name])</f>
        <v>Shampoo 375ml</v>
      </c>
      <c r="N440" s="6" t="str">
        <f>_xlfn.XLOOKUP(FactSales[[#This Row],[Product_ID]],DimProduct[Product_ID],DimProduct[Category])</f>
        <v>Beauty &amp; Personal Care</v>
      </c>
      <c r="O440" s="6">
        <f>_xlfn.XLOOKUP(FactSales[[#This Row],[Product_ID]],DimProduct[Product_ID],DimProduct[Unit_Price])</f>
        <v>1660</v>
      </c>
      <c r="P440" s="6">
        <f>_xlfn.XLOOKUP(FactSales[[#This Row],[Product_ID]],DimProduct[Product_ID],DimProduct[Unit_Cost])</f>
        <v>960</v>
      </c>
      <c r="Q440" s="6">
        <f>FactSales[[#This Row],[Unit_Price]]*FactSales[[#This Row],[Quantity_Sold]]</f>
        <v>3320</v>
      </c>
      <c r="R440" s="6">
        <f>FactSales[[#This Row],[Unit_Cost]]*FactSales[[#This Row],[Quantity_Sold]]</f>
        <v>1920</v>
      </c>
      <c r="S440" s="6">
        <f>FactSales[[#This Row],[Sales_Amount]]-FactSales[[#This Row],[Total_Cost]]</f>
        <v>1400</v>
      </c>
      <c r="T440" s="6" t="str">
        <f>_xlfn.XLOOKUP(FactSales[[#This Row],[Customer_ID]],DimCustomer[Customer_ID],DimCustomer[Customer_Name])</f>
        <v>Ayesha Akter</v>
      </c>
      <c r="U440" s="6" t="str">
        <f>_xlfn.XLOOKUP(FactSales[[#This Row],[Salesperson_ID]],DimSalesman[Salesperson_ID],DimSalesman[Salesperson_Name])</f>
        <v>Nusrat Akter</v>
      </c>
      <c r="V440" s="6" t="str">
        <f>_xlfn.XLOOKUP(FactSales[[#This Row],[Region_ID]],DimRegion[Region_ID],DimRegion[Region_Name])</f>
        <v>Khulna</v>
      </c>
      <c r="W440" s="6" t="str">
        <f>_xlfn.XLOOKUP(FactSales[[#This Row],[Store_ID]],DimStore[Store_ID],DimStore[Store_Name])</f>
        <v>Khulna Sonadanga Store</v>
      </c>
    </row>
    <row r="441" spans="1:23">
      <c r="A441" s="4" t="s">
        <v>1437</v>
      </c>
      <c r="B441" s="5">
        <v>45877</v>
      </c>
      <c r="C441" s="4" t="s">
        <v>320</v>
      </c>
      <c r="D441" s="4" t="s">
        <v>42</v>
      </c>
      <c r="E441" s="4" t="s">
        <v>671</v>
      </c>
      <c r="F441" s="4" t="s">
        <v>944</v>
      </c>
      <c r="G441" s="4" t="s">
        <v>755</v>
      </c>
      <c r="H441" s="4">
        <v>8</v>
      </c>
      <c r="I441" s="7">
        <v>0.15</v>
      </c>
      <c r="J441" s="6">
        <v>28858</v>
      </c>
      <c r="K441" s="4">
        <v>1</v>
      </c>
      <c r="L441" s="8">
        <f t="shared" si="6"/>
        <v>4.5999999999999996</v>
      </c>
      <c r="M441" s="6" t="str">
        <f>_xlfn.XLOOKUP(FactSales[[#This Row],[Product_ID]],DimProduct[Product_ID],DimProduct[Product_Name])</f>
        <v>Wireless Mouse</v>
      </c>
      <c r="N441" s="6" t="str">
        <f>_xlfn.XLOOKUP(FactSales[[#This Row],[Product_ID]],DimProduct[Product_ID],DimProduct[Category])</f>
        <v>Electronics</v>
      </c>
      <c r="O441" s="6">
        <f>_xlfn.XLOOKUP(FactSales[[#This Row],[Product_ID]],DimProduct[Product_ID],DimProduct[Unit_Price])</f>
        <v>3340</v>
      </c>
      <c r="P441" s="6">
        <f>_xlfn.XLOOKUP(FactSales[[#This Row],[Product_ID]],DimProduct[Product_ID],DimProduct[Unit_Cost])</f>
        <v>2270</v>
      </c>
      <c r="Q441" s="6">
        <f>FactSales[[#This Row],[Unit_Price]]*FactSales[[#This Row],[Quantity_Sold]]</f>
        <v>26720</v>
      </c>
      <c r="R441" s="6">
        <f>FactSales[[#This Row],[Unit_Cost]]*FactSales[[#This Row],[Quantity_Sold]]</f>
        <v>18160</v>
      </c>
      <c r="S441" s="6">
        <f>FactSales[[#This Row],[Sales_Amount]]-FactSales[[#This Row],[Total_Cost]]</f>
        <v>8560</v>
      </c>
      <c r="T441" s="6" t="str">
        <f>_xlfn.XLOOKUP(FactSales[[#This Row],[Customer_ID]],DimCustomer[Customer_ID],DimCustomer[Customer_Name])</f>
        <v>Shuvo Sultana</v>
      </c>
      <c r="U441" s="6" t="str">
        <f>_xlfn.XLOOKUP(FactSales[[#This Row],[Salesperson_ID]],DimSalesman[Salesperson_ID],DimSalesman[Salesperson_Name])</f>
        <v>Karim Khan</v>
      </c>
      <c r="V441" s="6" t="str">
        <f>_xlfn.XLOOKUP(FactSales[[#This Row],[Region_ID]],DimRegion[Region_ID],DimRegion[Region_Name])</f>
        <v>Rajshahi</v>
      </c>
      <c r="W441" s="6" t="str">
        <f>_xlfn.XLOOKUP(FactSales[[#This Row],[Store_ID]],DimStore[Store_ID],DimStore[Store_Name])</f>
        <v>Rajshahi Kazla Store</v>
      </c>
    </row>
    <row r="442" spans="1:23">
      <c r="A442" s="4" t="s">
        <v>1438</v>
      </c>
      <c r="B442" s="5">
        <v>46041</v>
      </c>
      <c r="C442" s="4" t="s">
        <v>507</v>
      </c>
      <c r="D442" s="4" t="s">
        <v>57</v>
      </c>
      <c r="E442" s="4" t="s">
        <v>725</v>
      </c>
      <c r="F442" s="4" t="s">
        <v>968</v>
      </c>
      <c r="G442" s="4" t="s">
        <v>794</v>
      </c>
      <c r="H442" s="4">
        <v>4</v>
      </c>
      <c r="I442" s="7">
        <v>0.03</v>
      </c>
      <c r="J442" s="6">
        <v>4048</v>
      </c>
      <c r="K442" s="4">
        <v>5</v>
      </c>
      <c r="L442" s="8">
        <f t="shared" si="6"/>
        <v>3.5</v>
      </c>
      <c r="M442" s="6" t="str">
        <f>_xlfn.XLOOKUP(FactSales[[#This Row],[Product_ID]],DimProduct[Product_ID],DimProduct[Product_Name])</f>
        <v>Denim Jeans</v>
      </c>
      <c r="N442" s="6" t="str">
        <f>_xlfn.XLOOKUP(FactSales[[#This Row],[Product_ID]],DimProduct[Product_ID],DimProduct[Category])</f>
        <v>Fashion</v>
      </c>
      <c r="O442" s="6">
        <f>_xlfn.XLOOKUP(FactSales[[#This Row],[Product_ID]],DimProduct[Product_ID],DimProduct[Unit_Price])</f>
        <v>880</v>
      </c>
      <c r="P442" s="6">
        <f>_xlfn.XLOOKUP(FactSales[[#This Row],[Product_ID]],DimProduct[Product_ID],DimProduct[Unit_Cost])</f>
        <v>480</v>
      </c>
      <c r="Q442" s="6">
        <f>FactSales[[#This Row],[Unit_Price]]*FactSales[[#This Row],[Quantity_Sold]]</f>
        <v>3520</v>
      </c>
      <c r="R442" s="6">
        <f>FactSales[[#This Row],[Unit_Cost]]*FactSales[[#This Row],[Quantity_Sold]]</f>
        <v>1920</v>
      </c>
      <c r="S442" s="6">
        <f>FactSales[[#This Row],[Sales_Amount]]-FactSales[[#This Row],[Total_Cost]]</f>
        <v>1600</v>
      </c>
      <c r="T442" s="6" t="str">
        <f>_xlfn.XLOOKUP(FactSales[[#This Row],[Customer_ID]],DimCustomer[Customer_ID],DimCustomer[Customer_Name])</f>
        <v>Samiha Uddin</v>
      </c>
      <c r="U442" s="6" t="str">
        <f>_xlfn.XLOOKUP(FactSales[[#This Row],[Salesperson_ID]],DimSalesman[Salesperson_ID],DimSalesman[Salesperson_Name])</f>
        <v>Morshed Ahmed</v>
      </c>
      <c r="V442" s="6" t="str">
        <f>_xlfn.XLOOKUP(FactSales[[#This Row],[Region_ID]],DimRegion[Region_ID],DimRegion[Region_Name])</f>
        <v>Rangpur</v>
      </c>
      <c r="W442" s="6" t="str">
        <f>_xlfn.XLOOKUP(FactSales[[#This Row],[Store_ID]],DimStore[Store_ID],DimStore[Store_Name])</f>
        <v>Rangpur Central Road Store</v>
      </c>
    </row>
    <row r="443" spans="1:23">
      <c r="A443" s="4" t="s">
        <v>1439</v>
      </c>
      <c r="B443" s="5">
        <v>46034</v>
      </c>
      <c r="C443" s="4" t="s">
        <v>307</v>
      </c>
      <c r="D443" s="4" t="s">
        <v>42</v>
      </c>
      <c r="E443" s="4" t="s">
        <v>671</v>
      </c>
      <c r="F443" s="4" t="s">
        <v>945</v>
      </c>
      <c r="G443" s="4" t="s">
        <v>790</v>
      </c>
      <c r="H443" s="4">
        <v>5</v>
      </c>
      <c r="I443" s="7">
        <v>0.03</v>
      </c>
      <c r="J443" s="6">
        <v>10746</v>
      </c>
      <c r="K443" s="4">
        <v>6</v>
      </c>
      <c r="L443" s="8">
        <f t="shared" si="6"/>
        <v>3.2</v>
      </c>
      <c r="M443" s="6" t="str">
        <f>_xlfn.XLOOKUP(FactSales[[#This Row],[Product_ID]],DimProduct[Product_ID],DimProduct[Product_Name])</f>
        <v>Women Kurti</v>
      </c>
      <c r="N443" s="6" t="str">
        <f>_xlfn.XLOOKUP(FactSales[[#This Row],[Product_ID]],DimProduct[Product_ID],DimProduct[Category])</f>
        <v>Fashion</v>
      </c>
      <c r="O443" s="6">
        <f>_xlfn.XLOOKUP(FactSales[[#This Row],[Product_ID]],DimProduct[Product_ID],DimProduct[Unit_Price])</f>
        <v>1990</v>
      </c>
      <c r="P443" s="6">
        <f>_xlfn.XLOOKUP(FactSales[[#This Row],[Product_ID]],DimProduct[Product_ID],DimProduct[Unit_Cost])</f>
        <v>1090</v>
      </c>
      <c r="Q443" s="6">
        <f>FactSales[[#This Row],[Unit_Price]]*FactSales[[#This Row],[Quantity_Sold]]</f>
        <v>9950</v>
      </c>
      <c r="R443" s="6">
        <f>FactSales[[#This Row],[Unit_Cost]]*FactSales[[#This Row],[Quantity_Sold]]</f>
        <v>5450</v>
      </c>
      <c r="S443" s="6">
        <f>FactSales[[#This Row],[Sales_Amount]]-FactSales[[#This Row],[Total_Cost]]</f>
        <v>4500</v>
      </c>
      <c r="T443" s="6" t="str">
        <f>_xlfn.XLOOKUP(FactSales[[#This Row],[Customer_ID]],DimCustomer[Customer_ID],DimCustomer[Customer_Name])</f>
        <v>Nayeem Hossain</v>
      </c>
      <c r="U443" s="6" t="str">
        <f>_xlfn.XLOOKUP(FactSales[[#This Row],[Salesperson_ID]],DimSalesman[Salesperson_ID],DimSalesman[Salesperson_Name])</f>
        <v>Hasan Khan</v>
      </c>
      <c r="V443" s="6" t="str">
        <f>_xlfn.XLOOKUP(FactSales[[#This Row],[Region_ID]],DimRegion[Region_ID],DimRegion[Region_Name])</f>
        <v>Rajshahi</v>
      </c>
      <c r="W443" s="6" t="str">
        <f>_xlfn.XLOOKUP(FactSales[[#This Row],[Store_ID]],DimStore[Store_ID],DimStore[Store_Name])</f>
        <v>Rajshahi Kazla Store</v>
      </c>
    </row>
    <row r="444" spans="1:23">
      <c r="A444" s="4" t="s">
        <v>1440</v>
      </c>
      <c r="B444" s="5">
        <v>45903</v>
      </c>
      <c r="C444" s="4" t="s">
        <v>142</v>
      </c>
      <c r="D444" s="4" t="s">
        <v>27</v>
      </c>
      <c r="E444" s="4" t="s">
        <v>618</v>
      </c>
      <c r="F444" s="4" t="s">
        <v>920</v>
      </c>
      <c r="G444" s="4" t="s">
        <v>890</v>
      </c>
      <c r="H444" s="4">
        <v>2</v>
      </c>
      <c r="I444" s="7">
        <v>0.1</v>
      </c>
      <c r="J444" s="6">
        <v>1781</v>
      </c>
      <c r="K444" s="4">
        <v>1</v>
      </c>
      <c r="L444" s="8">
        <f t="shared" si="6"/>
        <v>4.7</v>
      </c>
      <c r="M444" s="6" t="str">
        <f>_xlfn.XLOOKUP(FactSales[[#This Row],[Product_ID]],DimProduct[Product_ID],DimProduct[Product_Name])</f>
        <v>Kids Story Book</v>
      </c>
      <c r="N444" s="6" t="str">
        <f>_xlfn.XLOOKUP(FactSales[[#This Row],[Product_ID]],DimProduct[Product_ID],DimProduct[Category])</f>
        <v>Kids &amp; Toys</v>
      </c>
      <c r="O444" s="6">
        <f>_xlfn.XLOOKUP(FactSales[[#This Row],[Product_ID]],DimProduct[Product_ID],DimProduct[Unit_Price])</f>
        <v>840</v>
      </c>
      <c r="P444" s="6">
        <f>_xlfn.XLOOKUP(FactSales[[#This Row],[Product_ID]],DimProduct[Product_ID],DimProduct[Unit_Cost])</f>
        <v>460</v>
      </c>
      <c r="Q444" s="6">
        <f>FactSales[[#This Row],[Unit_Price]]*FactSales[[#This Row],[Quantity_Sold]]</f>
        <v>1680</v>
      </c>
      <c r="R444" s="6">
        <f>FactSales[[#This Row],[Unit_Cost]]*FactSales[[#This Row],[Quantity_Sold]]</f>
        <v>920</v>
      </c>
      <c r="S444" s="6">
        <f>FactSales[[#This Row],[Sales_Amount]]-FactSales[[#This Row],[Total_Cost]]</f>
        <v>760</v>
      </c>
      <c r="T444" s="6" t="str">
        <f>_xlfn.XLOOKUP(FactSales[[#This Row],[Customer_ID]],DimCustomer[Customer_ID],DimCustomer[Customer_Name])</f>
        <v>Hasan Akter</v>
      </c>
      <c r="U444" s="6" t="str">
        <f>_xlfn.XLOOKUP(FactSales[[#This Row],[Salesperson_ID]],DimSalesman[Salesperson_ID],DimSalesman[Salesperson_Name])</f>
        <v>Rahim Hossain</v>
      </c>
      <c r="V444" s="6" t="str">
        <f>_xlfn.XLOOKUP(FactSales[[#This Row],[Region_ID]],DimRegion[Region_ID],DimRegion[Region_Name])</f>
        <v>Dhaka</v>
      </c>
      <c r="W444" s="6" t="str">
        <f>_xlfn.XLOOKUP(FactSales[[#This Row],[Store_ID]],DimStore[Store_ID],DimStore[Store_Name])</f>
        <v>Dhaka Gulshan Store</v>
      </c>
    </row>
    <row r="445" spans="1:23">
      <c r="A445" s="4" t="s">
        <v>1441</v>
      </c>
      <c r="B445" s="5">
        <v>46111</v>
      </c>
      <c r="C445" s="4" t="s">
        <v>477</v>
      </c>
      <c r="D445" s="4" t="s">
        <v>52</v>
      </c>
      <c r="E445" s="4" t="s">
        <v>698</v>
      </c>
      <c r="F445" s="4" t="s">
        <v>965</v>
      </c>
      <c r="G445" s="4" t="s">
        <v>878</v>
      </c>
      <c r="H445" s="4">
        <v>3</v>
      </c>
      <c r="I445" s="7">
        <v>7.0000000000000007E-2</v>
      </c>
      <c r="J445" s="6">
        <v>2822</v>
      </c>
      <c r="K445" s="4">
        <v>9</v>
      </c>
      <c r="L445" s="8">
        <f t="shared" si="6"/>
        <v>2.2000000000000002</v>
      </c>
      <c r="M445" s="6" t="str">
        <f>_xlfn.XLOOKUP(FactSales[[#This Row],[Product_ID]],DimProduct[Product_ID],DimProduct[Product_Name])</f>
        <v>Building Blocks</v>
      </c>
      <c r="N445" s="6" t="str">
        <f>_xlfn.XLOOKUP(FactSales[[#This Row],[Product_ID]],DimProduct[Product_ID],DimProduct[Category])</f>
        <v>Kids &amp; Toys</v>
      </c>
      <c r="O445" s="6">
        <f>_xlfn.XLOOKUP(FactSales[[#This Row],[Product_ID]],DimProduct[Product_ID],DimProduct[Unit_Price])</f>
        <v>840</v>
      </c>
      <c r="P445" s="6">
        <f>_xlfn.XLOOKUP(FactSales[[#This Row],[Product_ID]],DimProduct[Product_ID],DimProduct[Unit_Cost])</f>
        <v>460</v>
      </c>
      <c r="Q445" s="6">
        <f>FactSales[[#This Row],[Unit_Price]]*FactSales[[#This Row],[Quantity_Sold]]</f>
        <v>2520</v>
      </c>
      <c r="R445" s="6">
        <f>FactSales[[#This Row],[Unit_Cost]]*FactSales[[#This Row],[Quantity_Sold]]</f>
        <v>1380</v>
      </c>
      <c r="S445" s="6">
        <f>FactSales[[#This Row],[Sales_Amount]]-FactSales[[#This Row],[Total_Cost]]</f>
        <v>1140</v>
      </c>
      <c r="T445" s="6" t="str">
        <f>_xlfn.XLOOKUP(FactSales[[#This Row],[Customer_ID]],DimCustomer[Customer_ID],DimCustomer[Customer_Name])</f>
        <v>Jannat Hossain</v>
      </c>
      <c r="U445" s="6" t="str">
        <f>_xlfn.XLOOKUP(FactSales[[#This Row],[Salesperson_ID]],DimSalesman[Salesperson_ID],DimSalesman[Salesperson_Name])</f>
        <v>Mehedi Khan</v>
      </c>
      <c r="V445" s="6" t="str">
        <f>_xlfn.XLOOKUP(FactSales[[#This Row],[Region_ID]],DimRegion[Region_ID],DimRegion[Region_Name])</f>
        <v>Barishal</v>
      </c>
      <c r="W445" s="6" t="str">
        <f>_xlfn.XLOOKUP(FactSales[[#This Row],[Store_ID]],DimStore[Store_ID],DimStore[Store_Name])</f>
        <v>Barishal Nathullabad Store</v>
      </c>
    </row>
    <row r="446" spans="1:23">
      <c r="A446" s="4" t="s">
        <v>1442</v>
      </c>
      <c r="B446" s="5">
        <v>45822</v>
      </c>
      <c r="C446" s="4" t="s">
        <v>360</v>
      </c>
      <c r="D446" s="4" t="s">
        <v>47</v>
      </c>
      <c r="E446" s="4" t="s">
        <v>686</v>
      </c>
      <c r="F446" s="4" t="s">
        <v>954</v>
      </c>
      <c r="G446" s="4" t="s">
        <v>762</v>
      </c>
      <c r="H446" s="4">
        <v>6</v>
      </c>
      <c r="I446" s="7">
        <v>0.12</v>
      </c>
      <c r="J446" s="6">
        <v>25310</v>
      </c>
      <c r="K446" s="4">
        <v>5</v>
      </c>
      <c r="L446" s="8">
        <f t="shared" si="6"/>
        <v>3.3</v>
      </c>
      <c r="M446" s="6" t="str">
        <f>_xlfn.XLOOKUP(FactSales[[#This Row],[Product_ID]],DimProduct[Product_ID],DimProduct[Product_Name])</f>
        <v>Smart Watch</v>
      </c>
      <c r="N446" s="6" t="str">
        <f>_xlfn.XLOOKUP(FactSales[[#This Row],[Product_ID]],DimProduct[Product_ID],DimProduct[Category])</f>
        <v>Electronics</v>
      </c>
      <c r="O446" s="6">
        <f>_xlfn.XLOOKUP(FactSales[[#This Row],[Product_ID]],DimProduct[Product_ID],DimProduct[Unit_Price])</f>
        <v>3870</v>
      </c>
      <c r="P446" s="6">
        <f>_xlfn.XLOOKUP(FactSales[[#This Row],[Product_ID]],DimProduct[Product_ID],DimProduct[Unit_Cost])</f>
        <v>2630</v>
      </c>
      <c r="Q446" s="6">
        <f>FactSales[[#This Row],[Unit_Price]]*FactSales[[#This Row],[Quantity_Sold]]</f>
        <v>23220</v>
      </c>
      <c r="R446" s="6">
        <f>FactSales[[#This Row],[Unit_Cost]]*FactSales[[#This Row],[Quantity_Sold]]</f>
        <v>15780</v>
      </c>
      <c r="S446" s="6">
        <f>FactSales[[#This Row],[Sales_Amount]]-FactSales[[#This Row],[Total_Cost]]</f>
        <v>7440</v>
      </c>
      <c r="T446" s="6" t="str">
        <f>_xlfn.XLOOKUP(FactSales[[#This Row],[Customer_ID]],DimCustomer[Customer_ID],DimCustomer[Customer_Name])</f>
        <v>Arif Sultana</v>
      </c>
      <c r="U446" s="6" t="str">
        <f>_xlfn.XLOOKUP(FactSales[[#This Row],[Salesperson_ID]],DimSalesman[Salesperson_ID],DimSalesman[Salesperson_Name])</f>
        <v>Sadia Sultana</v>
      </c>
      <c r="V446" s="6" t="str">
        <f>_xlfn.XLOOKUP(FactSales[[#This Row],[Region_ID]],DimRegion[Region_ID],DimRegion[Region_Name])</f>
        <v>Khulna</v>
      </c>
      <c r="W446" s="6" t="str">
        <f>_xlfn.XLOOKUP(FactSales[[#This Row],[Store_ID]],DimStore[Store_ID],DimStore[Store_Name])</f>
        <v>Khulna Khalishpur Store</v>
      </c>
    </row>
    <row r="447" spans="1:23">
      <c r="A447" s="4" t="s">
        <v>1443</v>
      </c>
      <c r="B447" s="5">
        <v>46161</v>
      </c>
      <c r="C447" s="4" t="s">
        <v>491</v>
      </c>
      <c r="D447" s="4" t="s">
        <v>57</v>
      </c>
      <c r="E447" s="4" t="s">
        <v>719</v>
      </c>
      <c r="F447" s="4" t="s">
        <v>968</v>
      </c>
      <c r="G447" s="4" t="s">
        <v>871</v>
      </c>
      <c r="H447" s="4">
        <v>2</v>
      </c>
      <c r="I447" s="7">
        <v>0.05</v>
      </c>
      <c r="J447" s="6">
        <v>782</v>
      </c>
      <c r="K447" s="4">
        <v>4</v>
      </c>
      <c r="L447" s="8">
        <f t="shared" si="6"/>
        <v>3.8</v>
      </c>
      <c r="M447" s="6" t="str">
        <f>_xlfn.XLOOKUP(FactSales[[#This Row],[Product_ID]],DimProduct[Product_ID],DimProduct[Product_Name])</f>
        <v>Office File Set</v>
      </c>
      <c r="N447" s="6" t="str">
        <f>_xlfn.XLOOKUP(FactSales[[#This Row],[Product_ID]],DimProduct[Product_ID],DimProduct[Category])</f>
        <v>Stationery</v>
      </c>
      <c r="O447" s="6">
        <f>_xlfn.XLOOKUP(FactSales[[#This Row],[Product_ID]],DimProduct[Product_ID],DimProduct[Unit_Price])</f>
        <v>340</v>
      </c>
      <c r="P447" s="6">
        <f>_xlfn.XLOOKUP(FactSales[[#This Row],[Product_ID]],DimProduct[Product_ID],DimProduct[Unit_Cost])</f>
        <v>170</v>
      </c>
      <c r="Q447" s="6">
        <f>FactSales[[#This Row],[Unit_Price]]*FactSales[[#This Row],[Quantity_Sold]]</f>
        <v>680</v>
      </c>
      <c r="R447" s="6">
        <f>FactSales[[#This Row],[Unit_Cost]]*FactSales[[#This Row],[Quantity_Sold]]</f>
        <v>340</v>
      </c>
      <c r="S447" s="6">
        <f>FactSales[[#This Row],[Sales_Amount]]-FactSales[[#This Row],[Total_Cost]]</f>
        <v>340</v>
      </c>
      <c r="T447" s="6" t="str">
        <f>_xlfn.XLOOKUP(FactSales[[#This Row],[Customer_ID]],DimCustomer[Customer_ID],DimCustomer[Customer_Name])</f>
        <v>Rumana Akter</v>
      </c>
      <c r="U447" s="6" t="str">
        <f>_xlfn.XLOOKUP(FactSales[[#This Row],[Salesperson_ID]],DimSalesman[Salesperson_ID],DimSalesman[Salesperson_Name])</f>
        <v>Morshed Ahmed</v>
      </c>
      <c r="V447" s="6" t="str">
        <f>_xlfn.XLOOKUP(FactSales[[#This Row],[Region_ID]],DimRegion[Region_ID],DimRegion[Region_Name])</f>
        <v>Rangpur</v>
      </c>
      <c r="W447" s="6" t="str">
        <f>_xlfn.XLOOKUP(FactSales[[#This Row],[Store_ID]],DimStore[Store_ID],DimStore[Store_Name])</f>
        <v>Rangpur Modern More Store</v>
      </c>
    </row>
    <row r="448" spans="1:23">
      <c r="A448" s="4" t="s">
        <v>1444</v>
      </c>
      <c r="B448" s="5">
        <v>45925</v>
      </c>
      <c r="C448" s="4" t="s">
        <v>480</v>
      </c>
      <c r="D448" s="4" t="s">
        <v>52</v>
      </c>
      <c r="E448" s="4" t="s">
        <v>707</v>
      </c>
      <c r="F448" s="4" t="s">
        <v>960</v>
      </c>
      <c r="G448" s="4" t="s">
        <v>871</v>
      </c>
      <c r="H448" s="4">
        <v>3</v>
      </c>
      <c r="I448" s="7">
        <v>0.03</v>
      </c>
      <c r="J448" s="6">
        <v>1142</v>
      </c>
      <c r="K448" s="4">
        <v>2</v>
      </c>
      <c r="L448" s="8">
        <f t="shared" si="6"/>
        <v>4.5</v>
      </c>
      <c r="M448" s="6" t="str">
        <f>_xlfn.XLOOKUP(FactSales[[#This Row],[Product_ID]],DimProduct[Product_ID],DimProduct[Product_Name])</f>
        <v>Office File Set</v>
      </c>
      <c r="N448" s="6" t="str">
        <f>_xlfn.XLOOKUP(FactSales[[#This Row],[Product_ID]],DimProduct[Product_ID],DimProduct[Category])</f>
        <v>Stationery</v>
      </c>
      <c r="O448" s="6">
        <f>_xlfn.XLOOKUP(FactSales[[#This Row],[Product_ID]],DimProduct[Product_ID],DimProduct[Unit_Price])</f>
        <v>340</v>
      </c>
      <c r="P448" s="6">
        <f>_xlfn.XLOOKUP(FactSales[[#This Row],[Product_ID]],DimProduct[Product_ID],DimProduct[Unit_Cost])</f>
        <v>170</v>
      </c>
      <c r="Q448" s="6">
        <f>FactSales[[#This Row],[Unit_Price]]*FactSales[[#This Row],[Quantity_Sold]]</f>
        <v>1020</v>
      </c>
      <c r="R448" s="6">
        <f>FactSales[[#This Row],[Unit_Cost]]*FactSales[[#This Row],[Quantity_Sold]]</f>
        <v>510</v>
      </c>
      <c r="S448" s="6">
        <f>FactSales[[#This Row],[Sales_Amount]]-FactSales[[#This Row],[Total_Cost]]</f>
        <v>510</v>
      </c>
      <c r="T448" s="6" t="str">
        <f>_xlfn.XLOOKUP(FactSales[[#This Row],[Customer_ID]],DimCustomer[Customer_ID],DimCustomer[Customer_Name])</f>
        <v>Rasel Sultana</v>
      </c>
      <c r="U448" s="6" t="str">
        <f>_xlfn.XLOOKUP(FactSales[[#This Row],[Salesperson_ID]],DimSalesman[Salesperson_ID],DimSalesman[Salesperson_Name])</f>
        <v>Mim Akter</v>
      </c>
      <c r="V448" s="6" t="str">
        <f>_xlfn.XLOOKUP(FactSales[[#This Row],[Region_ID]],DimRegion[Region_ID],DimRegion[Region_Name])</f>
        <v>Barishal</v>
      </c>
      <c r="W448" s="6" t="str">
        <f>_xlfn.XLOOKUP(FactSales[[#This Row],[Store_ID]],DimStore[Store_ID],DimStore[Store_Name])</f>
        <v>Barishal Chowmatha Store</v>
      </c>
    </row>
    <row r="449" spans="1:23">
      <c r="A449" s="4" t="s">
        <v>1445</v>
      </c>
      <c r="B449" s="5">
        <v>45846</v>
      </c>
      <c r="C449" s="4" t="s">
        <v>460</v>
      </c>
      <c r="D449" s="4" t="s">
        <v>52</v>
      </c>
      <c r="E449" s="4" t="s">
        <v>698</v>
      </c>
      <c r="F449" s="4" t="s">
        <v>960</v>
      </c>
      <c r="G449" s="4" t="s">
        <v>831</v>
      </c>
      <c r="H449" s="4">
        <v>3</v>
      </c>
      <c r="I449" s="7">
        <v>0.05</v>
      </c>
      <c r="J449" s="6">
        <v>4234</v>
      </c>
      <c r="K449" s="4">
        <v>6</v>
      </c>
      <c r="L449" s="8">
        <f t="shared" si="6"/>
        <v>3.2</v>
      </c>
      <c r="M449" s="6" t="str">
        <f>_xlfn.XLOOKUP(FactSales[[#This Row],[Product_ID]],DimProduct[Product_ID],DimProduct[Product_Name])</f>
        <v>Perfume Spray</v>
      </c>
      <c r="N449" s="6" t="str">
        <f>_xlfn.XLOOKUP(FactSales[[#This Row],[Product_ID]],DimProduct[Product_ID],DimProduct[Category])</f>
        <v>Beauty &amp; Personal Care</v>
      </c>
      <c r="O449" s="6">
        <f>_xlfn.XLOOKUP(FactSales[[#This Row],[Product_ID]],DimProduct[Product_ID],DimProduct[Unit_Price])</f>
        <v>1260</v>
      </c>
      <c r="P449" s="6">
        <f>_xlfn.XLOOKUP(FactSales[[#This Row],[Product_ID]],DimProduct[Product_ID],DimProduct[Unit_Cost])</f>
        <v>730</v>
      </c>
      <c r="Q449" s="6">
        <f>FactSales[[#This Row],[Unit_Price]]*FactSales[[#This Row],[Quantity_Sold]]</f>
        <v>3780</v>
      </c>
      <c r="R449" s="6">
        <f>FactSales[[#This Row],[Unit_Cost]]*FactSales[[#This Row],[Quantity_Sold]]</f>
        <v>2190</v>
      </c>
      <c r="S449" s="6">
        <f>FactSales[[#This Row],[Sales_Amount]]-FactSales[[#This Row],[Total_Cost]]</f>
        <v>1590</v>
      </c>
      <c r="T449" s="6" t="str">
        <f>_xlfn.XLOOKUP(FactSales[[#This Row],[Customer_ID]],DimCustomer[Customer_ID],DimCustomer[Customer_Name])</f>
        <v>Ayesha Ahmed</v>
      </c>
      <c r="U449" s="6" t="str">
        <f>_xlfn.XLOOKUP(FactSales[[#This Row],[Salesperson_ID]],DimSalesman[Salesperson_ID],DimSalesman[Salesperson_Name])</f>
        <v>Mim Akter</v>
      </c>
      <c r="V449" s="6" t="str">
        <f>_xlfn.XLOOKUP(FactSales[[#This Row],[Region_ID]],DimRegion[Region_ID],DimRegion[Region_Name])</f>
        <v>Barishal</v>
      </c>
      <c r="W449" s="6" t="str">
        <f>_xlfn.XLOOKUP(FactSales[[#This Row],[Store_ID]],DimStore[Store_ID],DimStore[Store_Name])</f>
        <v>Barishal Nathullabad Store</v>
      </c>
    </row>
    <row r="450" spans="1:23">
      <c r="A450" s="4" t="s">
        <v>1446</v>
      </c>
      <c r="B450" s="5">
        <v>45742</v>
      </c>
      <c r="C450" s="4" t="s">
        <v>109</v>
      </c>
      <c r="D450" s="4" t="s">
        <v>27</v>
      </c>
      <c r="E450" s="4" t="s">
        <v>622</v>
      </c>
      <c r="F450" s="4" t="s">
        <v>920</v>
      </c>
      <c r="G450" s="4" t="s">
        <v>768</v>
      </c>
      <c r="H450" s="4">
        <v>1</v>
      </c>
      <c r="I450" s="7">
        <v>0.18</v>
      </c>
      <c r="J450" s="6">
        <v>7632</v>
      </c>
      <c r="K450" s="4">
        <v>3</v>
      </c>
      <c r="L450" s="8">
        <f t="shared" ref="L450:L513" si="7">MAX(1,MIN(5,ROUND(5.2-(K450*0.32)-(I450*2.2),1)))</f>
        <v>3.8</v>
      </c>
      <c r="M450" s="6" t="str">
        <f>_xlfn.XLOOKUP(FactSales[[#This Row],[Product_ID]],DimProduct[Product_ID],DimProduct[Product_Name])</f>
        <v>Electric Kettle</v>
      </c>
      <c r="N450" s="6" t="str">
        <f>_xlfn.XLOOKUP(FactSales[[#This Row],[Product_ID]],DimProduct[Product_ID],DimProduct[Category])</f>
        <v>Home Appliance</v>
      </c>
      <c r="O450" s="6">
        <f>_xlfn.XLOOKUP(FactSales[[#This Row],[Product_ID]],DimProduct[Product_ID],DimProduct[Unit_Price])</f>
        <v>7200</v>
      </c>
      <c r="P450" s="6">
        <f>_xlfn.XLOOKUP(FactSales[[#This Row],[Product_ID]],DimProduct[Product_ID],DimProduct[Unit_Cost])</f>
        <v>5040</v>
      </c>
      <c r="Q450" s="6">
        <f>FactSales[[#This Row],[Unit_Price]]*FactSales[[#This Row],[Quantity_Sold]]</f>
        <v>7200</v>
      </c>
      <c r="R450" s="6">
        <f>FactSales[[#This Row],[Unit_Cost]]*FactSales[[#This Row],[Quantity_Sold]]</f>
        <v>5040</v>
      </c>
      <c r="S450" s="6">
        <f>FactSales[[#This Row],[Sales_Amount]]-FactSales[[#This Row],[Total_Cost]]</f>
        <v>2160</v>
      </c>
      <c r="T450" s="6" t="str">
        <f>_xlfn.XLOOKUP(FactSales[[#This Row],[Customer_ID]],DimCustomer[Customer_ID],DimCustomer[Customer_Name])</f>
        <v>Arif Hossain</v>
      </c>
      <c r="U450" s="6" t="str">
        <f>_xlfn.XLOOKUP(FactSales[[#This Row],[Salesperson_ID]],DimSalesman[Salesperson_ID],DimSalesman[Salesperson_Name])</f>
        <v>Rahim Hossain</v>
      </c>
      <c r="V450" s="6" t="str">
        <f>_xlfn.XLOOKUP(FactSales[[#This Row],[Region_ID]],DimRegion[Region_ID],DimRegion[Region_Name])</f>
        <v>Dhaka</v>
      </c>
      <c r="W450" s="6" t="str">
        <f>_xlfn.XLOOKUP(FactSales[[#This Row],[Store_ID]],DimStore[Store_ID],DimStore[Store_Name])</f>
        <v>Dhaka Dhanmondi Store</v>
      </c>
    </row>
    <row r="451" spans="1:23">
      <c r="A451" s="4" t="s">
        <v>1447</v>
      </c>
      <c r="B451" s="5">
        <v>45794</v>
      </c>
      <c r="C451" s="4" t="s">
        <v>270</v>
      </c>
      <c r="D451" s="4" t="s">
        <v>37</v>
      </c>
      <c r="E451" s="4" t="s">
        <v>662</v>
      </c>
      <c r="F451" s="4" t="s">
        <v>936</v>
      </c>
      <c r="G451" s="4" t="s">
        <v>788</v>
      </c>
      <c r="H451" s="4">
        <v>2</v>
      </c>
      <c r="I451" s="7">
        <v>0.12</v>
      </c>
      <c r="J451" s="6">
        <v>3895</v>
      </c>
      <c r="K451" s="4">
        <v>1</v>
      </c>
      <c r="L451" s="8">
        <f t="shared" si="7"/>
        <v>4.5999999999999996</v>
      </c>
      <c r="M451" s="6" t="str">
        <f>_xlfn.XLOOKUP(FactSales[[#This Row],[Product_ID]],DimProduct[Product_ID],DimProduct[Product_Name])</f>
        <v>Formal Shirt</v>
      </c>
      <c r="N451" s="6" t="str">
        <f>_xlfn.XLOOKUP(FactSales[[#This Row],[Product_ID]],DimProduct[Product_ID],DimProduct[Category])</f>
        <v>Fashion</v>
      </c>
      <c r="O451" s="6">
        <f>_xlfn.XLOOKUP(FactSales[[#This Row],[Product_ID]],DimProduct[Product_ID],DimProduct[Unit_Price])</f>
        <v>1820</v>
      </c>
      <c r="P451" s="6">
        <f>_xlfn.XLOOKUP(FactSales[[#This Row],[Product_ID]],DimProduct[Product_ID],DimProduct[Unit_Cost])</f>
        <v>1000</v>
      </c>
      <c r="Q451" s="6">
        <f>FactSales[[#This Row],[Unit_Price]]*FactSales[[#This Row],[Quantity_Sold]]</f>
        <v>3640</v>
      </c>
      <c r="R451" s="6">
        <f>FactSales[[#This Row],[Unit_Cost]]*FactSales[[#This Row],[Quantity_Sold]]</f>
        <v>2000</v>
      </c>
      <c r="S451" s="6">
        <f>FactSales[[#This Row],[Sales_Amount]]-FactSales[[#This Row],[Total_Cost]]</f>
        <v>1640</v>
      </c>
      <c r="T451" s="6" t="str">
        <f>_xlfn.XLOOKUP(FactSales[[#This Row],[Customer_ID]],DimCustomer[Customer_ID],DimCustomer[Customer_Name])</f>
        <v>Shaila Uddin</v>
      </c>
      <c r="U451" s="6" t="str">
        <f>_xlfn.XLOOKUP(FactSales[[#This Row],[Salesperson_ID]],DimSalesman[Salesperson_ID],DimSalesman[Salesperson_Name])</f>
        <v>Mehedi Chowdhury</v>
      </c>
      <c r="V451" s="6" t="str">
        <f>_xlfn.XLOOKUP(FactSales[[#This Row],[Region_ID]],DimRegion[Region_ID],DimRegion[Region_Name])</f>
        <v>Sylhet</v>
      </c>
      <c r="W451" s="6" t="str">
        <f>_xlfn.XLOOKUP(FactSales[[#This Row],[Store_ID]],DimStore[Store_ID],DimStore[Store_Name])</f>
        <v>Sylhet Subidbazar Store</v>
      </c>
    </row>
    <row r="452" spans="1:23">
      <c r="A452" s="4" t="s">
        <v>1448</v>
      </c>
      <c r="B452" s="5">
        <v>45844</v>
      </c>
      <c r="C452" s="4" t="s">
        <v>447</v>
      </c>
      <c r="D452" s="4" t="s">
        <v>52</v>
      </c>
      <c r="E452" s="4" t="s">
        <v>701</v>
      </c>
      <c r="F452" s="4" t="s">
        <v>960</v>
      </c>
      <c r="G452" s="4" t="s">
        <v>781</v>
      </c>
      <c r="H452" s="4">
        <v>2</v>
      </c>
      <c r="I452" s="7">
        <v>0.15</v>
      </c>
      <c r="J452" s="6">
        <v>6966</v>
      </c>
      <c r="K452" s="4">
        <v>11</v>
      </c>
      <c r="L452" s="8">
        <f t="shared" si="7"/>
        <v>1.4</v>
      </c>
      <c r="M452" s="6" t="str">
        <f>_xlfn.XLOOKUP(FactSales[[#This Row],[Product_ID]],DimProduct[Product_ID],DimProduct[Product_Name])</f>
        <v>Table Fan</v>
      </c>
      <c r="N452" s="6" t="str">
        <f>_xlfn.XLOOKUP(FactSales[[#This Row],[Product_ID]],DimProduct[Product_ID],DimProduct[Category])</f>
        <v>Home Appliance</v>
      </c>
      <c r="O452" s="6">
        <f>_xlfn.XLOOKUP(FactSales[[#This Row],[Product_ID]],DimProduct[Product_ID],DimProduct[Unit_Price])</f>
        <v>3110</v>
      </c>
      <c r="P452" s="6">
        <f>_xlfn.XLOOKUP(FactSales[[#This Row],[Product_ID]],DimProduct[Product_ID],DimProduct[Unit_Cost])</f>
        <v>2180</v>
      </c>
      <c r="Q452" s="6">
        <f>FactSales[[#This Row],[Unit_Price]]*FactSales[[#This Row],[Quantity_Sold]]</f>
        <v>6220</v>
      </c>
      <c r="R452" s="6">
        <f>FactSales[[#This Row],[Unit_Cost]]*FactSales[[#This Row],[Quantity_Sold]]</f>
        <v>4360</v>
      </c>
      <c r="S452" s="6">
        <f>FactSales[[#This Row],[Sales_Amount]]-FactSales[[#This Row],[Total_Cost]]</f>
        <v>1860</v>
      </c>
      <c r="T452" s="6" t="str">
        <f>_xlfn.XLOOKUP(FactSales[[#This Row],[Customer_ID]],DimCustomer[Customer_ID],DimCustomer[Customer_Name])</f>
        <v>Nabila Khan</v>
      </c>
      <c r="U452" s="6" t="str">
        <f>_xlfn.XLOOKUP(FactSales[[#This Row],[Salesperson_ID]],DimSalesman[Salesperson_ID],DimSalesman[Salesperson_Name])</f>
        <v>Mim Akter</v>
      </c>
      <c r="V452" s="6" t="str">
        <f>_xlfn.XLOOKUP(FactSales[[#This Row],[Region_ID]],DimRegion[Region_ID],DimRegion[Region_Name])</f>
        <v>Barishal</v>
      </c>
      <c r="W452" s="6" t="str">
        <f>_xlfn.XLOOKUP(FactSales[[#This Row],[Store_ID]],DimStore[Store_ID],DimStore[Store_Name])</f>
        <v>Barishal Sadar Road Store</v>
      </c>
    </row>
    <row r="453" spans="1:23">
      <c r="A453" s="4" t="s">
        <v>1449</v>
      </c>
      <c r="B453" s="5">
        <v>45892</v>
      </c>
      <c r="C453" s="4" t="s">
        <v>286</v>
      </c>
      <c r="D453" s="4" t="s">
        <v>42</v>
      </c>
      <c r="E453" s="4" t="s">
        <v>668</v>
      </c>
      <c r="F453" s="4" t="s">
        <v>949</v>
      </c>
      <c r="G453" s="4" t="s">
        <v>831</v>
      </c>
      <c r="H453" s="4">
        <v>6</v>
      </c>
      <c r="I453" s="7">
        <v>0.1</v>
      </c>
      <c r="J453" s="6">
        <v>8165</v>
      </c>
      <c r="K453" s="4">
        <v>3</v>
      </c>
      <c r="L453" s="8">
        <f t="shared" si="7"/>
        <v>4</v>
      </c>
      <c r="M453" s="6" t="str">
        <f>_xlfn.XLOOKUP(FactSales[[#This Row],[Product_ID]],DimProduct[Product_ID],DimProduct[Product_Name])</f>
        <v>Perfume Spray</v>
      </c>
      <c r="N453" s="6" t="str">
        <f>_xlfn.XLOOKUP(FactSales[[#This Row],[Product_ID]],DimProduct[Product_ID],DimProduct[Category])</f>
        <v>Beauty &amp; Personal Care</v>
      </c>
      <c r="O453" s="6">
        <f>_xlfn.XLOOKUP(FactSales[[#This Row],[Product_ID]],DimProduct[Product_ID],DimProduct[Unit_Price])</f>
        <v>1260</v>
      </c>
      <c r="P453" s="6">
        <f>_xlfn.XLOOKUP(FactSales[[#This Row],[Product_ID]],DimProduct[Product_ID],DimProduct[Unit_Cost])</f>
        <v>730</v>
      </c>
      <c r="Q453" s="6">
        <f>FactSales[[#This Row],[Unit_Price]]*FactSales[[#This Row],[Quantity_Sold]]</f>
        <v>7560</v>
      </c>
      <c r="R453" s="6">
        <f>FactSales[[#This Row],[Unit_Cost]]*FactSales[[#This Row],[Quantity_Sold]]</f>
        <v>4380</v>
      </c>
      <c r="S453" s="6">
        <f>FactSales[[#This Row],[Sales_Amount]]-FactSales[[#This Row],[Total_Cost]]</f>
        <v>3180</v>
      </c>
      <c r="T453" s="6" t="str">
        <f>_xlfn.XLOOKUP(FactSales[[#This Row],[Customer_ID]],DimCustomer[Customer_ID],DimCustomer[Customer_Name])</f>
        <v>Mehedi Mia</v>
      </c>
      <c r="U453" s="6" t="str">
        <f>_xlfn.XLOOKUP(FactSales[[#This Row],[Salesperson_ID]],DimSalesman[Salesperson_ID],DimSalesman[Salesperson_Name])</f>
        <v>Mahmud Chowdhury</v>
      </c>
      <c r="V453" s="6" t="str">
        <f>_xlfn.XLOOKUP(FactSales[[#This Row],[Region_ID]],DimRegion[Region_ID],DimRegion[Region_Name])</f>
        <v>Rajshahi</v>
      </c>
      <c r="W453" s="6" t="str">
        <f>_xlfn.XLOOKUP(FactSales[[#This Row],[Store_ID]],DimStore[Store_ID],DimStore[Store_Name])</f>
        <v>Rajshahi Shaheb Bazar Store</v>
      </c>
    </row>
    <row r="454" spans="1:23">
      <c r="A454" s="4" t="s">
        <v>1450</v>
      </c>
      <c r="B454" s="5">
        <v>46097</v>
      </c>
      <c r="C454" s="4" t="s">
        <v>307</v>
      </c>
      <c r="D454" s="4" t="s">
        <v>42</v>
      </c>
      <c r="E454" s="4" t="s">
        <v>671</v>
      </c>
      <c r="F454" s="4" t="s">
        <v>943</v>
      </c>
      <c r="G454" s="4" t="s">
        <v>781</v>
      </c>
      <c r="H454" s="4">
        <v>3</v>
      </c>
      <c r="I454" s="7">
        <v>0.08</v>
      </c>
      <c r="J454" s="6">
        <v>10076</v>
      </c>
      <c r="K454" s="4">
        <v>7</v>
      </c>
      <c r="L454" s="8">
        <f t="shared" si="7"/>
        <v>2.8</v>
      </c>
      <c r="M454" s="6" t="str">
        <f>_xlfn.XLOOKUP(FactSales[[#This Row],[Product_ID]],DimProduct[Product_ID],DimProduct[Product_Name])</f>
        <v>Table Fan</v>
      </c>
      <c r="N454" s="6" t="str">
        <f>_xlfn.XLOOKUP(FactSales[[#This Row],[Product_ID]],DimProduct[Product_ID],DimProduct[Category])</f>
        <v>Home Appliance</v>
      </c>
      <c r="O454" s="6">
        <f>_xlfn.XLOOKUP(FactSales[[#This Row],[Product_ID]],DimProduct[Product_ID],DimProduct[Unit_Price])</f>
        <v>3110</v>
      </c>
      <c r="P454" s="6">
        <f>_xlfn.XLOOKUP(FactSales[[#This Row],[Product_ID]],DimProduct[Product_ID],DimProduct[Unit_Cost])</f>
        <v>2180</v>
      </c>
      <c r="Q454" s="6">
        <f>FactSales[[#This Row],[Unit_Price]]*FactSales[[#This Row],[Quantity_Sold]]</f>
        <v>9330</v>
      </c>
      <c r="R454" s="6">
        <f>FactSales[[#This Row],[Unit_Cost]]*FactSales[[#This Row],[Quantity_Sold]]</f>
        <v>6540</v>
      </c>
      <c r="S454" s="6">
        <f>FactSales[[#This Row],[Sales_Amount]]-FactSales[[#This Row],[Total_Cost]]</f>
        <v>2790</v>
      </c>
      <c r="T454" s="6" t="str">
        <f>_xlfn.XLOOKUP(FactSales[[#This Row],[Customer_ID]],DimCustomer[Customer_ID],DimCustomer[Customer_Name])</f>
        <v>Nayeem Hossain</v>
      </c>
      <c r="U454" s="6" t="str">
        <f>_xlfn.XLOOKUP(FactSales[[#This Row],[Salesperson_ID]],DimSalesman[Salesperson_ID],DimSalesman[Salesperson_Name])</f>
        <v>Imran Khan</v>
      </c>
      <c r="V454" s="6" t="str">
        <f>_xlfn.XLOOKUP(FactSales[[#This Row],[Region_ID]],DimRegion[Region_ID],DimRegion[Region_Name])</f>
        <v>Rajshahi</v>
      </c>
      <c r="W454" s="6" t="str">
        <f>_xlfn.XLOOKUP(FactSales[[#This Row],[Store_ID]],DimStore[Store_ID],DimStore[Store_Name])</f>
        <v>Rajshahi Kazla Store</v>
      </c>
    </row>
    <row r="455" spans="1:23">
      <c r="A455" s="4" t="s">
        <v>1451</v>
      </c>
      <c r="B455" s="5">
        <v>46122</v>
      </c>
      <c r="C455" s="4" t="s">
        <v>148</v>
      </c>
      <c r="D455" s="4" t="s">
        <v>32</v>
      </c>
      <c r="E455" s="4" t="s">
        <v>650</v>
      </c>
      <c r="F455" s="4" t="s">
        <v>927</v>
      </c>
      <c r="G455" s="4" t="s">
        <v>859</v>
      </c>
      <c r="H455" s="4">
        <v>6</v>
      </c>
      <c r="I455" s="7">
        <v>0.03</v>
      </c>
      <c r="J455" s="6">
        <v>18673</v>
      </c>
      <c r="K455" s="4">
        <v>5</v>
      </c>
      <c r="L455" s="8">
        <f t="shared" si="7"/>
        <v>3.5</v>
      </c>
      <c r="M455" s="6" t="str">
        <f>_xlfn.XLOOKUP(FactSales[[#This Row],[Product_ID]],DimProduct[Product_ID],DimProduct[Product_Name])</f>
        <v>Yoga Mat</v>
      </c>
      <c r="N455" s="6" t="str">
        <f>_xlfn.XLOOKUP(FactSales[[#This Row],[Product_ID]],DimProduct[Product_ID],DimProduct[Category])</f>
        <v>Sports</v>
      </c>
      <c r="O455" s="6">
        <f>_xlfn.XLOOKUP(FactSales[[#This Row],[Product_ID]],DimProduct[Product_ID],DimProduct[Unit_Price])</f>
        <v>2730</v>
      </c>
      <c r="P455" s="6">
        <f>_xlfn.XLOOKUP(FactSales[[#This Row],[Product_ID]],DimProduct[Product_ID],DimProduct[Unit_Cost])</f>
        <v>1690</v>
      </c>
      <c r="Q455" s="6">
        <f>FactSales[[#This Row],[Unit_Price]]*FactSales[[#This Row],[Quantity_Sold]]</f>
        <v>16380</v>
      </c>
      <c r="R455" s="6">
        <f>FactSales[[#This Row],[Unit_Cost]]*FactSales[[#This Row],[Quantity_Sold]]</f>
        <v>10140</v>
      </c>
      <c r="S455" s="6">
        <f>FactSales[[#This Row],[Sales_Amount]]-FactSales[[#This Row],[Total_Cost]]</f>
        <v>6240</v>
      </c>
      <c r="T455" s="6" t="str">
        <f>_xlfn.XLOOKUP(FactSales[[#This Row],[Customer_ID]],DimCustomer[Customer_ID],DimCustomer[Customer_Name])</f>
        <v>Shaila Sultana</v>
      </c>
      <c r="U455" s="6" t="str">
        <f>_xlfn.XLOOKUP(FactSales[[#This Row],[Salesperson_ID]],DimSalesman[Salesperson_ID],DimSalesman[Salesperson_Name])</f>
        <v>Shakib Ahmed</v>
      </c>
      <c r="V455" s="6" t="str">
        <f>_xlfn.XLOOKUP(FactSales[[#This Row],[Region_ID]],DimRegion[Region_ID],DimRegion[Region_Name])</f>
        <v>Chattogram</v>
      </c>
      <c r="W455" s="6" t="str">
        <f>_xlfn.XLOOKUP(FactSales[[#This Row],[Store_ID]],DimStore[Store_ID],DimStore[Store_Name])</f>
        <v>Chattogram Halishahar Store</v>
      </c>
    </row>
    <row r="456" spans="1:23">
      <c r="A456" s="4" t="s">
        <v>1452</v>
      </c>
      <c r="B456" s="5">
        <v>45930</v>
      </c>
      <c r="C456" s="4" t="s">
        <v>346</v>
      </c>
      <c r="D456" s="4" t="s">
        <v>42</v>
      </c>
      <c r="E456" s="4" t="s">
        <v>671</v>
      </c>
      <c r="F456" s="4" t="s">
        <v>944</v>
      </c>
      <c r="G456" s="4" t="s">
        <v>897</v>
      </c>
      <c r="H456" s="4">
        <v>2</v>
      </c>
      <c r="I456" s="7">
        <v>0.1</v>
      </c>
      <c r="J456" s="6">
        <v>25229</v>
      </c>
      <c r="K456" s="4">
        <v>5</v>
      </c>
      <c r="L456" s="8">
        <f t="shared" si="7"/>
        <v>3.4</v>
      </c>
      <c r="M456" s="6" t="str">
        <f>_xlfn.XLOOKUP(FactSales[[#This Row],[Product_ID]],DimProduct[Product_ID],DimProduct[Product_Name])</f>
        <v>Study Table</v>
      </c>
      <c r="N456" s="6" t="str">
        <f>_xlfn.XLOOKUP(FactSales[[#This Row],[Product_ID]],DimProduct[Product_ID],DimProduct[Category])</f>
        <v>Furniture</v>
      </c>
      <c r="O456" s="6">
        <f>_xlfn.XLOOKUP(FactSales[[#This Row],[Product_ID]],DimProduct[Product_ID],DimProduct[Unit_Price])</f>
        <v>11680</v>
      </c>
      <c r="P456" s="6">
        <f>_xlfn.XLOOKUP(FactSales[[#This Row],[Product_ID]],DimProduct[Product_ID],DimProduct[Unit_Cost])</f>
        <v>8410</v>
      </c>
      <c r="Q456" s="6">
        <f>FactSales[[#This Row],[Unit_Price]]*FactSales[[#This Row],[Quantity_Sold]]</f>
        <v>23360</v>
      </c>
      <c r="R456" s="6">
        <f>FactSales[[#This Row],[Unit_Cost]]*FactSales[[#This Row],[Quantity_Sold]]</f>
        <v>16820</v>
      </c>
      <c r="S456" s="6">
        <f>FactSales[[#This Row],[Sales_Amount]]-FactSales[[#This Row],[Total_Cost]]</f>
        <v>6540</v>
      </c>
      <c r="T456" s="6" t="str">
        <f>_xlfn.XLOOKUP(FactSales[[#This Row],[Customer_ID]],DimCustomer[Customer_ID],DimCustomer[Customer_Name])</f>
        <v>Hasan Ahmed</v>
      </c>
      <c r="U456" s="6" t="str">
        <f>_xlfn.XLOOKUP(FactSales[[#This Row],[Salesperson_ID]],DimSalesman[Salesperson_ID],DimSalesman[Salesperson_Name])</f>
        <v>Karim Khan</v>
      </c>
      <c r="V456" s="6" t="str">
        <f>_xlfn.XLOOKUP(FactSales[[#This Row],[Region_ID]],DimRegion[Region_ID],DimRegion[Region_Name])</f>
        <v>Rajshahi</v>
      </c>
      <c r="W456" s="6" t="str">
        <f>_xlfn.XLOOKUP(FactSales[[#This Row],[Store_ID]],DimStore[Store_ID],DimStore[Store_Name])</f>
        <v>Rajshahi Kazla Store</v>
      </c>
    </row>
    <row r="457" spans="1:23">
      <c r="A457" s="4" t="s">
        <v>1453</v>
      </c>
      <c r="B457" s="5">
        <v>45851</v>
      </c>
      <c r="C457" s="4" t="s">
        <v>338</v>
      </c>
      <c r="D457" s="4" t="s">
        <v>42</v>
      </c>
      <c r="E457" s="4" t="s">
        <v>671</v>
      </c>
      <c r="F457" s="4" t="s">
        <v>945</v>
      </c>
      <c r="G457" s="4" t="s">
        <v>850</v>
      </c>
      <c r="H457" s="4">
        <v>2</v>
      </c>
      <c r="I457" s="7">
        <v>0.1</v>
      </c>
      <c r="J457" s="6">
        <v>5702</v>
      </c>
      <c r="K457" s="4">
        <v>5</v>
      </c>
      <c r="L457" s="8">
        <f t="shared" si="7"/>
        <v>3.4</v>
      </c>
      <c r="M457" s="6" t="str">
        <f>_xlfn.XLOOKUP(FactSales[[#This Row],[Product_ID]],DimProduct[Product_ID],DimProduct[Product_Name])</f>
        <v>Cricket Bat</v>
      </c>
      <c r="N457" s="6" t="str">
        <f>_xlfn.XLOOKUP(FactSales[[#This Row],[Product_ID]],DimProduct[Product_ID],DimProduct[Category])</f>
        <v>Sports</v>
      </c>
      <c r="O457" s="6">
        <f>_xlfn.XLOOKUP(FactSales[[#This Row],[Product_ID]],DimProduct[Product_ID],DimProduct[Unit_Price])</f>
        <v>2640</v>
      </c>
      <c r="P457" s="6">
        <f>_xlfn.XLOOKUP(FactSales[[#This Row],[Product_ID]],DimProduct[Product_ID],DimProduct[Unit_Cost])</f>
        <v>1640</v>
      </c>
      <c r="Q457" s="6">
        <f>FactSales[[#This Row],[Unit_Price]]*FactSales[[#This Row],[Quantity_Sold]]</f>
        <v>5280</v>
      </c>
      <c r="R457" s="6">
        <f>FactSales[[#This Row],[Unit_Cost]]*FactSales[[#This Row],[Quantity_Sold]]</f>
        <v>3280</v>
      </c>
      <c r="S457" s="6">
        <f>FactSales[[#This Row],[Sales_Amount]]-FactSales[[#This Row],[Total_Cost]]</f>
        <v>2000</v>
      </c>
      <c r="T457" s="6" t="str">
        <f>_xlfn.XLOOKUP(FactSales[[#This Row],[Customer_ID]],DimCustomer[Customer_ID],DimCustomer[Customer_Name])</f>
        <v>Shakib Uddin</v>
      </c>
      <c r="U457" s="6" t="str">
        <f>_xlfn.XLOOKUP(FactSales[[#This Row],[Salesperson_ID]],DimSalesman[Salesperson_ID],DimSalesman[Salesperson_Name])</f>
        <v>Hasan Khan</v>
      </c>
      <c r="V457" s="6" t="str">
        <f>_xlfn.XLOOKUP(FactSales[[#This Row],[Region_ID]],DimRegion[Region_ID],DimRegion[Region_Name])</f>
        <v>Rajshahi</v>
      </c>
      <c r="W457" s="6" t="str">
        <f>_xlfn.XLOOKUP(FactSales[[#This Row],[Store_ID]],DimStore[Store_ID],DimStore[Store_Name])</f>
        <v>Rajshahi Kazla Store</v>
      </c>
    </row>
    <row r="458" spans="1:23">
      <c r="A458" s="4" t="s">
        <v>1454</v>
      </c>
      <c r="B458" s="5">
        <v>46119</v>
      </c>
      <c r="C458" s="4" t="s">
        <v>217</v>
      </c>
      <c r="D458" s="4" t="s">
        <v>37</v>
      </c>
      <c r="E458" s="4" t="s">
        <v>659</v>
      </c>
      <c r="F458" s="4" t="s">
        <v>936</v>
      </c>
      <c r="G458" s="4" t="s">
        <v>765</v>
      </c>
      <c r="H458" s="4">
        <v>7</v>
      </c>
      <c r="I458" s="7">
        <v>0.18</v>
      </c>
      <c r="J458" s="6">
        <v>36626</v>
      </c>
      <c r="K458" s="4">
        <v>2</v>
      </c>
      <c r="L458" s="8">
        <f t="shared" si="7"/>
        <v>4.2</v>
      </c>
      <c r="M458" s="6" t="str">
        <f>_xlfn.XLOOKUP(FactSales[[#This Row],[Product_ID]],DimProduct[Product_ID],DimProduct[Product_Name])</f>
        <v>USB-C Hub</v>
      </c>
      <c r="N458" s="6" t="str">
        <f>_xlfn.XLOOKUP(FactSales[[#This Row],[Product_ID]],DimProduct[Product_ID],DimProduct[Category])</f>
        <v>Electronics</v>
      </c>
      <c r="O458" s="6">
        <f>_xlfn.XLOOKUP(FactSales[[#This Row],[Product_ID]],DimProduct[Product_ID],DimProduct[Unit_Price])</f>
        <v>4890</v>
      </c>
      <c r="P458" s="6">
        <f>_xlfn.XLOOKUP(FactSales[[#This Row],[Product_ID]],DimProduct[Product_ID],DimProduct[Unit_Cost])</f>
        <v>3330</v>
      </c>
      <c r="Q458" s="6">
        <f>FactSales[[#This Row],[Unit_Price]]*FactSales[[#This Row],[Quantity_Sold]]</f>
        <v>34230</v>
      </c>
      <c r="R458" s="6">
        <f>FactSales[[#This Row],[Unit_Cost]]*FactSales[[#This Row],[Quantity_Sold]]</f>
        <v>23310</v>
      </c>
      <c r="S458" s="6">
        <f>FactSales[[#This Row],[Sales_Amount]]-FactSales[[#This Row],[Total_Cost]]</f>
        <v>10920</v>
      </c>
      <c r="T458" s="6" t="str">
        <f>_xlfn.XLOOKUP(FactSales[[#This Row],[Customer_ID]],DimCustomer[Customer_ID],DimCustomer[Customer_Name])</f>
        <v>Karim Khan</v>
      </c>
      <c r="U458" s="6" t="str">
        <f>_xlfn.XLOOKUP(FactSales[[#This Row],[Salesperson_ID]],DimSalesman[Salesperson_ID],DimSalesman[Salesperson_Name])</f>
        <v>Mehedi Chowdhury</v>
      </c>
      <c r="V458" s="6" t="str">
        <f>_xlfn.XLOOKUP(FactSales[[#This Row],[Region_ID]],DimRegion[Region_ID],DimRegion[Region_Name])</f>
        <v>Sylhet</v>
      </c>
      <c r="W458" s="6" t="str">
        <f>_xlfn.XLOOKUP(FactSales[[#This Row],[Store_ID]],DimStore[Store_ID],DimStore[Store_Name])</f>
        <v>Sylhet South Surma Store</v>
      </c>
    </row>
    <row r="459" spans="1:23">
      <c r="A459" s="4" t="s">
        <v>1455</v>
      </c>
      <c r="B459" s="5">
        <v>46065</v>
      </c>
      <c r="C459" s="4" t="s">
        <v>118</v>
      </c>
      <c r="D459" s="4" t="s">
        <v>27</v>
      </c>
      <c r="E459" s="4" t="s">
        <v>622</v>
      </c>
      <c r="F459" s="4" t="s">
        <v>916</v>
      </c>
      <c r="G459" s="4" t="s">
        <v>903</v>
      </c>
      <c r="H459" s="4">
        <v>4</v>
      </c>
      <c r="I459" s="7">
        <v>0.1</v>
      </c>
      <c r="J459" s="6">
        <v>17935</v>
      </c>
      <c r="K459" s="4">
        <v>2</v>
      </c>
      <c r="L459" s="8">
        <f t="shared" si="7"/>
        <v>4.3</v>
      </c>
      <c r="M459" s="6" t="str">
        <f>_xlfn.XLOOKUP(FactSales[[#This Row],[Product_ID]],DimProduct[Product_ID],DimProduct[Product_Name])</f>
        <v>Bookshelf</v>
      </c>
      <c r="N459" s="6" t="str">
        <f>_xlfn.XLOOKUP(FactSales[[#This Row],[Product_ID]],DimProduct[Product_ID],DimProduct[Category])</f>
        <v>Furniture</v>
      </c>
      <c r="O459" s="6">
        <f>_xlfn.XLOOKUP(FactSales[[#This Row],[Product_ID]],DimProduct[Product_ID],DimProduct[Unit_Price])</f>
        <v>4230</v>
      </c>
      <c r="P459" s="6">
        <f>_xlfn.XLOOKUP(FactSales[[#This Row],[Product_ID]],DimProduct[Product_ID],DimProduct[Unit_Cost])</f>
        <v>3050</v>
      </c>
      <c r="Q459" s="6">
        <f>FactSales[[#This Row],[Unit_Price]]*FactSales[[#This Row],[Quantity_Sold]]</f>
        <v>16920</v>
      </c>
      <c r="R459" s="6">
        <f>FactSales[[#This Row],[Unit_Cost]]*FactSales[[#This Row],[Quantity_Sold]]</f>
        <v>12200</v>
      </c>
      <c r="S459" s="6">
        <f>FactSales[[#This Row],[Sales_Amount]]-FactSales[[#This Row],[Total_Cost]]</f>
        <v>4720</v>
      </c>
      <c r="T459" s="6" t="str">
        <f>_xlfn.XLOOKUP(FactSales[[#This Row],[Customer_ID]],DimCustomer[Customer_ID],DimCustomer[Customer_Name])</f>
        <v>Rafi Hossain</v>
      </c>
      <c r="U459" s="6" t="str">
        <f>_xlfn.XLOOKUP(FactSales[[#This Row],[Salesperson_ID]],DimSalesman[Salesperson_ID],DimSalesman[Salesperson_Name])</f>
        <v>Rafi Islam</v>
      </c>
      <c r="V459" s="6" t="str">
        <f>_xlfn.XLOOKUP(FactSales[[#This Row],[Region_ID]],DimRegion[Region_ID],DimRegion[Region_Name])</f>
        <v>Dhaka</v>
      </c>
      <c r="W459" s="6" t="str">
        <f>_xlfn.XLOOKUP(FactSales[[#This Row],[Store_ID]],DimStore[Store_ID],DimStore[Store_Name])</f>
        <v>Dhaka Dhanmondi Store</v>
      </c>
    </row>
    <row r="460" spans="1:23">
      <c r="A460" s="4" t="s">
        <v>1456</v>
      </c>
      <c r="B460" s="5">
        <v>45718</v>
      </c>
      <c r="C460" s="4" t="s">
        <v>545</v>
      </c>
      <c r="D460" s="4" t="s">
        <v>57</v>
      </c>
      <c r="E460" s="4" t="s">
        <v>725</v>
      </c>
      <c r="F460" s="4" t="s">
        <v>972</v>
      </c>
      <c r="G460" s="4" t="s">
        <v>755</v>
      </c>
      <c r="H460" s="4">
        <v>1</v>
      </c>
      <c r="I460" s="7">
        <v>0.15</v>
      </c>
      <c r="J460" s="6">
        <v>3841</v>
      </c>
      <c r="K460" s="4">
        <v>11</v>
      </c>
      <c r="L460" s="8">
        <f t="shared" si="7"/>
        <v>1.4</v>
      </c>
      <c r="M460" s="6" t="str">
        <f>_xlfn.XLOOKUP(FactSales[[#This Row],[Product_ID]],DimProduct[Product_ID],DimProduct[Product_Name])</f>
        <v>Wireless Mouse</v>
      </c>
      <c r="N460" s="6" t="str">
        <f>_xlfn.XLOOKUP(FactSales[[#This Row],[Product_ID]],DimProduct[Product_ID],DimProduct[Category])</f>
        <v>Electronics</v>
      </c>
      <c r="O460" s="6">
        <f>_xlfn.XLOOKUP(FactSales[[#This Row],[Product_ID]],DimProduct[Product_ID],DimProduct[Unit_Price])</f>
        <v>3340</v>
      </c>
      <c r="P460" s="6">
        <f>_xlfn.XLOOKUP(FactSales[[#This Row],[Product_ID]],DimProduct[Product_ID],DimProduct[Unit_Cost])</f>
        <v>2270</v>
      </c>
      <c r="Q460" s="6">
        <f>FactSales[[#This Row],[Unit_Price]]*FactSales[[#This Row],[Quantity_Sold]]</f>
        <v>3340</v>
      </c>
      <c r="R460" s="6">
        <f>FactSales[[#This Row],[Unit_Cost]]*FactSales[[#This Row],[Quantity_Sold]]</f>
        <v>2270</v>
      </c>
      <c r="S460" s="6">
        <f>FactSales[[#This Row],[Sales_Amount]]-FactSales[[#This Row],[Total_Cost]]</f>
        <v>1070</v>
      </c>
      <c r="T460" s="6" t="str">
        <f>_xlfn.XLOOKUP(FactSales[[#This Row],[Customer_ID]],DimCustomer[Customer_ID],DimCustomer[Customer_Name])</f>
        <v>Shuvo Hossain</v>
      </c>
      <c r="U460" s="6" t="str">
        <f>_xlfn.XLOOKUP(FactSales[[#This Row],[Salesperson_ID]],DimSalesman[Salesperson_ID],DimSalesman[Salesperson_Name])</f>
        <v>Samiha Hossain</v>
      </c>
      <c r="V460" s="6" t="str">
        <f>_xlfn.XLOOKUP(FactSales[[#This Row],[Region_ID]],DimRegion[Region_ID],DimRegion[Region_Name])</f>
        <v>Rangpur</v>
      </c>
      <c r="W460" s="6" t="str">
        <f>_xlfn.XLOOKUP(FactSales[[#This Row],[Store_ID]],DimStore[Store_ID],DimStore[Store_Name])</f>
        <v>Rangpur Central Road Store</v>
      </c>
    </row>
    <row r="461" spans="1:23">
      <c r="A461" s="4" t="s">
        <v>1457</v>
      </c>
      <c r="B461" s="5">
        <v>45967</v>
      </c>
      <c r="C461" s="4" t="s">
        <v>73</v>
      </c>
      <c r="D461" s="4" t="s">
        <v>27</v>
      </c>
      <c r="E461" s="4" t="s">
        <v>626</v>
      </c>
      <c r="F461" s="4" t="s">
        <v>919</v>
      </c>
      <c r="G461" s="4" t="s">
        <v>825</v>
      </c>
      <c r="H461" s="4">
        <v>8</v>
      </c>
      <c r="I461" s="7">
        <v>7.0000000000000007E-2</v>
      </c>
      <c r="J461" s="6">
        <v>9837</v>
      </c>
      <c r="K461" s="4">
        <v>1</v>
      </c>
      <c r="L461" s="8">
        <f t="shared" si="7"/>
        <v>4.7</v>
      </c>
      <c r="M461" s="6" t="str">
        <f>_xlfn.XLOOKUP(FactSales[[#This Row],[Product_ID]],DimProduct[Product_ID],DimProduct[Product_Name])</f>
        <v>Body Lotion</v>
      </c>
      <c r="N461" s="6" t="str">
        <f>_xlfn.XLOOKUP(FactSales[[#This Row],[Product_ID]],DimProduct[Product_ID],DimProduct[Category])</f>
        <v>Beauty &amp; Personal Care</v>
      </c>
      <c r="O461" s="6">
        <f>_xlfn.XLOOKUP(FactSales[[#This Row],[Product_ID]],DimProduct[Product_ID],DimProduct[Unit_Price])</f>
        <v>1160</v>
      </c>
      <c r="P461" s="6">
        <f>_xlfn.XLOOKUP(FactSales[[#This Row],[Product_ID]],DimProduct[Product_ID],DimProduct[Unit_Cost])</f>
        <v>670</v>
      </c>
      <c r="Q461" s="6">
        <f>FactSales[[#This Row],[Unit_Price]]*FactSales[[#This Row],[Quantity_Sold]]</f>
        <v>9280</v>
      </c>
      <c r="R461" s="6">
        <f>FactSales[[#This Row],[Unit_Cost]]*FactSales[[#This Row],[Quantity_Sold]]</f>
        <v>5360</v>
      </c>
      <c r="S461" s="6">
        <f>FactSales[[#This Row],[Sales_Amount]]-FactSales[[#This Row],[Total_Cost]]</f>
        <v>3920</v>
      </c>
      <c r="T461" s="6" t="str">
        <f>_xlfn.XLOOKUP(FactSales[[#This Row],[Customer_ID]],DimCustomer[Customer_ID],DimCustomer[Customer_Name])</f>
        <v>Rumana Sultana</v>
      </c>
      <c r="U461" s="6" t="str">
        <f>_xlfn.XLOOKUP(FactSales[[#This Row],[Salesperson_ID]],DimSalesman[Salesperson_ID],DimSalesman[Salesperson_Name])</f>
        <v>Imran Mia</v>
      </c>
      <c r="V461" s="6" t="str">
        <f>_xlfn.XLOOKUP(FactSales[[#This Row],[Region_ID]],DimRegion[Region_ID],DimRegion[Region_Name])</f>
        <v>Dhaka</v>
      </c>
      <c r="W461" s="6" t="str">
        <f>_xlfn.XLOOKUP(FactSales[[#This Row],[Store_ID]],DimStore[Store_ID],DimStore[Store_Name])</f>
        <v>Dhaka Mirpur Store</v>
      </c>
    </row>
    <row r="462" spans="1:23">
      <c r="A462" s="4" t="s">
        <v>1458</v>
      </c>
      <c r="B462" s="5">
        <v>45831</v>
      </c>
      <c r="C462" s="4" t="s">
        <v>264</v>
      </c>
      <c r="D462" s="4" t="s">
        <v>37</v>
      </c>
      <c r="E462" s="4" t="s">
        <v>653</v>
      </c>
      <c r="F462" s="4" t="s">
        <v>939</v>
      </c>
      <c r="G462" s="4" t="s">
        <v>762</v>
      </c>
      <c r="H462" s="4">
        <v>3</v>
      </c>
      <c r="I462" s="7">
        <v>0.12</v>
      </c>
      <c r="J462" s="6">
        <v>12423</v>
      </c>
      <c r="K462" s="4">
        <v>4</v>
      </c>
      <c r="L462" s="8">
        <f t="shared" si="7"/>
        <v>3.7</v>
      </c>
      <c r="M462" s="6" t="str">
        <f>_xlfn.XLOOKUP(FactSales[[#This Row],[Product_ID]],DimProduct[Product_ID],DimProduct[Product_Name])</f>
        <v>Smart Watch</v>
      </c>
      <c r="N462" s="6" t="str">
        <f>_xlfn.XLOOKUP(FactSales[[#This Row],[Product_ID]],DimProduct[Product_ID],DimProduct[Category])</f>
        <v>Electronics</v>
      </c>
      <c r="O462" s="6">
        <f>_xlfn.XLOOKUP(FactSales[[#This Row],[Product_ID]],DimProduct[Product_ID],DimProduct[Unit_Price])</f>
        <v>3870</v>
      </c>
      <c r="P462" s="6">
        <f>_xlfn.XLOOKUP(FactSales[[#This Row],[Product_ID]],DimProduct[Product_ID],DimProduct[Unit_Cost])</f>
        <v>2630</v>
      </c>
      <c r="Q462" s="6">
        <f>FactSales[[#This Row],[Unit_Price]]*FactSales[[#This Row],[Quantity_Sold]]</f>
        <v>11610</v>
      </c>
      <c r="R462" s="6">
        <f>FactSales[[#This Row],[Unit_Cost]]*FactSales[[#This Row],[Quantity_Sold]]</f>
        <v>7890</v>
      </c>
      <c r="S462" s="6">
        <f>FactSales[[#This Row],[Sales_Amount]]-FactSales[[#This Row],[Total_Cost]]</f>
        <v>3720</v>
      </c>
      <c r="T462" s="6" t="str">
        <f>_xlfn.XLOOKUP(FactSales[[#This Row],[Customer_ID]],DimCustomer[Customer_ID],DimCustomer[Customer_Name])</f>
        <v>Rafi Chowdhury</v>
      </c>
      <c r="U462" s="6" t="str">
        <f>_xlfn.XLOOKUP(FactSales[[#This Row],[Salesperson_ID]],DimSalesman[Salesperson_ID],DimSalesman[Salesperson_Name])</f>
        <v>Fahim Mia</v>
      </c>
      <c r="V462" s="6" t="str">
        <f>_xlfn.XLOOKUP(FactSales[[#This Row],[Region_ID]],DimRegion[Region_ID],DimRegion[Region_Name])</f>
        <v>Sylhet</v>
      </c>
      <c r="W462" s="6" t="str">
        <f>_xlfn.XLOOKUP(FactSales[[#This Row],[Store_ID]],DimStore[Store_ID],DimStore[Store_Name])</f>
        <v>Sylhet Zindabazar Store</v>
      </c>
    </row>
    <row r="463" spans="1:23">
      <c r="A463" s="4" t="s">
        <v>1459</v>
      </c>
      <c r="B463" s="5">
        <v>45777</v>
      </c>
      <c r="C463" s="4" t="s">
        <v>480</v>
      </c>
      <c r="D463" s="4" t="s">
        <v>52</v>
      </c>
      <c r="E463" s="4" t="s">
        <v>710</v>
      </c>
      <c r="F463" s="4" t="s">
        <v>964</v>
      </c>
      <c r="G463" s="4" t="s">
        <v>758</v>
      </c>
      <c r="H463" s="4">
        <v>2</v>
      </c>
      <c r="I463" s="7">
        <v>0.15</v>
      </c>
      <c r="J463" s="6">
        <v>6362</v>
      </c>
      <c r="K463" s="4">
        <v>4</v>
      </c>
      <c r="L463" s="8">
        <f t="shared" si="7"/>
        <v>3.6</v>
      </c>
      <c r="M463" s="6" t="str">
        <f>_xlfn.XLOOKUP(FactSales[[#This Row],[Product_ID]],DimProduct[Product_ID],DimProduct[Product_Name])</f>
        <v>Power Bank</v>
      </c>
      <c r="N463" s="6" t="str">
        <f>_xlfn.XLOOKUP(FactSales[[#This Row],[Product_ID]],DimProduct[Product_ID],DimProduct[Category])</f>
        <v>Electronics</v>
      </c>
      <c r="O463" s="6">
        <f>_xlfn.XLOOKUP(FactSales[[#This Row],[Product_ID]],DimProduct[Product_ID],DimProduct[Unit_Price])</f>
        <v>2840</v>
      </c>
      <c r="P463" s="6">
        <f>_xlfn.XLOOKUP(FactSales[[#This Row],[Product_ID]],DimProduct[Product_ID],DimProduct[Unit_Cost])</f>
        <v>1930</v>
      </c>
      <c r="Q463" s="6">
        <f>FactSales[[#This Row],[Unit_Price]]*FactSales[[#This Row],[Quantity_Sold]]</f>
        <v>5680</v>
      </c>
      <c r="R463" s="6">
        <f>FactSales[[#This Row],[Unit_Cost]]*FactSales[[#This Row],[Quantity_Sold]]</f>
        <v>3860</v>
      </c>
      <c r="S463" s="6">
        <f>FactSales[[#This Row],[Sales_Amount]]-FactSales[[#This Row],[Total_Cost]]</f>
        <v>1820</v>
      </c>
      <c r="T463" s="6" t="str">
        <f>_xlfn.XLOOKUP(FactSales[[#This Row],[Customer_ID]],DimCustomer[Customer_ID],DimCustomer[Customer_Name])</f>
        <v>Rasel Sultana</v>
      </c>
      <c r="U463" s="6" t="str">
        <f>_xlfn.XLOOKUP(FactSales[[#This Row],[Salesperson_ID]],DimSalesman[Salesperson_ID],DimSalesman[Salesperson_Name])</f>
        <v>Shaila Uddin</v>
      </c>
      <c r="V463" s="6" t="str">
        <f>_xlfn.XLOOKUP(FactSales[[#This Row],[Region_ID]],DimRegion[Region_ID],DimRegion[Region_Name])</f>
        <v>Barishal</v>
      </c>
      <c r="W463" s="6" t="str">
        <f>_xlfn.XLOOKUP(FactSales[[#This Row],[Store_ID]],DimStore[Store_ID],DimStore[Store_Name])</f>
        <v>Barishal Kawnia Store</v>
      </c>
    </row>
    <row r="464" spans="1:23">
      <c r="A464" s="4" t="s">
        <v>1460</v>
      </c>
      <c r="B464" s="5">
        <v>45927</v>
      </c>
      <c r="C464" s="4" t="s">
        <v>419</v>
      </c>
      <c r="D464" s="4" t="s">
        <v>47</v>
      </c>
      <c r="E464" s="4" t="s">
        <v>689</v>
      </c>
      <c r="F464" s="4" t="s">
        <v>955</v>
      </c>
      <c r="G464" s="4" t="s">
        <v>768</v>
      </c>
      <c r="H464" s="4">
        <v>3</v>
      </c>
      <c r="I464" s="7">
        <v>0.12</v>
      </c>
      <c r="J464" s="6">
        <v>23544</v>
      </c>
      <c r="K464" s="4">
        <v>3</v>
      </c>
      <c r="L464" s="8">
        <f t="shared" si="7"/>
        <v>4</v>
      </c>
      <c r="M464" s="6" t="str">
        <f>_xlfn.XLOOKUP(FactSales[[#This Row],[Product_ID]],DimProduct[Product_ID],DimProduct[Product_Name])</f>
        <v>Electric Kettle</v>
      </c>
      <c r="N464" s="6" t="str">
        <f>_xlfn.XLOOKUP(FactSales[[#This Row],[Product_ID]],DimProduct[Product_ID],DimProduct[Category])</f>
        <v>Home Appliance</v>
      </c>
      <c r="O464" s="6">
        <f>_xlfn.XLOOKUP(FactSales[[#This Row],[Product_ID]],DimProduct[Product_ID],DimProduct[Unit_Price])</f>
        <v>7200</v>
      </c>
      <c r="P464" s="6">
        <f>_xlfn.XLOOKUP(FactSales[[#This Row],[Product_ID]],DimProduct[Product_ID],DimProduct[Unit_Cost])</f>
        <v>5040</v>
      </c>
      <c r="Q464" s="6">
        <f>FactSales[[#This Row],[Unit_Price]]*FactSales[[#This Row],[Quantity_Sold]]</f>
        <v>21600</v>
      </c>
      <c r="R464" s="6">
        <f>FactSales[[#This Row],[Unit_Cost]]*FactSales[[#This Row],[Quantity_Sold]]</f>
        <v>15120</v>
      </c>
      <c r="S464" s="6">
        <f>FactSales[[#This Row],[Sales_Amount]]-FactSales[[#This Row],[Total_Cost]]</f>
        <v>6480</v>
      </c>
      <c r="T464" s="6" t="str">
        <f>_xlfn.XLOOKUP(FactSales[[#This Row],[Customer_ID]],DimCustomer[Customer_ID],DimCustomer[Customer_Name])</f>
        <v>Ayesha Islam</v>
      </c>
      <c r="U464" s="6" t="str">
        <f>_xlfn.XLOOKUP(FactSales[[#This Row],[Salesperson_ID]],DimSalesman[Salesperson_ID],DimSalesman[Salesperson_Name])</f>
        <v>Tania Chowdhury</v>
      </c>
      <c r="V464" s="6" t="str">
        <f>_xlfn.XLOOKUP(FactSales[[#This Row],[Region_ID]],DimRegion[Region_ID],DimRegion[Region_Name])</f>
        <v>Khulna</v>
      </c>
      <c r="W464" s="6" t="str">
        <f>_xlfn.XLOOKUP(FactSales[[#This Row],[Store_ID]],DimStore[Store_ID],DimStore[Store_Name])</f>
        <v>Khulna Daulatpur Store</v>
      </c>
    </row>
    <row r="465" spans="1:23">
      <c r="A465" s="4" t="s">
        <v>1461</v>
      </c>
      <c r="B465" s="5">
        <v>46108</v>
      </c>
      <c r="C465" s="4" t="s">
        <v>246</v>
      </c>
      <c r="D465" s="4" t="s">
        <v>37</v>
      </c>
      <c r="E465" s="4" t="s">
        <v>662</v>
      </c>
      <c r="F465" s="4" t="s">
        <v>934</v>
      </c>
      <c r="G465" s="4" t="s">
        <v>810</v>
      </c>
      <c r="H465" s="4">
        <v>1</v>
      </c>
      <c r="I465" s="7">
        <v>0</v>
      </c>
      <c r="J465" s="6">
        <v>471</v>
      </c>
      <c r="K465" s="4">
        <v>3</v>
      </c>
      <c r="L465" s="8">
        <f t="shared" si="7"/>
        <v>4.2</v>
      </c>
      <c r="M465" s="6" t="str">
        <f>_xlfn.XLOOKUP(FactSales[[#This Row],[Product_ID]],DimProduct[Product_ID],DimProduct[Product_Name])</f>
        <v>Flour 2kg</v>
      </c>
      <c r="N465" s="6" t="str">
        <f>_xlfn.XLOOKUP(FactSales[[#This Row],[Product_ID]],DimProduct[Product_ID],DimProduct[Category])</f>
        <v>Grocery</v>
      </c>
      <c r="O465" s="6">
        <f>_xlfn.XLOOKUP(FactSales[[#This Row],[Product_ID]],DimProduct[Product_ID],DimProduct[Unit_Price])</f>
        <v>440</v>
      </c>
      <c r="P465" s="6">
        <f>_xlfn.XLOOKUP(FactSales[[#This Row],[Product_ID]],DimProduct[Product_ID],DimProduct[Unit_Cost])</f>
        <v>340</v>
      </c>
      <c r="Q465" s="6">
        <f>FactSales[[#This Row],[Unit_Price]]*FactSales[[#This Row],[Quantity_Sold]]</f>
        <v>440</v>
      </c>
      <c r="R465" s="6">
        <f>FactSales[[#This Row],[Unit_Cost]]*FactSales[[#This Row],[Quantity_Sold]]</f>
        <v>340</v>
      </c>
      <c r="S465" s="6">
        <f>FactSales[[#This Row],[Sales_Amount]]-FactSales[[#This Row],[Total_Cost]]</f>
        <v>100</v>
      </c>
      <c r="T465" s="6" t="str">
        <f>_xlfn.XLOOKUP(FactSales[[#This Row],[Customer_ID]],DimCustomer[Customer_ID],DimCustomer[Customer_Name])</f>
        <v>Shamim Akter</v>
      </c>
      <c r="U465" s="6" t="str">
        <f>_xlfn.XLOOKUP(FactSales[[#This Row],[Salesperson_ID]],DimSalesman[Salesperson_ID],DimSalesman[Salesperson_Name])</f>
        <v>Hasan Mia</v>
      </c>
      <c r="V465" s="6" t="str">
        <f>_xlfn.XLOOKUP(FactSales[[#This Row],[Region_ID]],DimRegion[Region_ID],DimRegion[Region_Name])</f>
        <v>Sylhet</v>
      </c>
      <c r="W465" s="6" t="str">
        <f>_xlfn.XLOOKUP(FactSales[[#This Row],[Store_ID]],DimStore[Store_ID],DimStore[Store_Name])</f>
        <v>Sylhet Subidbazar Store</v>
      </c>
    </row>
    <row r="466" spans="1:23">
      <c r="A466" s="4" t="s">
        <v>1462</v>
      </c>
      <c r="B466" s="5">
        <v>46136</v>
      </c>
      <c r="C466" s="4" t="s">
        <v>299</v>
      </c>
      <c r="D466" s="4" t="s">
        <v>42</v>
      </c>
      <c r="E466" s="4" t="s">
        <v>668</v>
      </c>
      <c r="F466" s="4" t="s">
        <v>947</v>
      </c>
      <c r="G466" s="4" t="s">
        <v>765</v>
      </c>
      <c r="H466" s="4">
        <v>3</v>
      </c>
      <c r="I466" s="7">
        <v>0.08</v>
      </c>
      <c r="J466" s="6">
        <v>15844</v>
      </c>
      <c r="K466" s="4">
        <v>1</v>
      </c>
      <c r="L466" s="8">
        <f t="shared" si="7"/>
        <v>4.7</v>
      </c>
      <c r="M466" s="6" t="str">
        <f>_xlfn.XLOOKUP(FactSales[[#This Row],[Product_ID]],DimProduct[Product_ID],DimProduct[Product_Name])</f>
        <v>USB-C Hub</v>
      </c>
      <c r="N466" s="6" t="str">
        <f>_xlfn.XLOOKUP(FactSales[[#This Row],[Product_ID]],DimProduct[Product_ID],DimProduct[Category])</f>
        <v>Electronics</v>
      </c>
      <c r="O466" s="6">
        <f>_xlfn.XLOOKUP(FactSales[[#This Row],[Product_ID]],DimProduct[Product_ID],DimProduct[Unit_Price])</f>
        <v>4890</v>
      </c>
      <c r="P466" s="6">
        <f>_xlfn.XLOOKUP(FactSales[[#This Row],[Product_ID]],DimProduct[Product_ID],DimProduct[Unit_Cost])</f>
        <v>3330</v>
      </c>
      <c r="Q466" s="6">
        <f>FactSales[[#This Row],[Unit_Price]]*FactSales[[#This Row],[Quantity_Sold]]</f>
        <v>14670</v>
      </c>
      <c r="R466" s="6">
        <f>FactSales[[#This Row],[Unit_Cost]]*FactSales[[#This Row],[Quantity_Sold]]</f>
        <v>9990</v>
      </c>
      <c r="S466" s="6">
        <f>FactSales[[#This Row],[Sales_Amount]]-FactSales[[#This Row],[Total_Cost]]</f>
        <v>4680</v>
      </c>
      <c r="T466" s="6" t="str">
        <f>_xlfn.XLOOKUP(FactSales[[#This Row],[Customer_ID]],DimCustomer[Customer_ID],DimCustomer[Customer_Name])</f>
        <v>Samiha Ahmed</v>
      </c>
      <c r="U466" s="6" t="str">
        <f>_xlfn.XLOOKUP(FactSales[[#This Row],[Salesperson_ID]],DimSalesman[Salesperson_ID],DimSalesman[Salesperson_Name])</f>
        <v>Farhana Rahman</v>
      </c>
      <c r="V466" s="6" t="str">
        <f>_xlfn.XLOOKUP(FactSales[[#This Row],[Region_ID]],DimRegion[Region_ID],DimRegion[Region_Name])</f>
        <v>Rajshahi</v>
      </c>
      <c r="W466" s="6" t="str">
        <f>_xlfn.XLOOKUP(FactSales[[#This Row],[Store_ID]],DimStore[Store_ID],DimStore[Store_Name])</f>
        <v>Rajshahi Shaheb Bazar Store</v>
      </c>
    </row>
    <row r="467" spans="1:23">
      <c r="A467" s="4" t="s">
        <v>1463</v>
      </c>
      <c r="B467" s="5">
        <v>45809</v>
      </c>
      <c r="C467" s="4" t="s">
        <v>585</v>
      </c>
      <c r="D467" s="4" t="s">
        <v>62</v>
      </c>
      <c r="E467" s="4" t="s">
        <v>737</v>
      </c>
      <c r="F467" s="4" t="s">
        <v>978</v>
      </c>
      <c r="G467" s="4" t="s">
        <v>874</v>
      </c>
      <c r="H467" s="4">
        <v>1</v>
      </c>
      <c r="I467" s="7">
        <v>0</v>
      </c>
      <c r="J467" s="6">
        <v>1123</v>
      </c>
      <c r="K467" s="4">
        <v>6</v>
      </c>
      <c r="L467" s="8">
        <f t="shared" si="7"/>
        <v>3.3</v>
      </c>
      <c r="M467" s="6" t="str">
        <f>_xlfn.XLOOKUP(FactSales[[#This Row],[Product_ID]],DimProduct[Product_ID],DimProduct[Product_Name])</f>
        <v>Marker Set</v>
      </c>
      <c r="N467" s="6" t="str">
        <f>_xlfn.XLOOKUP(FactSales[[#This Row],[Product_ID]],DimProduct[Product_ID],DimProduct[Category])</f>
        <v>Stationery</v>
      </c>
      <c r="O467" s="6">
        <f>_xlfn.XLOOKUP(FactSales[[#This Row],[Product_ID]],DimProduct[Product_ID],DimProduct[Unit_Price])</f>
        <v>1040</v>
      </c>
      <c r="P467" s="6">
        <f>_xlfn.XLOOKUP(FactSales[[#This Row],[Product_ID]],DimProduct[Product_ID],DimProduct[Unit_Cost])</f>
        <v>520</v>
      </c>
      <c r="Q467" s="6">
        <f>FactSales[[#This Row],[Unit_Price]]*FactSales[[#This Row],[Quantity_Sold]]</f>
        <v>1040</v>
      </c>
      <c r="R467" s="6">
        <f>FactSales[[#This Row],[Unit_Cost]]*FactSales[[#This Row],[Quantity_Sold]]</f>
        <v>520</v>
      </c>
      <c r="S467" s="6">
        <f>FactSales[[#This Row],[Sales_Amount]]-FactSales[[#This Row],[Total_Cost]]</f>
        <v>520</v>
      </c>
      <c r="T467" s="6" t="str">
        <f>_xlfn.XLOOKUP(FactSales[[#This Row],[Customer_ID]],DimCustomer[Customer_ID],DimCustomer[Customer_Name])</f>
        <v>Shaila Hossain</v>
      </c>
      <c r="U467" s="6" t="str">
        <f>_xlfn.XLOOKUP(FactSales[[#This Row],[Salesperson_ID]],DimSalesman[Salesperson_ID],DimSalesman[Salesperson_Name])</f>
        <v>Sajib Rahman</v>
      </c>
      <c r="V467" s="6" t="str">
        <f>_xlfn.XLOOKUP(FactSales[[#This Row],[Region_ID]],DimRegion[Region_ID],DimRegion[Region_Name])</f>
        <v>Mymensingh</v>
      </c>
      <c r="W467" s="6" t="str">
        <f>_xlfn.XLOOKUP(FactSales[[#This Row],[Store_ID]],DimStore[Store_ID],DimStore[Store_Name])</f>
        <v>Mymensingh Kewatkhali Store</v>
      </c>
    </row>
    <row r="468" spans="1:23">
      <c r="A468" s="4" t="s">
        <v>1464</v>
      </c>
      <c r="B468" s="5">
        <v>45937</v>
      </c>
      <c r="C468" s="4" t="s">
        <v>310</v>
      </c>
      <c r="D468" s="4" t="s">
        <v>42</v>
      </c>
      <c r="E468" s="4" t="s">
        <v>671</v>
      </c>
      <c r="F468" s="4" t="s">
        <v>944</v>
      </c>
      <c r="G468" s="4" t="s">
        <v>854</v>
      </c>
      <c r="H468" s="4">
        <v>3</v>
      </c>
      <c r="I468" s="7">
        <v>0.12</v>
      </c>
      <c r="J468" s="6">
        <v>12053</v>
      </c>
      <c r="K468" s="4">
        <v>5</v>
      </c>
      <c r="L468" s="8">
        <f t="shared" si="7"/>
        <v>3.3</v>
      </c>
      <c r="M468" s="6" t="str">
        <f>_xlfn.XLOOKUP(FactSales[[#This Row],[Product_ID]],DimProduct[Product_ID],DimProduct[Product_Name])</f>
        <v>Football</v>
      </c>
      <c r="N468" s="6" t="str">
        <f>_xlfn.XLOOKUP(FactSales[[#This Row],[Product_ID]],DimProduct[Product_ID],DimProduct[Category])</f>
        <v>Sports</v>
      </c>
      <c r="O468" s="6">
        <f>_xlfn.XLOOKUP(FactSales[[#This Row],[Product_ID]],DimProduct[Product_ID],DimProduct[Unit_Price])</f>
        <v>3720</v>
      </c>
      <c r="P468" s="6">
        <f>_xlfn.XLOOKUP(FactSales[[#This Row],[Product_ID]],DimProduct[Product_ID],DimProduct[Unit_Cost])</f>
        <v>2310</v>
      </c>
      <c r="Q468" s="6">
        <f>FactSales[[#This Row],[Unit_Price]]*FactSales[[#This Row],[Quantity_Sold]]</f>
        <v>11160</v>
      </c>
      <c r="R468" s="6">
        <f>FactSales[[#This Row],[Unit_Cost]]*FactSales[[#This Row],[Quantity_Sold]]</f>
        <v>6930</v>
      </c>
      <c r="S468" s="6">
        <f>FactSales[[#This Row],[Sales_Amount]]-FactSales[[#This Row],[Total_Cost]]</f>
        <v>4230</v>
      </c>
      <c r="T468" s="6" t="str">
        <f>_xlfn.XLOOKUP(FactSales[[#This Row],[Customer_ID]],DimCustomer[Customer_ID],DimCustomer[Customer_Name])</f>
        <v>Rasel Islam</v>
      </c>
      <c r="U468" s="6" t="str">
        <f>_xlfn.XLOOKUP(FactSales[[#This Row],[Salesperson_ID]],DimSalesman[Salesperson_ID],DimSalesman[Salesperson_Name])</f>
        <v>Karim Khan</v>
      </c>
      <c r="V468" s="6" t="str">
        <f>_xlfn.XLOOKUP(FactSales[[#This Row],[Region_ID]],DimRegion[Region_ID],DimRegion[Region_Name])</f>
        <v>Rajshahi</v>
      </c>
      <c r="W468" s="6" t="str">
        <f>_xlfn.XLOOKUP(FactSales[[#This Row],[Store_ID]],DimStore[Store_ID],DimStore[Store_Name])</f>
        <v>Rajshahi Kazla Store</v>
      </c>
    </row>
    <row r="469" spans="1:23">
      <c r="A469" s="4" t="s">
        <v>1465</v>
      </c>
      <c r="B469" s="5">
        <v>45736</v>
      </c>
      <c r="C469" s="4" t="s">
        <v>121</v>
      </c>
      <c r="D469" s="4" t="s">
        <v>27</v>
      </c>
      <c r="E469" s="4" t="s">
        <v>634</v>
      </c>
      <c r="F469" s="4" t="s">
        <v>914</v>
      </c>
      <c r="G469" s="4" t="s">
        <v>781</v>
      </c>
      <c r="H469" s="4">
        <v>2</v>
      </c>
      <c r="I469" s="7">
        <v>0.08</v>
      </c>
      <c r="J469" s="6">
        <v>6593</v>
      </c>
      <c r="K469" s="4">
        <v>10</v>
      </c>
      <c r="L469" s="8">
        <f t="shared" si="7"/>
        <v>1.8</v>
      </c>
      <c r="M469" s="6" t="str">
        <f>_xlfn.XLOOKUP(FactSales[[#This Row],[Product_ID]],DimProduct[Product_ID],DimProduct[Product_Name])</f>
        <v>Table Fan</v>
      </c>
      <c r="N469" s="6" t="str">
        <f>_xlfn.XLOOKUP(FactSales[[#This Row],[Product_ID]],DimProduct[Product_ID],DimProduct[Category])</f>
        <v>Home Appliance</v>
      </c>
      <c r="O469" s="6">
        <f>_xlfn.XLOOKUP(FactSales[[#This Row],[Product_ID]],DimProduct[Product_ID],DimProduct[Unit_Price])</f>
        <v>3110</v>
      </c>
      <c r="P469" s="6">
        <f>_xlfn.XLOOKUP(FactSales[[#This Row],[Product_ID]],DimProduct[Product_ID],DimProduct[Unit_Cost])</f>
        <v>2180</v>
      </c>
      <c r="Q469" s="6">
        <f>FactSales[[#This Row],[Unit_Price]]*FactSales[[#This Row],[Quantity_Sold]]</f>
        <v>6220</v>
      </c>
      <c r="R469" s="6">
        <f>FactSales[[#This Row],[Unit_Cost]]*FactSales[[#This Row],[Quantity_Sold]]</f>
        <v>4360</v>
      </c>
      <c r="S469" s="6">
        <f>FactSales[[#This Row],[Sales_Amount]]-FactSales[[#This Row],[Total_Cost]]</f>
        <v>1860</v>
      </c>
      <c r="T469" s="6" t="str">
        <f>_xlfn.XLOOKUP(FactSales[[#This Row],[Customer_ID]],DimCustomer[Customer_ID],DimCustomer[Customer_Name])</f>
        <v>Shakib Khan</v>
      </c>
      <c r="U469" s="6" t="str">
        <f>_xlfn.XLOOKUP(FactSales[[#This Row],[Salesperson_ID]],DimSalesman[Salesperson_ID],DimSalesman[Salesperson_Name])</f>
        <v>Rasel Rahman</v>
      </c>
      <c r="V469" s="6" t="str">
        <f>_xlfn.XLOOKUP(FactSales[[#This Row],[Region_ID]],DimRegion[Region_ID],DimRegion[Region_Name])</f>
        <v>Dhaka</v>
      </c>
      <c r="W469" s="6" t="str">
        <f>_xlfn.XLOOKUP(FactSales[[#This Row],[Store_ID]],DimStore[Store_ID],DimStore[Store_Name])</f>
        <v>Dhaka Motijheel Store</v>
      </c>
    </row>
    <row r="470" spans="1:23">
      <c r="A470" s="4" t="s">
        <v>1466</v>
      </c>
      <c r="B470" s="5">
        <v>45782</v>
      </c>
      <c r="C470" s="4" t="s">
        <v>425</v>
      </c>
      <c r="D470" s="4" t="s">
        <v>52</v>
      </c>
      <c r="E470" s="4" t="s">
        <v>704</v>
      </c>
      <c r="F470" s="4" t="s">
        <v>966</v>
      </c>
      <c r="G470" s="4" t="s">
        <v>903</v>
      </c>
      <c r="H470" s="4">
        <v>2</v>
      </c>
      <c r="I470" s="7">
        <v>0.12</v>
      </c>
      <c r="J470" s="6">
        <v>9475</v>
      </c>
      <c r="K470" s="4">
        <v>8</v>
      </c>
      <c r="L470" s="8">
        <f t="shared" si="7"/>
        <v>2.4</v>
      </c>
      <c r="M470" s="6" t="str">
        <f>_xlfn.XLOOKUP(FactSales[[#This Row],[Product_ID]],DimProduct[Product_ID],DimProduct[Product_Name])</f>
        <v>Bookshelf</v>
      </c>
      <c r="N470" s="6" t="str">
        <f>_xlfn.XLOOKUP(FactSales[[#This Row],[Product_ID]],DimProduct[Product_ID],DimProduct[Category])</f>
        <v>Furniture</v>
      </c>
      <c r="O470" s="6">
        <f>_xlfn.XLOOKUP(FactSales[[#This Row],[Product_ID]],DimProduct[Product_ID],DimProduct[Unit_Price])</f>
        <v>4230</v>
      </c>
      <c r="P470" s="6">
        <f>_xlfn.XLOOKUP(FactSales[[#This Row],[Product_ID]],DimProduct[Product_ID],DimProduct[Unit_Cost])</f>
        <v>3050</v>
      </c>
      <c r="Q470" s="6">
        <f>FactSales[[#This Row],[Unit_Price]]*FactSales[[#This Row],[Quantity_Sold]]</f>
        <v>8460</v>
      </c>
      <c r="R470" s="6">
        <f>FactSales[[#This Row],[Unit_Cost]]*FactSales[[#This Row],[Quantity_Sold]]</f>
        <v>6100</v>
      </c>
      <c r="S470" s="6">
        <f>FactSales[[#This Row],[Sales_Amount]]-FactSales[[#This Row],[Total_Cost]]</f>
        <v>2360</v>
      </c>
      <c r="T470" s="6" t="str">
        <f>_xlfn.XLOOKUP(FactSales[[#This Row],[Customer_ID]],DimCustomer[Customer_ID],DimCustomer[Customer_Name])</f>
        <v>Shuvo Sultana</v>
      </c>
      <c r="U470" s="6" t="str">
        <f>_xlfn.XLOOKUP(FactSales[[#This Row],[Salesperson_ID]],DimSalesman[Salesperson_ID],DimSalesman[Salesperson_Name])</f>
        <v>Nayeem Akter</v>
      </c>
      <c r="V470" s="6" t="str">
        <f>_xlfn.XLOOKUP(FactSales[[#This Row],[Region_ID]],DimRegion[Region_ID],DimRegion[Region_Name])</f>
        <v>Barishal</v>
      </c>
      <c r="W470" s="6" t="str">
        <f>_xlfn.XLOOKUP(FactSales[[#This Row],[Store_ID]],DimStore[Store_ID],DimStore[Store_Name])</f>
        <v>Barishal Rupatali Store</v>
      </c>
    </row>
    <row r="471" spans="1:23">
      <c r="A471" s="4" t="s">
        <v>1467</v>
      </c>
      <c r="B471" s="5">
        <v>46149</v>
      </c>
      <c r="C471" s="4" t="s">
        <v>433</v>
      </c>
      <c r="D471" s="4" t="s">
        <v>52</v>
      </c>
      <c r="E471" s="4" t="s">
        <v>698</v>
      </c>
      <c r="F471" s="4" t="s">
        <v>960</v>
      </c>
      <c r="G471" s="4" t="s">
        <v>788</v>
      </c>
      <c r="H471" s="4">
        <v>2</v>
      </c>
      <c r="I471" s="7">
        <v>7.0000000000000007E-2</v>
      </c>
      <c r="J471" s="6">
        <v>4077</v>
      </c>
      <c r="K471" s="4">
        <v>5</v>
      </c>
      <c r="L471" s="8">
        <f t="shared" si="7"/>
        <v>3.4</v>
      </c>
      <c r="M471" s="6" t="str">
        <f>_xlfn.XLOOKUP(FactSales[[#This Row],[Product_ID]],DimProduct[Product_ID],DimProduct[Product_Name])</f>
        <v>Formal Shirt</v>
      </c>
      <c r="N471" s="6" t="str">
        <f>_xlfn.XLOOKUP(FactSales[[#This Row],[Product_ID]],DimProduct[Product_ID],DimProduct[Category])</f>
        <v>Fashion</v>
      </c>
      <c r="O471" s="6">
        <f>_xlfn.XLOOKUP(FactSales[[#This Row],[Product_ID]],DimProduct[Product_ID],DimProduct[Unit_Price])</f>
        <v>1820</v>
      </c>
      <c r="P471" s="6">
        <f>_xlfn.XLOOKUP(FactSales[[#This Row],[Product_ID]],DimProduct[Product_ID],DimProduct[Unit_Cost])</f>
        <v>1000</v>
      </c>
      <c r="Q471" s="6">
        <f>FactSales[[#This Row],[Unit_Price]]*FactSales[[#This Row],[Quantity_Sold]]</f>
        <v>3640</v>
      </c>
      <c r="R471" s="6">
        <f>FactSales[[#This Row],[Unit_Cost]]*FactSales[[#This Row],[Quantity_Sold]]</f>
        <v>2000</v>
      </c>
      <c r="S471" s="6">
        <f>FactSales[[#This Row],[Sales_Amount]]-FactSales[[#This Row],[Total_Cost]]</f>
        <v>1640</v>
      </c>
      <c r="T471" s="6" t="str">
        <f>_xlfn.XLOOKUP(FactSales[[#This Row],[Customer_ID]],DimCustomer[Customer_ID],DimCustomer[Customer_Name])</f>
        <v>Rahim Sultana</v>
      </c>
      <c r="U471" s="6" t="str">
        <f>_xlfn.XLOOKUP(FactSales[[#This Row],[Salesperson_ID]],DimSalesman[Salesperson_ID],DimSalesman[Salesperson_Name])</f>
        <v>Mim Akter</v>
      </c>
      <c r="V471" s="6" t="str">
        <f>_xlfn.XLOOKUP(FactSales[[#This Row],[Region_ID]],DimRegion[Region_ID],DimRegion[Region_Name])</f>
        <v>Barishal</v>
      </c>
      <c r="W471" s="6" t="str">
        <f>_xlfn.XLOOKUP(FactSales[[#This Row],[Store_ID]],DimStore[Store_ID],DimStore[Store_Name])</f>
        <v>Barishal Nathullabad Store</v>
      </c>
    </row>
    <row r="472" spans="1:23">
      <c r="A472" s="4" t="s">
        <v>1468</v>
      </c>
      <c r="B472" s="5">
        <v>46121</v>
      </c>
      <c r="C472" s="4" t="s">
        <v>104</v>
      </c>
      <c r="D472" s="4" t="s">
        <v>27</v>
      </c>
      <c r="E472" s="4" t="s">
        <v>618</v>
      </c>
      <c r="F472" s="4" t="s">
        <v>920</v>
      </c>
      <c r="G472" s="4" t="s">
        <v>825</v>
      </c>
      <c r="H472" s="4">
        <v>4</v>
      </c>
      <c r="I472" s="7">
        <v>0.12</v>
      </c>
      <c r="J472" s="6">
        <v>4918</v>
      </c>
      <c r="K472" s="4">
        <v>4</v>
      </c>
      <c r="L472" s="8">
        <f t="shared" si="7"/>
        <v>3.7</v>
      </c>
      <c r="M472" s="6" t="str">
        <f>_xlfn.XLOOKUP(FactSales[[#This Row],[Product_ID]],DimProduct[Product_ID],DimProduct[Product_Name])</f>
        <v>Body Lotion</v>
      </c>
      <c r="N472" s="6" t="str">
        <f>_xlfn.XLOOKUP(FactSales[[#This Row],[Product_ID]],DimProduct[Product_ID],DimProduct[Category])</f>
        <v>Beauty &amp; Personal Care</v>
      </c>
      <c r="O472" s="6">
        <f>_xlfn.XLOOKUP(FactSales[[#This Row],[Product_ID]],DimProduct[Product_ID],DimProduct[Unit_Price])</f>
        <v>1160</v>
      </c>
      <c r="P472" s="6">
        <f>_xlfn.XLOOKUP(FactSales[[#This Row],[Product_ID]],DimProduct[Product_ID],DimProduct[Unit_Cost])</f>
        <v>670</v>
      </c>
      <c r="Q472" s="6">
        <f>FactSales[[#This Row],[Unit_Price]]*FactSales[[#This Row],[Quantity_Sold]]</f>
        <v>4640</v>
      </c>
      <c r="R472" s="6">
        <f>FactSales[[#This Row],[Unit_Cost]]*FactSales[[#This Row],[Quantity_Sold]]</f>
        <v>2680</v>
      </c>
      <c r="S472" s="6">
        <f>FactSales[[#This Row],[Sales_Amount]]-FactSales[[#This Row],[Total_Cost]]</f>
        <v>1960</v>
      </c>
      <c r="T472" s="6" t="str">
        <f>_xlfn.XLOOKUP(FactSales[[#This Row],[Customer_ID]],DimCustomer[Customer_ID],DimCustomer[Customer_Name])</f>
        <v>Nabila Chowdhury</v>
      </c>
      <c r="U472" s="6" t="str">
        <f>_xlfn.XLOOKUP(FactSales[[#This Row],[Salesperson_ID]],DimSalesman[Salesperson_ID],DimSalesman[Salesperson_Name])</f>
        <v>Rahim Hossain</v>
      </c>
      <c r="V472" s="6" t="str">
        <f>_xlfn.XLOOKUP(FactSales[[#This Row],[Region_ID]],DimRegion[Region_ID],DimRegion[Region_Name])</f>
        <v>Dhaka</v>
      </c>
      <c r="W472" s="6" t="str">
        <f>_xlfn.XLOOKUP(FactSales[[#This Row],[Store_ID]],DimStore[Store_ID],DimStore[Store_Name])</f>
        <v>Dhaka Gulshan Store</v>
      </c>
    </row>
    <row r="473" spans="1:23">
      <c r="A473" s="4" t="s">
        <v>1469</v>
      </c>
      <c r="B473" s="5">
        <v>46048</v>
      </c>
      <c r="C473" s="4" t="s">
        <v>384</v>
      </c>
      <c r="D473" s="4" t="s">
        <v>47</v>
      </c>
      <c r="E473" s="4" t="s">
        <v>683</v>
      </c>
      <c r="F473" s="4" t="s">
        <v>958</v>
      </c>
      <c r="G473" s="4" t="s">
        <v>755</v>
      </c>
      <c r="H473" s="4">
        <v>1</v>
      </c>
      <c r="I473" s="7">
        <v>0.12</v>
      </c>
      <c r="J473" s="6">
        <v>3641</v>
      </c>
      <c r="K473" s="4">
        <v>6</v>
      </c>
      <c r="L473" s="8">
        <f t="shared" si="7"/>
        <v>3</v>
      </c>
      <c r="M473" s="6" t="str">
        <f>_xlfn.XLOOKUP(FactSales[[#This Row],[Product_ID]],DimProduct[Product_ID],DimProduct[Product_Name])</f>
        <v>Wireless Mouse</v>
      </c>
      <c r="N473" s="6" t="str">
        <f>_xlfn.XLOOKUP(FactSales[[#This Row],[Product_ID]],DimProduct[Product_ID],DimProduct[Category])</f>
        <v>Electronics</v>
      </c>
      <c r="O473" s="6">
        <f>_xlfn.XLOOKUP(FactSales[[#This Row],[Product_ID]],DimProduct[Product_ID],DimProduct[Unit_Price])</f>
        <v>3340</v>
      </c>
      <c r="P473" s="6">
        <f>_xlfn.XLOOKUP(FactSales[[#This Row],[Product_ID]],DimProduct[Product_ID],DimProduct[Unit_Cost])</f>
        <v>2270</v>
      </c>
      <c r="Q473" s="6">
        <f>FactSales[[#This Row],[Unit_Price]]*FactSales[[#This Row],[Quantity_Sold]]</f>
        <v>3340</v>
      </c>
      <c r="R473" s="6">
        <f>FactSales[[#This Row],[Unit_Cost]]*FactSales[[#This Row],[Quantity_Sold]]</f>
        <v>2270</v>
      </c>
      <c r="S473" s="6">
        <f>FactSales[[#This Row],[Sales_Amount]]-FactSales[[#This Row],[Total_Cost]]</f>
        <v>1070</v>
      </c>
      <c r="T473" s="6" t="str">
        <f>_xlfn.XLOOKUP(FactSales[[#This Row],[Customer_ID]],DimCustomer[Customer_ID],DimCustomer[Customer_Name])</f>
        <v>Rumana Islam</v>
      </c>
      <c r="U473" s="6" t="str">
        <f>_xlfn.XLOOKUP(FactSales[[#This Row],[Salesperson_ID]],DimSalesman[Salesperson_ID],DimSalesman[Salesperson_Name])</f>
        <v>Fahim Uddin</v>
      </c>
      <c r="V473" s="6" t="str">
        <f>_xlfn.XLOOKUP(FactSales[[#This Row],[Region_ID]],DimRegion[Region_ID],DimRegion[Region_Name])</f>
        <v>Khulna</v>
      </c>
      <c r="W473" s="6" t="str">
        <f>_xlfn.XLOOKUP(FactSales[[#This Row],[Store_ID]],DimStore[Store_ID],DimStore[Store_Name])</f>
        <v>Khulna Sonadanga Store</v>
      </c>
    </row>
    <row r="474" spans="1:23">
      <c r="A474" s="4" t="s">
        <v>1470</v>
      </c>
      <c r="B474" s="5">
        <v>45871</v>
      </c>
      <c r="C474" s="4" t="s">
        <v>237</v>
      </c>
      <c r="D474" s="4" t="s">
        <v>37</v>
      </c>
      <c r="E474" s="4" t="s">
        <v>662</v>
      </c>
      <c r="F474" s="4" t="s">
        <v>932</v>
      </c>
      <c r="G474" s="4" t="s">
        <v>750</v>
      </c>
      <c r="H474" s="4">
        <v>1</v>
      </c>
      <c r="I474" s="7">
        <v>0.15</v>
      </c>
      <c r="J474" s="6">
        <v>3467</v>
      </c>
      <c r="K474" s="4">
        <v>2</v>
      </c>
      <c r="L474" s="8">
        <f t="shared" si="7"/>
        <v>4.2</v>
      </c>
      <c r="M474" s="6" t="str">
        <f>_xlfn.XLOOKUP(FactSales[[#This Row],[Product_ID]],DimProduct[Product_ID],DimProduct[Product_Name])</f>
        <v>Bluetooth Speaker</v>
      </c>
      <c r="N474" s="6" t="str">
        <f>_xlfn.XLOOKUP(FactSales[[#This Row],[Product_ID]],DimProduct[Product_ID],DimProduct[Category])</f>
        <v>Electronics</v>
      </c>
      <c r="O474" s="6">
        <f>_xlfn.XLOOKUP(FactSales[[#This Row],[Product_ID]],DimProduct[Product_ID],DimProduct[Unit_Price])</f>
        <v>3240</v>
      </c>
      <c r="P474" s="6">
        <f>_xlfn.XLOOKUP(FactSales[[#This Row],[Product_ID]],DimProduct[Product_ID],DimProduct[Unit_Cost])</f>
        <v>2200</v>
      </c>
      <c r="Q474" s="6">
        <f>FactSales[[#This Row],[Unit_Price]]*FactSales[[#This Row],[Quantity_Sold]]</f>
        <v>3240</v>
      </c>
      <c r="R474" s="6">
        <f>FactSales[[#This Row],[Unit_Cost]]*FactSales[[#This Row],[Quantity_Sold]]</f>
        <v>2200</v>
      </c>
      <c r="S474" s="6">
        <f>FactSales[[#This Row],[Sales_Amount]]-FactSales[[#This Row],[Total_Cost]]</f>
        <v>1040</v>
      </c>
      <c r="T474" s="6" t="str">
        <f>_xlfn.XLOOKUP(FactSales[[#This Row],[Customer_ID]],DimCustomer[Customer_ID],DimCustomer[Customer_Name])</f>
        <v>Morshed Hossain</v>
      </c>
      <c r="U474" s="6" t="str">
        <f>_xlfn.XLOOKUP(FactSales[[#This Row],[Salesperson_ID]],DimSalesman[Salesperson_ID],DimSalesman[Salesperson_Name])</f>
        <v>Morshed Chowdhury</v>
      </c>
      <c r="V474" s="6" t="str">
        <f>_xlfn.XLOOKUP(FactSales[[#This Row],[Region_ID]],DimRegion[Region_ID],DimRegion[Region_Name])</f>
        <v>Sylhet</v>
      </c>
      <c r="W474" s="6" t="str">
        <f>_xlfn.XLOOKUP(FactSales[[#This Row],[Store_ID]],DimStore[Store_ID],DimStore[Store_Name])</f>
        <v>Sylhet Subidbazar Store</v>
      </c>
    </row>
    <row r="475" spans="1:23">
      <c r="A475" s="4" t="s">
        <v>1471</v>
      </c>
      <c r="B475" s="5">
        <v>45975</v>
      </c>
      <c r="C475" s="4" t="s">
        <v>225</v>
      </c>
      <c r="D475" s="4" t="s">
        <v>37</v>
      </c>
      <c r="E475" s="4" t="s">
        <v>659</v>
      </c>
      <c r="F475" s="4" t="s">
        <v>938</v>
      </c>
      <c r="G475" s="4" t="s">
        <v>864</v>
      </c>
      <c r="H475" s="4">
        <v>6</v>
      </c>
      <c r="I475" s="7">
        <v>0.02</v>
      </c>
      <c r="J475" s="6">
        <v>2568</v>
      </c>
      <c r="K475" s="4">
        <v>6</v>
      </c>
      <c r="L475" s="8">
        <f t="shared" si="7"/>
        <v>3.2</v>
      </c>
      <c r="M475" s="6" t="str">
        <f>_xlfn.XLOOKUP(FactSales[[#This Row],[Product_ID]],DimProduct[Product_ID],DimProduct[Product_Name])</f>
        <v>Notebook Pack</v>
      </c>
      <c r="N475" s="6" t="str">
        <f>_xlfn.XLOOKUP(FactSales[[#This Row],[Product_ID]],DimProduct[Product_ID],DimProduct[Category])</f>
        <v>Stationery</v>
      </c>
      <c r="O475" s="6">
        <f>_xlfn.XLOOKUP(FactSales[[#This Row],[Product_ID]],DimProduct[Product_ID],DimProduct[Unit_Price])</f>
        <v>400</v>
      </c>
      <c r="P475" s="6">
        <f>_xlfn.XLOOKUP(FactSales[[#This Row],[Product_ID]],DimProduct[Product_ID],DimProduct[Unit_Cost])</f>
        <v>200</v>
      </c>
      <c r="Q475" s="6">
        <f>FactSales[[#This Row],[Unit_Price]]*FactSales[[#This Row],[Quantity_Sold]]</f>
        <v>2400</v>
      </c>
      <c r="R475" s="6">
        <f>FactSales[[#This Row],[Unit_Cost]]*FactSales[[#This Row],[Quantity_Sold]]</f>
        <v>1200</v>
      </c>
      <c r="S475" s="6">
        <f>FactSales[[#This Row],[Sales_Amount]]-FactSales[[#This Row],[Total_Cost]]</f>
        <v>1200</v>
      </c>
      <c r="T475" s="6" t="str">
        <f>_xlfn.XLOOKUP(FactSales[[#This Row],[Customer_ID]],DimCustomer[Customer_ID],DimCustomer[Customer_Name])</f>
        <v>Tania Akter</v>
      </c>
      <c r="U475" s="6" t="str">
        <f>_xlfn.XLOOKUP(FactSales[[#This Row],[Salesperson_ID]],DimSalesman[Salesperson_ID],DimSalesman[Salesperson_Name])</f>
        <v>Rasel Akter</v>
      </c>
      <c r="V475" s="6" t="str">
        <f>_xlfn.XLOOKUP(FactSales[[#This Row],[Region_ID]],DimRegion[Region_ID],DimRegion[Region_Name])</f>
        <v>Sylhet</v>
      </c>
      <c r="W475" s="6" t="str">
        <f>_xlfn.XLOOKUP(FactSales[[#This Row],[Store_ID]],DimStore[Store_ID],DimStore[Store_Name])</f>
        <v>Sylhet South Surma Store</v>
      </c>
    </row>
    <row r="476" spans="1:23">
      <c r="A476" s="4" t="s">
        <v>1472</v>
      </c>
      <c r="B476" s="5">
        <v>46159</v>
      </c>
      <c r="C476" s="4" t="s">
        <v>477</v>
      </c>
      <c r="D476" s="4" t="s">
        <v>52</v>
      </c>
      <c r="E476" s="4" t="s">
        <v>698</v>
      </c>
      <c r="F476" s="4" t="s">
        <v>963</v>
      </c>
      <c r="G476" s="4" t="s">
        <v>797</v>
      </c>
      <c r="H476" s="4">
        <v>2</v>
      </c>
      <c r="I476" s="7">
        <v>0.1</v>
      </c>
      <c r="J476" s="6">
        <v>5869</v>
      </c>
      <c r="K476" s="4">
        <v>3</v>
      </c>
      <c r="L476" s="8">
        <f t="shared" si="7"/>
        <v>4</v>
      </c>
      <c r="M476" s="6" t="str">
        <f>_xlfn.XLOOKUP(FactSales[[#This Row],[Product_ID]],DimProduct[Product_ID],DimProduct[Product_Name])</f>
        <v>Leather Belt</v>
      </c>
      <c r="N476" s="6" t="str">
        <f>_xlfn.XLOOKUP(FactSales[[#This Row],[Product_ID]],DimProduct[Product_ID],DimProduct[Category])</f>
        <v>Fashion</v>
      </c>
      <c r="O476" s="6">
        <f>_xlfn.XLOOKUP(FactSales[[#This Row],[Product_ID]],DimProduct[Product_ID],DimProduct[Unit_Price])</f>
        <v>2620</v>
      </c>
      <c r="P476" s="6">
        <f>_xlfn.XLOOKUP(FactSales[[#This Row],[Product_ID]],DimProduct[Product_ID],DimProduct[Unit_Cost])</f>
        <v>1440</v>
      </c>
      <c r="Q476" s="6">
        <f>FactSales[[#This Row],[Unit_Price]]*FactSales[[#This Row],[Quantity_Sold]]</f>
        <v>5240</v>
      </c>
      <c r="R476" s="6">
        <f>FactSales[[#This Row],[Unit_Cost]]*FactSales[[#This Row],[Quantity_Sold]]</f>
        <v>2880</v>
      </c>
      <c r="S476" s="6">
        <f>FactSales[[#This Row],[Sales_Amount]]-FactSales[[#This Row],[Total_Cost]]</f>
        <v>2360</v>
      </c>
      <c r="T476" s="6" t="str">
        <f>_xlfn.XLOOKUP(FactSales[[#This Row],[Customer_ID]],DimCustomer[Customer_ID],DimCustomer[Customer_Name])</f>
        <v>Jannat Hossain</v>
      </c>
      <c r="U476" s="6" t="str">
        <f>_xlfn.XLOOKUP(FactSales[[#This Row],[Salesperson_ID]],DimSalesman[Salesperson_ID],DimSalesman[Salesperson_Name])</f>
        <v>Rasel Uddin</v>
      </c>
      <c r="V476" s="6" t="str">
        <f>_xlfn.XLOOKUP(FactSales[[#This Row],[Region_ID]],DimRegion[Region_ID],DimRegion[Region_Name])</f>
        <v>Barishal</v>
      </c>
      <c r="W476" s="6" t="str">
        <f>_xlfn.XLOOKUP(FactSales[[#This Row],[Store_ID]],DimStore[Store_ID],DimStore[Store_Name])</f>
        <v>Barishal Nathullabad Store</v>
      </c>
    </row>
    <row r="477" spans="1:23">
      <c r="A477" s="4" t="s">
        <v>1473</v>
      </c>
      <c r="B477" s="5">
        <v>46102</v>
      </c>
      <c r="C477" s="4" t="s">
        <v>493</v>
      </c>
      <c r="D477" s="4" t="s">
        <v>57</v>
      </c>
      <c r="E477" s="4" t="s">
        <v>722</v>
      </c>
      <c r="F477" s="4" t="s">
        <v>972</v>
      </c>
      <c r="G477" s="4" t="s">
        <v>825</v>
      </c>
      <c r="H477" s="4">
        <v>3</v>
      </c>
      <c r="I477" s="7">
        <v>0.03</v>
      </c>
      <c r="J477" s="6">
        <v>4002</v>
      </c>
      <c r="K477" s="4">
        <v>6</v>
      </c>
      <c r="L477" s="8">
        <f t="shared" si="7"/>
        <v>3.2</v>
      </c>
      <c r="M477" s="6" t="str">
        <f>_xlfn.XLOOKUP(FactSales[[#This Row],[Product_ID]],DimProduct[Product_ID],DimProduct[Product_Name])</f>
        <v>Body Lotion</v>
      </c>
      <c r="N477" s="6" t="str">
        <f>_xlfn.XLOOKUP(FactSales[[#This Row],[Product_ID]],DimProduct[Product_ID],DimProduct[Category])</f>
        <v>Beauty &amp; Personal Care</v>
      </c>
      <c r="O477" s="6">
        <f>_xlfn.XLOOKUP(FactSales[[#This Row],[Product_ID]],DimProduct[Product_ID],DimProduct[Unit_Price])</f>
        <v>1160</v>
      </c>
      <c r="P477" s="6">
        <f>_xlfn.XLOOKUP(FactSales[[#This Row],[Product_ID]],DimProduct[Product_ID],DimProduct[Unit_Cost])</f>
        <v>670</v>
      </c>
      <c r="Q477" s="6">
        <f>FactSales[[#This Row],[Unit_Price]]*FactSales[[#This Row],[Quantity_Sold]]</f>
        <v>3480</v>
      </c>
      <c r="R477" s="6">
        <f>FactSales[[#This Row],[Unit_Cost]]*FactSales[[#This Row],[Quantity_Sold]]</f>
        <v>2010</v>
      </c>
      <c r="S477" s="6">
        <f>FactSales[[#This Row],[Sales_Amount]]-FactSales[[#This Row],[Total_Cost]]</f>
        <v>1470</v>
      </c>
      <c r="T477" s="6" t="str">
        <f>_xlfn.XLOOKUP(FactSales[[#This Row],[Customer_ID]],DimCustomer[Customer_ID],DimCustomer[Customer_Name])</f>
        <v>Mim Sultana</v>
      </c>
      <c r="U477" s="6" t="str">
        <f>_xlfn.XLOOKUP(FactSales[[#This Row],[Salesperson_ID]],DimSalesman[Salesperson_ID],DimSalesman[Salesperson_Name])</f>
        <v>Samiha Hossain</v>
      </c>
      <c r="V477" s="6" t="str">
        <f>_xlfn.XLOOKUP(FactSales[[#This Row],[Region_ID]],DimRegion[Region_ID],DimRegion[Region_Name])</f>
        <v>Rangpur</v>
      </c>
      <c r="W477" s="6" t="str">
        <f>_xlfn.XLOOKUP(FactSales[[#This Row],[Store_ID]],DimStore[Store_ID],DimStore[Store_Name])</f>
        <v>Rangpur Dhap Store</v>
      </c>
    </row>
    <row r="478" spans="1:23">
      <c r="A478" s="4" t="s">
        <v>1474</v>
      </c>
      <c r="B478" s="5">
        <v>45816</v>
      </c>
      <c r="C478" s="4" t="s">
        <v>460</v>
      </c>
      <c r="D478" s="4" t="s">
        <v>52</v>
      </c>
      <c r="E478" s="4" t="s">
        <v>701</v>
      </c>
      <c r="F478" s="4" t="s">
        <v>966</v>
      </c>
      <c r="G478" s="4" t="s">
        <v>841</v>
      </c>
      <c r="H478" s="4">
        <v>6</v>
      </c>
      <c r="I478" s="7">
        <v>0.12</v>
      </c>
      <c r="J478" s="6">
        <v>21638</v>
      </c>
      <c r="K478" s="4">
        <v>3</v>
      </c>
      <c r="L478" s="8">
        <f t="shared" si="7"/>
        <v>4</v>
      </c>
      <c r="M478" s="6" t="str">
        <f>_xlfn.XLOOKUP(FactSales[[#This Row],[Product_ID]],DimProduct[Product_ID],DimProduct[Product_Name])</f>
        <v>Ladies Sandal</v>
      </c>
      <c r="N478" s="6" t="str">
        <f>_xlfn.XLOOKUP(FactSales[[#This Row],[Product_ID]],DimProduct[Product_ID],DimProduct[Category])</f>
        <v>Footwear</v>
      </c>
      <c r="O478" s="6">
        <f>_xlfn.XLOOKUP(FactSales[[#This Row],[Product_ID]],DimProduct[Product_ID],DimProduct[Unit_Price])</f>
        <v>3220</v>
      </c>
      <c r="P478" s="6">
        <f>_xlfn.XLOOKUP(FactSales[[#This Row],[Product_ID]],DimProduct[Product_ID],DimProduct[Unit_Cost])</f>
        <v>1930</v>
      </c>
      <c r="Q478" s="6">
        <f>FactSales[[#This Row],[Unit_Price]]*FactSales[[#This Row],[Quantity_Sold]]</f>
        <v>19320</v>
      </c>
      <c r="R478" s="6">
        <f>FactSales[[#This Row],[Unit_Cost]]*FactSales[[#This Row],[Quantity_Sold]]</f>
        <v>11580</v>
      </c>
      <c r="S478" s="6">
        <f>FactSales[[#This Row],[Sales_Amount]]-FactSales[[#This Row],[Total_Cost]]</f>
        <v>7740</v>
      </c>
      <c r="T478" s="6" t="str">
        <f>_xlfn.XLOOKUP(FactSales[[#This Row],[Customer_ID]],DimCustomer[Customer_ID],DimCustomer[Customer_Name])</f>
        <v>Ayesha Ahmed</v>
      </c>
      <c r="U478" s="6" t="str">
        <f>_xlfn.XLOOKUP(FactSales[[#This Row],[Salesperson_ID]],DimSalesman[Salesperson_ID],DimSalesman[Salesperson_Name])</f>
        <v>Nayeem Akter</v>
      </c>
      <c r="V478" s="6" t="str">
        <f>_xlfn.XLOOKUP(FactSales[[#This Row],[Region_ID]],DimRegion[Region_ID],DimRegion[Region_Name])</f>
        <v>Barishal</v>
      </c>
      <c r="W478" s="6" t="str">
        <f>_xlfn.XLOOKUP(FactSales[[#This Row],[Store_ID]],DimStore[Store_ID],DimStore[Store_Name])</f>
        <v>Barishal Sadar Road Store</v>
      </c>
    </row>
    <row r="479" spans="1:23">
      <c r="A479" s="4" t="s">
        <v>1475</v>
      </c>
      <c r="B479" s="5">
        <v>46147</v>
      </c>
      <c r="C479" s="4" t="s">
        <v>395</v>
      </c>
      <c r="D479" s="4" t="s">
        <v>47</v>
      </c>
      <c r="E479" s="4" t="s">
        <v>692</v>
      </c>
      <c r="F479" s="4" t="s">
        <v>952</v>
      </c>
      <c r="G479" s="4" t="s">
        <v>887</v>
      </c>
      <c r="H479" s="4">
        <v>2</v>
      </c>
      <c r="I479" s="7">
        <v>0.05</v>
      </c>
      <c r="J479" s="6">
        <v>4905</v>
      </c>
      <c r="K479" s="4">
        <v>1</v>
      </c>
      <c r="L479" s="8">
        <f t="shared" si="7"/>
        <v>4.8</v>
      </c>
      <c r="M479" s="6" t="str">
        <f>_xlfn.XLOOKUP(FactSales[[#This Row],[Product_ID]],DimProduct[Product_ID],DimProduct[Product_Name])</f>
        <v>Color Pencil Set</v>
      </c>
      <c r="N479" s="6" t="str">
        <f>_xlfn.XLOOKUP(FactSales[[#This Row],[Product_ID]],DimProduct[Product_ID],DimProduct[Category])</f>
        <v>Kids &amp; Toys</v>
      </c>
      <c r="O479" s="6">
        <f>_xlfn.XLOOKUP(FactSales[[#This Row],[Product_ID]],DimProduct[Product_ID],DimProduct[Unit_Price])</f>
        <v>2250</v>
      </c>
      <c r="P479" s="6">
        <f>_xlfn.XLOOKUP(FactSales[[#This Row],[Product_ID]],DimProduct[Product_ID],DimProduct[Unit_Cost])</f>
        <v>1240</v>
      </c>
      <c r="Q479" s="6">
        <f>FactSales[[#This Row],[Unit_Price]]*FactSales[[#This Row],[Quantity_Sold]]</f>
        <v>4500</v>
      </c>
      <c r="R479" s="6">
        <f>FactSales[[#This Row],[Unit_Cost]]*FactSales[[#This Row],[Quantity_Sold]]</f>
        <v>2480</v>
      </c>
      <c r="S479" s="6">
        <f>FactSales[[#This Row],[Sales_Amount]]-FactSales[[#This Row],[Total_Cost]]</f>
        <v>2020</v>
      </c>
      <c r="T479" s="6" t="str">
        <f>_xlfn.XLOOKUP(FactSales[[#This Row],[Customer_ID]],DimCustomer[Customer_ID],DimCustomer[Customer_Name])</f>
        <v>Imran Mia</v>
      </c>
      <c r="U479" s="6" t="str">
        <f>_xlfn.XLOOKUP(FactSales[[#This Row],[Salesperson_ID]],DimSalesman[Salesperson_ID],DimSalesman[Salesperson_Name])</f>
        <v>Samiha Islam</v>
      </c>
      <c r="V479" s="6" t="str">
        <f>_xlfn.XLOOKUP(FactSales[[#This Row],[Region_ID]],DimRegion[Region_ID],DimRegion[Region_Name])</f>
        <v>Khulna</v>
      </c>
      <c r="W479" s="6" t="str">
        <f>_xlfn.XLOOKUP(FactSales[[#This Row],[Store_ID]],DimStore[Store_ID],DimStore[Store_Name])</f>
        <v>Khulna Boyra Store</v>
      </c>
    </row>
    <row r="480" spans="1:23">
      <c r="A480" s="4" t="s">
        <v>1476</v>
      </c>
      <c r="B480" s="5">
        <v>45706</v>
      </c>
      <c r="C480" s="4" t="s">
        <v>375</v>
      </c>
      <c r="D480" s="4" t="s">
        <v>47</v>
      </c>
      <c r="E480" s="4" t="s">
        <v>695</v>
      </c>
      <c r="F480" s="4" t="s">
        <v>955</v>
      </c>
      <c r="G480" s="4" t="s">
        <v>768</v>
      </c>
      <c r="H480" s="4">
        <v>3</v>
      </c>
      <c r="I480" s="7">
        <v>0.08</v>
      </c>
      <c r="J480" s="6">
        <v>23544</v>
      </c>
      <c r="K480" s="4">
        <v>3</v>
      </c>
      <c r="L480" s="8">
        <f t="shared" si="7"/>
        <v>4.0999999999999996</v>
      </c>
      <c r="M480" s="6" t="str">
        <f>_xlfn.XLOOKUP(FactSales[[#This Row],[Product_ID]],DimProduct[Product_ID],DimProduct[Product_Name])</f>
        <v>Electric Kettle</v>
      </c>
      <c r="N480" s="6" t="str">
        <f>_xlfn.XLOOKUP(FactSales[[#This Row],[Product_ID]],DimProduct[Product_ID],DimProduct[Category])</f>
        <v>Home Appliance</v>
      </c>
      <c r="O480" s="6">
        <f>_xlfn.XLOOKUP(FactSales[[#This Row],[Product_ID]],DimProduct[Product_ID],DimProduct[Unit_Price])</f>
        <v>7200</v>
      </c>
      <c r="P480" s="6">
        <f>_xlfn.XLOOKUP(FactSales[[#This Row],[Product_ID]],DimProduct[Product_ID],DimProduct[Unit_Cost])</f>
        <v>5040</v>
      </c>
      <c r="Q480" s="6">
        <f>FactSales[[#This Row],[Unit_Price]]*FactSales[[#This Row],[Quantity_Sold]]</f>
        <v>21600</v>
      </c>
      <c r="R480" s="6">
        <f>FactSales[[#This Row],[Unit_Cost]]*FactSales[[#This Row],[Quantity_Sold]]</f>
        <v>15120</v>
      </c>
      <c r="S480" s="6">
        <f>FactSales[[#This Row],[Sales_Amount]]-FactSales[[#This Row],[Total_Cost]]</f>
        <v>6480</v>
      </c>
      <c r="T480" s="6" t="str">
        <f>_xlfn.XLOOKUP(FactSales[[#This Row],[Customer_ID]],DimCustomer[Customer_ID],DimCustomer[Customer_Name])</f>
        <v>Jannat Rahman</v>
      </c>
      <c r="U480" s="6" t="str">
        <f>_xlfn.XLOOKUP(FactSales[[#This Row],[Salesperson_ID]],DimSalesman[Salesperson_ID],DimSalesman[Salesperson_Name])</f>
        <v>Tania Chowdhury</v>
      </c>
      <c r="V480" s="6" t="str">
        <f>_xlfn.XLOOKUP(FactSales[[#This Row],[Region_ID]],DimRegion[Region_ID],DimRegion[Region_Name])</f>
        <v>Khulna</v>
      </c>
      <c r="W480" s="6" t="str">
        <f>_xlfn.XLOOKUP(FactSales[[#This Row],[Store_ID]],DimStore[Store_ID],DimStore[Store_Name])</f>
        <v>Khulna Shibbari Store</v>
      </c>
    </row>
    <row r="481" spans="1:23">
      <c r="A481" s="4" t="s">
        <v>1477</v>
      </c>
      <c r="B481" s="5">
        <v>45917</v>
      </c>
      <c r="C481" s="4" t="s">
        <v>496</v>
      </c>
      <c r="D481" s="4" t="s">
        <v>57</v>
      </c>
      <c r="E481" s="4" t="s">
        <v>722</v>
      </c>
      <c r="F481" s="4" t="s">
        <v>977</v>
      </c>
      <c r="G481" s="4" t="s">
        <v>847</v>
      </c>
      <c r="H481" s="4">
        <v>2</v>
      </c>
      <c r="I481" s="7">
        <v>0.12</v>
      </c>
      <c r="J481" s="6">
        <v>4301</v>
      </c>
      <c r="K481" s="4">
        <v>6</v>
      </c>
      <c r="L481" s="8">
        <f t="shared" si="7"/>
        <v>3</v>
      </c>
      <c r="M481" s="6" t="str">
        <f>_xlfn.XLOOKUP(FactSales[[#This Row],[Product_ID]],DimProduct[Product_ID],DimProduct[Product_Name])</f>
        <v>Casual Loafer</v>
      </c>
      <c r="N481" s="6" t="str">
        <f>_xlfn.XLOOKUP(FactSales[[#This Row],[Product_ID]],DimProduct[Product_ID],DimProduct[Category])</f>
        <v>Footwear</v>
      </c>
      <c r="O481" s="6">
        <f>_xlfn.XLOOKUP(FactSales[[#This Row],[Product_ID]],DimProduct[Product_ID],DimProduct[Unit_Price])</f>
        <v>1870</v>
      </c>
      <c r="P481" s="6">
        <f>_xlfn.XLOOKUP(FactSales[[#This Row],[Product_ID]],DimProduct[Product_ID],DimProduct[Unit_Cost])</f>
        <v>1120</v>
      </c>
      <c r="Q481" s="6">
        <f>FactSales[[#This Row],[Unit_Price]]*FactSales[[#This Row],[Quantity_Sold]]</f>
        <v>3740</v>
      </c>
      <c r="R481" s="6">
        <f>FactSales[[#This Row],[Unit_Cost]]*FactSales[[#This Row],[Quantity_Sold]]</f>
        <v>2240</v>
      </c>
      <c r="S481" s="6">
        <f>FactSales[[#This Row],[Sales_Amount]]-FactSales[[#This Row],[Total_Cost]]</f>
        <v>1500</v>
      </c>
      <c r="T481" s="6" t="str">
        <f>_xlfn.XLOOKUP(FactSales[[#This Row],[Customer_ID]],DimCustomer[Customer_ID],DimCustomer[Customer_Name])</f>
        <v>Sadia Sultana</v>
      </c>
      <c r="U481" s="6" t="str">
        <f>_xlfn.XLOOKUP(FactSales[[#This Row],[Salesperson_ID]],DimSalesman[Salesperson_ID],DimSalesman[Salesperson_Name])</f>
        <v>Tania Hossain</v>
      </c>
      <c r="V481" s="6" t="str">
        <f>_xlfn.XLOOKUP(FactSales[[#This Row],[Region_ID]],DimRegion[Region_ID],DimRegion[Region_Name])</f>
        <v>Rangpur</v>
      </c>
      <c r="W481" s="6" t="str">
        <f>_xlfn.XLOOKUP(FactSales[[#This Row],[Store_ID]],DimStore[Store_ID],DimStore[Store_Name])</f>
        <v>Rangpur Dhap Store</v>
      </c>
    </row>
    <row r="482" spans="1:23">
      <c r="A482" s="4" t="s">
        <v>1478</v>
      </c>
      <c r="B482" s="5">
        <v>46131</v>
      </c>
      <c r="C482" s="4" t="s">
        <v>214</v>
      </c>
      <c r="D482" s="4" t="s">
        <v>32</v>
      </c>
      <c r="E482" s="4" t="s">
        <v>650</v>
      </c>
      <c r="F482" s="4" t="s">
        <v>922</v>
      </c>
      <c r="G482" s="4" t="s">
        <v>758</v>
      </c>
      <c r="H482" s="4">
        <v>1</v>
      </c>
      <c r="I482" s="7">
        <v>0.15</v>
      </c>
      <c r="J482" s="6">
        <v>3238</v>
      </c>
      <c r="K482" s="4">
        <v>7</v>
      </c>
      <c r="L482" s="8">
        <f t="shared" si="7"/>
        <v>2.6</v>
      </c>
      <c r="M482" s="6" t="str">
        <f>_xlfn.XLOOKUP(FactSales[[#This Row],[Product_ID]],DimProduct[Product_ID],DimProduct[Product_Name])</f>
        <v>Power Bank</v>
      </c>
      <c r="N482" s="6" t="str">
        <f>_xlfn.XLOOKUP(FactSales[[#This Row],[Product_ID]],DimProduct[Product_ID],DimProduct[Category])</f>
        <v>Electronics</v>
      </c>
      <c r="O482" s="6">
        <f>_xlfn.XLOOKUP(FactSales[[#This Row],[Product_ID]],DimProduct[Product_ID],DimProduct[Unit_Price])</f>
        <v>2840</v>
      </c>
      <c r="P482" s="6">
        <f>_xlfn.XLOOKUP(FactSales[[#This Row],[Product_ID]],DimProduct[Product_ID],DimProduct[Unit_Cost])</f>
        <v>1930</v>
      </c>
      <c r="Q482" s="6">
        <f>FactSales[[#This Row],[Unit_Price]]*FactSales[[#This Row],[Quantity_Sold]]</f>
        <v>2840</v>
      </c>
      <c r="R482" s="6">
        <f>FactSales[[#This Row],[Unit_Cost]]*FactSales[[#This Row],[Quantity_Sold]]</f>
        <v>1930</v>
      </c>
      <c r="S482" s="6">
        <f>FactSales[[#This Row],[Sales_Amount]]-FactSales[[#This Row],[Total_Cost]]</f>
        <v>910</v>
      </c>
      <c r="T482" s="6" t="str">
        <f>_xlfn.XLOOKUP(FactSales[[#This Row],[Customer_ID]],DimCustomer[Customer_ID],DimCustomer[Customer_Name])</f>
        <v>Sadia Chowdhury</v>
      </c>
      <c r="U482" s="6" t="str">
        <f>_xlfn.XLOOKUP(FactSales[[#This Row],[Salesperson_ID]],DimSalesman[Salesperson_ID],DimSalesman[Salesperson_Name])</f>
        <v>Rafi Sultana</v>
      </c>
      <c r="V482" s="6" t="str">
        <f>_xlfn.XLOOKUP(FactSales[[#This Row],[Region_ID]],DimRegion[Region_ID],DimRegion[Region_Name])</f>
        <v>Chattogram</v>
      </c>
      <c r="W482" s="6" t="str">
        <f>_xlfn.XLOOKUP(FactSales[[#This Row],[Store_ID]],DimStore[Store_ID],DimStore[Store_Name])</f>
        <v>Chattogram Halishahar Store</v>
      </c>
    </row>
    <row r="483" spans="1:23">
      <c r="A483" s="4" t="s">
        <v>1479</v>
      </c>
      <c r="B483" s="5">
        <v>46118</v>
      </c>
      <c r="C483" s="4" t="s">
        <v>384</v>
      </c>
      <c r="D483" s="4" t="s">
        <v>47</v>
      </c>
      <c r="E483" s="4" t="s">
        <v>695</v>
      </c>
      <c r="F483" s="4" t="s">
        <v>958</v>
      </c>
      <c r="G483" s="4" t="s">
        <v>788</v>
      </c>
      <c r="H483" s="4">
        <v>4</v>
      </c>
      <c r="I483" s="7">
        <v>7.0000000000000007E-2</v>
      </c>
      <c r="J483" s="6">
        <v>7935</v>
      </c>
      <c r="K483" s="4">
        <v>4</v>
      </c>
      <c r="L483" s="8">
        <f t="shared" si="7"/>
        <v>3.8</v>
      </c>
      <c r="M483" s="6" t="str">
        <f>_xlfn.XLOOKUP(FactSales[[#This Row],[Product_ID]],DimProduct[Product_ID],DimProduct[Product_Name])</f>
        <v>Formal Shirt</v>
      </c>
      <c r="N483" s="6" t="str">
        <f>_xlfn.XLOOKUP(FactSales[[#This Row],[Product_ID]],DimProduct[Product_ID],DimProduct[Category])</f>
        <v>Fashion</v>
      </c>
      <c r="O483" s="6">
        <f>_xlfn.XLOOKUP(FactSales[[#This Row],[Product_ID]],DimProduct[Product_ID],DimProduct[Unit_Price])</f>
        <v>1820</v>
      </c>
      <c r="P483" s="6">
        <f>_xlfn.XLOOKUP(FactSales[[#This Row],[Product_ID]],DimProduct[Product_ID],DimProduct[Unit_Cost])</f>
        <v>1000</v>
      </c>
      <c r="Q483" s="6">
        <f>FactSales[[#This Row],[Unit_Price]]*FactSales[[#This Row],[Quantity_Sold]]</f>
        <v>7280</v>
      </c>
      <c r="R483" s="6">
        <f>FactSales[[#This Row],[Unit_Cost]]*FactSales[[#This Row],[Quantity_Sold]]</f>
        <v>4000</v>
      </c>
      <c r="S483" s="6">
        <f>FactSales[[#This Row],[Sales_Amount]]-FactSales[[#This Row],[Total_Cost]]</f>
        <v>3280</v>
      </c>
      <c r="T483" s="6" t="str">
        <f>_xlfn.XLOOKUP(FactSales[[#This Row],[Customer_ID]],DimCustomer[Customer_ID],DimCustomer[Customer_Name])</f>
        <v>Rumana Islam</v>
      </c>
      <c r="U483" s="6" t="str">
        <f>_xlfn.XLOOKUP(FactSales[[#This Row],[Salesperson_ID]],DimSalesman[Salesperson_ID],DimSalesman[Salesperson_Name])</f>
        <v>Fahim Uddin</v>
      </c>
      <c r="V483" s="6" t="str">
        <f>_xlfn.XLOOKUP(FactSales[[#This Row],[Region_ID]],DimRegion[Region_ID],DimRegion[Region_Name])</f>
        <v>Khulna</v>
      </c>
      <c r="W483" s="6" t="str">
        <f>_xlfn.XLOOKUP(FactSales[[#This Row],[Store_ID]],DimStore[Store_ID],DimStore[Store_Name])</f>
        <v>Khulna Shibbari Store</v>
      </c>
    </row>
    <row r="484" spans="1:23">
      <c r="A484" s="4" t="s">
        <v>1480</v>
      </c>
      <c r="B484" s="5">
        <v>45923</v>
      </c>
      <c r="C484" s="4" t="s">
        <v>234</v>
      </c>
      <c r="D484" s="4" t="s">
        <v>37</v>
      </c>
      <c r="E484" s="4" t="s">
        <v>656</v>
      </c>
      <c r="F484" s="4" t="s">
        <v>932</v>
      </c>
      <c r="G484" s="4" t="s">
        <v>854</v>
      </c>
      <c r="H484" s="4">
        <v>5</v>
      </c>
      <c r="I484" s="7">
        <v>0.03</v>
      </c>
      <c r="J484" s="6">
        <v>19902</v>
      </c>
      <c r="K484" s="4">
        <v>3</v>
      </c>
      <c r="L484" s="8">
        <f t="shared" si="7"/>
        <v>4.2</v>
      </c>
      <c r="M484" s="6" t="str">
        <f>_xlfn.XLOOKUP(FactSales[[#This Row],[Product_ID]],DimProduct[Product_ID],DimProduct[Product_Name])</f>
        <v>Football</v>
      </c>
      <c r="N484" s="6" t="str">
        <f>_xlfn.XLOOKUP(FactSales[[#This Row],[Product_ID]],DimProduct[Product_ID],DimProduct[Category])</f>
        <v>Sports</v>
      </c>
      <c r="O484" s="6">
        <f>_xlfn.XLOOKUP(FactSales[[#This Row],[Product_ID]],DimProduct[Product_ID],DimProduct[Unit_Price])</f>
        <v>3720</v>
      </c>
      <c r="P484" s="6">
        <f>_xlfn.XLOOKUP(FactSales[[#This Row],[Product_ID]],DimProduct[Product_ID],DimProduct[Unit_Cost])</f>
        <v>2310</v>
      </c>
      <c r="Q484" s="6">
        <f>FactSales[[#This Row],[Unit_Price]]*FactSales[[#This Row],[Quantity_Sold]]</f>
        <v>18600</v>
      </c>
      <c r="R484" s="6">
        <f>FactSales[[#This Row],[Unit_Cost]]*FactSales[[#This Row],[Quantity_Sold]]</f>
        <v>11550</v>
      </c>
      <c r="S484" s="6">
        <f>FactSales[[#This Row],[Sales_Amount]]-FactSales[[#This Row],[Total_Cost]]</f>
        <v>7050</v>
      </c>
      <c r="T484" s="6" t="str">
        <f>_xlfn.XLOOKUP(FactSales[[#This Row],[Customer_ID]],DimCustomer[Customer_ID],DimCustomer[Customer_Name])</f>
        <v>Jannat Sultana</v>
      </c>
      <c r="U484" s="6" t="str">
        <f>_xlfn.XLOOKUP(FactSales[[#This Row],[Salesperson_ID]],DimSalesman[Salesperson_ID],DimSalesman[Salesperson_Name])</f>
        <v>Morshed Chowdhury</v>
      </c>
      <c r="V484" s="6" t="str">
        <f>_xlfn.XLOOKUP(FactSales[[#This Row],[Region_ID]],DimRegion[Region_ID],DimRegion[Region_Name])</f>
        <v>Sylhet</v>
      </c>
      <c r="W484" s="6" t="str">
        <f>_xlfn.XLOOKUP(FactSales[[#This Row],[Store_ID]],DimStore[Store_ID],DimStore[Store_Name])</f>
        <v>Sylhet Ambarkhana Store</v>
      </c>
    </row>
    <row r="485" spans="1:23">
      <c r="A485" s="4" t="s">
        <v>1481</v>
      </c>
      <c r="B485" s="5">
        <v>46129</v>
      </c>
      <c r="C485" s="4" t="s">
        <v>496</v>
      </c>
      <c r="D485" s="4" t="s">
        <v>57</v>
      </c>
      <c r="E485" s="4" t="s">
        <v>713</v>
      </c>
      <c r="F485" s="4" t="s">
        <v>970</v>
      </c>
      <c r="G485" s="4" t="s">
        <v>834</v>
      </c>
      <c r="H485" s="4">
        <v>6</v>
      </c>
      <c r="I485" s="7">
        <v>0.12</v>
      </c>
      <c r="J485" s="6">
        <v>24219</v>
      </c>
      <c r="K485" s="4">
        <v>6</v>
      </c>
      <c r="L485" s="8">
        <f t="shared" si="7"/>
        <v>3</v>
      </c>
      <c r="M485" s="6" t="str">
        <f>_xlfn.XLOOKUP(FactSales[[#This Row],[Product_ID]],DimProduct[Product_ID],DimProduct[Product_Name])</f>
        <v>Running Shoe</v>
      </c>
      <c r="N485" s="6" t="str">
        <f>_xlfn.XLOOKUP(FactSales[[#This Row],[Product_ID]],DimProduct[Product_ID],DimProduct[Category])</f>
        <v>Footwear</v>
      </c>
      <c r="O485" s="6">
        <f>_xlfn.XLOOKUP(FactSales[[#This Row],[Product_ID]],DimProduct[Product_ID],DimProduct[Unit_Price])</f>
        <v>3510</v>
      </c>
      <c r="P485" s="6">
        <f>_xlfn.XLOOKUP(FactSales[[#This Row],[Product_ID]],DimProduct[Product_ID],DimProduct[Unit_Cost])</f>
        <v>2110</v>
      </c>
      <c r="Q485" s="6">
        <f>FactSales[[#This Row],[Unit_Price]]*FactSales[[#This Row],[Quantity_Sold]]</f>
        <v>21060</v>
      </c>
      <c r="R485" s="6">
        <f>FactSales[[#This Row],[Unit_Cost]]*FactSales[[#This Row],[Quantity_Sold]]</f>
        <v>12660</v>
      </c>
      <c r="S485" s="6">
        <f>FactSales[[#This Row],[Sales_Amount]]-FactSales[[#This Row],[Total_Cost]]</f>
        <v>8400</v>
      </c>
      <c r="T485" s="6" t="str">
        <f>_xlfn.XLOOKUP(FactSales[[#This Row],[Customer_ID]],DimCustomer[Customer_ID],DimCustomer[Customer_Name])</f>
        <v>Sadia Sultana</v>
      </c>
      <c r="U485" s="6" t="str">
        <f>_xlfn.XLOOKUP(FactSales[[#This Row],[Salesperson_ID]],DimSalesman[Salesperson_ID],DimSalesman[Salesperson_Name])</f>
        <v>Tanvir Islam</v>
      </c>
      <c r="V485" s="6" t="str">
        <f>_xlfn.XLOOKUP(FactSales[[#This Row],[Region_ID]],DimRegion[Region_ID],DimRegion[Region_Name])</f>
        <v>Rangpur</v>
      </c>
      <c r="W485" s="6" t="str">
        <f>_xlfn.XLOOKUP(FactSales[[#This Row],[Store_ID]],DimStore[Store_ID],DimStore[Store_Name])</f>
        <v>Rangpur Jahaj Company Store</v>
      </c>
    </row>
    <row r="486" spans="1:23">
      <c r="A486" s="4" t="s">
        <v>1482</v>
      </c>
      <c r="B486" s="5">
        <v>46062</v>
      </c>
      <c r="C486" s="4" t="s">
        <v>575</v>
      </c>
      <c r="D486" s="4" t="s">
        <v>62</v>
      </c>
      <c r="E486" s="4" t="s">
        <v>740</v>
      </c>
      <c r="F486" s="4" t="s">
        <v>985</v>
      </c>
      <c r="G486" s="4" t="s">
        <v>775</v>
      </c>
      <c r="H486" s="4">
        <v>5</v>
      </c>
      <c r="I486" s="7">
        <v>0.08</v>
      </c>
      <c r="J486" s="6">
        <v>13122</v>
      </c>
      <c r="K486" s="4">
        <v>6</v>
      </c>
      <c r="L486" s="8">
        <f t="shared" si="7"/>
        <v>3.1</v>
      </c>
      <c r="M486" s="6" t="str">
        <f>_xlfn.XLOOKUP(FactSales[[#This Row],[Product_ID]],DimProduct[Product_ID],DimProduct[Product_Name])</f>
        <v>Blender Machine</v>
      </c>
      <c r="N486" s="6" t="str">
        <f>_xlfn.XLOOKUP(FactSales[[#This Row],[Product_ID]],DimProduct[Product_ID],DimProduct[Category])</f>
        <v>Home Appliance</v>
      </c>
      <c r="O486" s="6">
        <f>_xlfn.XLOOKUP(FactSales[[#This Row],[Product_ID]],DimProduct[Product_ID],DimProduct[Unit_Price])</f>
        <v>2430</v>
      </c>
      <c r="P486" s="6">
        <f>_xlfn.XLOOKUP(FactSales[[#This Row],[Product_ID]],DimProduct[Product_ID],DimProduct[Unit_Cost])</f>
        <v>1700</v>
      </c>
      <c r="Q486" s="6">
        <f>FactSales[[#This Row],[Unit_Price]]*FactSales[[#This Row],[Quantity_Sold]]</f>
        <v>12150</v>
      </c>
      <c r="R486" s="6">
        <f>FactSales[[#This Row],[Unit_Cost]]*FactSales[[#This Row],[Quantity_Sold]]</f>
        <v>8500</v>
      </c>
      <c r="S486" s="6">
        <f>FactSales[[#This Row],[Sales_Amount]]-FactSales[[#This Row],[Total_Cost]]</f>
        <v>3650</v>
      </c>
      <c r="T486" s="6" t="str">
        <f>_xlfn.XLOOKUP(FactSales[[#This Row],[Customer_ID]],DimCustomer[Customer_ID],DimCustomer[Customer_Name])</f>
        <v>Jannat Sultana</v>
      </c>
      <c r="U486" s="6" t="str">
        <f>_xlfn.XLOOKUP(FactSales[[#This Row],[Salesperson_ID]],DimSalesman[Salesperson_ID],DimSalesman[Salesperson_Name])</f>
        <v>Tamanna Sultana</v>
      </c>
      <c r="V486" s="6" t="str">
        <f>_xlfn.XLOOKUP(FactSales[[#This Row],[Region_ID]],DimRegion[Region_ID],DimRegion[Region_Name])</f>
        <v>Mymensingh</v>
      </c>
      <c r="W486" s="6" t="str">
        <f>_xlfn.XLOOKUP(FactSales[[#This Row],[Store_ID]],DimStore[Store_ID],DimStore[Store_Name])</f>
        <v>Mymensingh Maskanda Store</v>
      </c>
    </row>
    <row r="487" spans="1:23">
      <c r="A487" s="4" t="s">
        <v>1483</v>
      </c>
      <c r="B487" s="5">
        <v>45806</v>
      </c>
      <c r="C487" s="4" t="s">
        <v>148</v>
      </c>
      <c r="D487" s="4" t="s">
        <v>32</v>
      </c>
      <c r="E487" s="4" t="s">
        <v>641</v>
      </c>
      <c r="F487" s="4" t="s">
        <v>922</v>
      </c>
      <c r="G487" s="4" t="s">
        <v>762</v>
      </c>
      <c r="H487" s="4">
        <v>3</v>
      </c>
      <c r="I487" s="7">
        <v>0.15</v>
      </c>
      <c r="J487" s="6">
        <v>13235</v>
      </c>
      <c r="K487" s="4">
        <v>5</v>
      </c>
      <c r="L487" s="8">
        <f t="shared" si="7"/>
        <v>3.3</v>
      </c>
      <c r="M487" s="6" t="str">
        <f>_xlfn.XLOOKUP(FactSales[[#This Row],[Product_ID]],DimProduct[Product_ID],DimProduct[Product_Name])</f>
        <v>Smart Watch</v>
      </c>
      <c r="N487" s="6" t="str">
        <f>_xlfn.XLOOKUP(FactSales[[#This Row],[Product_ID]],DimProduct[Product_ID],DimProduct[Category])</f>
        <v>Electronics</v>
      </c>
      <c r="O487" s="6">
        <f>_xlfn.XLOOKUP(FactSales[[#This Row],[Product_ID]],DimProduct[Product_ID],DimProduct[Unit_Price])</f>
        <v>3870</v>
      </c>
      <c r="P487" s="6">
        <f>_xlfn.XLOOKUP(FactSales[[#This Row],[Product_ID]],DimProduct[Product_ID],DimProduct[Unit_Cost])</f>
        <v>2630</v>
      </c>
      <c r="Q487" s="6">
        <f>FactSales[[#This Row],[Unit_Price]]*FactSales[[#This Row],[Quantity_Sold]]</f>
        <v>11610</v>
      </c>
      <c r="R487" s="6">
        <f>FactSales[[#This Row],[Unit_Cost]]*FactSales[[#This Row],[Quantity_Sold]]</f>
        <v>7890</v>
      </c>
      <c r="S487" s="6">
        <f>FactSales[[#This Row],[Sales_Amount]]-FactSales[[#This Row],[Total_Cost]]</f>
        <v>3720</v>
      </c>
      <c r="T487" s="6" t="str">
        <f>_xlfn.XLOOKUP(FactSales[[#This Row],[Customer_ID]],DimCustomer[Customer_ID],DimCustomer[Customer_Name])</f>
        <v>Shaila Sultana</v>
      </c>
      <c r="U487" s="6" t="str">
        <f>_xlfn.XLOOKUP(FactSales[[#This Row],[Salesperson_ID]],DimSalesman[Salesperson_ID],DimSalesman[Salesperson_Name])</f>
        <v>Rafi Sultana</v>
      </c>
      <c r="V487" s="6" t="str">
        <f>_xlfn.XLOOKUP(FactSales[[#This Row],[Region_ID]],DimRegion[Region_ID],DimRegion[Region_Name])</f>
        <v>Chattogram</v>
      </c>
      <c r="W487" s="6" t="str">
        <f>_xlfn.XLOOKUP(FactSales[[#This Row],[Store_ID]],DimStore[Store_ID],DimStore[Store_Name])</f>
        <v>Chattogram GEC Store</v>
      </c>
    </row>
    <row r="488" spans="1:23">
      <c r="A488" s="4" t="s">
        <v>1484</v>
      </c>
      <c r="B488" s="5">
        <v>46090</v>
      </c>
      <c r="C488" s="4" t="s">
        <v>292</v>
      </c>
      <c r="D488" s="4" t="s">
        <v>42</v>
      </c>
      <c r="E488" s="4" t="s">
        <v>674</v>
      </c>
      <c r="F488" s="4" t="s">
        <v>947</v>
      </c>
      <c r="G488" s="4" t="s">
        <v>758</v>
      </c>
      <c r="H488" s="4">
        <v>1</v>
      </c>
      <c r="I488" s="7">
        <v>0.1</v>
      </c>
      <c r="J488" s="6">
        <v>3067</v>
      </c>
      <c r="K488" s="4">
        <v>4</v>
      </c>
      <c r="L488" s="8">
        <f t="shared" si="7"/>
        <v>3.7</v>
      </c>
      <c r="M488" s="6" t="str">
        <f>_xlfn.XLOOKUP(FactSales[[#This Row],[Product_ID]],DimProduct[Product_ID],DimProduct[Product_Name])</f>
        <v>Power Bank</v>
      </c>
      <c r="N488" s="6" t="str">
        <f>_xlfn.XLOOKUP(FactSales[[#This Row],[Product_ID]],DimProduct[Product_ID],DimProduct[Category])</f>
        <v>Electronics</v>
      </c>
      <c r="O488" s="6">
        <f>_xlfn.XLOOKUP(FactSales[[#This Row],[Product_ID]],DimProduct[Product_ID],DimProduct[Unit_Price])</f>
        <v>2840</v>
      </c>
      <c r="P488" s="6">
        <f>_xlfn.XLOOKUP(FactSales[[#This Row],[Product_ID]],DimProduct[Product_ID],DimProduct[Unit_Cost])</f>
        <v>1930</v>
      </c>
      <c r="Q488" s="6">
        <f>FactSales[[#This Row],[Unit_Price]]*FactSales[[#This Row],[Quantity_Sold]]</f>
        <v>2840</v>
      </c>
      <c r="R488" s="6">
        <f>FactSales[[#This Row],[Unit_Cost]]*FactSales[[#This Row],[Quantity_Sold]]</f>
        <v>1930</v>
      </c>
      <c r="S488" s="6">
        <f>FactSales[[#This Row],[Sales_Amount]]-FactSales[[#This Row],[Total_Cost]]</f>
        <v>910</v>
      </c>
      <c r="T488" s="6" t="str">
        <f>_xlfn.XLOOKUP(FactSales[[#This Row],[Customer_ID]],DimCustomer[Customer_ID],DimCustomer[Customer_Name])</f>
        <v>Morshed Rahman</v>
      </c>
      <c r="U488" s="6" t="str">
        <f>_xlfn.XLOOKUP(FactSales[[#This Row],[Salesperson_ID]],DimSalesman[Salesperson_ID],DimSalesman[Salesperson_Name])</f>
        <v>Farhana Rahman</v>
      </c>
      <c r="V488" s="6" t="str">
        <f>_xlfn.XLOOKUP(FactSales[[#This Row],[Region_ID]],DimRegion[Region_ID],DimRegion[Region_Name])</f>
        <v>Rajshahi</v>
      </c>
      <c r="W488" s="6" t="str">
        <f>_xlfn.XLOOKUP(FactSales[[#This Row],[Store_ID]],DimStore[Store_ID],DimStore[Store_Name])</f>
        <v>Rajshahi Uposhohor Store</v>
      </c>
    </row>
    <row r="489" spans="1:23">
      <c r="A489" s="4" t="s">
        <v>1485</v>
      </c>
      <c r="B489" s="5">
        <v>45864</v>
      </c>
      <c r="C489" s="4" t="s">
        <v>588</v>
      </c>
      <c r="D489" s="4" t="s">
        <v>62</v>
      </c>
      <c r="E489" s="4" t="s">
        <v>728</v>
      </c>
      <c r="F489" s="4" t="s">
        <v>983</v>
      </c>
      <c r="G489" s="4" t="s">
        <v>816</v>
      </c>
      <c r="H489" s="4">
        <v>2</v>
      </c>
      <c r="I489" s="7">
        <v>0.1</v>
      </c>
      <c r="J489" s="6">
        <v>2765</v>
      </c>
      <c r="K489" s="4">
        <v>2</v>
      </c>
      <c r="L489" s="8">
        <f t="shared" si="7"/>
        <v>4.3</v>
      </c>
      <c r="M489" s="6" t="str">
        <f>_xlfn.XLOOKUP(FactSales[[#This Row],[Product_ID]],DimProduct[Product_ID],DimProduct[Product_Name])</f>
        <v>Face Wash</v>
      </c>
      <c r="N489" s="6" t="str">
        <f>_xlfn.XLOOKUP(FactSales[[#This Row],[Product_ID]],DimProduct[Product_ID],DimProduct[Category])</f>
        <v>Beauty &amp; Personal Care</v>
      </c>
      <c r="O489" s="6">
        <f>_xlfn.XLOOKUP(FactSales[[#This Row],[Product_ID]],DimProduct[Product_ID],DimProduct[Unit_Price])</f>
        <v>1280</v>
      </c>
      <c r="P489" s="6">
        <f>_xlfn.XLOOKUP(FactSales[[#This Row],[Product_ID]],DimProduct[Product_ID],DimProduct[Unit_Cost])</f>
        <v>740</v>
      </c>
      <c r="Q489" s="6">
        <f>FactSales[[#This Row],[Unit_Price]]*FactSales[[#This Row],[Quantity_Sold]]</f>
        <v>2560</v>
      </c>
      <c r="R489" s="6">
        <f>FactSales[[#This Row],[Unit_Cost]]*FactSales[[#This Row],[Quantity_Sold]]</f>
        <v>1480</v>
      </c>
      <c r="S489" s="6">
        <f>FactSales[[#This Row],[Sales_Amount]]-FactSales[[#This Row],[Total_Cost]]</f>
        <v>1080</v>
      </c>
      <c r="T489" s="6" t="str">
        <f>_xlfn.XLOOKUP(FactSales[[#This Row],[Customer_ID]],DimCustomer[Customer_ID],DimCustomer[Customer_Name])</f>
        <v>Rasel Uddin</v>
      </c>
      <c r="U489" s="6" t="str">
        <f>_xlfn.XLOOKUP(FactSales[[#This Row],[Salesperson_ID]],DimSalesman[Salesperson_ID],DimSalesman[Salesperson_Name])</f>
        <v>Fahim Hossain</v>
      </c>
      <c r="V489" s="6" t="str">
        <f>_xlfn.XLOOKUP(FactSales[[#This Row],[Region_ID]],DimRegion[Region_ID],DimRegion[Region_Name])</f>
        <v>Mymensingh</v>
      </c>
      <c r="W489" s="6" t="str">
        <f>_xlfn.XLOOKUP(FactSales[[#This Row],[Store_ID]],DimStore[Store_ID],DimStore[Store_Name])</f>
        <v>Mymensingh Ganginarpar Store</v>
      </c>
    </row>
    <row r="490" spans="1:23">
      <c r="A490" s="4" t="s">
        <v>1486</v>
      </c>
      <c r="B490" s="5">
        <v>46100</v>
      </c>
      <c r="C490" s="4" t="s">
        <v>104</v>
      </c>
      <c r="D490" s="4" t="s">
        <v>27</v>
      </c>
      <c r="E490" s="4" t="s">
        <v>618</v>
      </c>
      <c r="F490" s="4" t="s">
        <v>912</v>
      </c>
      <c r="G490" s="4" t="s">
        <v>828</v>
      </c>
      <c r="H490" s="4">
        <v>9</v>
      </c>
      <c r="I490" s="7">
        <v>0.12</v>
      </c>
      <c r="J490" s="6">
        <v>13451</v>
      </c>
      <c r="K490" s="4">
        <v>1</v>
      </c>
      <c r="L490" s="8">
        <f t="shared" si="7"/>
        <v>4.5999999999999996</v>
      </c>
      <c r="M490" s="6" t="str">
        <f>_xlfn.XLOOKUP(FactSales[[#This Row],[Product_ID]],DimProduct[Product_ID],DimProduct[Product_Name])</f>
        <v>Toothpaste Twin Pack</v>
      </c>
      <c r="N490" s="6" t="str">
        <f>_xlfn.XLOOKUP(FactSales[[#This Row],[Product_ID]],DimProduct[Product_ID],DimProduct[Category])</f>
        <v>Beauty &amp; Personal Care</v>
      </c>
      <c r="O490" s="6">
        <f>_xlfn.XLOOKUP(FactSales[[#This Row],[Product_ID]],DimProduct[Product_ID],DimProduct[Unit_Price])</f>
        <v>1410</v>
      </c>
      <c r="P490" s="6">
        <f>_xlfn.XLOOKUP(FactSales[[#This Row],[Product_ID]],DimProduct[Product_ID],DimProduct[Unit_Cost])</f>
        <v>820</v>
      </c>
      <c r="Q490" s="6">
        <f>FactSales[[#This Row],[Unit_Price]]*FactSales[[#This Row],[Quantity_Sold]]</f>
        <v>12690</v>
      </c>
      <c r="R490" s="6">
        <f>FactSales[[#This Row],[Unit_Cost]]*FactSales[[#This Row],[Quantity_Sold]]</f>
        <v>7380</v>
      </c>
      <c r="S490" s="6">
        <f>FactSales[[#This Row],[Sales_Amount]]-FactSales[[#This Row],[Total_Cost]]</f>
        <v>5310</v>
      </c>
      <c r="T490" s="6" t="str">
        <f>_xlfn.XLOOKUP(FactSales[[#This Row],[Customer_ID]],DimCustomer[Customer_ID],DimCustomer[Customer_Name])</f>
        <v>Nabila Chowdhury</v>
      </c>
      <c r="U490" s="6" t="str">
        <f>_xlfn.XLOOKUP(FactSales[[#This Row],[Salesperson_ID]],DimSalesman[Salesperson_ID],DimSalesman[Salesperson_Name])</f>
        <v>Mahmud Hossain</v>
      </c>
      <c r="V490" s="6" t="str">
        <f>_xlfn.XLOOKUP(FactSales[[#This Row],[Region_ID]],DimRegion[Region_ID],DimRegion[Region_Name])</f>
        <v>Dhaka</v>
      </c>
      <c r="W490" s="6" t="str">
        <f>_xlfn.XLOOKUP(FactSales[[#This Row],[Store_ID]],DimStore[Store_ID],DimStore[Store_Name])</f>
        <v>Dhaka Gulshan Store</v>
      </c>
    </row>
    <row r="491" spans="1:23">
      <c r="A491" s="4" t="s">
        <v>1487</v>
      </c>
      <c r="B491" s="5">
        <v>46157</v>
      </c>
      <c r="C491" s="4" t="s">
        <v>357</v>
      </c>
      <c r="D491" s="4" t="s">
        <v>47</v>
      </c>
      <c r="E491" s="4" t="s">
        <v>692</v>
      </c>
      <c r="F491" s="4" t="s">
        <v>955</v>
      </c>
      <c r="G491" s="4" t="s">
        <v>790</v>
      </c>
      <c r="H491" s="4">
        <v>1</v>
      </c>
      <c r="I491" s="7">
        <v>0.03</v>
      </c>
      <c r="J491" s="6">
        <v>2169</v>
      </c>
      <c r="K491" s="4">
        <v>2</v>
      </c>
      <c r="L491" s="8">
        <f t="shared" si="7"/>
        <v>4.5</v>
      </c>
      <c r="M491" s="6" t="str">
        <f>_xlfn.XLOOKUP(FactSales[[#This Row],[Product_ID]],DimProduct[Product_ID],DimProduct[Product_Name])</f>
        <v>Women Kurti</v>
      </c>
      <c r="N491" s="6" t="str">
        <f>_xlfn.XLOOKUP(FactSales[[#This Row],[Product_ID]],DimProduct[Product_ID],DimProduct[Category])</f>
        <v>Fashion</v>
      </c>
      <c r="O491" s="6">
        <f>_xlfn.XLOOKUP(FactSales[[#This Row],[Product_ID]],DimProduct[Product_ID],DimProduct[Unit_Price])</f>
        <v>1990</v>
      </c>
      <c r="P491" s="6">
        <f>_xlfn.XLOOKUP(FactSales[[#This Row],[Product_ID]],DimProduct[Product_ID],DimProduct[Unit_Cost])</f>
        <v>1090</v>
      </c>
      <c r="Q491" s="6">
        <f>FactSales[[#This Row],[Unit_Price]]*FactSales[[#This Row],[Quantity_Sold]]</f>
        <v>1990</v>
      </c>
      <c r="R491" s="6">
        <f>FactSales[[#This Row],[Unit_Cost]]*FactSales[[#This Row],[Quantity_Sold]]</f>
        <v>1090</v>
      </c>
      <c r="S491" s="6">
        <f>FactSales[[#This Row],[Sales_Amount]]-FactSales[[#This Row],[Total_Cost]]</f>
        <v>900</v>
      </c>
      <c r="T491" s="6" t="str">
        <f>_xlfn.XLOOKUP(FactSales[[#This Row],[Customer_ID]],DimCustomer[Customer_ID],DimCustomer[Customer_Name])</f>
        <v>Tamanna Islam</v>
      </c>
      <c r="U491" s="6" t="str">
        <f>_xlfn.XLOOKUP(FactSales[[#This Row],[Salesperson_ID]],DimSalesman[Salesperson_ID],DimSalesman[Salesperson_Name])</f>
        <v>Tania Chowdhury</v>
      </c>
      <c r="V491" s="6" t="str">
        <f>_xlfn.XLOOKUP(FactSales[[#This Row],[Region_ID]],DimRegion[Region_ID],DimRegion[Region_Name])</f>
        <v>Khulna</v>
      </c>
      <c r="W491" s="6" t="str">
        <f>_xlfn.XLOOKUP(FactSales[[#This Row],[Store_ID]],DimStore[Store_ID],DimStore[Store_Name])</f>
        <v>Khulna Boyra Store</v>
      </c>
    </row>
    <row r="492" spans="1:23">
      <c r="A492" s="4" t="s">
        <v>1488</v>
      </c>
      <c r="B492" s="5">
        <v>45932</v>
      </c>
      <c r="C492" s="4" t="s">
        <v>112</v>
      </c>
      <c r="D492" s="4" t="s">
        <v>27</v>
      </c>
      <c r="E492" s="4" t="s">
        <v>634</v>
      </c>
      <c r="F492" s="4" t="s">
        <v>916</v>
      </c>
      <c r="G492" s="4" t="s">
        <v>808</v>
      </c>
      <c r="H492" s="4">
        <v>6</v>
      </c>
      <c r="I492" s="7">
        <v>0.05</v>
      </c>
      <c r="J492" s="6">
        <v>10876</v>
      </c>
      <c r="K492" s="4">
        <v>3</v>
      </c>
      <c r="L492" s="8">
        <f t="shared" si="7"/>
        <v>4.0999999999999996</v>
      </c>
      <c r="M492" s="6" t="str">
        <f>_xlfn.XLOOKUP(FactSales[[#This Row],[Product_ID]],DimProduct[Product_ID],DimProduct[Product_Name])</f>
        <v>Lentil 1kg</v>
      </c>
      <c r="N492" s="6" t="str">
        <f>_xlfn.XLOOKUP(FactSales[[#This Row],[Product_ID]],DimProduct[Product_ID],DimProduct[Category])</f>
        <v>Grocery</v>
      </c>
      <c r="O492" s="6">
        <f>_xlfn.XLOOKUP(FactSales[[#This Row],[Product_ID]],DimProduct[Product_ID],DimProduct[Unit_Price])</f>
        <v>1710</v>
      </c>
      <c r="P492" s="6">
        <f>_xlfn.XLOOKUP(FactSales[[#This Row],[Product_ID]],DimProduct[Product_ID],DimProduct[Unit_Cost])</f>
        <v>1330</v>
      </c>
      <c r="Q492" s="6">
        <f>FactSales[[#This Row],[Unit_Price]]*FactSales[[#This Row],[Quantity_Sold]]</f>
        <v>10260</v>
      </c>
      <c r="R492" s="6">
        <f>FactSales[[#This Row],[Unit_Cost]]*FactSales[[#This Row],[Quantity_Sold]]</f>
        <v>7980</v>
      </c>
      <c r="S492" s="6">
        <f>FactSales[[#This Row],[Sales_Amount]]-FactSales[[#This Row],[Total_Cost]]</f>
        <v>2280</v>
      </c>
      <c r="T492" s="6" t="str">
        <f>_xlfn.XLOOKUP(FactSales[[#This Row],[Customer_ID]],DimCustomer[Customer_ID],DimCustomer[Customer_Name])</f>
        <v>Shaila Ahmed</v>
      </c>
      <c r="U492" s="6" t="str">
        <f>_xlfn.XLOOKUP(FactSales[[#This Row],[Salesperson_ID]],DimSalesman[Salesperson_ID],DimSalesman[Salesperson_Name])</f>
        <v>Rafi Islam</v>
      </c>
      <c r="V492" s="6" t="str">
        <f>_xlfn.XLOOKUP(FactSales[[#This Row],[Region_ID]],DimRegion[Region_ID],DimRegion[Region_Name])</f>
        <v>Dhaka</v>
      </c>
      <c r="W492" s="6" t="str">
        <f>_xlfn.XLOOKUP(FactSales[[#This Row],[Store_ID]],DimStore[Store_ID],DimStore[Store_Name])</f>
        <v>Dhaka Motijheel Store</v>
      </c>
    </row>
    <row r="493" spans="1:23">
      <c r="A493" s="4" t="s">
        <v>1489</v>
      </c>
      <c r="B493" s="5">
        <v>45854</v>
      </c>
      <c r="C493" s="4" t="s">
        <v>460</v>
      </c>
      <c r="D493" s="4" t="s">
        <v>52</v>
      </c>
      <c r="E493" s="4" t="s">
        <v>707</v>
      </c>
      <c r="F493" s="4" t="s">
        <v>960</v>
      </c>
      <c r="G493" s="4" t="s">
        <v>758</v>
      </c>
      <c r="H493" s="4">
        <v>2</v>
      </c>
      <c r="I493" s="7">
        <v>0.15</v>
      </c>
      <c r="J493" s="6">
        <v>6362</v>
      </c>
      <c r="K493" s="4">
        <v>4</v>
      </c>
      <c r="L493" s="8">
        <f t="shared" si="7"/>
        <v>3.6</v>
      </c>
      <c r="M493" s="6" t="str">
        <f>_xlfn.XLOOKUP(FactSales[[#This Row],[Product_ID]],DimProduct[Product_ID],DimProduct[Product_Name])</f>
        <v>Power Bank</v>
      </c>
      <c r="N493" s="6" t="str">
        <f>_xlfn.XLOOKUP(FactSales[[#This Row],[Product_ID]],DimProduct[Product_ID],DimProduct[Category])</f>
        <v>Electronics</v>
      </c>
      <c r="O493" s="6">
        <f>_xlfn.XLOOKUP(FactSales[[#This Row],[Product_ID]],DimProduct[Product_ID],DimProduct[Unit_Price])</f>
        <v>2840</v>
      </c>
      <c r="P493" s="6">
        <f>_xlfn.XLOOKUP(FactSales[[#This Row],[Product_ID]],DimProduct[Product_ID],DimProduct[Unit_Cost])</f>
        <v>1930</v>
      </c>
      <c r="Q493" s="6">
        <f>FactSales[[#This Row],[Unit_Price]]*FactSales[[#This Row],[Quantity_Sold]]</f>
        <v>5680</v>
      </c>
      <c r="R493" s="6">
        <f>FactSales[[#This Row],[Unit_Cost]]*FactSales[[#This Row],[Quantity_Sold]]</f>
        <v>3860</v>
      </c>
      <c r="S493" s="6">
        <f>FactSales[[#This Row],[Sales_Amount]]-FactSales[[#This Row],[Total_Cost]]</f>
        <v>1820</v>
      </c>
      <c r="T493" s="6" t="str">
        <f>_xlfn.XLOOKUP(FactSales[[#This Row],[Customer_ID]],DimCustomer[Customer_ID],DimCustomer[Customer_Name])</f>
        <v>Ayesha Ahmed</v>
      </c>
      <c r="U493" s="6" t="str">
        <f>_xlfn.XLOOKUP(FactSales[[#This Row],[Salesperson_ID]],DimSalesman[Salesperson_ID],DimSalesman[Salesperson_Name])</f>
        <v>Mim Akter</v>
      </c>
      <c r="V493" s="6" t="str">
        <f>_xlfn.XLOOKUP(FactSales[[#This Row],[Region_ID]],DimRegion[Region_ID],DimRegion[Region_Name])</f>
        <v>Barishal</v>
      </c>
      <c r="W493" s="6" t="str">
        <f>_xlfn.XLOOKUP(FactSales[[#This Row],[Store_ID]],DimStore[Store_ID],DimStore[Store_Name])</f>
        <v>Barishal Chowmatha Store</v>
      </c>
    </row>
    <row r="494" spans="1:23">
      <c r="A494" s="4" t="s">
        <v>1490</v>
      </c>
      <c r="B494" s="5">
        <v>46005</v>
      </c>
      <c r="C494" s="4" t="s">
        <v>329</v>
      </c>
      <c r="D494" s="4" t="s">
        <v>42</v>
      </c>
      <c r="E494" s="4" t="s">
        <v>671</v>
      </c>
      <c r="F494" s="4" t="s">
        <v>949</v>
      </c>
      <c r="G494" s="4" t="s">
        <v>887</v>
      </c>
      <c r="H494" s="4">
        <v>8</v>
      </c>
      <c r="I494" s="7">
        <v>0.1</v>
      </c>
      <c r="J494" s="6">
        <v>19440</v>
      </c>
      <c r="K494" s="4">
        <v>5</v>
      </c>
      <c r="L494" s="8">
        <f t="shared" si="7"/>
        <v>3.4</v>
      </c>
      <c r="M494" s="6" t="str">
        <f>_xlfn.XLOOKUP(FactSales[[#This Row],[Product_ID]],DimProduct[Product_ID],DimProduct[Product_Name])</f>
        <v>Color Pencil Set</v>
      </c>
      <c r="N494" s="6" t="str">
        <f>_xlfn.XLOOKUP(FactSales[[#This Row],[Product_ID]],DimProduct[Product_ID],DimProduct[Category])</f>
        <v>Kids &amp; Toys</v>
      </c>
      <c r="O494" s="6">
        <f>_xlfn.XLOOKUP(FactSales[[#This Row],[Product_ID]],DimProduct[Product_ID],DimProduct[Unit_Price])</f>
        <v>2250</v>
      </c>
      <c r="P494" s="6">
        <f>_xlfn.XLOOKUP(FactSales[[#This Row],[Product_ID]],DimProduct[Product_ID],DimProduct[Unit_Cost])</f>
        <v>1240</v>
      </c>
      <c r="Q494" s="6">
        <f>FactSales[[#This Row],[Unit_Price]]*FactSales[[#This Row],[Quantity_Sold]]</f>
        <v>18000</v>
      </c>
      <c r="R494" s="6">
        <f>FactSales[[#This Row],[Unit_Cost]]*FactSales[[#This Row],[Quantity_Sold]]</f>
        <v>9920</v>
      </c>
      <c r="S494" s="6">
        <f>FactSales[[#This Row],[Sales_Amount]]-FactSales[[#This Row],[Total_Cost]]</f>
        <v>8080</v>
      </c>
      <c r="T494" s="6" t="str">
        <f>_xlfn.XLOOKUP(FactSales[[#This Row],[Customer_ID]],DimCustomer[Customer_ID],DimCustomer[Customer_Name])</f>
        <v>Mim Chowdhury</v>
      </c>
      <c r="U494" s="6" t="str">
        <f>_xlfn.XLOOKUP(FactSales[[#This Row],[Salesperson_ID]],DimSalesman[Salesperson_ID],DimSalesman[Salesperson_Name])</f>
        <v>Mahmud Chowdhury</v>
      </c>
      <c r="V494" s="6" t="str">
        <f>_xlfn.XLOOKUP(FactSales[[#This Row],[Region_ID]],DimRegion[Region_ID],DimRegion[Region_Name])</f>
        <v>Rajshahi</v>
      </c>
      <c r="W494" s="6" t="str">
        <f>_xlfn.XLOOKUP(FactSales[[#This Row],[Store_ID]],DimStore[Store_ID],DimStore[Store_Name])</f>
        <v>Rajshahi Kazla Store</v>
      </c>
    </row>
    <row r="495" spans="1:23">
      <c r="A495" s="4" t="s">
        <v>1491</v>
      </c>
      <c r="B495" s="5">
        <v>45823</v>
      </c>
      <c r="C495" s="4" t="s">
        <v>520</v>
      </c>
      <c r="D495" s="4" t="s">
        <v>57</v>
      </c>
      <c r="E495" s="4" t="s">
        <v>719</v>
      </c>
      <c r="F495" s="4" t="s">
        <v>974</v>
      </c>
      <c r="G495" s="4" t="s">
        <v>864</v>
      </c>
      <c r="H495" s="4">
        <v>3</v>
      </c>
      <c r="I495" s="7">
        <v>0.03</v>
      </c>
      <c r="J495" s="6">
        <v>1380</v>
      </c>
      <c r="K495" s="4">
        <v>7</v>
      </c>
      <c r="L495" s="8">
        <f t="shared" si="7"/>
        <v>2.9</v>
      </c>
      <c r="M495" s="6" t="str">
        <f>_xlfn.XLOOKUP(FactSales[[#This Row],[Product_ID]],DimProduct[Product_ID],DimProduct[Product_Name])</f>
        <v>Notebook Pack</v>
      </c>
      <c r="N495" s="6" t="str">
        <f>_xlfn.XLOOKUP(FactSales[[#This Row],[Product_ID]],DimProduct[Product_ID],DimProduct[Category])</f>
        <v>Stationery</v>
      </c>
      <c r="O495" s="6">
        <f>_xlfn.XLOOKUP(FactSales[[#This Row],[Product_ID]],DimProduct[Product_ID],DimProduct[Unit_Price])</f>
        <v>400</v>
      </c>
      <c r="P495" s="6">
        <f>_xlfn.XLOOKUP(FactSales[[#This Row],[Product_ID]],DimProduct[Product_ID],DimProduct[Unit_Cost])</f>
        <v>200</v>
      </c>
      <c r="Q495" s="6">
        <f>FactSales[[#This Row],[Unit_Price]]*FactSales[[#This Row],[Quantity_Sold]]</f>
        <v>1200</v>
      </c>
      <c r="R495" s="6">
        <f>FactSales[[#This Row],[Unit_Cost]]*FactSales[[#This Row],[Quantity_Sold]]</f>
        <v>600</v>
      </c>
      <c r="S495" s="6">
        <f>FactSales[[#This Row],[Sales_Amount]]-FactSales[[#This Row],[Total_Cost]]</f>
        <v>600</v>
      </c>
      <c r="T495" s="6" t="str">
        <f>_xlfn.XLOOKUP(FactSales[[#This Row],[Customer_ID]],DimCustomer[Customer_ID],DimCustomer[Customer_Name])</f>
        <v>Samiha Uddin</v>
      </c>
      <c r="U495" s="6" t="str">
        <f>_xlfn.XLOOKUP(FactSales[[#This Row],[Salesperson_ID]],DimSalesman[Salesperson_ID],DimSalesman[Salesperson_Name])</f>
        <v>Farhana Uddin</v>
      </c>
      <c r="V495" s="6" t="str">
        <f>_xlfn.XLOOKUP(FactSales[[#This Row],[Region_ID]],DimRegion[Region_ID],DimRegion[Region_Name])</f>
        <v>Rangpur</v>
      </c>
      <c r="W495" s="6" t="str">
        <f>_xlfn.XLOOKUP(FactSales[[#This Row],[Store_ID]],DimStore[Store_ID],DimStore[Store_Name])</f>
        <v>Rangpur Modern More Store</v>
      </c>
    </row>
    <row r="496" spans="1:23">
      <c r="A496" s="4" t="s">
        <v>1492</v>
      </c>
      <c r="B496" s="5">
        <v>45818</v>
      </c>
      <c r="C496" s="4" t="s">
        <v>207</v>
      </c>
      <c r="D496" s="4" t="s">
        <v>32</v>
      </c>
      <c r="E496" s="4" t="s">
        <v>647</v>
      </c>
      <c r="F496" s="4" t="s">
        <v>924</v>
      </c>
      <c r="G496" s="4" t="s">
        <v>762</v>
      </c>
      <c r="H496" s="4">
        <v>3</v>
      </c>
      <c r="I496" s="7">
        <v>0.08</v>
      </c>
      <c r="J496" s="6">
        <v>13235</v>
      </c>
      <c r="K496" s="4">
        <v>6</v>
      </c>
      <c r="L496" s="8">
        <f t="shared" si="7"/>
        <v>3.1</v>
      </c>
      <c r="M496" s="6" t="str">
        <f>_xlfn.XLOOKUP(FactSales[[#This Row],[Product_ID]],DimProduct[Product_ID],DimProduct[Product_Name])</f>
        <v>Smart Watch</v>
      </c>
      <c r="N496" s="6" t="str">
        <f>_xlfn.XLOOKUP(FactSales[[#This Row],[Product_ID]],DimProduct[Product_ID],DimProduct[Category])</f>
        <v>Electronics</v>
      </c>
      <c r="O496" s="6">
        <f>_xlfn.XLOOKUP(FactSales[[#This Row],[Product_ID]],DimProduct[Product_ID],DimProduct[Unit_Price])</f>
        <v>3870</v>
      </c>
      <c r="P496" s="6">
        <f>_xlfn.XLOOKUP(FactSales[[#This Row],[Product_ID]],DimProduct[Product_ID],DimProduct[Unit_Cost])</f>
        <v>2630</v>
      </c>
      <c r="Q496" s="6">
        <f>FactSales[[#This Row],[Unit_Price]]*FactSales[[#This Row],[Quantity_Sold]]</f>
        <v>11610</v>
      </c>
      <c r="R496" s="6">
        <f>FactSales[[#This Row],[Unit_Cost]]*FactSales[[#This Row],[Quantity_Sold]]</f>
        <v>7890</v>
      </c>
      <c r="S496" s="6">
        <f>FactSales[[#This Row],[Sales_Amount]]-FactSales[[#This Row],[Total_Cost]]</f>
        <v>3720</v>
      </c>
      <c r="T496" s="6" t="str">
        <f>_xlfn.XLOOKUP(FactSales[[#This Row],[Customer_ID]],DimCustomer[Customer_ID],DimCustomer[Customer_Name])</f>
        <v>Sadia Sultana</v>
      </c>
      <c r="U496" s="6" t="str">
        <f>_xlfn.XLOOKUP(FactSales[[#This Row],[Salesperson_ID]],DimSalesman[Salesperson_ID],DimSalesman[Salesperson_Name])</f>
        <v>Rumana Khan</v>
      </c>
      <c r="V496" s="6" t="str">
        <f>_xlfn.XLOOKUP(FactSales[[#This Row],[Region_ID]],DimRegion[Region_ID],DimRegion[Region_Name])</f>
        <v>Chattogram</v>
      </c>
      <c r="W496" s="6" t="str">
        <f>_xlfn.XLOOKUP(FactSales[[#This Row],[Store_ID]],DimStore[Store_ID],DimStore[Store_Name])</f>
        <v>Chattogram Nasirabad Store</v>
      </c>
    </row>
    <row r="497" spans="1:23">
      <c r="A497" s="4" t="s">
        <v>1493</v>
      </c>
      <c r="B497" s="5">
        <v>45676</v>
      </c>
      <c r="C497" s="4" t="s">
        <v>575</v>
      </c>
      <c r="D497" s="4" t="s">
        <v>62</v>
      </c>
      <c r="E497" s="4" t="s">
        <v>731</v>
      </c>
      <c r="F497" s="4" t="s">
        <v>979</v>
      </c>
      <c r="G497" s="4" t="s">
        <v>810</v>
      </c>
      <c r="H497" s="4">
        <v>2</v>
      </c>
      <c r="I497" s="7">
        <v>0.03</v>
      </c>
      <c r="J497" s="6">
        <v>950</v>
      </c>
      <c r="K497" s="4">
        <v>1</v>
      </c>
      <c r="L497" s="8">
        <f t="shared" si="7"/>
        <v>4.8</v>
      </c>
      <c r="M497" s="6" t="str">
        <f>_xlfn.XLOOKUP(FactSales[[#This Row],[Product_ID]],DimProduct[Product_ID],DimProduct[Product_Name])</f>
        <v>Flour 2kg</v>
      </c>
      <c r="N497" s="6" t="str">
        <f>_xlfn.XLOOKUP(FactSales[[#This Row],[Product_ID]],DimProduct[Product_ID],DimProduct[Category])</f>
        <v>Grocery</v>
      </c>
      <c r="O497" s="6">
        <f>_xlfn.XLOOKUP(FactSales[[#This Row],[Product_ID]],DimProduct[Product_ID],DimProduct[Unit_Price])</f>
        <v>440</v>
      </c>
      <c r="P497" s="6">
        <f>_xlfn.XLOOKUP(FactSales[[#This Row],[Product_ID]],DimProduct[Product_ID],DimProduct[Unit_Cost])</f>
        <v>340</v>
      </c>
      <c r="Q497" s="6">
        <f>FactSales[[#This Row],[Unit_Price]]*FactSales[[#This Row],[Quantity_Sold]]</f>
        <v>880</v>
      </c>
      <c r="R497" s="6">
        <f>FactSales[[#This Row],[Unit_Cost]]*FactSales[[#This Row],[Quantity_Sold]]</f>
        <v>680</v>
      </c>
      <c r="S497" s="6">
        <f>FactSales[[#This Row],[Sales_Amount]]-FactSales[[#This Row],[Total_Cost]]</f>
        <v>200</v>
      </c>
      <c r="T497" s="6" t="str">
        <f>_xlfn.XLOOKUP(FactSales[[#This Row],[Customer_ID]],DimCustomer[Customer_ID],DimCustomer[Customer_Name])</f>
        <v>Jannat Sultana</v>
      </c>
      <c r="U497" s="6" t="str">
        <f>_xlfn.XLOOKUP(FactSales[[#This Row],[Salesperson_ID]],DimSalesman[Salesperson_ID],DimSalesman[Salesperson_Name])</f>
        <v>Rahim Rahman</v>
      </c>
      <c r="V497" s="6" t="str">
        <f>_xlfn.XLOOKUP(FactSales[[#This Row],[Region_ID]],DimRegion[Region_ID],DimRegion[Region_Name])</f>
        <v>Mymensingh</v>
      </c>
      <c r="W497" s="6" t="str">
        <f>_xlfn.XLOOKUP(FactSales[[#This Row],[Store_ID]],DimStore[Store_ID],DimStore[Store_Name])</f>
        <v>Mymensingh Town Hall Store</v>
      </c>
    </row>
    <row r="498" spans="1:23">
      <c r="A498" s="4" t="s">
        <v>1494</v>
      </c>
      <c r="B498" s="5">
        <v>46173</v>
      </c>
      <c r="C498" s="4" t="s">
        <v>477</v>
      </c>
      <c r="D498" s="4" t="s">
        <v>52</v>
      </c>
      <c r="E498" s="4" t="s">
        <v>701</v>
      </c>
      <c r="F498" s="4" t="s">
        <v>961</v>
      </c>
      <c r="G498" s="4" t="s">
        <v>871</v>
      </c>
      <c r="H498" s="4">
        <v>1</v>
      </c>
      <c r="I498" s="7">
        <v>0</v>
      </c>
      <c r="J498" s="6">
        <v>381</v>
      </c>
      <c r="K498" s="4">
        <v>5</v>
      </c>
      <c r="L498" s="8">
        <f t="shared" si="7"/>
        <v>3.6</v>
      </c>
      <c r="M498" s="6" t="str">
        <f>_xlfn.XLOOKUP(FactSales[[#This Row],[Product_ID]],DimProduct[Product_ID],DimProduct[Product_Name])</f>
        <v>Office File Set</v>
      </c>
      <c r="N498" s="6" t="str">
        <f>_xlfn.XLOOKUP(FactSales[[#This Row],[Product_ID]],DimProduct[Product_ID],DimProduct[Category])</f>
        <v>Stationery</v>
      </c>
      <c r="O498" s="6">
        <f>_xlfn.XLOOKUP(FactSales[[#This Row],[Product_ID]],DimProduct[Product_ID],DimProduct[Unit_Price])</f>
        <v>340</v>
      </c>
      <c r="P498" s="6">
        <f>_xlfn.XLOOKUP(FactSales[[#This Row],[Product_ID]],DimProduct[Product_ID],DimProduct[Unit_Cost])</f>
        <v>170</v>
      </c>
      <c r="Q498" s="6">
        <f>FactSales[[#This Row],[Unit_Price]]*FactSales[[#This Row],[Quantity_Sold]]</f>
        <v>340</v>
      </c>
      <c r="R498" s="6">
        <f>FactSales[[#This Row],[Unit_Cost]]*FactSales[[#This Row],[Quantity_Sold]]</f>
        <v>170</v>
      </c>
      <c r="S498" s="6">
        <f>FactSales[[#This Row],[Sales_Amount]]-FactSales[[#This Row],[Total_Cost]]</f>
        <v>170</v>
      </c>
      <c r="T498" s="6" t="str">
        <f>_xlfn.XLOOKUP(FactSales[[#This Row],[Customer_ID]],DimCustomer[Customer_ID],DimCustomer[Customer_Name])</f>
        <v>Jannat Hossain</v>
      </c>
      <c r="U498" s="6" t="str">
        <f>_xlfn.XLOOKUP(FactSales[[#This Row],[Salesperson_ID]],DimSalesman[Salesperson_ID],DimSalesman[Salesperson_Name])</f>
        <v>Shaila Akter</v>
      </c>
      <c r="V498" s="6" t="str">
        <f>_xlfn.XLOOKUP(FactSales[[#This Row],[Region_ID]],DimRegion[Region_ID],DimRegion[Region_Name])</f>
        <v>Barishal</v>
      </c>
      <c r="W498" s="6" t="str">
        <f>_xlfn.XLOOKUP(FactSales[[#This Row],[Store_ID]],DimStore[Store_ID],DimStore[Store_Name])</f>
        <v>Barishal Sadar Road Store</v>
      </c>
    </row>
    <row r="499" spans="1:23">
      <c r="A499" s="4" t="s">
        <v>1495</v>
      </c>
      <c r="B499" s="5">
        <v>46006</v>
      </c>
      <c r="C499" s="4" t="s">
        <v>295</v>
      </c>
      <c r="D499" s="4" t="s">
        <v>42</v>
      </c>
      <c r="E499" s="4" t="s">
        <v>680</v>
      </c>
      <c r="F499" s="4" t="s">
        <v>944</v>
      </c>
      <c r="G499" s="4" t="s">
        <v>794</v>
      </c>
      <c r="H499" s="4">
        <v>4</v>
      </c>
      <c r="I499" s="7">
        <v>0.12</v>
      </c>
      <c r="J499" s="6">
        <v>3802</v>
      </c>
      <c r="K499" s="4">
        <v>5</v>
      </c>
      <c r="L499" s="8">
        <f t="shared" si="7"/>
        <v>3.3</v>
      </c>
      <c r="M499" s="6" t="str">
        <f>_xlfn.XLOOKUP(FactSales[[#This Row],[Product_ID]],DimProduct[Product_ID],DimProduct[Product_Name])</f>
        <v>Denim Jeans</v>
      </c>
      <c r="N499" s="6" t="str">
        <f>_xlfn.XLOOKUP(FactSales[[#This Row],[Product_ID]],DimProduct[Product_ID],DimProduct[Category])</f>
        <v>Fashion</v>
      </c>
      <c r="O499" s="6">
        <f>_xlfn.XLOOKUP(FactSales[[#This Row],[Product_ID]],DimProduct[Product_ID],DimProduct[Unit_Price])</f>
        <v>880</v>
      </c>
      <c r="P499" s="6">
        <f>_xlfn.XLOOKUP(FactSales[[#This Row],[Product_ID]],DimProduct[Product_ID],DimProduct[Unit_Cost])</f>
        <v>480</v>
      </c>
      <c r="Q499" s="6">
        <f>FactSales[[#This Row],[Unit_Price]]*FactSales[[#This Row],[Quantity_Sold]]</f>
        <v>3520</v>
      </c>
      <c r="R499" s="6">
        <f>FactSales[[#This Row],[Unit_Cost]]*FactSales[[#This Row],[Quantity_Sold]]</f>
        <v>1920</v>
      </c>
      <c r="S499" s="6">
        <f>FactSales[[#This Row],[Sales_Amount]]-FactSales[[#This Row],[Total_Cost]]</f>
        <v>1600</v>
      </c>
      <c r="T499" s="6" t="str">
        <f>_xlfn.XLOOKUP(FactSales[[#This Row],[Customer_ID]],DimCustomer[Customer_ID],DimCustomer[Customer_Name])</f>
        <v>Jannat Islam</v>
      </c>
      <c r="U499" s="6" t="str">
        <f>_xlfn.XLOOKUP(FactSales[[#This Row],[Salesperson_ID]],DimSalesman[Salesperson_ID],DimSalesman[Salesperson_Name])</f>
        <v>Karim Khan</v>
      </c>
      <c r="V499" s="6" t="str">
        <f>_xlfn.XLOOKUP(FactSales[[#This Row],[Region_ID]],DimRegion[Region_ID],DimRegion[Region_Name])</f>
        <v>Rajshahi</v>
      </c>
      <c r="W499" s="6" t="str">
        <f>_xlfn.XLOOKUP(FactSales[[#This Row],[Store_ID]],DimStore[Store_ID],DimStore[Store_Name])</f>
        <v>Rajshahi Lakshmipur Store</v>
      </c>
    </row>
    <row r="500" spans="1:23">
      <c r="A500" s="4" t="s">
        <v>1496</v>
      </c>
      <c r="B500" s="5">
        <v>45709</v>
      </c>
      <c r="C500" s="4" t="s">
        <v>366</v>
      </c>
      <c r="D500" s="4" t="s">
        <v>47</v>
      </c>
      <c r="E500" s="4" t="s">
        <v>695</v>
      </c>
      <c r="F500" s="4" t="s">
        <v>956</v>
      </c>
      <c r="G500" s="4" t="s">
        <v>838</v>
      </c>
      <c r="H500" s="4">
        <v>6</v>
      </c>
      <c r="I500" s="7">
        <v>0.1</v>
      </c>
      <c r="J500" s="6">
        <v>7913</v>
      </c>
      <c r="K500" s="4">
        <v>4</v>
      </c>
      <c r="L500" s="8">
        <f t="shared" si="7"/>
        <v>3.7</v>
      </c>
      <c r="M500" s="6" t="str">
        <f>_xlfn.XLOOKUP(FactSales[[#This Row],[Product_ID]],DimProduct[Product_ID],DimProduct[Product_Name])</f>
        <v>Formal Shoe</v>
      </c>
      <c r="N500" s="6" t="str">
        <f>_xlfn.XLOOKUP(FactSales[[#This Row],[Product_ID]],DimProduct[Product_ID],DimProduct[Category])</f>
        <v>Footwear</v>
      </c>
      <c r="O500" s="6">
        <f>_xlfn.XLOOKUP(FactSales[[#This Row],[Product_ID]],DimProduct[Product_ID],DimProduct[Unit_Price])</f>
        <v>1210</v>
      </c>
      <c r="P500" s="6">
        <f>_xlfn.XLOOKUP(FactSales[[#This Row],[Product_ID]],DimProduct[Product_ID],DimProduct[Unit_Cost])</f>
        <v>730</v>
      </c>
      <c r="Q500" s="6">
        <f>FactSales[[#This Row],[Unit_Price]]*FactSales[[#This Row],[Quantity_Sold]]</f>
        <v>7260</v>
      </c>
      <c r="R500" s="6">
        <f>FactSales[[#This Row],[Unit_Cost]]*FactSales[[#This Row],[Quantity_Sold]]</f>
        <v>4380</v>
      </c>
      <c r="S500" s="6">
        <f>FactSales[[#This Row],[Sales_Amount]]-FactSales[[#This Row],[Total_Cost]]</f>
        <v>2880</v>
      </c>
      <c r="T500" s="6" t="str">
        <f>_xlfn.XLOOKUP(FactSales[[#This Row],[Customer_ID]],DimCustomer[Customer_ID],DimCustomer[Customer_Name])</f>
        <v>Sajib Hossain</v>
      </c>
      <c r="U500" s="6" t="str">
        <f>_xlfn.XLOOKUP(FactSales[[#This Row],[Salesperson_ID]],DimSalesman[Salesperson_ID],DimSalesman[Salesperson_Name])</f>
        <v>Rafi Ahmed</v>
      </c>
      <c r="V500" s="6" t="str">
        <f>_xlfn.XLOOKUP(FactSales[[#This Row],[Region_ID]],DimRegion[Region_ID],DimRegion[Region_Name])</f>
        <v>Khulna</v>
      </c>
      <c r="W500" s="6" t="str">
        <f>_xlfn.XLOOKUP(FactSales[[#This Row],[Store_ID]],DimStore[Store_ID],DimStore[Store_Name])</f>
        <v>Khulna Shibbari Store</v>
      </c>
    </row>
    <row r="501" spans="1:23">
      <c r="A501" s="4" t="s">
        <v>1497</v>
      </c>
      <c r="B501" s="5">
        <v>45762</v>
      </c>
      <c r="C501" s="4" t="s">
        <v>156</v>
      </c>
      <c r="D501" s="4" t="s">
        <v>32</v>
      </c>
      <c r="E501" s="4" t="s">
        <v>650</v>
      </c>
      <c r="F501" s="4" t="s">
        <v>929</v>
      </c>
      <c r="G501" s="4" t="s">
        <v>862</v>
      </c>
      <c r="H501" s="4">
        <v>5</v>
      </c>
      <c r="I501" s="7">
        <v>0.12</v>
      </c>
      <c r="J501" s="6">
        <v>6327</v>
      </c>
      <c r="K501" s="4">
        <v>1</v>
      </c>
      <c r="L501" s="8">
        <f t="shared" si="7"/>
        <v>4.5999999999999996</v>
      </c>
      <c r="M501" s="6" t="str">
        <f>_xlfn.XLOOKUP(FactSales[[#This Row],[Product_ID]],DimProduct[Product_ID],DimProduct[Product_Name])</f>
        <v>Dumbbell Set</v>
      </c>
      <c r="N501" s="6" t="str">
        <f>_xlfn.XLOOKUP(FactSales[[#This Row],[Product_ID]],DimProduct[Product_ID],DimProduct[Category])</f>
        <v>Sports</v>
      </c>
      <c r="O501" s="6">
        <f>_xlfn.XLOOKUP(FactSales[[#This Row],[Product_ID]],DimProduct[Product_ID],DimProduct[Unit_Price])</f>
        <v>1110</v>
      </c>
      <c r="P501" s="6">
        <f>_xlfn.XLOOKUP(FactSales[[#This Row],[Product_ID]],DimProduct[Product_ID],DimProduct[Unit_Cost])</f>
        <v>690</v>
      </c>
      <c r="Q501" s="6">
        <f>FactSales[[#This Row],[Unit_Price]]*FactSales[[#This Row],[Quantity_Sold]]</f>
        <v>5550</v>
      </c>
      <c r="R501" s="6">
        <f>FactSales[[#This Row],[Unit_Cost]]*FactSales[[#This Row],[Quantity_Sold]]</f>
        <v>3450</v>
      </c>
      <c r="S501" s="6">
        <f>FactSales[[#This Row],[Sales_Amount]]-FactSales[[#This Row],[Total_Cost]]</f>
        <v>2100</v>
      </c>
      <c r="T501" s="6" t="str">
        <f>_xlfn.XLOOKUP(FactSales[[#This Row],[Customer_ID]],DimCustomer[Customer_ID],DimCustomer[Customer_Name])</f>
        <v>Shaila Mia</v>
      </c>
      <c r="U501" s="6" t="str">
        <f>_xlfn.XLOOKUP(FactSales[[#This Row],[Salesperson_ID]],DimSalesman[Salesperson_ID],DimSalesman[Salesperson_Name])</f>
        <v>Nabila Mia</v>
      </c>
      <c r="V501" s="6" t="str">
        <f>_xlfn.XLOOKUP(FactSales[[#This Row],[Region_ID]],DimRegion[Region_ID],DimRegion[Region_Name])</f>
        <v>Chattogram</v>
      </c>
      <c r="W501" s="6" t="str">
        <f>_xlfn.XLOOKUP(FactSales[[#This Row],[Store_ID]],DimStore[Store_ID],DimStore[Store_Name])</f>
        <v>Chattogram Halishahar Store</v>
      </c>
    </row>
    <row r="502" spans="1:23">
      <c r="A502" s="4" t="s">
        <v>1498</v>
      </c>
      <c r="B502" s="5">
        <v>45818</v>
      </c>
      <c r="C502" s="4" t="s">
        <v>162</v>
      </c>
      <c r="D502" s="4" t="s">
        <v>32</v>
      </c>
      <c r="E502" s="4" t="s">
        <v>638</v>
      </c>
      <c r="F502" s="4" t="s">
        <v>924</v>
      </c>
      <c r="G502" s="4" t="s">
        <v>887</v>
      </c>
      <c r="H502" s="4">
        <v>4</v>
      </c>
      <c r="I502" s="7">
        <v>0.1</v>
      </c>
      <c r="J502" s="6">
        <v>10260</v>
      </c>
      <c r="K502" s="4">
        <v>5</v>
      </c>
      <c r="L502" s="8">
        <f t="shared" si="7"/>
        <v>3.4</v>
      </c>
      <c r="M502" s="6" t="str">
        <f>_xlfn.XLOOKUP(FactSales[[#This Row],[Product_ID]],DimProduct[Product_ID],DimProduct[Product_Name])</f>
        <v>Color Pencil Set</v>
      </c>
      <c r="N502" s="6" t="str">
        <f>_xlfn.XLOOKUP(FactSales[[#This Row],[Product_ID]],DimProduct[Product_ID],DimProduct[Category])</f>
        <v>Kids &amp; Toys</v>
      </c>
      <c r="O502" s="6">
        <f>_xlfn.XLOOKUP(FactSales[[#This Row],[Product_ID]],DimProduct[Product_ID],DimProduct[Unit_Price])</f>
        <v>2250</v>
      </c>
      <c r="P502" s="6">
        <f>_xlfn.XLOOKUP(FactSales[[#This Row],[Product_ID]],DimProduct[Product_ID],DimProduct[Unit_Cost])</f>
        <v>1240</v>
      </c>
      <c r="Q502" s="6">
        <f>FactSales[[#This Row],[Unit_Price]]*FactSales[[#This Row],[Quantity_Sold]]</f>
        <v>9000</v>
      </c>
      <c r="R502" s="6">
        <f>FactSales[[#This Row],[Unit_Cost]]*FactSales[[#This Row],[Quantity_Sold]]</f>
        <v>4960</v>
      </c>
      <c r="S502" s="6">
        <f>FactSales[[#This Row],[Sales_Amount]]-FactSales[[#This Row],[Total_Cost]]</f>
        <v>4040</v>
      </c>
      <c r="T502" s="6" t="str">
        <f>_xlfn.XLOOKUP(FactSales[[#This Row],[Customer_ID]],DimCustomer[Customer_ID],DimCustomer[Customer_Name])</f>
        <v>Karim Rahman</v>
      </c>
      <c r="U502" s="6" t="str">
        <f>_xlfn.XLOOKUP(FactSales[[#This Row],[Salesperson_ID]],DimSalesman[Salesperson_ID],DimSalesman[Salesperson_Name])</f>
        <v>Rumana Khan</v>
      </c>
      <c r="V502" s="6" t="str">
        <f>_xlfn.XLOOKUP(FactSales[[#This Row],[Region_ID]],DimRegion[Region_ID],DimRegion[Region_Name])</f>
        <v>Chattogram</v>
      </c>
      <c r="W502" s="6" t="str">
        <f>_xlfn.XLOOKUP(FactSales[[#This Row],[Store_ID]],DimStore[Store_ID],DimStore[Store_Name])</f>
        <v>Chattogram Agrabad Store</v>
      </c>
    </row>
    <row r="503" spans="1:23">
      <c r="A503" s="4" t="s">
        <v>1499</v>
      </c>
      <c r="B503" s="5">
        <v>45783</v>
      </c>
      <c r="C503" s="4" t="s">
        <v>159</v>
      </c>
      <c r="D503" s="4" t="s">
        <v>32</v>
      </c>
      <c r="E503" s="4" t="s">
        <v>644</v>
      </c>
      <c r="F503" s="4" t="s">
        <v>926</v>
      </c>
      <c r="G503" s="4" t="s">
        <v>868</v>
      </c>
      <c r="H503" s="4">
        <v>5</v>
      </c>
      <c r="I503" s="7">
        <v>0.05</v>
      </c>
      <c r="J503" s="6">
        <v>1938</v>
      </c>
      <c r="K503" s="4">
        <v>3</v>
      </c>
      <c r="L503" s="8">
        <f t="shared" si="7"/>
        <v>4.0999999999999996</v>
      </c>
      <c r="M503" s="6" t="str">
        <f>_xlfn.XLOOKUP(FactSales[[#This Row],[Product_ID]],DimProduct[Product_ID],DimProduct[Product_Name])</f>
        <v>Ball Pen Box</v>
      </c>
      <c r="N503" s="6" t="str">
        <f>_xlfn.XLOOKUP(FactSales[[#This Row],[Product_ID]],DimProduct[Product_ID],DimProduct[Category])</f>
        <v>Stationery</v>
      </c>
      <c r="O503" s="6">
        <f>_xlfn.XLOOKUP(FactSales[[#This Row],[Product_ID]],DimProduct[Product_ID],DimProduct[Unit_Price])</f>
        <v>340</v>
      </c>
      <c r="P503" s="6">
        <f>_xlfn.XLOOKUP(FactSales[[#This Row],[Product_ID]],DimProduct[Product_ID],DimProduct[Unit_Cost])</f>
        <v>170</v>
      </c>
      <c r="Q503" s="6">
        <f>FactSales[[#This Row],[Unit_Price]]*FactSales[[#This Row],[Quantity_Sold]]</f>
        <v>1700</v>
      </c>
      <c r="R503" s="6">
        <f>FactSales[[#This Row],[Unit_Cost]]*FactSales[[#This Row],[Quantity_Sold]]</f>
        <v>850</v>
      </c>
      <c r="S503" s="6">
        <f>FactSales[[#This Row],[Sales_Amount]]-FactSales[[#This Row],[Total_Cost]]</f>
        <v>850</v>
      </c>
      <c r="T503" s="6" t="str">
        <f>_xlfn.XLOOKUP(FactSales[[#This Row],[Customer_ID]],DimCustomer[Customer_ID],DimCustomer[Customer_Name])</f>
        <v>Shakib Mia</v>
      </c>
      <c r="U503" s="6" t="str">
        <f>_xlfn.XLOOKUP(FactSales[[#This Row],[Salesperson_ID]],DimSalesman[Salesperson_ID],DimSalesman[Salesperson_Name])</f>
        <v>Rafi Akter</v>
      </c>
      <c r="V503" s="6" t="str">
        <f>_xlfn.XLOOKUP(FactSales[[#This Row],[Region_ID]],DimRegion[Region_ID],DimRegion[Region_Name])</f>
        <v>Chattogram</v>
      </c>
      <c r="W503" s="6" t="str">
        <f>_xlfn.XLOOKUP(FactSales[[#This Row],[Store_ID]],DimStore[Store_ID],DimStore[Store_Name])</f>
        <v>Chattogram Panchlaish Store</v>
      </c>
    </row>
    <row r="504" spans="1:23">
      <c r="A504" s="4" t="s">
        <v>1500</v>
      </c>
      <c r="B504" s="5">
        <v>46143</v>
      </c>
      <c r="C504" s="4" t="s">
        <v>548</v>
      </c>
      <c r="D504" s="4" t="s">
        <v>57</v>
      </c>
      <c r="E504" s="4" t="s">
        <v>713</v>
      </c>
      <c r="F504" s="4" t="s">
        <v>970</v>
      </c>
      <c r="G504" s="4" t="s">
        <v>874</v>
      </c>
      <c r="H504" s="4">
        <v>2</v>
      </c>
      <c r="I504" s="7">
        <v>0.02</v>
      </c>
      <c r="J504" s="6">
        <v>2392</v>
      </c>
      <c r="K504" s="4">
        <v>7</v>
      </c>
      <c r="L504" s="8">
        <f t="shared" si="7"/>
        <v>2.9</v>
      </c>
      <c r="M504" s="6" t="str">
        <f>_xlfn.XLOOKUP(FactSales[[#This Row],[Product_ID]],DimProduct[Product_ID],DimProduct[Product_Name])</f>
        <v>Marker Set</v>
      </c>
      <c r="N504" s="6" t="str">
        <f>_xlfn.XLOOKUP(FactSales[[#This Row],[Product_ID]],DimProduct[Product_ID],DimProduct[Category])</f>
        <v>Stationery</v>
      </c>
      <c r="O504" s="6">
        <f>_xlfn.XLOOKUP(FactSales[[#This Row],[Product_ID]],DimProduct[Product_ID],DimProduct[Unit_Price])</f>
        <v>1040</v>
      </c>
      <c r="P504" s="6">
        <f>_xlfn.XLOOKUP(FactSales[[#This Row],[Product_ID]],DimProduct[Product_ID],DimProduct[Unit_Cost])</f>
        <v>520</v>
      </c>
      <c r="Q504" s="6">
        <f>FactSales[[#This Row],[Unit_Price]]*FactSales[[#This Row],[Quantity_Sold]]</f>
        <v>2080</v>
      </c>
      <c r="R504" s="6">
        <f>FactSales[[#This Row],[Unit_Cost]]*FactSales[[#This Row],[Quantity_Sold]]</f>
        <v>1040</v>
      </c>
      <c r="S504" s="6">
        <f>FactSales[[#This Row],[Sales_Amount]]-FactSales[[#This Row],[Total_Cost]]</f>
        <v>1040</v>
      </c>
      <c r="T504" s="6" t="str">
        <f>_xlfn.XLOOKUP(FactSales[[#This Row],[Customer_ID]],DimCustomer[Customer_ID],DimCustomer[Customer_Name])</f>
        <v>Samiha Islam</v>
      </c>
      <c r="U504" s="6" t="str">
        <f>_xlfn.XLOOKUP(FactSales[[#This Row],[Salesperson_ID]],DimSalesman[Salesperson_ID],DimSalesman[Salesperson_Name])</f>
        <v>Tanvir Islam</v>
      </c>
      <c r="V504" s="6" t="str">
        <f>_xlfn.XLOOKUP(FactSales[[#This Row],[Region_ID]],DimRegion[Region_ID],DimRegion[Region_Name])</f>
        <v>Rangpur</v>
      </c>
      <c r="W504" s="6" t="str">
        <f>_xlfn.XLOOKUP(FactSales[[#This Row],[Store_ID]],DimStore[Store_ID],DimStore[Store_Name])</f>
        <v>Rangpur Jahaj Company Store</v>
      </c>
    </row>
    <row r="505" spans="1:23">
      <c r="A505" s="4" t="s">
        <v>1501</v>
      </c>
      <c r="B505" s="5">
        <v>46089</v>
      </c>
      <c r="C505" s="4" t="s">
        <v>515</v>
      </c>
      <c r="D505" s="4" t="s">
        <v>57</v>
      </c>
      <c r="E505" s="4" t="s">
        <v>716</v>
      </c>
      <c r="F505" s="4" t="s">
        <v>970</v>
      </c>
      <c r="G505" s="4" t="s">
        <v>856</v>
      </c>
      <c r="H505" s="4">
        <v>4</v>
      </c>
      <c r="I505" s="7">
        <v>0.1</v>
      </c>
      <c r="J505" s="6">
        <v>14260</v>
      </c>
      <c r="K505" s="4">
        <v>7</v>
      </c>
      <c r="L505" s="8">
        <f t="shared" si="7"/>
        <v>2.7</v>
      </c>
      <c r="M505" s="6" t="str">
        <f>_xlfn.XLOOKUP(FactSales[[#This Row],[Product_ID]],DimProduct[Product_ID],DimProduct[Product_Name])</f>
        <v>Badminton Racket</v>
      </c>
      <c r="N505" s="6" t="str">
        <f>_xlfn.XLOOKUP(FactSales[[#This Row],[Product_ID]],DimProduct[Product_ID],DimProduct[Category])</f>
        <v>Sports</v>
      </c>
      <c r="O505" s="6">
        <f>_xlfn.XLOOKUP(FactSales[[#This Row],[Product_ID]],DimProduct[Product_ID],DimProduct[Unit_Price])</f>
        <v>3100</v>
      </c>
      <c r="P505" s="6">
        <f>_xlfn.XLOOKUP(FactSales[[#This Row],[Product_ID]],DimProduct[Product_ID],DimProduct[Unit_Cost])</f>
        <v>1920</v>
      </c>
      <c r="Q505" s="6">
        <f>FactSales[[#This Row],[Unit_Price]]*FactSales[[#This Row],[Quantity_Sold]]</f>
        <v>12400</v>
      </c>
      <c r="R505" s="6">
        <f>FactSales[[#This Row],[Unit_Cost]]*FactSales[[#This Row],[Quantity_Sold]]</f>
        <v>7680</v>
      </c>
      <c r="S505" s="6">
        <f>FactSales[[#This Row],[Sales_Amount]]-FactSales[[#This Row],[Total_Cost]]</f>
        <v>4720</v>
      </c>
      <c r="T505" s="6" t="str">
        <f>_xlfn.XLOOKUP(FactSales[[#This Row],[Customer_ID]],DimCustomer[Customer_ID],DimCustomer[Customer_Name])</f>
        <v>Rumana Hossain</v>
      </c>
      <c r="U505" s="6" t="str">
        <f>_xlfn.XLOOKUP(FactSales[[#This Row],[Salesperson_ID]],DimSalesman[Salesperson_ID],DimSalesman[Salesperson_Name])</f>
        <v>Tanvir Islam</v>
      </c>
      <c r="V505" s="6" t="str">
        <f>_xlfn.XLOOKUP(FactSales[[#This Row],[Region_ID]],DimRegion[Region_ID],DimRegion[Region_Name])</f>
        <v>Rangpur</v>
      </c>
      <c r="W505" s="6" t="str">
        <f>_xlfn.XLOOKUP(FactSales[[#This Row],[Store_ID]],DimStore[Store_ID],DimStore[Store_Name])</f>
        <v>Rangpur Shapla Chattar Store</v>
      </c>
    </row>
    <row r="506" spans="1:23">
      <c r="A506" s="4" t="s">
        <v>1502</v>
      </c>
      <c r="B506" s="5">
        <v>46028</v>
      </c>
      <c r="C506" s="4" t="s">
        <v>520</v>
      </c>
      <c r="D506" s="4" t="s">
        <v>57</v>
      </c>
      <c r="E506" s="4" t="s">
        <v>722</v>
      </c>
      <c r="F506" s="4" t="s">
        <v>976</v>
      </c>
      <c r="G506" s="4" t="s">
        <v>864</v>
      </c>
      <c r="H506" s="4">
        <v>8</v>
      </c>
      <c r="I506" s="7">
        <v>0.05</v>
      </c>
      <c r="J506" s="6">
        <v>3680</v>
      </c>
      <c r="K506" s="4">
        <v>6</v>
      </c>
      <c r="L506" s="8">
        <f t="shared" si="7"/>
        <v>3.2</v>
      </c>
      <c r="M506" s="6" t="str">
        <f>_xlfn.XLOOKUP(FactSales[[#This Row],[Product_ID]],DimProduct[Product_ID],DimProduct[Product_Name])</f>
        <v>Notebook Pack</v>
      </c>
      <c r="N506" s="6" t="str">
        <f>_xlfn.XLOOKUP(FactSales[[#This Row],[Product_ID]],DimProduct[Product_ID],DimProduct[Category])</f>
        <v>Stationery</v>
      </c>
      <c r="O506" s="6">
        <f>_xlfn.XLOOKUP(FactSales[[#This Row],[Product_ID]],DimProduct[Product_ID],DimProduct[Unit_Price])</f>
        <v>400</v>
      </c>
      <c r="P506" s="6">
        <f>_xlfn.XLOOKUP(FactSales[[#This Row],[Product_ID]],DimProduct[Product_ID],DimProduct[Unit_Cost])</f>
        <v>200</v>
      </c>
      <c r="Q506" s="6">
        <f>FactSales[[#This Row],[Unit_Price]]*FactSales[[#This Row],[Quantity_Sold]]</f>
        <v>3200</v>
      </c>
      <c r="R506" s="6">
        <f>FactSales[[#This Row],[Unit_Cost]]*FactSales[[#This Row],[Quantity_Sold]]</f>
        <v>1600</v>
      </c>
      <c r="S506" s="6">
        <f>FactSales[[#This Row],[Sales_Amount]]-FactSales[[#This Row],[Total_Cost]]</f>
        <v>1600</v>
      </c>
      <c r="T506" s="6" t="str">
        <f>_xlfn.XLOOKUP(FactSales[[#This Row],[Customer_ID]],DimCustomer[Customer_ID],DimCustomer[Customer_Name])</f>
        <v>Samiha Uddin</v>
      </c>
      <c r="U506" s="6" t="str">
        <f>_xlfn.XLOOKUP(FactSales[[#This Row],[Salesperson_ID]],DimSalesman[Salesperson_ID],DimSalesman[Salesperson_Name])</f>
        <v>Nayeem Rahman</v>
      </c>
      <c r="V506" s="6" t="str">
        <f>_xlfn.XLOOKUP(FactSales[[#This Row],[Region_ID]],DimRegion[Region_ID],DimRegion[Region_Name])</f>
        <v>Rangpur</v>
      </c>
      <c r="W506" s="6" t="str">
        <f>_xlfn.XLOOKUP(FactSales[[#This Row],[Store_ID]],DimStore[Store_ID],DimStore[Store_Name])</f>
        <v>Rangpur Dhap Store</v>
      </c>
    </row>
    <row r="507" spans="1:23">
      <c r="A507" s="4" t="s">
        <v>1503</v>
      </c>
      <c r="B507" s="5">
        <v>45826</v>
      </c>
      <c r="C507" s="4" t="s">
        <v>153</v>
      </c>
      <c r="D507" s="4" t="s">
        <v>32</v>
      </c>
      <c r="E507" s="4" t="s">
        <v>644</v>
      </c>
      <c r="F507" s="4" t="s">
        <v>926</v>
      </c>
      <c r="G507" s="4" t="s">
        <v>781</v>
      </c>
      <c r="H507" s="4">
        <v>2</v>
      </c>
      <c r="I507" s="7">
        <v>0.15</v>
      </c>
      <c r="J507" s="6">
        <v>7091</v>
      </c>
      <c r="K507" s="4">
        <v>7</v>
      </c>
      <c r="L507" s="8">
        <f t="shared" si="7"/>
        <v>2.6</v>
      </c>
      <c r="M507" s="6" t="str">
        <f>_xlfn.XLOOKUP(FactSales[[#This Row],[Product_ID]],DimProduct[Product_ID],DimProduct[Product_Name])</f>
        <v>Table Fan</v>
      </c>
      <c r="N507" s="6" t="str">
        <f>_xlfn.XLOOKUP(FactSales[[#This Row],[Product_ID]],DimProduct[Product_ID],DimProduct[Category])</f>
        <v>Home Appliance</v>
      </c>
      <c r="O507" s="6">
        <f>_xlfn.XLOOKUP(FactSales[[#This Row],[Product_ID]],DimProduct[Product_ID],DimProduct[Unit_Price])</f>
        <v>3110</v>
      </c>
      <c r="P507" s="6">
        <f>_xlfn.XLOOKUP(FactSales[[#This Row],[Product_ID]],DimProduct[Product_ID],DimProduct[Unit_Cost])</f>
        <v>2180</v>
      </c>
      <c r="Q507" s="6">
        <f>FactSales[[#This Row],[Unit_Price]]*FactSales[[#This Row],[Quantity_Sold]]</f>
        <v>6220</v>
      </c>
      <c r="R507" s="6">
        <f>FactSales[[#This Row],[Unit_Cost]]*FactSales[[#This Row],[Quantity_Sold]]</f>
        <v>4360</v>
      </c>
      <c r="S507" s="6">
        <f>FactSales[[#This Row],[Sales_Amount]]-FactSales[[#This Row],[Total_Cost]]</f>
        <v>1860</v>
      </c>
      <c r="T507" s="6" t="str">
        <f>_xlfn.XLOOKUP(FactSales[[#This Row],[Customer_ID]],DimCustomer[Customer_ID],DimCustomer[Customer_Name])</f>
        <v>Shuvo Mia</v>
      </c>
      <c r="U507" s="6" t="str">
        <f>_xlfn.XLOOKUP(FactSales[[#This Row],[Salesperson_ID]],DimSalesman[Salesperson_ID],DimSalesman[Salesperson_Name])</f>
        <v>Rafi Akter</v>
      </c>
      <c r="V507" s="6" t="str">
        <f>_xlfn.XLOOKUP(FactSales[[#This Row],[Region_ID]],DimRegion[Region_ID],DimRegion[Region_Name])</f>
        <v>Chattogram</v>
      </c>
      <c r="W507" s="6" t="str">
        <f>_xlfn.XLOOKUP(FactSales[[#This Row],[Store_ID]],DimStore[Store_ID],DimStore[Store_Name])</f>
        <v>Chattogram Panchlaish Store</v>
      </c>
    </row>
    <row r="508" spans="1:23">
      <c r="A508" s="4" t="s">
        <v>1504</v>
      </c>
      <c r="B508" s="5">
        <v>45960</v>
      </c>
      <c r="C508" s="4" t="s">
        <v>136</v>
      </c>
      <c r="D508" s="4" t="s">
        <v>27</v>
      </c>
      <c r="E508" s="4" t="s">
        <v>622</v>
      </c>
      <c r="F508" s="4" t="s">
        <v>919</v>
      </c>
      <c r="G508" s="4" t="s">
        <v>755</v>
      </c>
      <c r="H508" s="4">
        <v>2</v>
      </c>
      <c r="I508" s="7">
        <v>0.18</v>
      </c>
      <c r="J508" s="6">
        <v>7081</v>
      </c>
      <c r="K508" s="4">
        <v>4</v>
      </c>
      <c r="L508" s="8">
        <f t="shared" si="7"/>
        <v>3.5</v>
      </c>
      <c r="M508" s="6" t="str">
        <f>_xlfn.XLOOKUP(FactSales[[#This Row],[Product_ID]],DimProduct[Product_ID],DimProduct[Product_Name])</f>
        <v>Wireless Mouse</v>
      </c>
      <c r="N508" s="6" t="str">
        <f>_xlfn.XLOOKUP(FactSales[[#This Row],[Product_ID]],DimProduct[Product_ID],DimProduct[Category])</f>
        <v>Electronics</v>
      </c>
      <c r="O508" s="6">
        <f>_xlfn.XLOOKUP(FactSales[[#This Row],[Product_ID]],DimProduct[Product_ID],DimProduct[Unit_Price])</f>
        <v>3340</v>
      </c>
      <c r="P508" s="6">
        <f>_xlfn.XLOOKUP(FactSales[[#This Row],[Product_ID]],DimProduct[Product_ID],DimProduct[Unit_Cost])</f>
        <v>2270</v>
      </c>
      <c r="Q508" s="6">
        <f>FactSales[[#This Row],[Unit_Price]]*FactSales[[#This Row],[Quantity_Sold]]</f>
        <v>6680</v>
      </c>
      <c r="R508" s="6">
        <f>FactSales[[#This Row],[Unit_Cost]]*FactSales[[#This Row],[Quantity_Sold]]</f>
        <v>4540</v>
      </c>
      <c r="S508" s="6">
        <f>FactSales[[#This Row],[Sales_Amount]]-FactSales[[#This Row],[Total_Cost]]</f>
        <v>2140</v>
      </c>
      <c r="T508" s="6" t="str">
        <f>_xlfn.XLOOKUP(FactSales[[#This Row],[Customer_ID]],DimCustomer[Customer_ID],DimCustomer[Customer_Name])</f>
        <v>Arif Rahman</v>
      </c>
      <c r="U508" s="6" t="str">
        <f>_xlfn.XLOOKUP(FactSales[[#This Row],[Salesperson_ID]],DimSalesman[Salesperson_ID],DimSalesman[Salesperson_Name])</f>
        <v>Imran Mia</v>
      </c>
      <c r="V508" s="6" t="str">
        <f>_xlfn.XLOOKUP(FactSales[[#This Row],[Region_ID]],DimRegion[Region_ID],DimRegion[Region_Name])</f>
        <v>Dhaka</v>
      </c>
      <c r="W508" s="6" t="str">
        <f>_xlfn.XLOOKUP(FactSales[[#This Row],[Store_ID]],DimStore[Store_ID],DimStore[Store_Name])</f>
        <v>Dhaka Dhanmondi Store</v>
      </c>
    </row>
    <row r="509" spans="1:23">
      <c r="A509" s="4" t="s">
        <v>1505</v>
      </c>
      <c r="B509" s="5">
        <v>45808</v>
      </c>
      <c r="C509" s="4" t="s">
        <v>451</v>
      </c>
      <c r="D509" s="4" t="s">
        <v>52</v>
      </c>
      <c r="E509" s="4" t="s">
        <v>698</v>
      </c>
      <c r="F509" s="4" t="s">
        <v>963</v>
      </c>
      <c r="G509" s="4" t="s">
        <v>885</v>
      </c>
      <c r="H509" s="4">
        <v>4</v>
      </c>
      <c r="I509" s="7">
        <v>0.1</v>
      </c>
      <c r="J509" s="6">
        <v>9856</v>
      </c>
      <c r="K509" s="4">
        <v>3</v>
      </c>
      <c r="L509" s="8">
        <f t="shared" si="7"/>
        <v>4</v>
      </c>
      <c r="M509" s="6" t="str">
        <f>_xlfn.XLOOKUP(FactSales[[#This Row],[Product_ID]],DimProduct[Product_ID],DimProduct[Product_Name])</f>
        <v>Puzzle Board</v>
      </c>
      <c r="N509" s="6" t="str">
        <f>_xlfn.XLOOKUP(FactSales[[#This Row],[Product_ID]],DimProduct[Product_ID],DimProduct[Category])</f>
        <v>Kids &amp; Toys</v>
      </c>
      <c r="O509" s="6">
        <f>_xlfn.XLOOKUP(FactSales[[#This Row],[Product_ID]],DimProduct[Product_ID],DimProduct[Unit_Price])</f>
        <v>2200</v>
      </c>
      <c r="P509" s="6">
        <f>_xlfn.XLOOKUP(FactSales[[#This Row],[Product_ID]],DimProduct[Product_ID],DimProduct[Unit_Cost])</f>
        <v>1210</v>
      </c>
      <c r="Q509" s="6">
        <f>FactSales[[#This Row],[Unit_Price]]*FactSales[[#This Row],[Quantity_Sold]]</f>
        <v>8800</v>
      </c>
      <c r="R509" s="6">
        <f>FactSales[[#This Row],[Unit_Cost]]*FactSales[[#This Row],[Quantity_Sold]]</f>
        <v>4840</v>
      </c>
      <c r="S509" s="6">
        <f>FactSales[[#This Row],[Sales_Amount]]-FactSales[[#This Row],[Total_Cost]]</f>
        <v>3960</v>
      </c>
      <c r="T509" s="6" t="str">
        <f>_xlfn.XLOOKUP(FactSales[[#This Row],[Customer_ID]],DimCustomer[Customer_ID],DimCustomer[Customer_Name])</f>
        <v>Hasan Uddin</v>
      </c>
      <c r="U509" s="6" t="str">
        <f>_xlfn.XLOOKUP(FactSales[[#This Row],[Salesperson_ID]],DimSalesman[Salesperson_ID],DimSalesman[Salesperson_Name])</f>
        <v>Rasel Uddin</v>
      </c>
      <c r="V509" s="6" t="str">
        <f>_xlfn.XLOOKUP(FactSales[[#This Row],[Region_ID]],DimRegion[Region_ID],DimRegion[Region_Name])</f>
        <v>Barishal</v>
      </c>
      <c r="W509" s="6" t="str">
        <f>_xlfn.XLOOKUP(FactSales[[#This Row],[Store_ID]],DimStore[Store_ID],DimStore[Store_Name])</f>
        <v>Barishal Nathullabad Store</v>
      </c>
    </row>
    <row r="510" spans="1:23">
      <c r="A510" s="4" t="s">
        <v>1506</v>
      </c>
      <c r="B510" s="5">
        <v>46011</v>
      </c>
      <c r="C510" s="4" t="s">
        <v>332</v>
      </c>
      <c r="D510" s="4" t="s">
        <v>42</v>
      </c>
      <c r="E510" s="4" t="s">
        <v>680</v>
      </c>
      <c r="F510" s="4" t="s">
        <v>949</v>
      </c>
      <c r="G510" s="4" t="s">
        <v>831</v>
      </c>
      <c r="H510" s="4">
        <v>8</v>
      </c>
      <c r="I510" s="7">
        <v>0.1</v>
      </c>
      <c r="J510" s="6">
        <v>10886</v>
      </c>
      <c r="K510" s="4">
        <v>5</v>
      </c>
      <c r="L510" s="8">
        <f t="shared" si="7"/>
        <v>3.4</v>
      </c>
      <c r="M510" s="6" t="str">
        <f>_xlfn.XLOOKUP(FactSales[[#This Row],[Product_ID]],DimProduct[Product_ID],DimProduct[Product_Name])</f>
        <v>Perfume Spray</v>
      </c>
      <c r="N510" s="6" t="str">
        <f>_xlfn.XLOOKUP(FactSales[[#This Row],[Product_ID]],DimProduct[Product_ID],DimProduct[Category])</f>
        <v>Beauty &amp; Personal Care</v>
      </c>
      <c r="O510" s="6">
        <f>_xlfn.XLOOKUP(FactSales[[#This Row],[Product_ID]],DimProduct[Product_ID],DimProduct[Unit_Price])</f>
        <v>1260</v>
      </c>
      <c r="P510" s="6">
        <f>_xlfn.XLOOKUP(FactSales[[#This Row],[Product_ID]],DimProduct[Product_ID],DimProduct[Unit_Cost])</f>
        <v>730</v>
      </c>
      <c r="Q510" s="6">
        <f>FactSales[[#This Row],[Unit_Price]]*FactSales[[#This Row],[Quantity_Sold]]</f>
        <v>10080</v>
      </c>
      <c r="R510" s="6">
        <f>FactSales[[#This Row],[Unit_Cost]]*FactSales[[#This Row],[Quantity_Sold]]</f>
        <v>5840</v>
      </c>
      <c r="S510" s="6">
        <f>FactSales[[#This Row],[Sales_Amount]]-FactSales[[#This Row],[Total_Cost]]</f>
        <v>4240</v>
      </c>
      <c r="T510" s="6" t="str">
        <f>_xlfn.XLOOKUP(FactSales[[#This Row],[Customer_ID]],DimCustomer[Customer_ID],DimCustomer[Customer_Name])</f>
        <v>Samiha Mia</v>
      </c>
      <c r="U510" s="6" t="str">
        <f>_xlfn.XLOOKUP(FactSales[[#This Row],[Salesperson_ID]],DimSalesman[Salesperson_ID],DimSalesman[Salesperson_Name])</f>
        <v>Mahmud Chowdhury</v>
      </c>
      <c r="V510" s="6" t="str">
        <f>_xlfn.XLOOKUP(FactSales[[#This Row],[Region_ID]],DimRegion[Region_ID],DimRegion[Region_Name])</f>
        <v>Rajshahi</v>
      </c>
      <c r="W510" s="6" t="str">
        <f>_xlfn.XLOOKUP(FactSales[[#This Row],[Store_ID]],DimStore[Store_ID],DimStore[Store_Name])</f>
        <v>Rajshahi Lakshmipur Store</v>
      </c>
    </row>
    <row r="511" spans="1:23">
      <c r="A511" s="4" t="s">
        <v>1507</v>
      </c>
      <c r="B511" s="5">
        <v>45787</v>
      </c>
      <c r="C511" s="4" t="s">
        <v>151</v>
      </c>
      <c r="D511" s="4" t="s">
        <v>32</v>
      </c>
      <c r="E511" s="4" t="s">
        <v>650</v>
      </c>
      <c r="F511" s="4" t="s">
        <v>926</v>
      </c>
      <c r="G511" s="4" t="s">
        <v>781</v>
      </c>
      <c r="H511" s="4">
        <v>3</v>
      </c>
      <c r="I511" s="7">
        <v>0.18</v>
      </c>
      <c r="J511" s="6">
        <v>10636</v>
      </c>
      <c r="K511" s="4">
        <v>3</v>
      </c>
      <c r="L511" s="8">
        <f t="shared" si="7"/>
        <v>3.8</v>
      </c>
      <c r="M511" s="6" t="str">
        <f>_xlfn.XLOOKUP(FactSales[[#This Row],[Product_ID]],DimProduct[Product_ID],DimProduct[Product_Name])</f>
        <v>Table Fan</v>
      </c>
      <c r="N511" s="6" t="str">
        <f>_xlfn.XLOOKUP(FactSales[[#This Row],[Product_ID]],DimProduct[Product_ID],DimProduct[Category])</f>
        <v>Home Appliance</v>
      </c>
      <c r="O511" s="6">
        <f>_xlfn.XLOOKUP(FactSales[[#This Row],[Product_ID]],DimProduct[Product_ID],DimProduct[Unit_Price])</f>
        <v>3110</v>
      </c>
      <c r="P511" s="6">
        <f>_xlfn.XLOOKUP(FactSales[[#This Row],[Product_ID]],DimProduct[Product_ID],DimProduct[Unit_Cost])</f>
        <v>2180</v>
      </c>
      <c r="Q511" s="6">
        <f>FactSales[[#This Row],[Unit_Price]]*FactSales[[#This Row],[Quantity_Sold]]</f>
        <v>9330</v>
      </c>
      <c r="R511" s="6">
        <f>FactSales[[#This Row],[Unit_Cost]]*FactSales[[#This Row],[Quantity_Sold]]</f>
        <v>6540</v>
      </c>
      <c r="S511" s="6">
        <f>FactSales[[#This Row],[Sales_Amount]]-FactSales[[#This Row],[Total_Cost]]</f>
        <v>2790</v>
      </c>
      <c r="T511" s="6" t="str">
        <f>_xlfn.XLOOKUP(FactSales[[#This Row],[Customer_ID]],DimCustomer[Customer_ID],DimCustomer[Customer_Name])</f>
        <v>Arif Khan</v>
      </c>
      <c r="U511" s="6" t="str">
        <f>_xlfn.XLOOKUP(FactSales[[#This Row],[Salesperson_ID]],DimSalesman[Salesperson_ID],DimSalesman[Salesperson_Name])</f>
        <v>Rafi Akter</v>
      </c>
      <c r="V511" s="6" t="str">
        <f>_xlfn.XLOOKUP(FactSales[[#This Row],[Region_ID]],DimRegion[Region_ID],DimRegion[Region_Name])</f>
        <v>Chattogram</v>
      </c>
      <c r="W511" s="6" t="str">
        <f>_xlfn.XLOOKUP(FactSales[[#This Row],[Store_ID]],DimStore[Store_ID],DimStore[Store_Name])</f>
        <v>Chattogram Halishahar Store</v>
      </c>
    </row>
    <row r="512" spans="1:23">
      <c r="A512" s="4" t="s">
        <v>1508</v>
      </c>
      <c r="B512" s="5">
        <v>46006</v>
      </c>
      <c r="C512" s="4" t="s">
        <v>372</v>
      </c>
      <c r="D512" s="4" t="s">
        <v>47</v>
      </c>
      <c r="E512" s="4" t="s">
        <v>683</v>
      </c>
      <c r="F512" s="4" t="s">
        <v>956</v>
      </c>
      <c r="G512" s="4" t="s">
        <v>808</v>
      </c>
      <c r="H512" s="4">
        <v>4</v>
      </c>
      <c r="I512" s="7">
        <v>0</v>
      </c>
      <c r="J512" s="6">
        <v>7456</v>
      </c>
      <c r="K512" s="4">
        <v>6</v>
      </c>
      <c r="L512" s="8">
        <f t="shared" si="7"/>
        <v>3.3</v>
      </c>
      <c r="M512" s="6" t="str">
        <f>_xlfn.XLOOKUP(FactSales[[#This Row],[Product_ID]],DimProduct[Product_ID],DimProduct[Product_Name])</f>
        <v>Lentil 1kg</v>
      </c>
      <c r="N512" s="6" t="str">
        <f>_xlfn.XLOOKUP(FactSales[[#This Row],[Product_ID]],DimProduct[Product_ID],DimProduct[Category])</f>
        <v>Grocery</v>
      </c>
      <c r="O512" s="6">
        <f>_xlfn.XLOOKUP(FactSales[[#This Row],[Product_ID]],DimProduct[Product_ID],DimProduct[Unit_Price])</f>
        <v>1710</v>
      </c>
      <c r="P512" s="6">
        <f>_xlfn.XLOOKUP(FactSales[[#This Row],[Product_ID]],DimProduct[Product_ID],DimProduct[Unit_Cost])</f>
        <v>1330</v>
      </c>
      <c r="Q512" s="6">
        <f>FactSales[[#This Row],[Unit_Price]]*FactSales[[#This Row],[Quantity_Sold]]</f>
        <v>6840</v>
      </c>
      <c r="R512" s="6">
        <f>FactSales[[#This Row],[Unit_Cost]]*FactSales[[#This Row],[Quantity_Sold]]</f>
        <v>5320</v>
      </c>
      <c r="S512" s="6">
        <f>FactSales[[#This Row],[Sales_Amount]]-FactSales[[#This Row],[Total_Cost]]</f>
        <v>1520</v>
      </c>
      <c r="T512" s="6" t="str">
        <f>_xlfn.XLOOKUP(FactSales[[#This Row],[Customer_ID]],DimCustomer[Customer_ID],DimCustomer[Customer_Name])</f>
        <v>Mahmud Chowdhury</v>
      </c>
      <c r="U512" s="6" t="str">
        <f>_xlfn.XLOOKUP(FactSales[[#This Row],[Salesperson_ID]],DimSalesman[Salesperson_ID],DimSalesman[Salesperson_Name])</f>
        <v>Rafi Ahmed</v>
      </c>
      <c r="V512" s="6" t="str">
        <f>_xlfn.XLOOKUP(FactSales[[#This Row],[Region_ID]],DimRegion[Region_ID],DimRegion[Region_Name])</f>
        <v>Khulna</v>
      </c>
      <c r="W512" s="6" t="str">
        <f>_xlfn.XLOOKUP(FactSales[[#This Row],[Store_ID]],DimStore[Store_ID],DimStore[Store_Name])</f>
        <v>Khulna Sonadanga Store</v>
      </c>
    </row>
    <row r="513" spans="1:23">
      <c r="A513" s="4" t="s">
        <v>1509</v>
      </c>
      <c r="B513" s="5">
        <v>46175</v>
      </c>
      <c r="C513" s="4" t="s">
        <v>375</v>
      </c>
      <c r="D513" s="4" t="s">
        <v>47</v>
      </c>
      <c r="E513" s="4" t="s">
        <v>689</v>
      </c>
      <c r="F513" s="4" t="s">
        <v>958</v>
      </c>
      <c r="G513" s="4" t="s">
        <v>784</v>
      </c>
      <c r="H513" s="4">
        <v>1</v>
      </c>
      <c r="I513" s="7">
        <v>0.03</v>
      </c>
      <c r="J513" s="6">
        <v>2038</v>
      </c>
      <c r="K513" s="4">
        <v>4</v>
      </c>
      <c r="L513" s="8">
        <f t="shared" si="7"/>
        <v>3.9</v>
      </c>
      <c r="M513" s="6" t="str">
        <f>_xlfn.XLOOKUP(FactSales[[#This Row],[Product_ID]],DimProduct[Product_ID],DimProduct[Product_Name])</f>
        <v>Cotton T-Shirt</v>
      </c>
      <c r="N513" s="6" t="str">
        <f>_xlfn.XLOOKUP(FactSales[[#This Row],[Product_ID]],DimProduct[Product_ID],DimProduct[Category])</f>
        <v>Fashion</v>
      </c>
      <c r="O513" s="6">
        <f>_xlfn.XLOOKUP(FactSales[[#This Row],[Product_ID]],DimProduct[Product_ID],DimProduct[Unit_Price])</f>
        <v>1870</v>
      </c>
      <c r="P513" s="6">
        <f>_xlfn.XLOOKUP(FactSales[[#This Row],[Product_ID]],DimProduct[Product_ID],DimProduct[Unit_Cost])</f>
        <v>1030</v>
      </c>
      <c r="Q513" s="6">
        <f>FactSales[[#This Row],[Unit_Price]]*FactSales[[#This Row],[Quantity_Sold]]</f>
        <v>1870</v>
      </c>
      <c r="R513" s="6">
        <f>FactSales[[#This Row],[Unit_Cost]]*FactSales[[#This Row],[Quantity_Sold]]</f>
        <v>1030</v>
      </c>
      <c r="S513" s="6">
        <f>FactSales[[#This Row],[Sales_Amount]]-FactSales[[#This Row],[Total_Cost]]</f>
        <v>840</v>
      </c>
      <c r="T513" s="6" t="str">
        <f>_xlfn.XLOOKUP(FactSales[[#This Row],[Customer_ID]],DimCustomer[Customer_ID],DimCustomer[Customer_Name])</f>
        <v>Jannat Rahman</v>
      </c>
      <c r="U513" s="6" t="str">
        <f>_xlfn.XLOOKUP(FactSales[[#This Row],[Salesperson_ID]],DimSalesman[Salesperson_ID],DimSalesman[Salesperson_Name])</f>
        <v>Fahim Uddin</v>
      </c>
      <c r="V513" s="6" t="str">
        <f>_xlfn.XLOOKUP(FactSales[[#This Row],[Region_ID]],DimRegion[Region_ID],DimRegion[Region_Name])</f>
        <v>Khulna</v>
      </c>
      <c r="W513" s="6" t="str">
        <f>_xlfn.XLOOKUP(FactSales[[#This Row],[Store_ID]],DimStore[Store_ID],DimStore[Store_Name])</f>
        <v>Khulna Daulatpur Store</v>
      </c>
    </row>
    <row r="514" spans="1:23">
      <c r="A514" s="4" t="s">
        <v>1510</v>
      </c>
      <c r="B514" s="5">
        <v>45785</v>
      </c>
      <c r="C514" s="4" t="s">
        <v>445</v>
      </c>
      <c r="D514" s="4" t="s">
        <v>52</v>
      </c>
      <c r="E514" s="4" t="s">
        <v>710</v>
      </c>
      <c r="F514" s="4" t="s">
        <v>963</v>
      </c>
      <c r="G514" s="4" t="s">
        <v>758</v>
      </c>
      <c r="H514" s="4">
        <v>2</v>
      </c>
      <c r="I514" s="7">
        <v>0.18</v>
      </c>
      <c r="J514" s="6">
        <v>6362</v>
      </c>
      <c r="K514" s="4">
        <v>5</v>
      </c>
      <c r="L514" s="8">
        <f t="shared" ref="L514:L577" si="8">MAX(1,MIN(5,ROUND(5.2-(K514*0.32)-(I514*2.2),1)))</f>
        <v>3.2</v>
      </c>
      <c r="M514" s="6" t="str">
        <f>_xlfn.XLOOKUP(FactSales[[#This Row],[Product_ID]],DimProduct[Product_ID],DimProduct[Product_Name])</f>
        <v>Power Bank</v>
      </c>
      <c r="N514" s="6" t="str">
        <f>_xlfn.XLOOKUP(FactSales[[#This Row],[Product_ID]],DimProduct[Product_ID],DimProduct[Category])</f>
        <v>Electronics</v>
      </c>
      <c r="O514" s="6">
        <f>_xlfn.XLOOKUP(FactSales[[#This Row],[Product_ID]],DimProduct[Product_ID],DimProduct[Unit_Price])</f>
        <v>2840</v>
      </c>
      <c r="P514" s="6">
        <f>_xlfn.XLOOKUP(FactSales[[#This Row],[Product_ID]],DimProduct[Product_ID],DimProduct[Unit_Cost])</f>
        <v>1930</v>
      </c>
      <c r="Q514" s="6">
        <f>FactSales[[#This Row],[Unit_Price]]*FactSales[[#This Row],[Quantity_Sold]]</f>
        <v>5680</v>
      </c>
      <c r="R514" s="6">
        <f>FactSales[[#This Row],[Unit_Cost]]*FactSales[[#This Row],[Quantity_Sold]]</f>
        <v>3860</v>
      </c>
      <c r="S514" s="6">
        <f>FactSales[[#This Row],[Sales_Amount]]-FactSales[[#This Row],[Total_Cost]]</f>
        <v>1820</v>
      </c>
      <c r="T514" s="6" t="str">
        <f>_xlfn.XLOOKUP(FactSales[[#This Row],[Customer_ID]],DimCustomer[Customer_ID],DimCustomer[Customer_Name])</f>
        <v>Tanvir Akter</v>
      </c>
      <c r="U514" s="6" t="str">
        <f>_xlfn.XLOOKUP(FactSales[[#This Row],[Salesperson_ID]],DimSalesman[Salesperson_ID],DimSalesman[Salesperson_Name])</f>
        <v>Rasel Uddin</v>
      </c>
      <c r="V514" s="6" t="str">
        <f>_xlfn.XLOOKUP(FactSales[[#This Row],[Region_ID]],DimRegion[Region_ID],DimRegion[Region_Name])</f>
        <v>Barishal</v>
      </c>
      <c r="W514" s="6" t="str">
        <f>_xlfn.XLOOKUP(FactSales[[#This Row],[Store_ID]],DimStore[Store_ID],DimStore[Store_Name])</f>
        <v>Barishal Kawnia Store</v>
      </c>
    </row>
    <row r="515" spans="1:23">
      <c r="A515" s="4" t="s">
        <v>1511</v>
      </c>
      <c r="B515" s="5">
        <v>45897</v>
      </c>
      <c r="C515" s="4" t="s">
        <v>349</v>
      </c>
      <c r="D515" s="4" t="s">
        <v>42</v>
      </c>
      <c r="E515" s="4" t="s">
        <v>680</v>
      </c>
      <c r="F515" s="4" t="s">
        <v>949</v>
      </c>
      <c r="G515" s="4" t="s">
        <v>847</v>
      </c>
      <c r="H515" s="4">
        <v>2</v>
      </c>
      <c r="I515" s="7">
        <v>7.0000000000000007E-2</v>
      </c>
      <c r="J515" s="6">
        <v>4039</v>
      </c>
      <c r="K515" s="4">
        <v>2</v>
      </c>
      <c r="L515" s="8">
        <f t="shared" si="8"/>
        <v>4.4000000000000004</v>
      </c>
      <c r="M515" s="6" t="str">
        <f>_xlfn.XLOOKUP(FactSales[[#This Row],[Product_ID]],DimProduct[Product_ID],DimProduct[Product_Name])</f>
        <v>Casual Loafer</v>
      </c>
      <c r="N515" s="6" t="str">
        <f>_xlfn.XLOOKUP(FactSales[[#This Row],[Product_ID]],DimProduct[Product_ID],DimProduct[Category])</f>
        <v>Footwear</v>
      </c>
      <c r="O515" s="6">
        <f>_xlfn.XLOOKUP(FactSales[[#This Row],[Product_ID]],DimProduct[Product_ID],DimProduct[Unit_Price])</f>
        <v>1870</v>
      </c>
      <c r="P515" s="6">
        <f>_xlfn.XLOOKUP(FactSales[[#This Row],[Product_ID]],DimProduct[Product_ID],DimProduct[Unit_Cost])</f>
        <v>1120</v>
      </c>
      <c r="Q515" s="6">
        <f>FactSales[[#This Row],[Unit_Price]]*FactSales[[#This Row],[Quantity_Sold]]</f>
        <v>3740</v>
      </c>
      <c r="R515" s="6">
        <f>FactSales[[#This Row],[Unit_Cost]]*FactSales[[#This Row],[Quantity_Sold]]</f>
        <v>2240</v>
      </c>
      <c r="S515" s="6">
        <f>FactSales[[#This Row],[Sales_Amount]]-FactSales[[#This Row],[Total_Cost]]</f>
        <v>1500</v>
      </c>
      <c r="T515" s="6" t="str">
        <f>_xlfn.XLOOKUP(FactSales[[#This Row],[Customer_ID]],DimCustomer[Customer_ID],DimCustomer[Customer_Name])</f>
        <v>Mahmud Uddin</v>
      </c>
      <c r="U515" s="6" t="str">
        <f>_xlfn.XLOOKUP(FactSales[[#This Row],[Salesperson_ID]],DimSalesman[Salesperson_ID],DimSalesman[Salesperson_Name])</f>
        <v>Mahmud Chowdhury</v>
      </c>
      <c r="V515" s="6" t="str">
        <f>_xlfn.XLOOKUP(FactSales[[#This Row],[Region_ID]],DimRegion[Region_ID],DimRegion[Region_Name])</f>
        <v>Rajshahi</v>
      </c>
      <c r="W515" s="6" t="str">
        <f>_xlfn.XLOOKUP(FactSales[[#This Row],[Store_ID]],DimStore[Store_ID],DimStore[Store_Name])</f>
        <v>Rajshahi Lakshmipur Store</v>
      </c>
    </row>
    <row r="516" spans="1:23">
      <c r="A516" s="4" t="s">
        <v>1512</v>
      </c>
      <c r="B516" s="5">
        <v>45765</v>
      </c>
      <c r="C516" s="4" t="s">
        <v>279</v>
      </c>
      <c r="D516" s="4" t="s">
        <v>37</v>
      </c>
      <c r="E516" s="4" t="s">
        <v>662</v>
      </c>
      <c r="F516" s="4" t="s">
        <v>939</v>
      </c>
      <c r="G516" s="4" t="s">
        <v>854</v>
      </c>
      <c r="H516" s="4">
        <v>4</v>
      </c>
      <c r="I516" s="7">
        <v>0.05</v>
      </c>
      <c r="J516" s="6">
        <v>15922</v>
      </c>
      <c r="K516" s="4">
        <v>4</v>
      </c>
      <c r="L516" s="8">
        <f t="shared" si="8"/>
        <v>3.8</v>
      </c>
      <c r="M516" s="6" t="str">
        <f>_xlfn.XLOOKUP(FactSales[[#This Row],[Product_ID]],DimProduct[Product_ID],DimProduct[Product_Name])</f>
        <v>Football</v>
      </c>
      <c r="N516" s="6" t="str">
        <f>_xlfn.XLOOKUP(FactSales[[#This Row],[Product_ID]],DimProduct[Product_ID],DimProduct[Category])</f>
        <v>Sports</v>
      </c>
      <c r="O516" s="6">
        <f>_xlfn.XLOOKUP(FactSales[[#This Row],[Product_ID]],DimProduct[Product_ID],DimProduct[Unit_Price])</f>
        <v>3720</v>
      </c>
      <c r="P516" s="6">
        <f>_xlfn.XLOOKUP(FactSales[[#This Row],[Product_ID]],DimProduct[Product_ID],DimProduct[Unit_Cost])</f>
        <v>2310</v>
      </c>
      <c r="Q516" s="6">
        <f>FactSales[[#This Row],[Unit_Price]]*FactSales[[#This Row],[Quantity_Sold]]</f>
        <v>14880</v>
      </c>
      <c r="R516" s="6">
        <f>FactSales[[#This Row],[Unit_Cost]]*FactSales[[#This Row],[Quantity_Sold]]</f>
        <v>9240</v>
      </c>
      <c r="S516" s="6">
        <f>FactSales[[#This Row],[Sales_Amount]]-FactSales[[#This Row],[Total_Cost]]</f>
        <v>5640</v>
      </c>
      <c r="T516" s="6" t="str">
        <f>_xlfn.XLOOKUP(FactSales[[#This Row],[Customer_ID]],DimCustomer[Customer_ID],DimCustomer[Customer_Name])</f>
        <v>Tanvir Hossain</v>
      </c>
      <c r="U516" s="6" t="str">
        <f>_xlfn.XLOOKUP(FactSales[[#This Row],[Salesperson_ID]],DimSalesman[Salesperson_ID],DimSalesman[Salesperson_Name])</f>
        <v>Fahim Mia</v>
      </c>
      <c r="V516" s="6" t="str">
        <f>_xlfn.XLOOKUP(FactSales[[#This Row],[Region_ID]],DimRegion[Region_ID],DimRegion[Region_Name])</f>
        <v>Sylhet</v>
      </c>
      <c r="W516" s="6" t="str">
        <f>_xlfn.XLOOKUP(FactSales[[#This Row],[Store_ID]],DimStore[Store_ID],DimStore[Store_Name])</f>
        <v>Sylhet Subidbazar Store</v>
      </c>
    </row>
    <row r="517" spans="1:23">
      <c r="A517" s="4" t="s">
        <v>1513</v>
      </c>
      <c r="B517" s="5">
        <v>45721</v>
      </c>
      <c r="C517" s="4" t="s">
        <v>159</v>
      </c>
      <c r="D517" s="4" t="s">
        <v>32</v>
      </c>
      <c r="E517" s="4" t="s">
        <v>647</v>
      </c>
      <c r="F517" s="4" t="s">
        <v>927</v>
      </c>
      <c r="G517" s="4" t="s">
        <v>755</v>
      </c>
      <c r="H517" s="4">
        <v>2</v>
      </c>
      <c r="I517" s="7">
        <v>0.15</v>
      </c>
      <c r="J517" s="6">
        <v>7615</v>
      </c>
      <c r="K517" s="4">
        <v>3</v>
      </c>
      <c r="L517" s="8">
        <f t="shared" si="8"/>
        <v>3.9</v>
      </c>
      <c r="M517" s="6" t="str">
        <f>_xlfn.XLOOKUP(FactSales[[#This Row],[Product_ID]],DimProduct[Product_ID],DimProduct[Product_Name])</f>
        <v>Wireless Mouse</v>
      </c>
      <c r="N517" s="6" t="str">
        <f>_xlfn.XLOOKUP(FactSales[[#This Row],[Product_ID]],DimProduct[Product_ID],DimProduct[Category])</f>
        <v>Electronics</v>
      </c>
      <c r="O517" s="6">
        <f>_xlfn.XLOOKUP(FactSales[[#This Row],[Product_ID]],DimProduct[Product_ID],DimProduct[Unit_Price])</f>
        <v>3340</v>
      </c>
      <c r="P517" s="6">
        <f>_xlfn.XLOOKUP(FactSales[[#This Row],[Product_ID]],DimProduct[Product_ID],DimProduct[Unit_Cost])</f>
        <v>2270</v>
      </c>
      <c r="Q517" s="6">
        <f>FactSales[[#This Row],[Unit_Price]]*FactSales[[#This Row],[Quantity_Sold]]</f>
        <v>6680</v>
      </c>
      <c r="R517" s="6">
        <f>FactSales[[#This Row],[Unit_Cost]]*FactSales[[#This Row],[Quantity_Sold]]</f>
        <v>4540</v>
      </c>
      <c r="S517" s="6">
        <f>FactSales[[#This Row],[Sales_Amount]]-FactSales[[#This Row],[Total_Cost]]</f>
        <v>2140</v>
      </c>
      <c r="T517" s="6" t="str">
        <f>_xlfn.XLOOKUP(FactSales[[#This Row],[Customer_ID]],DimCustomer[Customer_ID],DimCustomer[Customer_Name])</f>
        <v>Shakib Mia</v>
      </c>
      <c r="U517" s="6" t="str">
        <f>_xlfn.XLOOKUP(FactSales[[#This Row],[Salesperson_ID]],DimSalesman[Salesperson_ID],DimSalesman[Salesperson_Name])</f>
        <v>Shakib Ahmed</v>
      </c>
      <c r="V517" s="6" t="str">
        <f>_xlfn.XLOOKUP(FactSales[[#This Row],[Region_ID]],DimRegion[Region_ID],DimRegion[Region_Name])</f>
        <v>Chattogram</v>
      </c>
      <c r="W517" s="6" t="str">
        <f>_xlfn.XLOOKUP(FactSales[[#This Row],[Store_ID]],DimStore[Store_ID],DimStore[Store_Name])</f>
        <v>Chattogram Nasirabad Store</v>
      </c>
    </row>
    <row r="518" spans="1:23">
      <c r="A518" s="4" t="s">
        <v>1514</v>
      </c>
      <c r="B518" s="5">
        <v>46070</v>
      </c>
      <c r="C518" s="4" t="s">
        <v>323</v>
      </c>
      <c r="D518" s="4" t="s">
        <v>42</v>
      </c>
      <c r="E518" s="4" t="s">
        <v>668</v>
      </c>
      <c r="F518" s="4" t="s">
        <v>945</v>
      </c>
      <c r="G518" s="4" t="s">
        <v>838</v>
      </c>
      <c r="H518" s="4">
        <v>3</v>
      </c>
      <c r="I518" s="7">
        <v>0.12</v>
      </c>
      <c r="J518" s="6">
        <v>3920</v>
      </c>
      <c r="K518" s="4">
        <v>5</v>
      </c>
      <c r="L518" s="8">
        <f t="shared" si="8"/>
        <v>3.3</v>
      </c>
      <c r="M518" s="6" t="str">
        <f>_xlfn.XLOOKUP(FactSales[[#This Row],[Product_ID]],DimProduct[Product_ID],DimProduct[Product_Name])</f>
        <v>Formal Shoe</v>
      </c>
      <c r="N518" s="6" t="str">
        <f>_xlfn.XLOOKUP(FactSales[[#This Row],[Product_ID]],DimProduct[Product_ID],DimProduct[Category])</f>
        <v>Footwear</v>
      </c>
      <c r="O518" s="6">
        <f>_xlfn.XLOOKUP(FactSales[[#This Row],[Product_ID]],DimProduct[Product_ID],DimProduct[Unit_Price])</f>
        <v>1210</v>
      </c>
      <c r="P518" s="6">
        <f>_xlfn.XLOOKUP(FactSales[[#This Row],[Product_ID]],DimProduct[Product_ID],DimProduct[Unit_Cost])</f>
        <v>730</v>
      </c>
      <c r="Q518" s="6">
        <f>FactSales[[#This Row],[Unit_Price]]*FactSales[[#This Row],[Quantity_Sold]]</f>
        <v>3630</v>
      </c>
      <c r="R518" s="6">
        <f>FactSales[[#This Row],[Unit_Cost]]*FactSales[[#This Row],[Quantity_Sold]]</f>
        <v>2190</v>
      </c>
      <c r="S518" s="6">
        <f>FactSales[[#This Row],[Sales_Amount]]-FactSales[[#This Row],[Total_Cost]]</f>
        <v>1440</v>
      </c>
      <c r="T518" s="6" t="str">
        <f>_xlfn.XLOOKUP(FactSales[[#This Row],[Customer_ID]],DimCustomer[Customer_ID],DimCustomer[Customer_Name])</f>
        <v>Tania Mia</v>
      </c>
      <c r="U518" s="6" t="str">
        <f>_xlfn.XLOOKUP(FactSales[[#This Row],[Salesperson_ID]],DimSalesman[Salesperson_ID],DimSalesman[Salesperson_Name])</f>
        <v>Hasan Khan</v>
      </c>
      <c r="V518" s="6" t="str">
        <f>_xlfn.XLOOKUP(FactSales[[#This Row],[Region_ID]],DimRegion[Region_ID],DimRegion[Region_Name])</f>
        <v>Rajshahi</v>
      </c>
      <c r="W518" s="6" t="str">
        <f>_xlfn.XLOOKUP(FactSales[[#This Row],[Store_ID]],DimStore[Store_ID],DimStore[Store_Name])</f>
        <v>Rajshahi Shaheb Bazar Store</v>
      </c>
    </row>
    <row r="519" spans="1:23">
      <c r="A519" s="4" t="s">
        <v>1515</v>
      </c>
      <c r="B519" s="5">
        <v>46159</v>
      </c>
      <c r="C519" s="4" t="s">
        <v>601</v>
      </c>
      <c r="D519" s="4" t="s">
        <v>62</v>
      </c>
      <c r="E519" s="4" t="s">
        <v>737</v>
      </c>
      <c r="F519" s="4" t="s">
        <v>983</v>
      </c>
      <c r="G519" s="4" t="s">
        <v>841</v>
      </c>
      <c r="H519" s="4">
        <v>4</v>
      </c>
      <c r="I519" s="7">
        <v>0.1</v>
      </c>
      <c r="J519" s="6">
        <v>13910</v>
      </c>
      <c r="K519" s="4">
        <v>1</v>
      </c>
      <c r="L519" s="8">
        <f t="shared" si="8"/>
        <v>4.7</v>
      </c>
      <c r="M519" s="6" t="str">
        <f>_xlfn.XLOOKUP(FactSales[[#This Row],[Product_ID]],DimProduct[Product_ID],DimProduct[Product_Name])</f>
        <v>Ladies Sandal</v>
      </c>
      <c r="N519" s="6" t="str">
        <f>_xlfn.XLOOKUP(FactSales[[#This Row],[Product_ID]],DimProduct[Product_ID],DimProduct[Category])</f>
        <v>Footwear</v>
      </c>
      <c r="O519" s="6">
        <f>_xlfn.XLOOKUP(FactSales[[#This Row],[Product_ID]],DimProduct[Product_ID],DimProduct[Unit_Price])</f>
        <v>3220</v>
      </c>
      <c r="P519" s="6">
        <f>_xlfn.XLOOKUP(FactSales[[#This Row],[Product_ID]],DimProduct[Product_ID],DimProduct[Unit_Cost])</f>
        <v>1930</v>
      </c>
      <c r="Q519" s="6">
        <f>FactSales[[#This Row],[Unit_Price]]*FactSales[[#This Row],[Quantity_Sold]]</f>
        <v>12880</v>
      </c>
      <c r="R519" s="6">
        <f>FactSales[[#This Row],[Unit_Cost]]*FactSales[[#This Row],[Quantity_Sold]]</f>
        <v>7720</v>
      </c>
      <c r="S519" s="6">
        <f>FactSales[[#This Row],[Sales_Amount]]-FactSales[[#This Row],[Total_Cost]]</f>
        <v>5160</v>
      </c>
      <c r="T519" s="6" t="str">
        <f>_xlfn.XLOOKUP(FactSales[[#This Row],[Customer_ID]],DimCustomer[Customer_ID],DimCustomer[Customer_Name])</f>
        <v>Tania Islam</v>
      </c>
      <c r="U519" s="6" t="str">
        <f>_xlfn.XLOOKUP(FactSales[[#This Row],[Salesperson_ID]],DimSalesman[Salesperson_ID],DimSalesman[Salesperson_Name])</f>
        <v>Fahim Hossain</v>
      </c>
      <c r="V519" s="6" t="str">
        <f>_xlfn.XLOOKUP(FactSales[[#This Row],[Region_ID]],DimRegion[Region_ID],DimRegion[Region_Name])</f>
        <v>Mymensingh</v>
      </c>
      <c r="W519" s="6" t="str">
        <f>_xlfn.XLOOKUP(FactSales[[#This Row],[Store_ID]],DimStore[Store_ID],DimStore[Store_Name])</f>
        <v>Mymensingh Kewatkhali Store</v>
      </c>
    </row>
    <row r="520" spans="1:23">
      <c r="A520" s="4" t="s">
        <v>1516</v>
      </c>
      <c r="B520" s="5">
        <v>46126</v>
      </c>
      <c r="C520" s="4" t="s">
        <v>228</v>
      </c>
      <c r="D520" s="4" t="s">
        <v>37</v>
      </c>
      <c r="E520" s="4" t="s">
        <v>665</v>
      </c>
      <c r="F520" s="4" t="s">
        <v>934</v>
      </c>
      <c r="G520" s="4" t="s">
        <v>790</v>
      </c>
      <c r="H520" s="4">
        <v>3</v>
      </c>
      <c r="I520" s="7">
        <v>0.12</v>
      </c>
      <c r="J520" s="6">
        <v>6388</v>
      </c>
      <c r="K520" s="4">
        <v>4</v>
      </c>
      <c r="L520" s="8">
        <f t="shared" si="8"/>
        <v>3.7</v>
      </c>
      <c r="M520" s="6" t="str">
        <f>_xlfn.XLOOKUP(FactSales[[#This Row],[Product_ID]],DimProduct[Product_ID],DimProduct[Product_Name])</f>
        <v>Women Kurti</v>
      </c>
      <c r="N520" s="6" t="str">
        <f>_xlfn.XLOOKUP(FactSales[[#This Row],[Product_ID]],DimProduct[Product_ID],DimProduct[Category])</f>
        <v>Fashion</v>
      </c>
      <c r="O520" s="6">
        <f>_xlfn.XLOOKUP(FactSales[[#This Row],[Product_ID]],DimProduct[Product_ID],DimProduct[Unit_Price])</f>
        <v>1990</v>
      </c>
      <c r="P520" s="6">
        <f>_xlfn.XLOOKUP(FactSales[[#This Row],[Product_ID]],DimProduct[Product_ID],DimProduct[Unit_Cost])</f>
        <v>1090</v>
      </c>
      <c r="Q520" s="6">
        <f>FactSales[[#This Row],[Unit_Price]]*FactSales[[#This Row],[Quantity_Sold]]</f>
        <v>5970</v>
      </c>
      <c r="R520" s="6">
        <f>FactSales[[#This Row],[Unit_Cost]]*FactSales[[#This Row],[Quantity_Sold]]</f>
        <v>3270</v>
      </c>
      <c r="S520" s="6">
        <f>FactSales[[#This Row],[Sales_Amount]]-FactSales[[#This Row],[Total_Cost]]</f>
        <v>2700</v>
      </c>
      <c r="T520" s="6" t="str">
        <f>_xlfn.XLOOKUP(FactSales[[#This Row],[Customer_ID]],DimCustomer[Customer_ID],DimCustomer[Customer_Name])</f>
        <v>Shamim Mia</v>
      </c>
      <c r="U520" s="6" t="str">
        <f>_xlfn.XLOOKUP(FactSales[[#This Row],[Salesperson_ID]],DimSalesman[Salesperson_ID],DimSalesman[Salesperson_Name])</f>
        <v>Hasan Mia</v>
      </c>
      <c r="V520" s="6" t="str">
        <f>_xlfn.XLOOKUP(FactSales[[#This Row],[Region_ID]],DimRegion[Region_ID],DimRegion[Region_Name])</f>
        <v>Sylhet</v>
      </c>
      <c r="W520" s="6" t="str">
        <f>_xlfn.XLOOKUP(FactSales[[#This Row],[Store_ID]],DimStore[Store_ID],DimStore[Store_Name])</f>
        <v>Sylhet Upashahar Store</v>
      </c>
    </row>
    <row r="521" spans="1:23">
      <c r="A521" s="4" t="s">
        <v>1517</v>
      </c>
      <c r="B521" s="5">
        <v>46036</v>
      </c>
      <c r="C521" s="4" t="s">
        <v>323</v>
      </c>
      <c r="D521" s="4" t="s">
        <v>42</v>
      </c>
      <c r="E521" s="4" t="s">
        <v>677</v>
      </c>
      <c r="F521" s="4" t="s">
        <v>943</v>
      </c>
      <c r="G521" s="4" t="s">
        <v>854</v>
      </c>
      <c r="H521" s="4">
        <v>6</v>
      </c>
      <c r="I521" s="7">
        <v>0.03</v>
      </c>
      <c r="J521" s="6">
        <v>24106</v>
      </c>
      <c r="K521" s="4">
        <v>3</v>
      </c>
      <c r="L521" s="8">
        <f t="shared" si="8"/>
        <v>4.2</v>
      </c>
      <c r="M521" s="6" t="str">
        <f>_xlfn.XLOOKUP(FactSales[[#This Row],[Product_ID]],DimProduct[Product_ID],DimProduct[Product_Name])</f>
        <v>Football</v>
      </c>
      <c r="N521" s="6" t="str">
        <f>_xlfn.XLOOKUP(FactSales[[#This Row],[Product_ID]],DimProduct[Product_ID],DimProduct[Category])</f>
        <v>Sports</v>
      </c>
      <c r="O521" s="6">
        <f>_xlfn.XLOOKUP(FactSales[[#This Row],[Product_ID]],DimProduct[Product_ID],DimProduct[Unit_Price])</f>
        <v>3720</v>
      </c>
      <c r="P521" s="6">
        <f>_xlfn.XLOOKUP(FactSales[[#This Row],[Product_ID]],DimProduct[Product_ID],DimProduct[Unit_Cost])</f>
        <v>2310</v>
      </c>
      <c r="Q521" s="6">
        <f>FactSales[[#This Row],[Unit_Price]]*FactSales[[#This Row],[Quantity_Sold]]</f>
        <v>22320</v>
      </c>
      <c r="R521" s="6">
        <f>FactSales[[#This Row],[Unit_Cost]]*FactSales[[#This Row],[Quantity_Sold]]</f>
        <v>13860</v>
      </c>
      <c r="S521" s="6">
        <f>FactSales[[#This Row],[Sales_Amount]]-FactSales[[#This Row],[Total_Cost]]</f>
        <v>8460</v>
      </c>
      <c r="T521" s="6" t="str">
        <f>_xlfn.XLOOKUP(FactSales[[#This Row],[Customer_ID]],DimCustomer[Customer_ID],DimCustomer[Customer_Name])</f>
        <v>Tania Mia</v>
      </c>
      <c r="U521" s="6" t="str">
        <f>_xlfn.XLOOKUP(FactSales[[#This Row],[Salesperson_ID]],DimSalesman[Salesperson_ID],DimSalesman[Salesperson_Name])</f>
        <v>Imran Khan</v>
      </c>
      <c r="V521" s="6" t="str">
        <f>_xlfn.XLOOKUP(FactSales[[#This Row],[Region_ID]],DimRegion[Region_ID],DimRegion[Region_Name])</f>
        <v>Rajshahi</v>
      </c>
      <c r="W521" s="6" t="str">
        <f>_xlfn.XLOOKUP(FactSales[[#This Row],[Store_ID]],DimStore[Store_ID],DimStore[Store_Name])</f>
        <v>Rajshahi Railgate Store</v>
      </c>
    </row>
    <row r="522" spans="1:23">
      <c r="A522" s="4" t="s">
        <v>1518</v>
      </c>
      <c r="B522" s="5">
        <v>45699</v>
      </c>
      <c r="C522" s="4" t="s">
        <v>496</v>
      </c>
      <c r="D522" s="4" t="s">
        <v>57</v>
      </c>
      <c r="E522" s="4" t="s">
        <v>713</v>
      </c>
      <c r="F522" s="4" t="s">
        <v>972</v>
      </c>
      <c r="G522" s="4" t="s">
        <v>813</v>
      </c>
      <c r="H522" s="4">
        <v>3</v>
      </c>
      <c r="I522" s="7">
        <v>0</v>
      </c>
      <c r="J522" s="6">
        <v>7383</v>
      </c>
      <c r="K522" s="4">
        <v>2</v>
      </c>
      <c r="L522" s="8">
        <f t="shared" si="8"/>
        <v>4.5999999999999996</v>
      </c>
      <c r="M522" s="6" t="str">
        <f>_xlfn.XLOOKUP(FactSales[[#This Row],[Product_ID]],DimProduct[Product_ID],DimProduct[Product_Name])</f>
        <v>Tea Pack 500g</v>
      </c>
      <c r="N522" s="6" t="str">
        <f>_xlfn.XLOOKUP(FactSales[[#This Row],[Product_ID]],DimProduct[Product_ID],DimProduct[Category])</f>
        <v>Grocery</v>
      </c>
      <c r="O522" s="6">
        <f>_xlfn.XLOOKUP(FactSales[[#This Row],[Product_ID]],DimProduct[Product_ID],DimProduct[Unit_Price])</f>
        <v>2140</v>
      </c>
      <c r="P522" s="6">
        <f>_xlfn.XLOOKUP(FactSales[[#This Row],[Product_ID]],DimProduct[Product_ID],DimProduct[Unit_Cost])</f>
        <v>1670</v>
      </c>
      <c r="Q522" s="6">
        <f>FactSales[[#This Row],[Unit_Price]]*FactSales[[#This Row],[Quantity_Sold]]</f>
        <v>6420</v>
      </c>
      <c r="R522" s="6">
        <f>FactSales[[#This Row],[Unit_Cost]]*FactSales[[#This Row],[Quantity_Sold]]</f>
        <v>5010</v>
      </c>
      <c r="S522" s="6">
        <f>FactSales[[#This Row],[Sales_Amount]]-FactSales[[#This Row],[Total_Cost]]</f>
        <v>1410</v>
      </c>
      <c r="T522" s="6" t="str">
        <f>_xlfn.XLOOKUP(FactSales[[#This Row],[Customer_ID]],DimCustomer[Customer_ID],DimCustomer[Customer_Name])</f>
        <v>Sadia Sultana</v>
      </c>
      <c r="U522" s="6" t="str">
        <f>_xlfn.XLOOKUP(FactSales[[#This Row],[Salesperson_ID]],DimSalesman[Salesperson_ID],DimSalesman[Salesperson_Name])</f>
        <v>Samiha Hossain</v>
      </c>
      <c r="V522" s="6" t="str">
        <f>_xlfn.XLOOKUP(FactSales[[#This Row],[Region_ID]],DimRegion[Region_ID],DimRegion[Region_Name])</f>
        <v>Rangpur</v>
      </c>
      <c r="W522" s="6" t="str">
        <f>_xlfn.XLOOKUP(FactSales[[#This Row],[Store_ID]],DimStore[Store_ID],DimStore[Store_Name])</f>
        <v>Rangpur Jahaj Company Store</v>
      </c>
    </row>
    <row r="523" spans="1:23">
      <c r="A523" s="4" t="s">
        <v>1519</v>
      </c>
      <c r="B523" s="5">
        <v>45803</v>
      </c>
      <c r="C523" s="4" t="s">
        <v>381</v>
      </c>
      <c r="D523" s="4" t="s">
        <v>47</v>
      </c>
      <c r="E523" s="4" t="s">
        <v>692</v>
      </c>
      <c r="F523" s="4" t="s">
        <v>952</v>
      </c>
      <c r="G523" s="4" t="s">
        <v>862</v>
      </c>
      <c r="H523" s="4">
        <v>4</v>
      </c>
      <c r="I523" s="7">
        <v>0.1</v>
      </c>
      <c r="J523" s="6">
        <v>4840</v>
      </c>
      <c r="K523" s="4">
        <v>7</v>
      </c>
      <c r="L523" s="8">
        <f t="shared" si="8"/>
        <v>2.7</v>
      </c>
      <c r="M523" s="6" t="str">
        <f>_xlfn.XLOOKUP(FactSales[[#This Row],[Product_ID]],DimProduct[Product_ID],DimProduct[Product_Name])</f>
        <v>Dumbbell Set</v>
      </c>
      <c r="N523" s="6" t="str">
        <f>_xlfn.XLOOKUP(FactSales[[#This Row],[Product_ID]],DimProduct[Product_ID],DimProduct[Category])</f>
        <v>Sports</v>
      </c>
      <c r="O523" s="6">
        <f>_xlfn.XLOOKUP(FactSales[[#This Row],[Product_ID]],DimProduct[Product_ID],DimProduct[Unit_Price])</f>
        <v>1110</v>
      </c>
      <c r="P523" s="6">
        <f>_xlfn.XLOOKUP(FactSales[[#This Row],[Product_ID]],DimProduct[Product_ID],DimProduct[Unit_Cost])</f>
        <v>690</v>
      </c>
      <c r="Q523" s="6">
        <f>FactSales[[#This Row],[Unit_Price]]*FactSales[[#This Row],[Quantity_Sold]]</f>
        <v>4440</v>
      </c>
      <c r="R523" s="6">
        <f>FactSales[[#This Row],[Unit_Cost]]*FactSales[[#This Row],[Quantity_Sold]]</f>
        <v>2760</v>
      </c>
      <c r="S523" s="6">
        <f>FactSales[[#This Row],[Sales_Amount]]-FactSales[[#This Row],[Total_Cost]]</f>
        <v>1680</v>
      </c>
      <c r="T523" s="6" t="str">
        <f>_xlfn.XLOOKUP(FactSales[[#This Row],[Customer_ID]],DimCustomer[Customer_ID],DimCustomer[Customer_Name])</f>
        <v>Nabila Islam</v>
      </c>
      <c r="U523" s="6" t="str">
        <f>_xlfn.XLOOKUP(FactSales[[#This Row],[Salesperson_ID]],DimSalesman[Salesperson_ID],DimSalesman[Salesperson_Name])</f>
        <v>Samiha Islam</v>
      </c>
      <c r="V523" s="6" t="str">
        <f>_xlfn.XLOOKUP(FactSales[[#This Row],[Region_ID]],DimRegion[Region_ID],DimRegion[Region_Name])</f>
        <v>Khulna</v>
      </c>
      <c r="W523" s="6" t="str">
        <f>_xlfn.XLOOKUP(FactSales[[#This Row],[Store_ID]],DimStore[Store_ID],DimStore[Store_Name])</f>
        <v>Khulna Boyra Store</v>
      </c>
    </row>
    <row r="524" spans="1:23">
      <c r="A524" s="4" t="s">
        <v>1520</v>
      </c>
      <c r="B524" s="5">
        <v>46158</v>
      </c>
      <c r="C524" s="4" t="s">
        <v>101</v>
      </c>
      <c r="D524" s="4" t="s">
        <v>27</v>
      </c>
      <c r="E524" s="4" t="s">
        <v>626</v>
      </c>
      <c r="F524" s="4" t="s">
        <v>914</v>
      </c>
      <c r="G524" s="4" t="s">
        <v>762</v>
      </c>
      <c r="H524" s="4">
        <v>1</v>
      </c>
      <c r="I524" s="7">
        <v>0.18</v>
      </c>
      <c r="J524" s="6">
        <v>4102</v>
      </c>
      <c r="K524" s="4">
        <v>1</v>
      </c>
      <c r="L524" s="8">
        <f t="shared" si="8"/>
        <v>4.5</v>
      </c>
      <c r="M524" s="6" t="str">
        <f>_xlfn.XLOOKUP(FactSales[[#This Row],[Product_ID]],DimProduct[Product_ID],DimProduct[Product_Name])</f>
        <v>Smart Watch</v>
      </c>
      <c r="N524" s="6" t="str">
        <f>_xlfn.XLOOKUP(FactSales[[#This Row],[Product_ID]],DimProduct[Product_ID],DimProduct[Category])</f>
        <v>Electronics</v>
      </c>
      <c r="O524" s="6">
        <f>_xlfn.XLOOKUP(FactSales[[#This Row],[Product_ID]],DimProduct[Product_ID],DimProduct[Unit_Price])</f>
        <v>3870</v>
      </c>
      <c r="P524" s="6">
        <f>_xlfn.XLOOKUP(FactSales[[#This Row],[Product_ID]],DimProduct[Product_ID],DimProduct[Unit_Cost])</f>
        <v>2630</v>
      </c>
      <c r="Q524" s="6">
        <f>FactSales[[#This Row],[Unit_Price]]*FactSales[[#This Row],[Quantity_Sold]]</f>
        <v>3870</v>
      </c>
      <c r="R524" s="6">
        <f>FactSales[[#This Row],[Unit_Cost]]*FactSales[[#This Row],[Quantity_Sold]]</f>
        <v>2630</v>
      </c>
      <c r="S524" s="6">
        <f>FactSales[[#This Row],[Sales_Amount]]-FactSales[[#This Row],[Total_Cost]]</f>
        <v>1240</v>
      </c>
      <c r="T524" s="6" t="str">
        <f>_xlfn.XLOOKUP(FactSales[[#This Row],[Customer_ID]],DimCustomer[Customer_ID],DimCustomer[Customer_Name])</f>
        <v>Shamim Khan</v>
      </c>
      <c r="U524" s="6" t="str">
        <f>_xlfn.XLOOKUP(FactSales[[#This Row],[Salesperson_ID]],DimSalesman[Salesperson_ID],DimSalesman[Salesperson_Name])</f>
        <v>Rasel Rahman</v>
      </c>
      <c r="V524" s="6" t="str">
        <f>_xlfn.XLOOKUP(FactSales[[#This Row],[Region_ID]],DimRegion[Region_ID],DimRegion[Region_Name])</f>
        <v>Dhaka</v>
      </c>
      <c r="W524" s="6" t="str">
        <f>_xlfn.XLOOKUP(FactSales[[#This Row],[Store_ID]],DimStore[Store_ID],DimStore[Store_Name])</f>
        <v>Dhaka Mirpur Store</v>
      </c>
    </row>
    <row r="525" spans="1:23">
      <c r="A525" s="4" t="s">
        <v>1521</v>
      </c>
      <c r="B525" s="5">
        <v>46003</v>
      </c>
      <c r="C525" s="4" t="s">
        <v>525</v>
      </c>
      <c r="D525" s="4" t="s">
        <v>57</v>
      </c>
      <c r="E525" s="4" t="s">
        <v>725</v>
      </c>
      <c r="F525" s="4" t="s">
        <v>972</v>
      </c>
      <c r="G525" s="4" t="s">
        <v>810</v>
      </c>
      <c r="H525" s="4">
        <v>5</v>
      </c>
      <c r="I525" s="7">
        <v>0.02</v>
      </c>
      <c r="J525" s="6">
        <v>2530</v>
      </c>
      <c r="K525" s="4">
        <v>9</v>
      </c>
      <c r="L525" s="8">
        <f t="shared" si="8"/>
        <v>2.2999999999999998</v>
      </c>
      <c r="M525" s="6" t="str">
        <f>_xlfn.XLOOKUP(FactSales[[#This Row],[Product_ID]],DimProduct[Product_ID],DimProduct[Product_Name])</f>
        <v>Flour 2kg</v>
      </c>
      <c r="N525" s="6" t="str">
        <f>_xlfn.XLOOKUP(FactSales[[#This Row],[Product_ID]],DimProduct[Product_ID],DimProduct[Category])</f>
        <v>Grocery</v>
      </c>
      <c r="O525" s="6">
        <f>_xlfn.XLOOKUP(FactSales[[#This Row],[Product_ID]],DimProduct[Product_ID],DimProduct[Unit_Price])</f>
        <v>440</v>
      </c>
      <c r="P525" s="6">
        <f>_xlfn.XLOOKUP(FactSales[[#This Row],[Product_ID]],DimProduct[Product_ID],DimProduct[Unit_Cost])</f>
        <v>340</v>
      </c>
      <c r="Q525" s="6">
        <f>FactSales[[#This Row],[Unit_Price]]*FactSales[[#This Row],[Quantity_Sold]]</f>
        <v>2200</v>
      </c>
      <c r="R525" s="6">
        <f>FactSales[[#This Row],[Unit_Cost]]*FactSales[[#This Row],[Quantity_Sold]]</f>
        <v>1700</v>
      </c>
      <c r="S525" s="6">
        <f>FactSales[[#This Row],[Sales_Amount]]-FactSales[[#This Row],[Total_Cost]]</f>
        <v>500</v>
      </c>
      <c r="T525" s="6" t="str">
        <f>_xlfn.XLOOKUP(FactSales[[#This Row],[Customer_ID]],DimCustomer[Customer_ID],DimCustomer[Customer_Name])</f>
        <v>Tamanna Mia</v>
      </c>
      <c r="U525" s="6" t="str">
        <f>_xlfn.XLOOKUP(FactSales[[#This Row],[Salesperson_ID]],DimSalesman[Salesperson_ID],DimSalesman[Salesperson_Name])</f>
        <v>Samiha Hossain</v>
      </c>
      <c r="V525" s="6" t="str">
        <f>_xlfn.XLOOKUP(FactSales[[#This Row],[Region_ID]],DimRegion[Region_ID],DimRegion[Region_Name])</f>
        <v>Rangpur</v>
      </c>
      <c r="W525" s="6" t="str">
        <f>_xlfn.XLOOKUP(FactSales[[#This Row],[Store_ID]],DimStore[Store_ID],DimStore[Store_Name])</f>
        <v>Rangpur Central Road Store</v>
      </c>
    </row>
    <row r="526" spans="1:23">
      <c r="A526" s="4" t="s">
        <v>1522</v>
      </c>
      <c r="B526" s="5">
        <v>45810</v>
      </c>
      <c r="C526" s="4" t="s">
        <v>261</v>
      </c>
      <c r="D526" s="4" t="s">
        <v>37</v>
      </c>
      <c r="E526" s="4" t="s">
        <v>662</v>
      </c>
      <c r="F526" s="4" t="s">
        <v>938</v>
      </c>
      <c r="G526" s="4" t="s">
        <v>838</v>
      </c>
      <c r="H526" s="4">
        <v>5</v>
      </c>
      <c r="I526" s="7">
        <v>7.0000000000000007E-2</v>
      </c>
      <c r="J526" s="6">
        <v>6474</v>
      </c>
      <c r="K526" s="4">
        <v>5</v>
      </c>
      <c r="L526" s="8">
        <f t="shared" si="8"/>
        <v>3.4</v>
      </c>
      <c r="M526" s="6" t="str">
        <f>_xlfn.XLOOKUP(FactSales[[#This Row],[Product_ID]],DimProduct[Product_ID],DimProduct[Product_Name])</f>
        <v>Formal Shoe</v>
      </c>
      <c r="N526" s="6" t="str">
        <f>_xlfn.XLOOKUP(FactSales[[#This Row],[Product_ID]],DimProduct[Product_ID],DimProduct[Category])</f>
        <v>Footwear</v>
      </c>
      <c r="O526" s="6">
        <f>_xlfn.XLOOKUP(FactSales[[#This Row],[Product_ID]],DimProduct[Product_ID],DimProduct[Unit_Price])</f>
        <v>1210</v>
      </c>
      <c r="P526" s="6">
        <f>_xlfn.XLOOKUP(FactSales[[#This Row],[Product_ID]],DimProduct[Product_ID],DimProduct[Unit_Cost])</f>
        <v>730</v>
      </c>
      <c r="Q526" s="6">
        <f>FactSales[[#This Row],[Unit_Price]]*FactSales[[#This Row],[Quantity_Sold]]</f>
        <v>6050</v>
      </c>
      <c r="R526" s="6">
        <f>FactSales[[#This Row],[Unit_Cost]]*FactSales[[#This Row],[Quantity_Sold]]</f>
        <v>3650</v>
      </c>
      <c r="S526" s="6">
        <f>FactSales[[#This Row],[Sales_Amount]]-FactSales[[#This Row],[Total_Cost]]</f>
        <v>2400</v>
      </c>
      <c r="T526" s="6" t="str">
        <f>_xlfn.XLOOKUP(FactSales[[#This Row],[Customer_ID]],DimCustomer[Customer_ID],DimCustomer[Customer_Name])</f>
        <v>Tania Sultana</v>
      </c>
      <c r="U526" s="6" t="str">
        <f>_xlfn.XLOOKUP(FactSales[[#This Row],[Salesperson_ID]],DimSalesman[Salesperson_ID],DimSalesman[Salesperson_Name])</f>
        <v>Rasel Akter</v>
      </c>
      <c r="V526" s="6" t="str">
        <f>_xlfn.XLOOKUP(FactSales[[#This Row],[Region_ID]],DimRegion[Region_ID],DimRegion[Region_Name])</f>
        <v>Sylhet</v>
      </c>
      <c r="W526" s="6" t="str">
        <f>_xlfn.XLOOKUP(FactSales[[#This Row],[Store_ID]],DimStore[Store_ID],DimStore[Store_Name])</f>
        <v>Sylhet Subidbazar Store</v>
      </c>
    </row>
    <row r="527" spans="1:23">
      <c r="A527" s="4" t="s">
        <v>1523</v>
      </c>
      <c r="B527" s="5">
        <v>45704</v>
      </c>
      <c r="C527" s="4" t="s">
        <v>518</v>
      </c>
      <c r="D527" s="4" t="s">
        <v>57</v>
      </c>
      <c r="E527" s="4" t="s">
        <v>716</v>
      </c>
      <c r="F527" s="4" t="s">
        <v>974</v>
      </c>
      <c r="G527" s="4" t="s">
        <v>775</v>
      </c>
      <c r="H527" s="4">
        <v>8</v>
      </c>
      <c r="I527" s="7">
        <v>0.15</v>
      </c>
      <c r="J527" s="6">
        <v>22356</v>
      </c>
      <c r="K527" s="4">
        <v>9</v>
      </c>
      <c r="L527" s="8">
        <f t="shared" si="8"/>
        <v>2</v>
      </c>
      <c r="M527" s="6" t="str">
        <f>_xlfn.XLOOKUP(FactSales[[#This Row],[Product_ID]],DimProduct[Product_ID],DimProduct[Product_Name])</f>
        <v>Blender Machine</v>
      </c>
      <c r="N527" s="6" t="str">
        <f>_xlfn.XLOOKUP(FactSales[[#This Row],[Product_ID]],DimProduct[Product_ID],DimProduct[Category])</f>
        <v>Home Appliance</v>
      </c>
      <c r="O527" s="6">
        <f>_xlfn.XLOOKUP(FactSales[[#This Row],[Product_ID]],DimProduct[Product_ID],DimProduct[Unit_Price])</f>
        <v>2430</v>
      </c>
      <c r="P527" s="6">
        <f>_xlfn.XLOOKUP(FactSales[[#This Row],[Product_ID]],DimProduct[Product_ID],DimProduct[Unit_Cost])</f>
        <v>1700</v>
      </c>
      <c r="Q527" s="6">
        <f>FactSales[[#This Row],[Unit_Price]]*FactSales[[#This Row],[Quantity_Sold]]</f>
        <v>19440</v>
      </c>
      <c r="R527" s="6">
        <f>FactSales[[#This Row],[Unit_Cost]]*FactSales[[#This Row],[Quantity_Sold]]</f>
        <v>13600</v>
      </c>
      <c r="S527" s="6">
        <f>FactSales[[#This Row],[Sales_Amount]]-FactSales[[#This Row],[Total_Cost]]</f>
        <v>5840</v>
      </c>
      <c r="T527" s="6" t="str">
        <f>_xlfn.XLOOKUP(FactSales[[#This Row],[Customer_ID]],DimCustomer[Customer_ID],DimCustomer[Customer_Name])</f>
        <v>Arif Rahman</v>
      </c>
      <c r="U527" s="6" t="str">
        <f>_xlfn.XLOOKUP(FactSales[[#This Row],[Salesperson_ID]],DimSalesman[Salesperson_ID],DimSalesman[Salesperson_Name])</f>
        <v>Farhana Uddin</v>
      </c>
      <c r="V527" s="6" t="str">
        <f>_xlfn.XLOOKUP(FactSales[[#This Row],[Region_ID]],DimRegion[Region_ID],DimRegion[Region_Name])</f>
        <v>Rangpur</v>
      </c>
      <c r="W527" s="6" t="str">
        <f>_xlfn.XLOOKUP(FactSales[[#This Row],[Store_ID]],DimStore[Store_ID],DimStore[Store_Name])</f>
        <v>Rangpur Shapla Chattar Store</v>
      </c>
    </row>
    <row r="528" spans="1:23">
      <c r="A528" s="4" t="s">
        <v>1524</v>
      </c>
      <c r="B528" s="5">
        <v>45974</v>
      </c>
      <c r="C528" s="4" t="s">
        <v>411</v>
      </c>
      <c r="D528" s="4" t="s">
        <v>47</v>
      </c>
      <c r="E528" s="4" t="s">
        <v>683</v>
      </c>
      <c r="F528" s="4" t="s">
        <v>953</v>
      </c>
      <c r="G528" s="4" t="s">
        <v>844</v>
      </c>
      <c r="H528" s="4">
        <v>3</v>
      </c>
      <c r="I528" s="7">
        <v>0.03</v>
      </c>
      <c r="J528" s="6">
        <v>8764</v>
      </c>
      <c r="K528" s="4">
        <v>3</v>
      </c>
      <c r="L528" s="8">
        <f t="shared" si="8"/>
        <v>4.2</v>
      </c>
      <c r="M528" s="6" t="str">
        <f>_xlfn.XLOOKUP(FactSales[[#This Row],[Product_ID]],DimProduct[Product_ID],DimProduct[Product_Name])</f>
        <v>Kids Sneaker</v>
      </c>
      <c r="N528" s="6" t="str">
        <f>_xlfn.XLOOKUP(FactSales[[#This Row],[Product_ID]],DimProduct[Product_ID],DimProduct[Category])</f>
        <v>Footwear</v>
      </c>
      <c r="O528" s="6">
        <f>_xlfn.XLOOKUP(FactSales[[#This Row],[Product_ID]],DimProduct[Product_ID],DimProduct[Unit_Price])</f>
        <v>2680</v>
      </c>
      <c r="P528" s="6">
        <f>_xlfn.XLOOKUP(FactSales[[#This Row],[Product_ID]],DimProduct[Product_ID],DimProduct[Unit_Cost])</f>
        <v>1610</v>
      </c>
      <c r="Q528" s="6">
        <f>FactSales[[#This Row],[Unit_Price]]*FactSales[[#This Row],[Quantity_Sold]]</f>
        <v>8040</v>
      </c>
      <c r="R528" s="6">
        <f>FactSales[[#This Row],[Unit_Cost]]*FactSales[[#This Row],[Quantity_Sold]]</f>
        <v>4830</v>
      </c>
      <c r="S528" s="6">
        <f>FactSales[[#This Row],[Sales_Amount]]-FactSales[[#This Row],[Total_Cost]]</f>
        <v>3210</v>
      </c>
      <c r="T528" s="6" t="str">
        <f>_xlfn.XLOOKUP(FactSales[[#This Row],[Customer_ID]],DimCustomer[Customer_ID],DimCustomer[Customer_Name])</f>
        <v>Jannat Sultana</v>
      </c>
      <c r="U528" s="6" t="str">
        <f>_xlfn.XLOOKUP(FactSales[[#This Row],[Salesperson_ID]],DimSalesman[Salesperson_ID],DimSalesman[Salesperson_Name])</f>
        <v>Nusrat Akter</v>
      </c>
      <c r="V528" s="6" t="str">
        <f>_xlfn.XLOOKUP(FactSales[[#This Row],[Region_ID]],DimRegion[Region_ID],DimRegion[Region_Name])</f>
        <v>Khulna</v>
      </c>
      <c r="W528" s="6" t="str">
        <f>_xlfn.XLOOKUP(FactSales[[#This Row],[Store_ID]],DimStore[Store_ID],DimStore[Store_Name])</f>
        <v>Khulna Sonadanga Store</v>
      </c>
    </row>
    <row r="529" spans="1:23">
      <c r="A529" s="4" t="s">
        <v>1525</v>
      </c>
      <c r="B529" s="5">
        <v>46172</v>
      </c>
      <c r="C529" s="4" t="s">
        <v>127</v>
      </c>
      <c r="D529" s="4" t="s">
        <v>27</v>
      </c>
      <c r="E529" s="4" t="s">
        <v>634</v>
      </c>
      <c r="F529" s="4" t="s">
        <v>914</v>
      </c>
      <c r="G529" s="4" t="s">
        <v>856</v>
      </c>
      <c r="H529" s="4">
        <v>6</v>
      </c>
      <c r="I529" s="7">
        <v>0.03</v>
      </c>
      <c r="J529" s="6">
        <v>19716</v>
      </c>
      <c r="K529" s="4">
        <v>1</v>
      </c>
      <c r="L529" s="8">
        <f t="shared" si="8"/>
        <v>4.8</v>
      </c>
      <c r="M529" s="6" t="str">
        <f>_xlfn.XLOOKUP(FactSales[[#This Row],[Product_ID]],DimProduct[Product_ID],DimProduct[Product_Name])</f>
        <v>Badminton Racket</v>
      </c>
      <c r="N529" s="6" t="str">
        <f>_xlfn.XLOOKUP(FactSales[[#This Row],[Product_ID]],DimProduct[Product_ID],DimProduct[Category])</f>
        <v>Sports</v>
      </c>
      <c r="O529" s="6">
        <f>_xlfn.XLOOKUP(FactSales[[#This Row],[Product_ID]],DimProduct[Product_ID],DimProduct[Unit_Price])</f>
        <v>3100</v>
      </c>
      <c r="P529" s="6">
        <f>_xlfn.XLOOKUP(FactSales[[#This Row],[Product_ID]],DimProduct[Product_ID],DimProduct[Unit_Cost])</f>
        <v>1920</v>
      </c>
      <c r="Q529" s="6">
        <f>FactSales[[#This Row],[Unit_Price]]*FactSales[[#This Row],[Quantity_Sold]]</f>
        <v>18600</v>
      </c>
      <c r="R529" s="6">
        <f>FactSales[[#This Row],[Unit_Cost]]*FactSales[[#This Row],[Quantity_Sold]]</f>
        <v>11520</v>
      </c>
      <c r="S529" s="6">
        <f>FactSales[[#This Row],[Sales_Amount]]-FactSales[[#This Row],[Total_Cost]]</f>
        <v>7080</v>
      </c>
      <c r="T529" s="6" t="str">
        <f>_xlfn.XLOOKUP(FactSales[[#This Row],[Customer_ID]],DimCustomer[Customer_ID],DimCustomer[Customer_Name])</f>
        <v>Sadia Islam</v>
      </c>
      <c r="U529" s="6" t="str">
        <f>_xlfn.XLOOKUP(FactSales[[#This Row],[Salesperson_ID]],DimSalesman[Salesperson_ID],DimSalesman[Salesperson_Name])</f>
        <v>Rasel Rahman</v>
      </c>
      <c r="V529" s="6" t="str">
        <f>_xlfn.XLOOKUP(FactSales[[#This Row],[Region_ID]],DimRegion[Region_ID],DimRegion[Region_Name])</f>
        <v>Dhaka</v>
      </c>
      <c r="W529" s="6" t="str">
        <f>_xlfn.XLOOKUP(FactSales[[#This Row],[Store_ID]],DimStore[Store_ID],DimStore[Store_Name])</f>
        <v>Dhaka Motijheel Store</v>
      </c>
    </row>
    <row r="530" spans="1:23">
      <c r="A530" s="4" t="s">
        <v>1526</v>
      </c>
      <c r="B530" s="5">
        <v>46112</v>
      </c>
      <c r="C530" s="4" t="s">
        <v>217</v>
      </c>
      <c r="D530" s="4" t="s">
        <v>37</v>
      </c>
      <c r="E530" s="4" t="s">
        <v>659</v>
      </c>
      <c r="F530" s="4" t="s">
        <v>934</v>
      </c>
      <c r="G530" s="4" t="s">
        <v>765</v>
      </c>
      <c r="H530" s="4">
        <v>3</v>
      </c>
      <c r="I530" s="7">
        <v>0.18</v>
      </c>
      <c r="J530" s="6">
        <v>15697</v>
      </c>
      <c r="K530" s="4">
        <v>2</v>
      </c>
      <c r="L530" s="8">
        <f t="shared" si="8"/>
        <v>4.2</v>
      </c>
      <c r="M530" s="6" t="str">
        <f>_xlfn.XLOOKUP(FactSales[[#This Row],[Product_ID]],DimProduct[Product_ID],DimProduct[Product_Name])</f>
        <v>USB-C Hub</v>
      </c>
      <c r="N530" s="6" t="str">
        <f>_xlfn.XLOOKUP(FactSales[[#This Row],[Product_ID]],DimProduct[Product_ID],DimProduct[Category])</f>
        <v>Electronics</v>
      </c>
      <c r="O530" s="6">
        <f>_xlfn.XLOOKUP(FactSales[[#This Row],[Product_ID]],DimProduct[Product_ID],DimProduct[Unit_Price])</f>
        <v>4890</v>
      </c>
      <c r="P530" s="6">
        <f>_xlfn.XLOOKUP(FactSales[[#This Row],[Product_ID]],DimProduct[Product_ID],DimProduct[Unit_Cost])</f>
        <v>3330</v>
      </c>
      <c r="Q530" s="6">
        <f>FactSales[[#This Row],[Unit_Price]]*FactSales[[#This Row],[Quantity_Sold]]</f>
        <v>14670</v>
      </c>
      <c r="R530" s="6">
        <f>FactSales[[#This Row],[Unit_Cost]]*FactSales[[#This Row],[Quantity_Sold]]</f>
        <v>9990</v>
      </c>
      <c r="S530" s="6">
        <f>FactSales[[#This Row],[Sales_Amount]]-FactSales[[#This Row],[Total_Cost]]</f>
        <v>4680</v>
      </c>
      <c r="T530" s="6" t="str">
        <f>_xlfn.XLOOKUP(FactSales[[#This Row],[Customer_ID]],DimCustomer[Customer_ID],DimCustomer[Customer_Name])</f>
        <v>Karim Khan</v>
      </c>
      <c r="U530" s="6" t="str">
        <f>_xlfn.XLOOKUP(FactSales[[#This Row],[Salesperson_ID]],DimSalesman[Salesperson_ID],DimSalesman[Salesperson_Name])</f>
        <v>Hasan Mia</v>
      </c>
      <c r="V530" s="6" t="str">
        <f>_xlfn.XLOOKUP(FactSales[[#This Row],[Region_ID]],DimRegion[Region_ID],DimRegion[Region_Name])</f>
        <v>Sylhet</v>
      </c>
      <c r="W530" s="6" t="str">
        <f>_xlfn.XLOOKUP(FactSales[[#This Row],[Store_ID]],DimStore[Store_ID],DimStore[Store_Name])</f>
        <v>Sylhet South Surma Store</v>
      </c>
    </row>
    <row r="531" spans="1:23">
      <c r="A531" s="4" t="s">
        <v>1527</v>
      </c>
      <c r="B531" s="5">
        <v>45682</v>
      </c>
      <c r="C531" s="4" t="s">
        <v>551</v>
      </c>
      <c r="D531" s="4" t="s">
        <v>62</v>
      </c>
      <c r="E531" s="4" t="s">
        <v>734</v>
      </c>
      <c r="F531" s="4" t="s">
        <v>983</v>
      </c>
      <c r="G531" s="4" t="s">
        <v>762</v>
      </c>
      <c r="H531" s="4">
        <v>5</v>
      </c>
      <c r="I531" s="7">
        <v>0.12</v>
      </c>
      <c r="J531" s="6">
        <v>20898</v>
      </c>
      <c r="K531" s="4">
        <v>6</v>
      </c>
      <c r="L531" s="8">
        <f t="shared" si="8"/>
        <v>3</v>
      </c>
      <c r="M531" s="6" t="str">
        <f>_xlfn.XLOOKUP(FactSales[[#This Row],[Product_ID]],DimProduct[Product_ID],DimProduct[Product_Name])</f>
        <v>Smart Watch</v>
      </c>
      <c r="N531" s="6" t="str">
        <f>_xlfn.XLOOKUP(FactSales[[#This Row],[Product_ID]],DimProduct[Product_ID],DimProduct[Category])</f>
        <v>Electronics</v>
      </c>
      <c r="O531" s="6">
        <f>_xlfn.XLOOKUP(FactSales[[#This Row],[Product_ID]],DimProduct[Product_ID],DimProduct[Unit_Price])</f>
        <v>3870</v>
      </c>
      <c r="P531" s="6">
        <f>_xlfn.XLOOKUP(FactSales[[#This Row],[Product_ID]],DimProduct[Product_ID],DimProduct[Unit_Cost])</f>
        <v>2630</v>
      </c>
      <c r="Q531" s="6">
        <f>FactSales[[#This Row],[Unit_Price]]*FactSales[[#This Row],[Quantity_Sold]]</f>
        <v>19350</v>
      </c>
      <c r="R531" s="6">
        <f>FactSales[[#This Row],[Unit_Cost]]*FactSales[[#This Row],[Quantity_Sold]]</f>
        <v>13150</v>
      </c>
      <c r="S531" s="6">
        <f>FactSales[[#This Row],[Sales_Amount]]-FactSales[[#This Row],[Total_Cost]]</f>
        <v>6200</v>
      </c>
      <c r="T531" s="6" t="str">
        <f>_xlfn.XLOOKUP(FactSales[[#This Row],[Customer_ID]],DimCustomer[Customer_ID],DimCustomer[Customer_Name])</f>
        <v>Samiha Islam</v>
      </c>
      <c r="U531" s="6" t="str">
        <f>_xlfn.XLOOKUP(FactSales[[#This Row],[Salesperson_ID]],DimSalesman[Salesperson_ID],DimSalesman[Salesperson_Name])</f>
        <v>Fahim Hossain</v>
      </c>
      <c r="V531" s="6" t="str">
        <f>_xlfn.XLOOKUP(FactSales[[#This Row],[Region_ID]],DimRegion[Region_ID],DimRegion[Region_Name])</f>
        <v>Mymensingh</v>
      </c>
      <c r="W531" s="6" t="str">
        <f>_xlfn.XLOOKUP(FactSales[[#This Row],[Store_ID]],DimStore[Store_ID],DimStore[Store_Name])</f>
        <v>Mymensingh Charpara Store</v>
      </c>
    </row>
    <row r="532" spans="1:23">
      <c r="A532" s="4" t="s">
        <v>1528</v>
      </c>
      <c r="B532" s="5">
        <v>45830</v>
      </c>
      <c r="C532" s="4" t="s">
        <v>507</v>
      </c>
      <c r="D532" s="4" t="s">
        <v>57</v>
      </c>
      <c r="E532" s="4" t="s">
        <v>713</v>
      </c>
      <c r="F532" s="4" t="s">
        <v>968</v>
      </c>
      <c r="G532" s="4" t="s">
        <v>903</v>
      </c>
      <c r="H532" s="4">
        <v>2</v>
      </c>
      <c r="I532" s="7">
        <v>0.05</v>
      </c>
      <c r="J532" s="6">
        <v>9729</v>
      </c>
      <c r="K532" s="4">
        <v>8</v>
      </c>
      <c r="L532" s="8">
        <f t="shared" si="8"/>
        <v>2.5</v>
      </c>
      <c r="M532" s="6" t="str">
        <f>_xlfn.XLOOKUP(FactSales[[#This Row],[Product_ID]],DimProduct[Product_ID],DimProduct[Product_Name])</f>
        <v>Bookshelf</v>
      </c>
      <c r="N532" s="6" t="str">
        <f>_xlfn.XLOOKUP(FactSales[[#This Row],[Product_ID]],DimProduct[Product_ID],DimProduct[Category])</f>
        <v>Furniture</v>
      </c>
      <c r="O532" s="6">
        <f>_xlfn.XLOOKUP(FactSales[[#This Row],[Product_ID]],DimProduct[Product_ID],DimProduct[Unit_Price])</f>
        <v>4230</v>
      </c>
      <c r="P532" s="6">
        <f>_xlfn.XLOOKUP(FactSales[[#This Row],[Product_ID]],DimProduct[Product_ID],DimProduct[Unit_Cost])</f>
        <v>3050</v>
      </c>
      <c r="Q532" s="6">
        <f>FactSales[[#This Row],[Unit_Price]]*FactSales[[#This Row],[Quantity_Sold]]</f>
        <v>8460</v>
      </c>
      <c r="R532" s="6">
        <f>FactSales[[#This Row],[Unit_Cost]]*FactSales[[#This Row],[Quantity_Sold]]</f>
        <v>6100</v>
      </c>
      <c r="S532" s="6">
        <f>FactSales[[#This Row],[Sales_Amount]]-FactSales[[#This Row],[Total_Cost]]</f>
        <v>2360</v>
      </c>
      <c r="T532" s="6" t="str">
        <f>_xlfn.XLOOKUP(FactSales[[#This Row],[Customer_ID]],DimCustomer[Customer_ID],DimCustomer[Customer_Name])</f>
        <v>Samiha Uddin</v>
      </c>
      <c r="U532" s="6" t="str">
        <f>_xlfn.XLOOKUP(FactSales[[#This Row],[Salesperson_ID]],DimSalesman[Salesperson_ID],DimSalesman[Salesperson_Name])</f>
        <v>Morshed Ahmed</v>
      </c>
      <c r="V532" s="6" t="str">
        <f>_xlfn.XLOOKUP(FactSales[[#This Row],[Region_ID]],DimRegion[Region_ID],DimRegion[Region_Name])</f>
        <v>Rangpur</v>
      </c>
      <c r="W532" s="6" t="str">
        <f>_xlfn.XLOOKUP(FactSales[[#This Row],[Store_ID]],DimStore[Store_ID],DimStore[Store_Name])</f>
        <v>Rangpur Jahaj Company Store</v>
      </c>
    </row>
    <row r="533" spans="1:23">
      <c r="A533" s="4" t="s">
        <v>1529</v>
      </c>
      <c r="B533" s="5">
        <v>45991</v>
      </c>
      <c r="C533" s="4" t="s">
        <v>393</v>
      </c>
      <c r="D533" s="4" t="s">
        <v>47</v>
      </c>
      <c r="E533" s="4" t="s">
        <v>686</v>
      </c>
      <c r="F533" s="4" t="s">
        <v>952</v>
      </c>
      <c r="G533" s="4" t="s">
        <v>825</v>
      </c>
      <c r="H533" s="4">
        <v>1</v>
      </c>
      <c r="I533" s="7">
        <v>0.03</v>
      </c>
      <c r="J533" s="6">
        <v>1264</v>
      </c>
      <c r="K533" s="4">
        <v>4</v>
      </c>
      <c r="L533" s="8">
        <f t="shared" si="8"/>
        <v>3.9</v>
      </c>
      <c r="M533" s="6" t="str">
        <f>_xlfn.XLOOKUP(FactSales[[#This Row],[Product_ID]],DimProduct[Product_ID],DimProduct[Product_Name])</f>
        <v>Body Lotion</v>
      </c>
      <c r="N533" s="6" t="str">
        <f>_xlfn.XLOOKUP(FactSales[[#This Row],[Product_ID]],DimProduct[Product_ID],DimProduct[Category])</f>
        <v>Beauty &amp; Personal Care</v>
      </c>
      <c r="O533" s="6">
        <f>_xlfn.XLOOKUP(FactSales[[#This Row],[Product_ID]],DimProduct[Product_ID],DimProduct[Unit_Price])</f>
        <v>1160</v>
      </c>
      <c r="P533" s="6">
        <f>_xlfn.XLOOKUP(FactSales[[#This Row],[Product_ID]],DimProduct[Product_ID],DimProduct[Unit_Cost])</f>
        <v>670</v>
      </c>
      <c r="Q533" s="6">
        <f>FactSales[[#This Row],[Unit_Price]]*FactSales[[#This Row],[Quantity_Sold]]</f>
        <v>1160</v>
      </c>
      <c r="R533" s="6">
        <f>FactSales[[#This Row],[Unit_Cost]]*FactSales[[#This Row],[Quantity_Sold]]</f>
        <v>670</v>
      </c>
      <c r="S533" s="6">
        <f>FactSales[[#This Row],[Sales_Amount]]-FactSales[[#This Row],[Total_Cost]]</f>
        <v>490</v>
      </c>
      <c r="T533" s="6" t="str">
        <f>_xlfn.XLOOKUP(FactSales[[#This Row],[Customer_ID]],DimCustomer[Customer_ID],DimCustomer[Customer_Name])</f>
        <v>Imran Uddin</v>
      </c>
      <c r="U533" s="6" t="str">
        <f>_xlfn.XLOOKUP(FactSales[[#This Row],[Salesperson_ID]],DimSalesman[Salesperson_ID],DimSalesman[Salesperson_Name])</f>
        <v>Samiha Islam</v>
      </c>
      <c r="V533" s="6" t="str">
        <f>_xlfn.XLOOKUP(FactSales[[#This Row],[Region_ID]],DimRegion[Region_ID],DimRegion[Region_Name])</f>
        <v>Khulna</v>
      </c>
      <c r="W533" s="6" t="str">
        <f>_xlfn.XLOOKUP(FactSales[[#This Row],[Store_ID]],DimStore[Store_ID],DimStore[Store_Name])</f>
        <v>Khulna Khalishpur Store</v>
      </c>
    </row>
    <row r="534" spans="1:23">
      <c r="A534" s="4" t="s">
        <v>1530</v>
      </c>
      <c r="B534" s="5">
        <v>45989</v>
      </c>
      <c r="C534" s="4" t="s">
        <v>390</v>
      </c>
      <c r="D534" s="4" t="s">
        <v>47</v>
      </c>
      <c r="E534" s="4" t="s">
        <v>683</v>
      </c>
      <c r="F534" s="4" t="s">
        <v>954</v>
      </c>
      <c r="G534" s="4" t="s">
        <v>758</v>
      </c>
      <c r="H534" s="4">
        <v>2</v>
      </c>
      <c r="I534" s="7">
        <v>0.08</v>
      </c>
      <c r="J534" s="6">
        <v>6191</v>
      </c>
      <c r="K534" s="4">
        <v>4</v>
      </c>
      <c r="L534" s="8">
        <f t="shared" si="8"/>
        <v>3.7</v>
      </c>
      <c r="M534" s="6" t="str">
        <f>_xlfn.XLOOKUP(FactSales[[#This Row],[Product_ID]],DimProduct[Product_ID],DimProduct[Product_Name])</f>
        <v>Power Bank</v>
      </c>
      <c r="N534" s="6" t="str">
        <f>_xlfn.XLOOKUP(FactSales[[#This Row],[Product_ID]],DimProduct[Product_ID],DimProduct[Category])</f>
        <v>Electronics</v>
      </c>
      <c r="O534" s="6">
        <f>_xlfn.XLOOKUP(FactSales[[#This Row],[Product_ID]],DimProduct[Product_ID],DimProduct[Unit_Price])</f>
        <v>2840</v>
      </c>
      <c r="P534" s="6">
        <f>_xlfn.XLOOKUP(FactSales[[#This Row],[Product_ID]],DimProduct[Product_ID],DimProduct[Unit_Cost])</f>
        <v>1930</v>
      </c>
      <c r="Q534" s="6">
        <f>FactSales[[#This Row],[Unit_Price]]*FactSales[[#This Row],[Quantity_Sold]]</f>
        <v>5680</v>
      </c>
      <c r="R534" s="6">
        <f>FactSales[[#This Row],[Unit_Cost]]*FactSales[[#This Row],[Quantity_Sold]]</f>
        <v>3860</v>
      </c>
      <c r="S534" s="6">
        <f>FactSales[[#This Row],[Sales_Amount]]-FactSales[[#This Row],[Total_Cost]]</f>
        <v>1820</v>
      </c>
      <c r="T534" s="6" t="str">
        <f>_xlfn.XLOOKUP(FactSales[[#This Row],[Customer_ID]],DimCustomer[Customer_ID],DimCustomer[Customer_Name])</f>
        <v>Fahim Khan</v>
      </c>
      <c r="U534" s="6" t="str">
        <f>_xlfn.XLOOKUP(FactSales[[#This Row],[Salesperson_ID]],DimSalesman[Salesperson_ID],DimSalesman[Salesperson_Name])</f>
        <v>Sadia Sultana</v>
      </c>
      <c r="V534" s="6" t="str">
        <f>_xlfn.XLOOKUP(FactSales[[#This Row],[Region_ID]],DimRegion[Region_ID],DimRegion[Region_Name])</f>
        <v>Khulna</v>
      </c>
      <c r="W534" s="6" t="str">
        <f>_xlfn.XLOOKUP(FactSales[[#This Row],[Store_ID]],DimStore[Store_ID],DimStore[Store_Name])</f>
        <v>Khulna Sonadanga Store</v>
      </c>
    </row>
    <row r="535" spans="1:23">
      <c r="A535" s="4" t="s">
        <v>1531</v>
      </c>
      <c r="B535" s="5">
        <v>45775</v>
      </c>
      <c r="C535" s="4" t="s">
        <v>326</v>
      </c>
      <c r="D535" s="4" t="s">
        <v>42</v>
      </c>
      <c r="E535" s="4" t="s">
        <v>680</v>
      </c>
      <c r="F535" s="4" t="s">
        <v>949</v>
      </c>
      <c r="G535" s="4" t="s">
        <v>778</v>
      </c>
      <c r="H535" s="4">
        <v>3</v>
      </c>
      <c r="I535" s="7">
        <v>0.15</v>
      </c>
      <c r="J535" s="6">
        <v>14774</v>
      </c>
      <c r="K535" s="4">
        <v>6</v>
      </c>
      <c r="L535" s="8">
        <f t="shared" si="8"/>
        <v>3</v>
      </c>
      <c r="M535" s="6" t="str">
        <f>_xlfn.XLOOKUP(FactSales[[#This Row],[Product_ID]],DimProduct[Product_ID],DimProduct[Product_Name])</f>
        <v>Steam Iron</v>
      </c>
      <c r="N535" s="6" t="str">
        <f>_xlfn.XLOOKUP(FactSales[[#This Row],[Product_ID]],DimProduct[Product_ID],DimProduct[Category])</f>
        <v>Home Appliance</v>
      </c>
      <c r="O535" s="6">
        <f>_xlfn.XLOOKUP(FactSales[[#This Row],[Product_ID]],DimProduct[Product_ID],DimProduct[Unit_Price])</f>
        <v>4560</v>
      </c>
      <c r="P535" s="6">
        <f>_xlfn.XLOOKUP(FactSales[[#This Row],[Product_ID]],DimProduct[Product_ID],DimProduct[Unit_Cost])</f>
        <v>3190</v>
      </c>
      <c r="Q535" s="6">
        <f>FactSales[[#This Row],[Unit_Price]]*FactSales[[#This Row],[Quantity_Sold]]</f>
        <v>13680</v>
      </c>
      <c r="R535" s="6">
        <f>FactSales[[#This Row],[Unit_Cost]]*FactSales[[#This Row],[Quantity_Sold]]</f>
        <v>9570</v>
      </c>
      <c r="S535" s="6">
        <f>FactSales[[#This Row],[Sales_Amount]]-FactSales[[#This Row],[Total_Cost]]</f>
        <v>4110</v>
      </c>
      <c r="T535" s="6" t="str">
        <f>_xlfn.XLOOKUP(FactSales[[#This Row],[Customer_ID]],DimCustomer[Customer_ID],DimCustomer[Customer_Name])</f>
        <v>Hasan Rahman</v>
      </c>
      <c r="U535" s="6" t="str">
        <f>_xlfn.XLOOKUP(FactSales[[#This Row],[Salesperson_ID]],DimSalesman[Salesperson_ID],DimSalesman[Salesperson_Name])</f>
        <v>Mahmud Chowdhury</v>
      </c>
      <c r="V535" s="6" t="str">
        <f>_xlfn.XLOOKUP(FactSales[[#This Row],[Region_ID]],DimRegion[Region_ID],DimRegion[Region_Name])</f>
        <v>Rajshahi</v>
      </c>
      <c r="W535" s="6" t="str">
        <f>_xlfn.XLOOKUP(FactSales[[#This Row],[Store_ID]],DimStore[Store_ID],DimStore[Store_Name])</f>
        <v>Rajshahi Lakshmipur Store</v>
      </c>
    </row>
    <row r="536" spans="1:23">
      <c r="A536" s="4" t="s">
        <v>1532</v>
      </c>
      <c r="B536" s="5">
        <v>45897</v>
      </c>
      <c r="C536" s="4" t="s">
        <v>493</v>
      </c>
      <c r="D536" s="4" t="s">
        <v>57</v>
      </c>
      <c r="E536" s="4" t="s">
        <v>722</v>
      </c>
      <c r="F536" s="4" t="s">
        <v>968</v>
      </c>
      <c r="G536" s="4" t="s">
        <v>781</v>
      </c>
      <c r="H536" s="4">
        <v>6</v>
      </c>
      <c r="I536" s="7">
        <v>0.08</v>
      </c>
      <c r="J536" s="6">
        <v>21459</v>
      </c>
      <c r="K536" s="4">
        <v>7</v>
      </c>
      <c r="L536" s="8">
        <f t="shared" si="8"/>
        <v>2.8</v>
      </c>
      <c r="M536" s="6" t="str">
        <f>_xlfn.XLOOKUP(FactSales[[#This Row],[Product_ID]],DimProduct[Product_ID],DimProduct[Product_Name])</f>
        <v>Table Fan</v>
      </c>
      <c r="N536" s="6" t="str">
        <f>_xlfn.XLOOKUP(FactSales[[#This Row],[Product_ID]],DimProduct[Product_ID],DimProduct[Category])</f>
        <v>Home Appliance</v>
      </c>
      <c r="O536" s="6">
        <f>_xlfn.XLOOKUP(FactSales[[#This Row],[Product_ID]],DimProduct[Product_ID],DimProduct[Unit_Price])</f>
        <v>3110</v>
      </c>
      <c r="P536" s="6">
        <f>_xlfn.XLOOKUP(FactSales[[#This Row],[Product_ID]],DimProduct[Product_ID],DimProduct[Unit_Cost])</f>
        <v>2180</v>
      </c>
      <c r="Q536" s="6">
        <f>FactSales[[#This Row],[Unit_Price]]*FactSales[[#This Row],[Quantity_Sold]]</f>
        <v>18660</v>
      </c>
      <c r="R536" s="6">
        <f>FactSales[[#This Row],[Unit_Cost]]*FactSales[[#This Row],[Quantity_Sold]]</f>
        <v>13080</v>
      </c>
      <c r="S536" s="6">
        <f>FactSales[[#This Row],[Sales_Amount]]-FactSales[[#This Row],[Total_Cost]]</f>
        <v>5580</v>
      </c>
      <c r="T536" s="6" t="str">
        <f>_xlfn.XLOOKUP(FactSales[[#This Row],[Customer_ID]],DimCustomer[Customer_ID],DimCustomer[Customer_Name])</f>
        <v>Mim Sultana</v>
      </c>
      <c r="U536" s="6" t="str">
        <f>_xlfn.XLOOKUP(FactSales[[#This Row],[Salesperson_ID]],DimSalesman[Salesperson_ID],DimSalesman[Salesperson_Name])</f>
        <v>Morshed Ahmed</v>
      </c>
      <c r="V536" s="6" t="str">
        <f>_xlfn.XLOOKUP(FactSales[[#This Row],[Region_ID]],DimRegion[Region_ID],DimRegion[Region_Name])</f>
        <v>Rangpur</v>
      </c>
      <c r="W536" s="6" t="str">
        <f>_xlfn.XLOOKUP(FactSales[[#This Row],[Store_ID]],DimStore[Store_ID],DimStore[Store_Name])</f>
        <v>Rangpur Dhap Store</v>
      </c>
    </row>
    <row r="537" spans="1:23">
      <c r="A537" s="4" t="s">
        <v>1533</v>
      </c>
      <c r="B537" s="5">
        <v>45969</v>
      </c>
      <c r="C537" s="4" t="s">
        <v>168</v>
      </c>
      <c r="D537" s="4" t="s">
        <v>32</v>
      </c>
      <c r="E537" s="4" t="s">
        <v>650</v>
      </c>
      <c r="F537" s="4" t="s">
        <v>931</v>
      </c>
      <c r="G537" s="4" t="s">
        <v>862</v>
      </c>
      <c r="H537" s="4">
        <v>3</v>
      </c>
      <c r="I537" s="7">
        <v>0.1</v>
      </c>
      <c r="J537" s="6">
        <v>3796</v>
      </c>
      <c r="K537" s="4">
        <v>10</v>
      </c>
      <c r="L537" s="8">
        <f t="shared" si="8"/>
        <v>1.8</v>
      </c>
      <c r="M537" s="6" t="str">
        <f>_xlfn.XLOOKUP(FactSales[[#This Row],[Product_ID]],DimProduct[Product_ID],DimProduct[Product_Name])</f>
        <v>Dumbbell Set</v>
      </c>
      <c r="N537" s="6" t="str">
        <f>_xlfn.XLOOKUP(FactSales[[#This Row],[Product_ID]],DimProduct[Product_ID],DimProduct[Category])</f>
        <v>Sports</v>
      </c>
      <c r="O537" s="6">
        <f>_xlfn.XLOOKUP(FactSales[[#This Row],[Product_ID]],DimProduct[Product_ID],DimProduct[Unit_Price])</f>
        <v>1110</v>
      </c>
      <c r="P537" s="6">
        <f>_xlfn.XLOOKUP(FactSales[[#This Row],[Product_ID]],DimProduct[Product_ID],DimProduct[Unit_Cost])</f>
        <v>690</v>
      </c>
      <c r="Q537" s="6">
        <f>FactSales[[#This Row],[Unit_Price]]*FactSales[[#This Row],[Quantity_Sold]]</f>
        <v>3330</v>
      </c>
      <c r="R537" s="6">
        <f>FactSales[[#This Row],[Unit_Cost]]*FactSales[[#This Row],[Quantity_Sold]]</f>
        <v>2070</v>
      </c>
      <c r="S537" s="6">
        <f>FactSales[[#This Row],[Sales_Amount]]-FactSales[[#This Row],[Total_Cost]]</f>
        <v>1260</v>
      </c>
      <c r="T537" s="6" t="str">
        <f>_xlfn.XLOOKUP(FactSales[[#This Row],[Customer_ID]],DimCustomer[Customer_ID],DimCustomer[Customer_Name])</f>
        <v>Mim Akter</v>
      </c>
      <c r="U537" s="6" t="str">
        <f>_xlfn.XLOOKUP(FactSales[[#This Row],[Salesperson_ID]],DimSalesman[Salesperson_ID],DimSalesman[Salesperson_Name])</f>
        <v>Sadia Islam</v>
      </c>
      <c r="V537" s="6" t="str">
        <f>_xlfn.XLOOKUP(FactSales[[#This Row],[Region_ID]],DimRegion[Region_ID],DimRegion[Region_Name])</f>
        <v>Chattogram</v>
      </c>
      <c r="W537" s="6" t="str">
        <f>_xlfn.XLOOKUP(FactSales[[#This Row],[Store_ID]],DimStore[Store_ID],DimStore[Store_Name])</f>
        <v>Chattogram Halishahar Store</v>
      </c>
    </row>
    <row r="538" spans="1:23">
      <c r="A538" s="4" t="s">
        <v>1534</v>
      </c>
      <c r="B538" s="5">
        <v>45803</v>
      </c>
      <c r="C538" s="4" t="s">
        <v>205</v>
      </c>
      <c r="D538" s="4" t="s">
        <v>32</v>
      </c>
      <c r="E538" s="4" t="s">
        <v>650</v>
      </c>
      <c r="F538" s="4" t="s">
        <v>924</v>
      </c>
      <c r="G538" s="4" t="s">
        <v>862</v>
      </c>
      <c r="H538" s="4">
        <v>2</v>
      </c>
      <c r="I538" s="7">
        <v>0.05</v>
      </c>
      <c r="J538" s="6">
        <v>2531</v>
      </c>
      <c r="K538" s="4">
        <v>5</v>
      </c>
      <c r="L538" s="8">
        <f t="shared" si="8"/>
        <v>3.5</v>
      </c>
      <c r="M538" s="6" t="str">
        <f>_xlfn.XLOOKUP(FactSales[[#This Row],[Product_ID]],DimProduct[Product_ID],DimProduct[Product_Name])</f>
        <v>Dumbbell Set</v>
      </c>
      <c r="N538" s="6" t="str">
        <f>_xlfn.XLOOKUP(FactSales[[#This Row],[Product_ID]],DimProduct[Product_ID],DimProduct[Category])</f>
        <v>Sports</v>
      </c>
      <c r="O538" s="6">
        <f>_xlfn.XLOOKUP(FactSales[[#This Row],[Product_ID]],DimProduct[Product_ID],DimProduct[Unit_Price])</f>
        <v>1110</v>
      </c>
      <c r="P538" s="6">
        <f>_xlfn.XLOOKUP(FactSales[[#This Row],[Product_ID]],DimProduct[Product_ID],DimProduct[Unit_Cost])</f>
        <v>690</v>
      </c>
      <c r="Q538" s="6">
        <f>FactSales[[#This Row],[Unit_Price]]*FactSales[[#This Row],[Quantity_Sold]]</f>
        <v>2220</v>
      </c>
      <c r="R538" s="6">
        <f>FactSales[[#This Row],[Unit_Cost]]*FactSales[[#This Row],[Quantity_Sold]]</f>
        <v>1380</v>
      </c>
      <c r="S538" s="6">
        <f>FactSales[[#This Row],[Sales_Amount]]-FactSales[[#This Row],[Total_Cost]]</f>
        <v>840</v>
      </c>
      <c r="T538" s="6" t="str">
        <f>_xlfn.XLOOKUP(FactSales[[#This Row],[Customer_ID]],DimCustomer[Customer_ID],DimCustomer[Customer_Name])</f>
        <v>Mahmud Islam</v>
      </c>
      <c r="U538" s="6" t="str">
        <f>_xlfn.XLOOKUP(FactSales[[#This Row],[Salesperson_ID]],DimSalesman[Salesperson_ID],DimSalesman[Salesperson_Name])</f>
        <v>Rumana Khan</v>
      </c>
      <c r="V538" s="6" t="str">
        <f>_xlfn.XLOOKUP(FactSales[[#This Row],[Region_ID]],DimRegion[Region_ID],DimRegion[Region_Name])</f>
        <v>Chattogram</v>
      </c>
      <c r="W538" s="6" t="str">
        <f>_xlfn.XLOOKUP(FactSales[[#This Row],[Store_ID]],DimStore[Store_ID],DimStore[Store_Name])</f>
        <v>Chattogram Halishahar Store</v>
      </c>
    </row>
    <row r="539" spans="1:23">
      <c r="A539" s="4" t="s">
        <v>1535</v>
      </c>
      <c r="B539" s="5">
        <v>46133</v>
      </c>
      <c r="C539" s="4" t="s">
        <v>530</v>
      </c>
      <c r="D539" s="4" t="s">
        <v>57</v>
      </c>
      <c r="E539" s="4" t="s">
        <v>722</v>
      </c>
      <c r="F539" s="4" t="s">
        <v>968</v>
      </c>
      <c r="G539" s="4" t="s">
        <v>750</v>
      </c>
      <c r="H539" s="4">
        <v>10</v>
      </c>
      <c r="I539" s="7">
        <v>0.12</v>
      </c>
      <c r="J539" s="6">
        <v>37260</v>
      </c>
      <c r="K539" s="4">
        <v>4</v>
      </c>
      <c r="L539" s="8">
        <f t="shared" si="8"/>
        <v>3.7</v>
      </c>
      <c r="M539" s="6" t="str">
        <f>_xlfn.XLOOKUP(FactSales[[#This Row],[Product_ID]],DimProduct[Product_ID],DimProduct[Product_Name])</f>
        <v>Bluetooth Speaker</v>
      </c>
      <c r="N539" s="6" t="str">
        <f>_xlfn.XLOOKUP(FactSales[[#This Row],[Product_ID]],DimProduct[Product_ID],DimProduct[Category])</f>
        <v>Electronics</v>
      </c>
      <c r="O539" s="6">
        <f>_xlfn.XLOOKUP(FactSales[[#This Row],[Product_ID]],DimProduct[Product_ID],DimProduct[Unit_Price])</f>
        <v>3240</v>
      </c>
      <c r="P539" s="6">
        <f>_xlfn.XLOOKUP(FactSales[[#This Row],[Product_ID]],DimProduct[Product_ID],DimProduct[Unit_Cost])</f>
        <v>2200</v>
      </c>
      <c r="Q539" s="6">
        <f>FactSales[[#This Row],[Unit_Price]]*FactSales[[#This Row],[Quantity_Sold]]</f>
        <v>32400</v>
      </c>
      <c r="R539" s="6">
        <f>FactSales[[#This Row],[Unit_Cost]]*FactSales[[#This Row],[Quantity_Sold]]</f>
        <v>22000</v>
      </c>
      <c r="S539" s="6">
        <f>FactSales[[#This Row],[Sales_Amount]]-FactSales[[#This Row],[Total_Cost]]</f>
        <v>10400</v>
      </c>
      <c r="T539" s="6" t="str">
        <f>_xlfn.XLOOKUP(FactSales[[#This Row],[Customer_ID]],DimCustomer[Customer_ID],DimCustomer[Customer_Name])</f>
        <v>Nayeem Mia</v>
      </c>
      <c r="U539" s="6" t="str">
        <f>_xlfn.XLOOKUP(FactSales[[#This Row],[Salesperson_ID]],DimSalesman[Salesperson_ID],DimSalesman[Salesperson_Name])</f>
        <v>Morshed Ahmed</v>
      </c>
      <c r="V539" s="6" t="str">
        <f>_xlfn.XLOOKUP(FactSales[[#This Row],[Region_ID]],DimRegion[Region_ID],DimRegion[Region_Name])</f>
        <v>Rangpur</v>
      </c>
      <c r="W539" s="6" t="str">
        <f>_xlfn.XLOOKUP(FactSales[[#This Row],[Store_ID]],DimStore[Store_ID],DimStore[Store_Name])</f>
        <v>Rangpur Dhap Store</v>
      </c>
    </row>
    <row r="540" spans="1:23">
      <c r="A540" s="4" t="s">
        <v>1536</v>
      </c>
      <c r="B540" s="5">
        <v>45914</v>
      </c>
      <c r="C540" s="4" t="s">
        <v>217</v>
      </c>
      <c r="D540" s="4" t="s">
        <v>37</v>
      </c>
      <c r="E540" s="4" t="s">
        <v>653</v>
      </c>
      <c r="F540" s="4" t="s">
        <v>938</v>
      </c>
      <c r="G540" s="4" t="s">
        <v>765</v>
      </c>
      <c r="H540" s="4">
        <v>5</v>
      </c>
      <c r="I540" s="7">
        <v>0.15</v>
      </c>
      <c r="J540" s="6">
        <v>26162</v>
      </c>
      <c r="K540" s="4">
        <v>6</v>
      </c>
      <c r="L540" s="8">
        <f t="shared" si="8"/>
        <v>3</v>
      </c>
      <c r="M540" s="6" t="str">
        <f>_xlfn.XLOOKUP(FactSales[[#This Row],[Product_ID]],DimProduct[Product_ID],DimProduct[Product_Name])</f>
        <v>USB-C Hub</v>
      </c>
      <c r="N540" s="6" t="str">
        <f>_xlfn.XLOOKUP(FactSales[[#This Row],[Product_ID]],DimProduct[Product_ID],DimProduct[Category])</f>
        <v>Electronics</v>
      </c>
      <c r="O540" s="6">
        <f>_xlfn.XLOOKUP(FactSales[[#This Row],[Product_ID]],DimProduct[Product_ID],DimProduct[Unit_Price])</f>
        <v>4890</v>
      </c>
      <c r="P540" s="6">
        <f>_xlfn.XLOOKUP(FactSales[[#This Row],[Product_ID]],DimProduct[Product_ID],DimProduct[Unit_Cost])</f>
        <v>3330</v>
      </c>
      <c r="Q540" s="6">
        <f>FactSales[[#This Row],[Unit_Price]]*FactSales[[#This Row],[Quantity_Sold]]</f>
        <v>24450</v>
      </c>
      <c r="R540" s="6">
        <f>FactSales[[#This Row],[Unit_Cost]]*FactSales[[#This Row],[Quantity_Sold]]</f>
        <v>16650</v>
      </c>
      <c r="S540" s="6">
        <f>FactSales[[#This Row],[Sales_Amount]]-FactSales[[#This Row],[Total_Cost]]</f>
        <v>7800</v>
      </c>
      <c r="T540" s="6" t="str">
        <f>_xlfn.XLOOKUP(FactSales[[#This Row],[Customer_ID]],DimCustomer[Customer_ID],DimCustomer[Customer_Name])</f>
        <v>Karim Khan</v>
      </c>
      <c r="U540" s="6" t="str">
        <f>_xlfn.XLOOKUP(FactSales[[#This Row],[Salesperson_ID]],DimSalesman[Salesperson_ID],DimSalesman[Salesperson_Name])</f>
        <v>Rasel Akter</v>
      </c>
      <c r="V540" s="6" t="str">
        <f>_xlfn.XLOOKUP(FactSales[[#This Row],[Region_ID]],DimRegion[Region_ID],DimRegion[Region_Name])</f>
        <v>Sylhet</v>
      </c>
      <c r="W540" s="6" t="str">
        <f>_xlfn.XLOOKUP(FactSales[[#This Row],[Store_ID]],DimStore[Store_ID],DimStore[Store_Name])</f>
        <v>Sylhet Zindabazar Store</v>
      </c>
    </row>
    <row r="541" spans="1:23">
      <c r="A541" s="4" t="s">
        <v>1537</v>
      </c>
      <c r="B541" s="5">
        <v>45729</v>
      </c>
      <c r="C541" s="4" t="s">
        <v>335</v>
      </c>
      <c r="D541" s="4" t="s">
        <v>42</v>
      </c>
      <c r="E541" s="4" t="s">
        <v>680</v>
      </c>
      <c r="F541" s="4" t="s">
        <v>945</v>
      </c>
      <c r="G541" s="4" t="s">
        <v>750</v>
      </c>
      <c r="H541" s="4">
        <v>3</v>
      </c>
      <c r="I541" s="7">
        <v>0.08</v>
      </c>
      <c r="J541" s="6">
        <v>10498</v>
      </c>
      <c r="K541" s="4">
        <v>4</v>
      </c>
      <c r="L541" s="8">
        <f t="shared" si="8"/>
        <v>3.7</v>
      </c>
      <c r="M541" s="6" t="str">
        <f>_xlfn.XLOOKUP(FactSales[[#This Row],[Product_ID]],DimProduct[Product_ID],DimProduct[Product_Name])</f>
        <v>Bluetooth Speaker</v>
      </c>
      <c r="N541" s="6" t="str">
        <f>_xlfn.XLOOKUP(FactSales[[#This Row],[Product_ID]],DimProduct[Product_ID],DimProduct[Category])</f>
        <v>Electronics</v>
      </c>
      <c r="O541" s="6">
        <f>_xlfn.XLOOKUP(FactSales[[#This Row],[Product_ID]],DimProduct[Product_ID],DimProduct[Unit_Price])</f>
        <v>3240</v>
      </c>
      <c r="P541" s="6">
        <f>_xlfn.XLOOKUP(FactSales[[#This Row],[Product_ID]],DimProduct[Product_ID],DimProduct[Unit_Cost])</f>
        <v>2200</v>
      </c>
      <c r="Q541" s="6">
        <f>FactSales[[#This Row],[Unit_Price]]*FactSales[[#This Row],[Quantity_Sold]]</f>
        <v>9720</v>
      </c>
      <c r="R541" s="6">
        <f>FactSales[[#This Row],[Unit_Cost]]*FactSales[[#This Row],[Quantity_Sold]]</f>
        <v>6600</v>
      </c>
      <c r="S541" s="6">
        <f>FactSales[[#This Row],[Sales_Amount]]-FactSales[[#This Row],[Total_Cost]]</f>
        <v>3120</v>
      </c>
      <c r="T541" s="6" t="str">
        <f>_xlfn.XLOOKUP(FactSales[[#This Row],[Customer_ID]],DimCustomer[Customer_ID],DimCustomer[Customer_Name])</f>
        <v>Shuvo Khan</v>
      </c>
      <c r="U541" s="6" t="str">
        <f>_xlfn.XLOOKUP(FactSales[[#This Row],[Salesperson_ID]],DimSalesman[Salesperson_ID],DimSalesman[Salesperson_Name])</f>
        <v>Hasan Khan</v>
      </c>
      <c r="V541" s="6" t="str">
        <f>_xlfn.XLOOKUP(FactSales[[#This Row],[Region_ID]],DimRegion[Region_ID],DimRegion[Region_Name])</f>
        <v>Rajshahi</v>
      </c>
      <c r="W541" s="6" t="str">
        <f>_xlfn.XLOOKUP(FactSales[[#This Row],[Store_ID]],DimStore[Store_ID],DimStore[Store_Name])</f>
        <v>Rajshahi Lakshmipur Store</v>
      </c>
    </row>
    <row r="542" spans="1:23">
      <c r="A542" s="4" t="s">
        <v>1538</v>
      </c>
      <c r="B542" s="5">
        <v>45873</v>
      </c>
      <c r="C542" s="4" t="s">
        <v>281</v>
      </c>
      <c r="D542" s="4" t="s">
        <v>37</v>
      </c>
      <c r="E542" s="4" t="s">
        <v>665</v>
      </c>
      <c r="F542" s="4" t="s">
        <v>936</v>
      </c>
      <c r="G542" s="4" t="s">
        <v>882</v>
      </c>
      <c r="H542" s="4">
        <v>3</v>
      </c>
      <c r="I542" s="7">
        <v>7.0000000000000007E-2</v>
      </c>
      <c r="J542" s="6">
        <v>5842</v>
      </c>
      <c r="K542" s="4">
        <v>6</v>
      </c>
      <c r="L542" s="8">
        <f t="shared" si="8"/>
        <v>3.1</v>
      </c>
      <c r="M542" s="6" t="str">
        <f>_xlfn.XLOOKUP(FactSales[[#This Row],[Product_ID]],DimProduct[Product_ID],DimProduct[Product_Name])</f>
        <v>Toy Car Set</v>
      </c>
      <c r="N542" s="6" t="str">
        <f>_xlfn.XLOOKUP(FactSales[[#This Row],[Product_ID]],DimProduct[Product_ID],DimProduct[Category])</f>
        <v>Kids &amp; Toys</v>
      </c>
      <c r="O542" s="6">
        <f>_xlfn.XLOOKUP(FactSales[[#This Row],[Product_ID]],DimProduct[Product_ID],DimProduct[Unit_Price])</f>
        <v>1820</v>
      </c>
      <c r="P542" s="6">
        <f>_xlfn.XLOOKUP(FactSales[[#This Row],[Product_ID]],DimProduct[Product_ID],DimProduct[Unit_Cost])</f>
        <v>1000</v>
      </c>
      <c r="Q542" s="6">
        <f>FactSales[[#This Row],[Unit_Price]]*FactSales[[#This Row],[Quantity_Sold]]</f>
        <v>5460</v>
      </c>
      <c r="R542" s="6">
        <f>FactSales[[#This Row],[Unit_Cost]]*FactSales[[#This Row],[Quantity_Sold]]</f>
        <v>3000</v>
      </c>
      <c r="S542" s="6">
        <f>FactSales[[#This Row],[Sales_Amount]]-FactSales[[#This Row],[Total_Cost]]</f>
        <v>2460</v>
      </c>
      <c r="T542" s="6" t="str">
        <f>_xlfn.XLOOKUP(FactSales[[#This Row],[Customer_ID]],DimCustomer[Customer_ID],DimCustomer[Customer_Name])</f>
        <v>Sajib Sultana</v>
      </c>
      <c r="U542" s="6" t="str">
        <f>_xlfn.XLOOKUP(FactSales[[#This Row],[Salesperson_ID]],DimSalesman[Salesperson_ID],DimSalesman[Salesperson_Name])</f>
        <v>Mehedi Chowdhury</v>
      </c>
      <c r="V542" s="6" t="str">
        <f>_xlfn.XLOOKUP(FactSales[[#This Row],[Region_ID]],DimRegion[Region_ID],DimRegion[Region_Name])</f>
        <v>Sylhet</v>
      </c>
      <c r="W542" s="6" t="str">
        <f>_xlfn.XLOOKUP(FactSales[[#This Row],[Store_ID]],DimStore[Store_ID],DimStore[Store_Name])</f>
        <v>Sylhet Upashahar Store</v>
      </c>
    </row>
    <row r="543" spans="1:23">
      <c r="A543" s="4" t="s">
        <v>1539</v>
      </c>
      <c r="B543" s="5">
        <v>45987</v>
      </c>
      <c r="C543" s="4" t="s">
        <v>422</v>
      </c>
      <c r="D543" s="4" t="s">
        <v>47</v>
      </c>
      <c r="E543" s="4" t="s">
        <v>692</v>
      </c>
      <c r="F543" s="4" t="s">
        <v>954</v>
      </c>
      <c r="G543" s="4" t="s">
        <v>765</v>
      </c>
      <c r="H543" s="4">
        <v>2</v>
      </c>
      <c r="I543" s="7">
        <v>0.15</v>
      </c>
      <c r="J543" s="6">
        <v>10660</v>
      </c>
      <c r="K543" s="4">
        <v>1</v>
      </c>
      <c r="L543" s="8">
        <f t="shared" si="8"/>
        <v>4.5999999999999996</v>
      </c>
      <c r="M543" s="6" t="str">
        <f>_xlfn.XLOOKUP(FactSales[[#This Row],[Product_ID]],DimProduct[Product_ID],DimProduct[Product_Name])</f>
        <v>USB-C Hub</v>
      </c>
      <c r="N543" s="6" t="str">
        <f>_xlfn.XLOOKUP(FactSales[[#This Row],[Product_ID]],DimProduct[Product_ID],DimProduct[Category])</f>
        <v>Electronics</v>
      </c>
      <c r="O543" s="6">
        <f>_xlfn.XLOOKUP(FactSales[[#This Row],[Product_ID]],DimProduct[Product_ID],DimProduct[Unit_Price])</f>
        <v>4890</v>
      </c>
      <c r="P543" s="6">
        <f>_xlfn.XLOOKUP(FactSales[[#This Row],[Product_ID]],DimProduct[Product_ID],DimProduct[Unit_Cost])</f>
        <v>3330</v>
      </c>
      <c r="Q543" s="6">
        <f>FactSales[[#This Row],[Unit_Price]]*FactSales[[#This Row],[Quantity_Sold]]</f>
        <v>9780</v>
      </c>
      <c r="R543" s="6">
        <f>FactSales[[#This Row],[Unit_Cost]]*FactSales[[#This Row],[Quantity_Sold]]</f>
        <v>6660</v>
      </c>
      <c r="S543" s="6">
        <f>FactSales[[#This Row],[Sales_Amount]]-FactSales[[#This Row],[Total_Cost]]</f>
        <v>3120</v>
      </c>
      <c r="T543" s="6" t="str">
        <f>_xlfn.XLOOKUP(FactSales[[#This Row],[Customer_ID]],DimCustomer[Customer_ID],DimCustomer[Customer_Name])</f>
        <v>Tanjim Khan</v>
      </c>
      <c r="U543" s="6" t="str">
        <f>_xlfn.XLOOKUP(FactSales[[#This Row],[Salesperson_ID]],DimSalesman[Salesperson_ID],DimSalesman[Salesperson_Name])</f>
        <v>Sadia Sultana</v>
      </c>
      <c r="V543" s="6" t="str">
        <f>_xlfn.XLOOKUP(FactSales[[#This Row],[Region_ID]],DimRegion[Region_ID],DimRegion[Region_Name])</f>
        <v>Khulna</v>
      </c>
      <c r="W543" s="6" t="str">
        <f>_xlfn.XLOOKUP(FactSales[[#This Row],[Store_ID]],DimStore[Store_ID],DimStore[Store_Name])</f>
        <v>Khulna Boyra Store</v>
      </c>
    </row>
    <row r="544" spans="1:23">
      <c r="A544" s="4" t="s">
        <v>1540</v>
      </c>
      <c r="B544" s="5">
        <v>46145</v>
      </c>
      <c r="C544" s="4" t="s">
        <v>425</v>
      </c>
      <c r="D544" s="4" t="s">
        <v>52</v>
      </c>
      <c r="E544" s="4" t="s">
        <v>701</v>
      </c>
      <c r="F544" s="4" t="s">
        <v>966</v>
      </c>
      <c r="G544" s="4" t="s">
        <v>890</v>
      </c>
      <c r="H544" s="4">
        <v>1</v>
      </c>
      <c r="I544" s="7">
        <v>0.03</v>
      </c>
      <c r="J544" s="6">
        <v>941</v>
      </c>
      <c r="K544" s="4">
        <v>4</v>
      </c>
      <c r="L544" s="8">
        <f t="shared" si="8"/>
        <v>3.9</v>
      </c>
      <c r="M544" s="6" t="str">
        <f>_xlfn.XLOOKUP(FactSales[[#This Row],[Product_ID]],DimProduct[Product_ID],DimProduct[Product_Name])</f>
        <v>Kids Story Book</v>
      </c>
      <c r="N544" s="6" t="str">
        <f>_xlfn.XLOOKUP(FactSales[[#This Row],[Product_ID]],DimProduct[Product_ID],DimProduct[Category])</f>
        <v>Kids &amp; Toys</v>
      </c>
      <c r="O544" s="6">
        <f>_xlfn.XLOOKUP(FactSales[[#This Row],[Product_ID]],DimProduct[Product_ID],DimProduct[Unit_Price])</f>
        <v>840</v>
      </c>
      <c r="P544" s="6">
        <f>_xlfn.XLOOKUP(FactSales[[#This Row],[Product_ID]],DimProduct[Product_ID],DimProduct[Unit_Cost])</f>
        <v>460</v>
      </c>
      <c r="Q544" s="6">
        <f>FactSales[[#This Row],[Unit_Price]]*FactSales[[#This Row],[Quantity_Sold]]</f>
        <v>840</v>
      </c>
      <c r="R544" s="6">
        <f>FactSales[[#This Row],[Unit_Cost]]*FactSales[[#This Row],[Quantity_Sold]]</f>
        <v>460</v>
      </c>
      <c r="S544" s="6">
        <f>FactSales[[#This Row],[Sales_Amount]]-FactSales[[#This Row],[Total_Cost]]</f>
        <v>380</v>
      </c>
      <c r="T544" s="6" t="str">
        <f>_xlfn.XLOOKUP(FactSales[[#This Row],[Customer_ID]],DimCustomer[Customer_ID],DimCustomer[Customer_Name])</f>
        <v>Shuvo Sultana</v>
      </c>
      <c r="U544" s="6" t="str">
        <f>_xlfn.XLOOKUP(FactSales[[#This Row],[Salesperson_ID]],DimSalesman[Salesperson_ID],DimSalesman[Salesperson_Name])</f>
        <v>Nayeem Akter</v>
      </c>
      <c r="V544" s="6" t="str">
        <f>_xlfn.XLOOKUP(FactSales[[#This Row],[Region_ID]],DimRegion[Region_ID],DimRegion[Region_Name])</f>
        <v>Barishal</v>
      </c>
      <c r="W544" s="6" t="str">
        <f>_xlfn.XLOOKUP(FactSales[[#This Row],[Store_ID]],DimStore[Store_ID],DimStore[Store_Name])</f>
        <v>Barishal Sadar Road Store</v>
      </c>
    </row>
    <row r="545" spans="1:23">
      <c r="A545" s="4" t="s">
        <v>1541</v>
      </c>
      <c r="B545" s="5">
        <v>45737</v>
      </c>
      <c r="C545" s="4" t="s">
        <v>612</v>
      </c>
      <c r="D545" s="4" t="s">
        <v>62</v>
      </c>
      <c r="E545" s="4" t="s">
        <v>737</v>
      </c>
      <c r="F545" s="4" t="s">
        <v>985</v>
      </c>
      <c r="G545" s="4" t="s">
        <v>755</v>
      </c>
      <c r="H545" s="4">
        <v>5</v>
      </c>
      <c r="I545" s="7">
        <v>0.15</v>
      </c>
      <c r="J545" s="6">
        <v>18036</v>
      </c>
      <c r="K545" s="4">
        <v>2</v>
      </c>
      <c r="L545" s="8">
        <f t="shared" si="8"/>
        <v>4.2</v>
      </c>
      <c r="M545" s="6" t="str">
        <f>_xlfn.XLOOKUP(FactSales[[#This Row],[Product_ID]],DimProduct[Product_ID],DimProduct[Product_Name])</f>
        <v>Wireless Mouse</v>
      </c>
      <c r="N545" s="6" t="str">
        <f>_xlfn.XLOOKUP(FactSales[[#This Row],[Product_ID]],DimProduct[Product_ID],DimProduct[Category])</f>
        <v>Electronics</v>
      </c>
      <c r="O545" s="6">
        <f>_xlfn.XLOOKUP(FactSales[[#This Row],[Product_ID]],DimProduct[Product_ID],DimProduct[Unit_Price])</f>
        <v>3340</v>
      </c>
      <c r="P545" s="6">
        <f>_xlfn.XLOOKUP(FactSales[[#This Row],[Product_ID]],DimProduct[Product_ID],DimProduct[Unit_Cost])</f>
        <v>2270</v>
      </c>
      <c r="Q545" s="6">
        <f>FactSales[[#This Row],[Unit_Price]]*FactSales[[#This Row],[Quantity_Sold]]</f>
        <v>16700</v>
      </c>
      <c r="R545" s="6">
        <f>FactSales[[#This Row],[Unit_Cost]]*FactSales[[#This Row],[Quantity_Sold]]</f>
        <v>11350</v>
      </c>
      <c r="S545" s="6">
        <f>FactSales[[#This Row],[Sales_Amount]]-FactSales[[#This Row],[Total_Cost]]</f>
        <v>5350</v>
      </c>
      <c r="T545" s="6" t="str">
        <f>_xlfn.XLOOKUP(FactSales[[#This Row],[Customer_ID]],DimCustomer[Customer_ID],DimCustomer[Customer_Name])</f>
        <v>Shaila Ahmed</v>
      </c>
      <c r="U545" s="6" t="str">
        <f>_xlfn.XLOOKUP(FactSales[[#This Row],[Salesperson_ID]],DimSalesman[Salesperson_ID],DimSalesman[Salesperson_Name])</f>
        <v>Tamanna Sultana</v>
      </c>
      <c r="V545" s="6" t="str">
        <f>_xlfn.XLOOKUP(FactSales[[#This Row],[Region_ID]],DimRegion[Region_ID],DimRegion[Region_Name])</f>
        <v>Mymensingh</v>
      </c>
      <c r="W545" s="6" t="str">
        <f>_xlfn.XLOOKUP(FactSales[[#This Row],[Store_ID]],DimStore[Store_ID],DimStore[Store_Name])</f>
        <v>Mymensingh Kewatkhali Store</v>
      </c>
    </row>
    <row r="546" spans="1:23">
      <c r="A546" s="4" t="s">
        <v>1542</v>
      </c>
      <c r="B546" s="5">
        <v>45839</v>
      </c>
      <c r="C546" s="4" t="s">
        <v>180</v>
      </c>
      <c r="D546" s="4" t="s">
        <v>32</v>
      </c>
      <c r="E546" s="4" t="s">
        <v>647</v>
      </c>
      <c r="F546" s="4" t="s">
        <v>929</v>
      </c>
      <c r="G546" s="4" t="s">
        <v>775</v>
      </c>
      <c r="H546" s="4">
        <v>5</v>
      </c>
      <c r="I546" s="7">
        <v>0.08</v>
      </c>
      <c r="J546" s="6">
        <v>13851</v>
      </c>
      <c r="K546" s="4">
        <v>8</v>
      </c>
      <c r="L546" s="8">
        <f t="shared" si="8"/>
        <v>2.5</v>
      </c>
      <c r="M546" s="6" t="str">
        <f>_xlfn.XLOOKUP(FactSales[[#This Row],[Product_ID]],DimProduct[Product_ID],DimProduct[Product_Name])</f>
        <v>Blender Machine</v>
      </c>
      <c r="N546" s="6" t="str">
        <f>_xlfn.XLOOKUP(FactSales[[#This Row],[Product_ID]],DimProduct[Product_ID],DimProduct[Category])</f>
        <v>Home Appliance</v>
      </c>
      <c r="O546" s="6">
        <f>_xlfn.XLOOKUP(FactSales[[#This Row],[Product_ID]],DimProduct[Product_ID],DimProduct[Unit_Price])</f>
        <v>2430</v>
      </c>
      <c r="P546" s="6">
        <f>_xlfn.XLOOKUP(FactSales[[#This Row],[Product_ID]],DimProduct[Product_ID],DimProduct[Unit_Cost])</f>
        <v>1700</v>
      </c>
      <c r="Q546" s="6">
        <f>FactSales[[#This Row],[Unit_Price]]*FactSales[[#This Row],[Quantity_Sold]]</f>
        <v>12150</v>
      </c>
      <c r="R546" s="6">
        <f>FactSales[[#This Row],[Unit_Cost]]*FactSales[[#This Row],[Quantity_Sold]]</f>
        <v>8500</v>
      </c>
      <c r="S546" s="6">
        <f>FactSales[[#This Row],[Sales_Amount]]-FactSales[[#This Row],[Total_Cost]]</f>
        <v>3650</v>
      </c>
      <c r="T546" s="6" t="str">
        <f>_xlfn.XLOOKUP(FactSales[[#This Row],[Customer_ID]],DimCustomer[Customer_ID],DimCustomer[Customer_Name])</f>
        <v>Jannat Islam</v>
      </c>
      <c r="U546" s="6" t="str">
        <f>_xlfn.XLOOKUP(FactSales[[#This Row],[Salesperson_ID]],DimSalesman[Salesperson_ID],DimSalesman[Salesperson_Name])</f>
        <v>Nabila Mia</v>
      </c>
      <c r="V546" s="6" t="str">
        <f>_xlfn.XLOOKUP(FactSales[[#This Row],[Region_ID]],DimRegion[Region_ID],DimRegion[Region_Name])</f>
        <v>Chattogram</v>
      </c>
      <c r="W546" s="6" t="str">
        <f>_xlfn.XLOOKUP(FactSales[[#This Row],[Store_ID]],DimStore[Store_ID],DimStore[Store_Name])</f>
        <v>Chattogram Nasirabad Store</v>
      </c>
    </row>
    <row r="547" spans="1:23">
      <c r="A547" s="4" t="s">
        <v>1543</v>
      </c>
      <c r="B547" s="5">
        <v>45945</v>
      </c>
      <c r="C547" s="4" t="s">
        <v>323</v>
      </c>
      <c r="D547" s="4" t="s">
        <v>42</v>
      </c>
      <c r="E547" s="4" t="s">
        <v>668</v>
      </c>
      <c r="F547" s="4" t="s">
        <v>944</v>
      </c>
      <c r="G547" s="4" t="s">
        <v>854</v>
      </c>
      <c r="H547" s="4">
        <v>4</v>
      </c>
      <c r="I547" s="7">
        <v>7.0000000000000007E-2</v>
      </c>
      <c r="J547" s="6">
        <v>16070</v>
      </c>
      <c r="K547" s="4">
        <v>5</v>
      </c>
      <c r="L547" s="8">
        <f t="shared" si="8"/>
        <v>3.4</v>
      </c>
      <c r="M547" s="6" t="str">
        <f>_xlfn.XLOOKUP(FactSales[[#This Row],[Product_ID]],DimProduct[Product_ID],DimProduct[Product_Name])</f>
        <v>Football</v>
      </c>
      <c r="N547" s="6" t="str">
        <f>_xlfn.XLOOKUP(FactSales[[#This Row],[Product_ID]],DimProduct[Product_ID],DimProduct[Category])</f>
        <v>Sports</v>
      </c>
      <c r="O547" s="6">
        <f>_xlfn.XLOOKUP(FactSales[[#This Row],[Product_ID]],DimProduct[Product_ID],DimProduct[Unit_Price])</f>
        <v>3720</v>
      </c>
      <c r="P547" s="6">
        <f>_xlfn.XLOOKUP(FactSales[[#This Row],[Product_ID]],DimProduct[Product_ID],DimProduct[Unit_Cost])</f>
        <v>2310</v>
      </c>
      <c r="Q547" s="6">
        <f>FactSales[[#This Row],[Unit_Price]]*FactSales[[#This Row],[Quantity_Sold]]</f>
        <v>14880</v>
      </c>
      <c r="R547" s="6">
        <f>FactSales[[#This Row],[Unit_Cost]]*FactSales[[#This Row],[Quantity_Sold]]</f>
        <v>9240</v>
      </c>
      <c r="S547" s="6">
        <f>FactSales[[#This Row],[Sales_Amount]]-FactSales[[#This Row],[Total_Cost]]</f>
        <v>5640</v>
      </c>
      <c r="T547" s="6" t="str">
        <f>_xlfn.XLOOKUP(FactSales[[#This Row],[Customer_ID]],DimCustomer[Customer_ID],DimCustomer[Customer_Name])</f>
        <v>Tania Mia</v>
      </c>
      <c r="U547" s="6" t="str">
        <f>_xlfn.XLOOKUP(FactSales[[#This Row],[Salesperson_ID]],DimSalesman[Salesperson_ID],DimSalesman[Salesperson_Name])</f>
        <v>Karim Khan</v>
      </c>
      <c r="V547" s="6" t="str">
        <f>_xlfn.XLOOKUP(FactSales[[#This Row],[Region_ID]],DimRegion[Region_ID],DimRegion[Region_Name])</f>
        <v>Rajshahi</v>
      </c>
      <c r="W547" s="6" t="str">
        <f>_xlfn.XLOOKUP(FactSales[[#This Row],[Store_ID]],DimStore[Store_ID],DimStore[Store_Name])</f>
        <v>Rajshahi Shaheb Bazar Store</v>
      </c>
    </row>
    <row r="548" spans="1:23">
      <c r="A548" s="4" t="s">
        <v>1544</v>
      </c>
      <c r="B548" s="5">
        <v>45884</v>
      </c>
      <c r="C548" s="4" t="s">
        <v>292</v>
      </c>
      <c r="D548" s="4" t="s">
        <v>42</v>
      </c>
      <c r="E548" s="4" t="s">
        <v>680</v>
      </c>
      <c r="F548" s="4" t="s">
        <v>950</v>
      </c>
      <c r="G548" s="4" t="s">
        <v>768</v>
      </c>
      <c r="H548" s="4">
        <v>1</v>
      </c>
      <c r="I548" s="7">
        <v>0.15</v>
      </c>
      <c r="J548" s="6">
        <v>7776</v>
      </c>
      <c r="K548" s="4">
        <v>6</v>
      </c>
      <c r="L548" s="8">
        <f t="shared" si="8"/>
        <v>3</v>
      </c>
      <c r="M548" s="6" t="str">
        <f>_xlfn.XLOOKUP(FactSales[[#This Row],[Product_ID]],DimProduct[Product_ID],DimProduct[Product_Name])</f>
        <v>Electric Kettle</v>
      </c>
      <c r="N548" s="6" t="str">
        <f>_xlfn.XLOOKUP(FactSales[[#This Row],[Product_ID]],DimProduct[Product_ID],DimProduct[Category])</f>
        <v>Home Appliance</v>
      </c>
      <c r="O548" s="6">
        <f>_xlfn.XLOOKUP(FactSales[[#This Row],[Product_ID]],DimProduct[Product_ID],DimProduct[Unit_Price])</f>
        <v>7200</v>
      </c>
      <c r="P548" s="6">
        <f>_xlfn.XLOOKUP(FactSales[[#This Row],[Product_ID]],DimProduct[Product_ID],DimProduct[Unit_Cost])</f>
        <v>5040</v>
      </c>
      <c r="Q548" s="6">
        <f>FactSales[[#This Row],[Unit_Price]]*FactSales[[#This Row],[Quantity_Sold]]</f>
        <v>7200</v>
      </c>
      <c r="R548" s="6">
        <f>FactSales[[#This Row],[Unit_Cost]]*FactSales[[#This Row],[Quantity_Sold]]</f>
        <v>5040</v>
      </c>
      <c r="S548" s="6">
        <f>FactSales[[#This Row],[Sales_Amount]]-FactSales[[#This Row],[Total_Cost]]</f>
        <v>2160</v>
      </c>
      <c r="T548" s="6" t="str">
        <f>_xlfn.XLOOKUP(FactSales[[#This Row],[Customer_ID]],DimCustomer[Customer_ID],DimCustomer[Customer_Name])</f>
        <v>Morshed Rahman</v>
      </c>
      <c r="U548" s="6" t="str">
        <f>_xlfn.XLOOKUP(FactSales[[#This Row],[Salesperson_ID]],DimSalesman[Salesperson_ID],DimSalesman[Salesperson_Name])</f>
        <v>Mim Rahman</v>
      </c>
      <c r="V548" s="6" t="str">
        <f>_xlfn.XLOOKUP(FactSales[[#This Row],[Region_ID]],DimRegion[Region_ID],DimRegion[Region_Name])</f>
        <v>Rajshahi</v>
      </c>
      <c r="W548" s="6" t="str">
        <f>_xlfn.XLOOKUP(FactSales[[#This Row],[Store_ID]],DimStore[Store_ID],DimStore[Store_Name])</f>
        <v>Rajshahi Lakshmipur Store</v>
      </c>
    </row>
    <row r="549" spans="1:23">
      <c r="A549" s="4" t="s">
        <v>1545</v>
      </c>
      <c r="B549" s="5">
        <v>46063</v>
      </c>
      <c r="C549" s="4" t="s">
        <v>607</v>
      </c>
      <c r="D549" s="4" t="s">
        <v>62</v>
      </c>
      <c r="E549" s="4" t="s">
        <v>740</v>
      </c>
      <c r="F549" s="4" t="s">
        <v>979</v>
      </c>
      <c r="G549" s="4" t="s">
        <v>750</v>
      </c>
      <c r="H549" s="4">
        <v>1</v>
      </c>
      <c r="I549" s="7">
        <v>0.12</v>
      </c>
      <c r="J549" s="6">
        <v>3499</v>
      </c>
      <c r="K549" s="4">
        <v>4</v>
      </c>
      <c r="L549" s="8">
        <f t="shared" si="8"/>
        <v>3.7</v>
      </c>
      <c r="M549" s="6" t="str">
        <f>_xlfn.XLOOKUP(FactSales[[#This Row],[Product_ID]],DimProduct[Product_ID],DimProduct[Product_Name])</f>
        <v>Bluetooth Speaker</v>
      </c>
      <c r="N549" s="6" t="str">
        <f>_xlfn.XLOOKUP(FactSales[[#This Row],[Product_ID]],DimProduct[Product_ID],DimProduct[Category])</f>
        <v>Electronics</v>
      </c>
      <c r="O549" s="6">
        <f>_xlfn.XLOOKUP(FactSales[[#This Row],[Product_ID]],DimProduct[Product_ID],DimProduct[Unit_Price])</f>
        <v>3240</v>
      </c>
      <c r="P549" s="6">
        <f>_xlfn.XLOOKUP(FactSales[[#This Row],[Product_ID]],DimProduct[Product_ID],DimProduct[Unit_Cost])</f>
        <v>2200</v>
      </c>
      <c r="Q549" s="6">
        <f>FactSales[[#This Row],[Unit_Price]]*FactSales[[#This Row],[Quantity_Sold]]</f>
        <v>3240</v>
      </c>
      <c r="R549" s="6">
        <f>FactSales[[#This Row],[Unit_Cost]]*FactSales[[#This Row],[Quantity_Sold]]</f>
        <v>2200</v>
      </c>
      <c r="S549" s="6">
        <f>FactSales[[#This Row],[Sales_Amount]]-FactSales[[#This Row],[Total_Cost]]</f>
        <v>1040</v>
      </c>
      <c r="T549" s="6" t="str">
        <f>_xlfn.XLOOKUP(FactSales[[#This Row],[Customer_ID]],DimCustomer[Customer_ID],DimCustomer[Customer_Name])</f>
        <v>Ayesha Uddin</v>
      </c>
      <c r="U549" s="6" t="str">
        <f>_xlfn.XLOOKUP(FactSales[[#This Row],[Salesperson_ID]],DimSalesman[Salesperson_ID],DimSalesman[Salesperson_Name])</f>
        <v>Rahim Rahman</v>
      </c>
      <c r="V549" s="6" t="str">
        <f>_xlfn.XLOOKUP(FactSales[[#This Row],[Region_ID]],DimRegion[Region_ID],DimRegion[Region_Name])</f>
        <v>Mymensingh</v>
      </c>
      <c r="W549" s="6" t="str">
        <f>_xlfn.XLOOKUP(FactSales[[#This Row],[Store_ID]],DimStore[Store_ID],DimStore[Store_Name])</f>
        <v>Mymensingh Maskanda Store</v>
      </c>
    </row>
    <row r="550" spans="1:23">
      <c r="A550" s="4" t="s">
        <v>1546</v>
      </c>
      <c r="B550" s="5">
        <v>45837</v>
      </c>
      <c r="C550" s="4" t="s">
        <v>564</v>
      </c>
      <c r="D550" s="4" t="s">
        <v>62</v>
      </c>
      <c r="E550" s="4" t="s">
        <v>740</v>
      </c>
      <c r="F550" s="4" t="s">
        <v>979</v>
      </c>
      <c r="G550" s="4" t="s">
        <v>834</v>
      </c>
      <c r="H550" s="4">
        <v>1</v>
      </c>
      <c r="I550" s="7">
        <v>0.05</v>
      </c>
      <c r="J550" s="6">
        <v>3791</v>
      </c>
      <c r="K550" s="4">
        <v>4</v>
      </c>
      <c r="L550" s="8">
        <f t="shared" si="8"/>
        <v>3.8</v>
      </c>
      <c r="M550" s="6" t="str">
        <f>_xlfn.XLOOKUP(FactSales[[#This Row],[Product_ID]],DimProduct[Product_ID],DimProduct[Product_Name])</f>
        <v>Running Shoe</v>
      </c>
      <c r="N550" s="6" t="str">
        <f>_xlfn.XLOOKUP(FactSales[[#This Row],[Product_ID]],DimProduct[Product_ID],DimProduct[Category])</f>
        <v>Footwear</v>
      </c>
      <c r="O550" s="6">
        <f>_xlfn.XLOOKUP(FactSales[[#This Row],[Product_ID]],DimProduct[Product_ID],DimProduct[Unit_Price])</f>
        <v>3510</v>
      </c>
      <c r="P550" s="6">
        <f>_xlfn.XLOOKUP(FactSales[[#This Row],[Product_ID]],DimProduct[Product_ID],DimProduct[Unit_Cost])</f>
        <v>2110</v>
      </c>
      <c r="Q550" s="6">
        <f>FactSales[[#This Row],[Unit_Price]]*FactSales[[#This Row],[Quantity_Sold]]</f>
        <v>3510</v>
      </c>
      <c r="R550" s="6">
        <f>FactSales[[#This Row],[Unit_Cost]]*FactSales[[#This Row],[Quantity_Sold]]</f>
        <v>2110</v>
      </c>
      <c r="S550" s="6">
        <f>FactSales[[#This Row],[Sales_Amount]]-FactSales[[#This Row],[Total_Cost]]</f>
        <v>1400</v>
      </c>
      <c r="T550" s="6" t="str">
        <f>_xlfn.XLOOKUP(FactSales[[#This Row],[Customer_ID]],DimCustomer[Customer_ID],DimCustomer[Customer_Name])</f>
        <v>Mim Ahmed</v>
      </c>
      <c r="U550" s="6" t="str">
        <f>_xlfn.XLOOKUP(FactSales[[#This Row],[Salesperson_ID]],DimSalesman[Salesperson_ID],DimSalesman[Salesperson_Name])</f>
        <v>Rahim Rahman</v>
      </c>
      <c r="V550" s="6" t="str">
        <f>_xlfn.XLOOKUP(FactSales[[#This Row],[Region_ID]],DimRegion[Region_ID],DimRegion[Region_Name])</f>
        <v>Mymensingh</v>
      </c>
      <c r="W550" s="6" t="str">
        <f>_xlfn.XLOOKUP(FactSales[[#This Row],[Store_ID]],DimStore[Store_ID],DimStore[Store_Name])</f>
        <v>Mymensingh Maskanda Store</v>
      </c>
    </row>
    <row r="551" spans="1:23">
      <c r="A551" s="4" t="s">
        <v>1547</v>
      </c>
      <c r="B551" s="5">
        <v>45681</v>
      </c>
      <c r="C551" s="4" t="s">
        <v>329</v>
      </c>
      <c r="D551" s="4" t="s">
        <v>42</v>
      </c>
      <c r="E551" s="4" t="s">
        <v>674</v>
      </c>
      <c r="F551" s="4" t="s">
        <v>944</v>
      </c>
      <c r="G551" s="4" t="s">
        <v>876</v>
      </c>
      <c r="H551" s="4">
        <v>10</v>
      </c>
      <c r="I551" s="7">
        <v>0.03</v>
      </c>
      <c r="J551" s="6">
        <v>8208</v>
      </c>
      <c r="K551" s="4">
        <v>3</v>
      </c>
      <c r="L551" s="8">
        <f t="shared" si="8"/>
        <v>4.2</v>
      </c>
      <c r="M551" s="6" t="str">
        <f>_xlfn.XLOOKUP(FactSales[[#This Row],[Product_ID]],DimProduct[Product_ID],DimProduct[Product_Name])</f>
        <v>Sticky Notes</v>
      </c>
      <c r="N551" s="6" t="str">
        <f>_xlfn.XLOOKUP(FactSales[[#This Row],[Product_ID]],DimProduct[Product_ID],DimProduct[Category])</f>
        <v>Stationery</v>
      </c>
      <c r="O551" s="6">
        <f>_xlfn.XLOOKUP(FactSales[[#This Row],[Product_ID]],DimProduct[Product_ID],DimProduct[Unit_Price])</f>
        <v>760</v>
      </c>
      <c r="P551" s="6">
        <f>_xlfn.XLOOKUP(FactSales[[#This Row],[Product_ID]],DimProduct[Product_ID],DimProduct[Unit_Cost])</f>
        <v>380</v>
      </c>
      <c r="Q551" s="6">
        <f>FactSales[[#This Row],[Unit_Price]]*FactSales[[#This Row],[Quantity_Sold]]</f>
        <v>7600</v>
      </c>
      <c r="R551" s="6">
        <f>FactSales[[#This Row],[Unit_Cost]]*FactSales[[#This Row],[Quantity_Sold]]</f>
        <v>3800</v>
      </c>
      <c r="S551" s="6">
        <f>FactSales[[#This Row],[Sales_Amount]]-FactSales[[#This Row],[Total_Cost]]</f>
        <v>3800</v>
      </c>
      <c r="T551" s="6" t="str">
        <f>_xlfn.XLOOKUP(FactSales[[#This Row],[Customer_ID]],DimCustomer[Customer_ID],DimCustomer[Customer_Name])</f>
        <v>Mim Chowdhury</v>
      </c>
      <c r="U551" s="6" t="str">
        <f>_xlfn.XLOOKUP(FactSales[[#This Row],[Salesperson_ID]],DimSalesman[Salesperson_ID],DimSalesman[Salesperson_Name])</f>
        <v>Karim Khan</v>
      </c>
      <c r="V551" s="6" t="str">
        <f>_xlfn.XLOOKUP(FactSales[[#This Row],[Region_ID]],DimRegion[Region_ID],DimRegion[Region_Name])</f>
        <v>Rajshahi</v>
      </c>
      <c r="W551" s="6" t="str">
        <f>_xlfn.XLOOKUP(FactSales[[#This Row],[Store_ID]],DimStore[Store_ID],DimStore[Store_Name])</f>
        <v>Rajshahi Uposhohor Store</v>
      </c>
    </row>
    <row r="552" spans="1:23">
      <c r="A552" s="4" t="s">
        <v>1548</v>
      </c>
      <c r="B552" s="5">
        <v>45711</v>
      </c>
      <c r="C552" s="4" t="s">
        <v>551</v>
      </c>
      <c r="D552" s="4" t="s">
        <v>62</v>
      </c>
      <c r="E552" s="4" t="s">
        <v>737</v>
      </c>
      <c r="F552" s="4" t="s">
        <v>987</v>
      </c>
      <c r="G552" s="4" t="s">
        <v>838</v>
      </c>
      <c r="H552" s="4">
        <v>5</v>
      </c>
      <c r="I552" s="7">
        <v>7.0000000000000007E-2</v>
      </c>
      <c r="J552" s="6">
        <v>6534</v>
      </c>
      <c r="K552" s="4">
        <v>1</v>
      </c>
      <c r="L552" s="8">
        <f t="shared" si="8"/>
        <v>4.7</v>
      </c>
      <c r="M552" s="6" t="str">
        <f>_xlfn.XLOOKUP(FactSales[[#This Row],[Product_ID]],DimProduct[Product_ID],DimProduct[Product_Name])</f>
        <v>Formal Shoe</v>
      </c>
      <c r="N552" s="6" t="str">
        <f>_xlfn.XLOOKUP(FactSales[[#This Row],[Product_ID]],DimProduct[Product_ID],DimProduct[Category])</f>
        <v>Footwear</v>
      </c>
      <c r="O552" s="6">
        <f>_xlfn.XLOOKUP(FactSales[[#This Row],[Product_ID]],DimProduct[Product_ID],DimProduct[Unit_Price])</f>
        <v>1210</v>
      </c>
      <c r="P552" s="6">
        <f>_xlfn.XLOOKUP(FactSales[[#This Row],[Product_ID]],DimProduct[Product_ID],DimProduct[Unit_Cost])</f>
        <v>730</v>
      </c>
      <c r="Q552" s="6">
        <f>FactSales[[#This Row],[Unit_Price]]*FactSales[[#This Row],[Quantity_Sold]]</f>
        <v>6050</v>
      </c>
      <c r="R552" s="6">
        <f>FactSales[[#This Row],[Unit_Cost]]*FactSales[[#This Row],[Quantity_Sold]]</f>
        <v>3650</v>
      </c>
      <c r="S552" s="6">
        <f>FactSales[[#This Row],[Sales_Amount]]-FactSales[[#This Row],[Total_Cost]]</f>
        <v>2400</v>
      </c>
      <c r="T552" s="6" t="str">
        <f>_xlfn.XLOOKUP(FactSales[[#This Row],[Customer_ID]],DimCustomer[Customer_ID],DimCustomer[Customer_Name])</f>
        <v>Samiha Islam</v>
      </c>
      <c r="U552" s="6" t="str">
        <f>_xlfn.XLOOKUP(FactSales[[#This Row],[Salesperson_ID]],DimSalesman[Salesperson_ID],DimSalesman[Salesperson_Name])</f>
        <v>Tanvir Chowdhury</v>
      </c>
      <c r="V552" s="6" t="str">
        <f>_xlfn.XLOOKUP(FactSales[[#This Row],[Region_ID]],DimRegion[Region_ID],DimRegion[Region_Name])</f>
        <v>Mymensingh</v>
      </c>
      <c r="W552" s="6" t="str">
        <f>_xlfn.XLOOKUP(FactSales[[#This Row],[Store_ID]],DimStore[Store_ID],DimStore[Store_Name])</f>
        <v>Mymensingh Kewatkhali Store</v>
      </c>
    </row>
    <row r="553" spans="1:23">
      <c r="A553" s="4" t="s">
        <v>1549</v>
      </c>
      <c r="B553" s="5">
        <v>46187</v>
      </c>
      <c r="C553" s="4" t="s">
        <v>363</v>
      </c>
      <c r="D553" s="4" t="s">
        <v>47</v>
      </c>
      <c r="E553" s="4" t="s">
        <v>695</v>
      </c>
      <c r="F553" s="4" t="s">
        <v>955</v>
      </c>
      <c r="G553" s="4" t="s">
        <v>794</v>
      </c>
      <c r="H553" s="4">
        <v>4</v>
      </c>
      <c r="I553" s="7">
        <v>0.05</v>
      </c>
      <c r="J553" s="6">
        <v>3837</v>
      </c>
      <c r="K553" s="4">
        <v>5</v>
      </c>
      <c r="L553" s="8">
        <f t="shared" si="8"/>
        <v>3.5</v>
      </c>
      <c r="M553" s="6" t="str">
        <f>_xlfn.XLOOKUP(FactSales[[#This Row],[Product_ID]],DimProduct[Product_ID],DimProduct[Product_Name])</f>
        <v>Denim Jeans</v>
      </c>
      <c r="N553" s="6" t="str">
        <f>_xlfn.XLOOKUP(FactSales[[#This Row],[Product_ID]],DimProduct[Product_ID],DimProduct[Category])</f>
        <v>Fashion</v>
      </c>
      <c r="O553" s="6">
        <f>_xlfn.XLOOKUP(FactSales[[#This Row],[Product_ID]],DimProduct[Product_ID],DimProduct[Unit_Price])</f>
        <v>880</v>
      </c>
      <c r="P553" s="6">
        <f>_xlfn.XLOOKUP(FactSales[[#This Row],[Product_ID]],DimProduct[Product_ID],DimProduct[Unit_Cost])</f>
        <v>480</v>
      </c>
      <c r="Q553" s="6">
        <f>FactSales[[#This Row],[Unit_Price]]*FactSales[[#This Row],[Quantity_Sold]]</f>
        <v>3520</v>
      </c>
      <c r="R553" s="6">
        <f>FactSales[[#This Row],[Unit_Cost]]*FactSales[[#This Row],[Quantity_Sold]]</f>
        <v>1920</v>
      </c>
      <c r="S553" s="6">
        <f>FactSales[[#This Row],[Sales_Amount]]-FactSales[[#This Row],[Total_Cost]]</f>
        <v>1600</v>
      </c>
      <c r="T553" s="6" t="str">
        <f>_xlfn.XLOOKUP(FactSales[[#This Row],[Customer_ID]],DimCustomer[Customer_ID],DimCustomer[Customer_Name])</f>
        <v>Rasel Akter</v>
      </c>
      <c r="U553" s="6" t="str">
        <f>_xlfn.XLOOKUP(FactSales[[#This Row],[Salesperson_ID]],DimSalesman[Salesperson_ID],DimSalesman[Salesperson_Name])</f>
        <v>Tania Chowdhury</v>
      </c>
      <c r="V553" s="6" t="str">
        <f>_xlfn.XLOOKUP(FactSales[[#This Row],[Region_ID]],DimRegion[Region_ID],DimRegion[Region_Name])</f>
        <v>Khulna</v>
      </c>
      <c r="W553" s="6" t="str">
        <f>_xlfn.XLOOKUP(FactSales[[#This Row],[Store_ID]],DimStore[Store_ID],DimStore[Store_Name])</f>
        <v>Khulna Shibbari Store</v>
      </c>
    </row>
    <row r="554" spans="1:23">
      <c r="A554" s="4" t="s">
        <v>1550</v>
      </c>
      <c r="B554" s="5">
        <v>45663</v>
      </c>
      <c r="C554" s="4" t="s">
        <v>98</v>
      </c>
      <c r="D554" s="4" t="s">
        <v>27</v>
      </c>
      <c r="E554" s="4" t="s">
        <v>630</v>
      </c>
      <c r="F554" s="4" t="s">
        <v>919</v>
      </c>
      <c r="G554" s="4" t="s">
        <v>788</v>
      </c>
      <c r="H554" s="4">
        <v>2</v>
      </c>
      <c r="I554" s="7">
        <v>7.0000000000000007E-2</v>
      </c>
      <c r="J554" s="6">
        <v>3858</v>
      </c>
      <c r="K554" s="4">
        <v>4</v>
      </c>
      <c r="L554" s="8">
        <f t="shared" si="8"/>
        <v>3.8</v>
      </c>
      <c r="M554" s="6" t="str">
        <f>_xlfn.XLOOKUP(FactSales[[#This Row],[Product_ID]],DimProduct[Product_ID],DimProduct[Product_Name])</f>
        <v>Formal Shirt</v>
      </c>
      <c r="N554" s="6" t="str">
        <f>_xlfn.XLOOKUP(FactSales[[#This Row],[Product_ID]],DimProduct[Product_ID],DimProduct[Category])</f>
        <v>Fashion</v>
      </c>
      <c r="O554" s="6">
        <f>_xlfn.XLOOKUP(FactSales[[#This Row],[Product_ID]],DimProduct[Product_ID],DimProduct[Unit_Price])</f>
        <v>1820</v>
      </c>
      <c r="P554" s="6">
        <f>_xlfn.XLOOKUP(FactSales[[#This Row],[Product_ID]],DimProduct[Product_ID],DimProduct[Unit_Cost])</f>
        <v>1000</v>
      </c>
      <c r="Q554" s="6">
        <f>FactSales[[#This Row],[Unit_Price]]*FactSales[[#This Row],[Quantity_Sold]]</f>
        <v>3640</v>
      </c>
      <c r="R554" s="6">
        <f>FactSales[[#This Row],[Unit_Cost]]*FactSales[[#This Row],[Quantity_Sold]]</f>
        <v>2000</v>
      </c>
      <c r="S554" s="6">
        <f>FactSales[[#This Row],[Sales_Amount]]-FactSales[[#This Row],[Total_Cost]]</f>
        <v>1640</v>
      </c>
      <c r="T554" s="6" t="str">
        <f>_xlfn.XLOOKUP(FactSales[[#This Row],[Customer_ID]],DimCustomer[Customer_ID],DimCustomer[Customer_Name])</f>
        <v>Rumana Ahmed</v>
      </c>
      <c r="U554" s="6" t="str">
        <f>_xlfn.XLOOKUP(FactSales[[#This Row],[Salesperson_ID]],DimSalesman[Salesperson_ID],DimSalesman[Salesperson_Name])</f>
        <v>Imran Mia</v>
      </c>
      <c r="V554" s="6" t="str">
        <f>_xlfn.XLOOKUP(FactSales[[#This Row],[Region_ID]],DimRegion[Region_ID],DimRegion[Region_Name])</f>
        <v>Dhaka</v>
      </c>
      <c r="W554" s="6" t="str">
        <f>_xlfn.XLOOKUP(FactSales[[#This Row],[Store_ID]],DimStore[Store_ID],DimStore[Store_Name])</f>
        <v>Dhaka Uttara Store</v>
      </c>
    </row>
    <row r="555" spans="1:23">
      <c r="A555" s="4" t="s">
        <v>1551</v>
      </c>
      <c r="B555" s="5">
        <v>45734</v>
      </c>
      <c r="C555" s="4" t="s">
        <v>142</v>
      </c>
      <c r="D555" s="4" t="s">
        <v>27</v>
      </c>
      <c r="E555" s="4" t="s">
        <v>622</v>
      </c>
      <c r="F555" s="4" t="s">
        <v>920</v>
      </c>
      <c r="G555" s="4" t="s">
        <v>784</v>
      </c>
      <c r="H555" s="4">
        <v>6</v>
      </c>
      <c r="I555" s="7">
        <v>0.05</v>
      </c>
      <c r="J555" s="6">
        <v>11893</v>
      </c>
      <c r="K555" s="4">
        <v>3</v>
      </c>
      <c r="L555" s="8">
        <f t="shared" si="8"/>
        <v>4.0999999999999996</v>
      </c>
      <c r="M555" s="6" t="str">
        <f>_xlfn.XLOOKUP(FactSales[[#This Row],[Product_ID]],DimProduct[Product_ID],DimProduct[Product_Name])</f>
        <v>Cotton T-Shirt</v>
      </c>
      <c r="N555" s="6" t="str">
        <f>_xlfn.XLOOKUP(FactSales[[#This Row],[Product_ID]],DimProduct[Product_ID],DimProduct[Category])</f>
        <v>Fashion</v>
      </c>
      <c r="O555" s="6">
        <f>_xlfn.XLOOKUP(FactSales[[#This Row],[Product_ID]],DimProduct[Product_ID],DimProduct[Unit_Price])</f>
        <v>1870</v>
      </c>
      <c r="P555" s="6">
        <f>_xlfn.XLOOKUP(FactSales[[#This Row],[Product_ID]],DimProduct[Product_ID],DimProduct[Unit_Cost])</f>
        <v>1030</v>
      </c>
      <c r="Q555" s="6">
        <f>FactSales[[#This Row],[Unit_Price]]*FactSales[[#This Row],[Quantity_Sold]]</f>
        <v>11220</v>
      </c>
      <c r="R555" s="6">
        <f>FactSales[[#This Row],[Unit_Cost]]*FactSales[[#This Row],[Quantity_Sold]]</f>
        <v>6180</v>
      </c>
      <c r="S555" s="6">
        <f>FactSales[[#This Row],[Sales_Amount]]-FactSales[[#This Row],[Total_Cost]]</f>
        <v>5040</v>
      </c>
      <c r="T555" s="6" t="str">
        <f>_xlfn.XLOOKUP(FactSales[[#This Row],[Customer_ID]],DimCustomer[Customer_ID],DimCustomer[Customer_Name])</f>
        <v>Hasan Akter</v>
      </c>
      <c r="U555" s="6" t="str">
        <f>_xlfn.XLOOKUP(FactSales[[#This Row],[Salesperson_ID]],DimSalesman[Salesperson_ID],DimSalesman[Salesperson_Name])</f>
        <v>Rahim Hossain</v>
      </c>
      <c r="V555" s="6" t="str">
        <f>_xlfn.XLOOKUP(FactSales[[#This Row],[Region_ID]],DimRegion[Region_ID],DimRegion[Region_Name])</f>
        <v>Dhaka</v>
      </c>
      <c r="W555" s="6" t="str">
        <f>_xlfn.XLOOKUP(FactSales[[#This Row],[Store_ID]],DimStore[Store_ID],DimStore[Store_Name])</f>
        <v>Dhaka Dhanmondi Store</v>
      </c>
    </row>
    <row r="556" spans="1:23">
      <c r="A556" s="4" t="s">
        <v>1552</v>
      </c>
      <c r="B556" s="5">
        <v>45686</v>
      </c>
      <c r="C556" s="4" t="s">
        <v>447</v>
      </c>
      <c r="D556" s="4" t="s">
        <v>52</v>
      </c>
      <c r="E556" s="4" t="s">
        <v>698</v>
      </c>
      <c r="F556" s="4" t="s">
        <v>966</v>
      </c>
      <c r="G556" s="4" t="s">
        <v>828</v>
      </c>
      <c r="H556" s="4">
        <v>2</v>
      </c>
      <c r="I556" s="7">
        <v>0.03</v>
      </c>
      <c r="J556" s="6">
        <v>3158</v>
      </c>
      <c r="K556" s="4">
        <v>3</v>
      </c>
      <c r="L556" s="8">
        <f t="shared" si="8"/>
        <v>4.2</v>
      </c>
      <c r="M556" s="6" t="str">
        <f>_xlfn.XLOOKUP(FactSales[[#This Row],[Product_ID]],DimProduct[Product_ID],DimProduct[Product_Name])</f>
        <v>Toothpaste Twin Pack</v>
      </c>
      <c r="N556" s="6" t="str">
        <f>_xlfn.XLOOKUP(FactSales[[#This Row],[Product_ID]],DimProduct[Product_ID],DimProduct[Category])</f>
        <v>Beauty &amp; Personal Care</v>
      </c>
      <c r="O556" s="6">
        <f>_xlfn.XLOOKUP(FactSales[[#This Row],[Product_ID]],DimProduct[Product_ID],DimProduct[Unit_Price])</f>
        <v>1410</v>
      </c>
      <c r="P556" s="6">
        <f>_xlfn.XLOOKUP(FactSales[[#This Row],[Product_ID]],DimProduct[Product_ID],DimProduct[Unit_Cost])</f>
        <v>820</v>
      </c>
      <c r="Q556" s="6">
        <f>FactSales[[#This Row],[Unit_Price]]*FactSales[[#This Row],[Quantity_Sold]]</f>
        <v>2820</v>
      </c>
      <c r="R556" s="6">
        <f>FactSales[[#This Row],[Unit_Cost]]*FactSales[[#This Row],[Quantity_Sold]]</f>
        <v>1640</v>
      </c>
      <c r="S556" s="6">
        <f>FactSales[[#This Row],[Sales_Amount]]-FactSales[[#This Row],[Total_Cost]]</f>
        <v>1180</v>
      </c>
      <c r="T556" s="6" t="str">
        <f>_xlfn.XLOOKUP(FactSales[[#This Row],[Customer_ID]],DimCustomer[Customer_ID],DimCustomer[Customer_Name])</f>
        <v>Nabila Khan</v>
      </c>
      <c r="U556" s="6" t="str">
        <f>_xlfn.XLOOKUP(FactSales[[#This Row],[Salesperson_ID]],DimSalesman[Salesperson_ID],DimSalesman[Salesperson_Name])</f>
        <v>Nayeem Akter</v>
      </c>
      <c r="V556" s="6" t="str">
        <f>_xlfn.XLOOKUP(FactSales[[#This Row],[Region_ID]],DimRegion[Region_ID],DimRegion[Region_Name])</f>
        <v>Barishal</v>
      </c>
      <c r="W556" s="6" t="str">
        <f>_xlfn.XLOOKUP(FactSales[[#This Row],[Store_ID]],DimStore[Store_ID],DimStore[Store_Name])</f>
        <v>Barishal Nathullabad Store</v>
      </c>
    </row>
    <row r="557" spans="1:23">
      <c r="A557" s="4" t="s">
        <v>1553</v>
      </c>
      <c r="B557" s="5">
        <v>46006</v>
      </c>
      <c r="C557" s="4" t="s">
        <v>445</v>
      </c>
      <c r="D557" s="4" t="s">
        <v>52</v>
      </c>
      <c r="E557" s="4" t="s">
        <v>701</v>
      </c>
      <c r="F557" s="4" t="s">
        <v>960</v>
      </c>
      <c r="G557" s="4" t="s">
        <v>790</v>
      </c>
      <c r="H557" s="4">
        <v>6</v>
      </c>
      <c r="I557" s="7">
        <v>0.12</v>
      </c>
      <c r="J557" s="6">
        <v>13373</v>
      </c>
      <c r="K557" s="4">
        <v>4</v>
      </c>
      <c r="L557" s="8">
        <f t="shared" si="8"/>
        <v>3.7</v>
      </c>
      <c r="M557" s="6" t="str">
        <f>_xlfn.XLOOKUP(FactSales[[#This Row],[Product_ID]],DimProduct[Product_ID],DimProduct[Product_Name])</f>
        <v>Women Kurti</v>
      </c>
      <c r="N557" s="6" t="str">
        <f>_xlfn.XLOOKUP(FactSales[[#This Row],[Product_ID]],DimProduct[Product_ID],DimProduct[Category])</f>
        <v>Fashion</v>
      </c>
      <c r="O557" s="6">
        <f>_xlfn.XLOOKUP(FactSales[[#This Row],[Product_ID]],DimProduct[Product_ID],DimProduct[Unit_Price])</f>
        <v>1990</v>
      </c>
      <c r="P557" s="6">
        <f>_xlfn.XLOOKUP(FactSales[[#This Row],[Product_ID]],DimProduct[Product_ID],DimProduct[Unit_Cost])</f>
        <v>1090</v>
      </c>
      <c r="Q557" s="6">
        <f>FactSales[[#This Row],[Unit_Price]]*FactSales[[#This Row],[Quantity_Sold]]</f>
        <v>11940</v>
      </c>
      <c r="R557" s="6">
        <f>FactSales[[#This Row],[Unit_Cost]]*FactSales[[#This Row],[Quantity_Sold]]</f>
        <v>6540</v>
      </c>
      <c r="S557" s="6">
        <f>FactSales[[#This Row],[Sales_Amount]]-FactSales[[#This Row],[Total_Cost]]</f>
        <v>5400</v>
      </c>
      <c r="T557" s="6" t="str">
        <f>_xlfn.XLOOKUP(FactSales[[#This Row],[Customer_ID]],DimCustomer[Customer_ID],DimCustomer[Customer_Name])</f>
        <v>Tanvir Akter</v>
      </c>
      <c r="U557" s="6" t="str">
        <f>_xlfn.XLOOKUP(FactSales[[#This Row],[Salesperson_ID]],DimSalesman[Salesperson_ID],DimSalesman[Salesperson_Name])</f>
        <v>Mim Akter</v>
      </c>
      <c r="V557" s="6" t="str">
        <f>_xlfn.XLOOKUP(FactSales[[#This Row],[Region_ID]],DimRegion[Region_ID],DimRegion[Region_Name])</f>
        <v>Barishal</v>
      </c>
      <c r="W557" s="6" t="str">
        <f>_xlfn.XLOOKUP(FactSales[[#This Row],[Store_ID]],DimStore[Store_ID],DimStore[Store_Name])</f>
        <v>Barishal Sadar Road Store</v>
      </c>
    </row>
    <row r="558" spans="1:23">
      <c r="A558" s="4" t="s">
        <v>1554</v>
      </c>
      <c r="B558" s="5">
        <v>45755</v>
      </c>
      <c r="C558" s="4" t="s">
        <v>292</v>
      </c>
      <c r="D558" s="4" t="s">
        <v>42</v>
      </c>
      <c r="E558" s="4" t="s">
        <v>680</v>
      </c>
      <c r="F558" s="4" t="s">
        <v>949</v>
      </c>
      <c r="G558" s="4" t="s">
        <v>784</v>
      </c>
      <c r="H558" s="4">
        <v>5</v>
      </c>
      <c r="I558" s="7">
        <v>0.03</v>
      </c>
      <c r="J558" s="6">
        <v>10098</v>
      </c>
      <c r="K558" s="4">
        <v>5</v>
      </c>
      <c r="L558" s="8">
        <f t="shared" si="8"/>
        <v>3.5</v>
      </c>
      <c r="M558" s="6" t="str">
        <f>_xlfn.XLOOKUP(FactSales[[#This Row],[Product_ID]],DimProduct[Product_ID],DimProduct[Product_Name])</f>
        <v>Cotton T-Shirt</v>
      </c>
      <c r="N558" s="6" t="str">
        <f>_xlfn.XLOOKUP(FactSales[[#This Row],[Product_ID]],DimProduct[Product_ID],DimProduct[Category])</f>
        <v>Fashion</v>
      </c>
      <c r="O558" s="6">
        <f>_xlfn.XLOOKUP(FactSales[[#This Row],[Product_ID]],DimProduct[Product_ID],DimProduct[Unit_Price])</f>
        <v>1870</v>
      </c>
      <c r="P558" s="6">
        <f>_xlfn.XLOOKUP(FactSales[[#This Row],[Product_ID]],DimProduct[Product_ID],DimProduct[Unit_Cost])</f>
        <v>1030</v>
      </c>
      <c r="Q558" s="6">
        <f>FactSales[[#This Row],[Unit_Price]]*FactSales[[#This Row],[Quantity_Sold]]</f>
        <v>9350</v>
      </c>
      <c r="R558" s="6">
        <f>FactSales[[#This Row],[Unit_Cost]]*FactSales[[#This Row],[Quantity_Sold]]</f>
        <v>5150</v>
      </c>
      <c r="S558" s="6">
        <f>FactSales[[#This Row],[Sales_Amount]]-FactSales[[#This Row],[Total_Cost]]</f>
        <v>4200</v>
      </c>
      <c r="T558" s="6" t="str">
        <f>_xlfn.XLOOKUP(FactSales[[#This Row],[Customer_ID]],DimCustomer[Customer_ID],DimCustomer[Customer_Name])</f>
        <v>Morshed Rahman</v>
      </c>
      <c r="U558" s="6" t="str">
        <f>_xlfn.XLOOKUP(FactSales[[#This Row],[Salesperson_ID]],DimSalesman[Salesperson_ID],DimSalesman[Salesperson_Name])</f>
        <v>Mahmud Chowdhury</v>
      </c>
      <c r="V558" s="6" t="str">
        <f>_xlfn.XLOOKUP(FactSales[[#This Row],[Region_ID]],DimRegion[Region_ID],DimRegion[Region_Name])</f>
        <v>Rajshahi</v>
      </c>
      <c r="W558" s="6" t="str">
        <f>_xlfn.XLOOKUP(FactSales[[#This Row],[Store_ID]],DimStore[Store_ID],DimStore[Store_Name])</f>
        <v>Rajshahi Lakshmipur Store</v>
      </c>
    </row>
    <row r="559" spans="1:23">
      <c r="A559" s="4" t="s">
        <v>1555</v>
      </c>
      <c r="B559" s="5">
        <v>45788</v>
      </c>
      <c r="C559" s="4" t="s">
        <v>109</v>
      </c>
      <c r="D559" s="4" t="s">
        <v>27</v>
      </c>
      <c r="E559" s="4" t="s">
        <v>626</v>
      </c>
      <c r="F559" s="4" t="s">
        <v>920</v>
      </c>
      <c r="G559" s="4" t="s">
        <v>755</v>
      </c>
      <c r="H559" s="4">
        <v>1</v>
      </c>
      <c r="I559" s="7">
        <v>0.15</v>
      </c>
      <c r="J559" s="6">
        <v>3540</v>
      </c>
      <c r="K559" s="4">
        <v>2</v>
      </c>
      <c r="L559" s="8">
        <f t="shared" si="8"/>
        <v>4.2</v>
      </c>
      <c r="M559" s="6" t="str">
        <f>_xlfn.XLOOKUP(FactSales[[#This Row],[Product_ID]],DimProduct[Product_ID],DimProduct[Product_Name])</f>
        <v>Wireless Mouse</v>
      </c>
      <c r="N559" s="6" t="str">
        <f>_xlfn.XLOOKUP(FactSales[[#This Row],[Product_ID]],DimProduct[Product_ID],DimProduct[Category])</f>
        <v>Electronics</v>
      </c>
      <c r="O559" s="6">
        <f>_xlfn.XLOOKUP(FactSales[[#This Row],[Product_ID]],DimProduct[Product_ID],DimProduct[Unit_Price])</f>
        <v>3340</v>
      </c>
      <c r="P559" s="6">
        <f>_xlfn.XLOOKUP(FactSales[[#This Row],[Product_ID]],DimProduct[Product_ID],DimProduct[Unit_Cost])</f>
        <v>2270</v>
      </c>
      <c r="Q559" s="6">
        <f>FactSales[[#This Row],[Unit_Price]]*FactSales[[#This Row],[Quantity_Sold]]</f>
        <v>3340</v>
      </c>
      <c r="R559" s="6">
        <f>FactSales[[#This Row],[Unit_Cost]]*FactSales[[#This Row],[Quantity_Sold]]</f>
        <v>2270</v>
      </c>
      <c r="S559" s="6">
        <f>FactSales[[#This Row],[Sales_Amount]]-FactSales[[#This Row],[Total_Cost]]</f>
        <v>1070</v>
      </c>
      <c r="T559" s="6" t="str">
        <f>_xlfn.XLOOKUP(FactSales[[#This Row],[Customer_ID]],DimCustomer[Customer_ID],DimCustomer[Customer_Name])</f>
        <v>Arif Hossain</v>
      </c>
      <c r="U559" s="6" t="str">
        <f>_xlfn.XLOOKUP(FactSales[[#This Row],[Salesperson_ID]],DimSalesman[Salesperson_ID],DimSalesman[Salesperson_Name])</f>
        <v>Rahim Hossain</v>
      </c>
      <c r="V559" s="6" t="str">
        <f>_xlfn.XLOOKUP(FactSales[[#This Row],[Region_ID]],DimRegion[Region_ID],DimRegion[Region_Name])</f>
        <v>Dhaka</v>
      </c>
      <c r="W559" s="6" t="str">
        <f>_xlfn.XLOOKUP(FactSales[[#This Row],[Store_ID]],DimStore[Store_ID],DimStore[Store_Name])</f>
        <v>Dhaka Mirpur Store</v>
      </c>
    </row>
    <row r="560" spans="1:23">
      <c r="A560" s="4" t="s">
        <v>1556</v>
      </c>
      <c r="B560" s="5">
        <v>45762</v>
      </c>
      <c r="C560" s="4" t="s">
        <v>101</v>
      </c>
      <c r="D560" s="4" t="s">
        <v>27</v>
      </c>
      <c r="E560" s="4" t="s">
        <v>634</v>
      </c>
      <c r="F560" s="4" t="s">
        <v>920</v>
      </c>
      <c r="G560" s="4" t="s">
        <v>784</v>
      </c>
      <c r="H560" s="4">
        <v>5</v>
      </c>
      <c r="I560" s="7">
        <v>0.03</v>
      </c>
      <c r="J560" s="6">
        <v>9911</v>
      </c>
      <c r="K560" s="4">
        <v>2</v>
      </c>
      <c r="L560" s="8">
        <f t="shared" si="8"/>
        <v>4.5</v>
      </c>
      <c r="M560" s="6" t="str">
        <f>_xlfn.XLOOKUP(FactSales[[#This Row],[Product_ID]],DimProduct[Product_ID],DimProduct[Product_Name])</f>
        <v>Cotton T-Shirt</v>
      </c>
      <c r="N560" s="6" t="str">
        <f>_xlfn.XLOOKUP(FactSales[[#This Row],[Product_ID]],DimProduct[Product_ID],DimProduct[Category])</f>
        <v>Fashion</v>
      </c>
      <c r="O560" s="6">
        <f>_xlfn.XLOOKUP(FactSales[[#This Row],[Product_ID]],DimProduct[Product_ID],DimProduct[Unit_Price])</f>
        <v>1870</v>
      </c>
      <c r="P560" s="6">
        <f>_xlfn.XLOOKUP(FactSales[[#This Row],[Product_ID]],DimProduct[Product_ID],DimProduct[Unit_Cost])</f>
        <v>1030</v>
      </c>
      <c r="Q560" s="6">
        <f>FactSales[[#This Row],[Unit_Price]]*FactSales[[#This Row],[Quantity_Sold]]</f>
        <v>9350</v>
      </c>
      <c r="R560" s="6">
        <f>FactSales[[#This Row],[Unit_Cost]]*FactSales[[#This Row],[Quantity_Sold]]</f>
        <v>5150</v>
      </c>
      <c r="S560" s="6">
        <f>FactSales[[#This Row],[Sales_Amount]]-FactSales[[#This Row],[Total_Cost]]</f>
        <v>4200</v>
      </c>
      <c r="T560" s="6" t="str">
        <f>_xlfn.XLOOKUP(FactSales[[#This Row],[Customer_ID]],DimCustomer[Customer_ID],DimCustomer[Customer_Name])</f>
        <v>Shamim Khan</v>
      </c>
      <c r="U560" s="6" t="str">
        <f>_xlfn.XLOOKUP(FactSales[[#This Row],[Salesperson_ID]],DimSalesman[Salesperson_ID],DimSalesman[Salesperson_Name])</f>
        <v>Rahim Hossain</v>
      </c>
      <c r="V560" s="6" t="str">
        <f>_xlfn.XLOOKUP(FactSales[[#This Row],[Region_ID]],DimRegion[Region_ID],DimRegion[Region_Name])</f>
        <v>Dhaka</v>
      </c>
      <c r="W560" s="6" t="str">
        <f>_xlfn.XLOOKUP(FactSales[[#This Row],[Store_ID]],DimStore[Store_ID],DimStore[Store_Name])</f>
        <v>Dhaka Motijheel Store</v>
      </c>
    </row>
    <row r="561" spans="1:23">
      <c r="A561" s="4" t="s">
        <v>1557</v>
      </c>
      <c r="B561" s="5">
        <v>45668</v>
      </c>
      <c r="C561" s="4" t="s">
        <v>202</v>
      </c>
      <c r="D561" s="4" t="s">
        <v>32</v>
      </c>
      <c r="E561" s="4" t="s">
        <v>647</v>
      </c>
      <c r="F561" s="4" t="s">
        <v>924</v>
      </c>
      <c r="G561" s="4" t="s">
        <v>878</v>
      </c>
      <c r="H561" s="4">
        <v>2</v>
      </c>
      <c r="I561" s="7">
        <v>0.1</v>
      </c>
      <c r="J561" s="6">
        <v>1915</v>
      </c>
      <c r="K561" s="4">
        <v>7</v>
      </c>
      <c r="L561" s="8">
        <f t="shared" si="8"/>
        <v>2.7</v>
      </c>
      <c r="M561" s="6" t="str">
        <f>_xlfn.XLOOKUP(FactSales[[#This Row],[Product_ID]],DimProduct[Product_ID],DimProduct[Product_Name])</f>
        <v>Building Blocks</v>
      </c>
      <c r="N561" s="6" t="str">
        <f>_xlfn.XLOOKUP(FactSales[[#This Row],[Product_ID]],DimProduct[Product_ID],DimProduct[Category])</f>
        <v>Kids &amp; Toys</v>
      </c>
      <c r="O561" s="6">
        <f>_xlfn.XLOOKUP(FactSales[[#This Row],[Product_ID]],DimProduct[Product_ID],DimProduct[Unit_Price])</f>
        <v>840</v>
      </c>
      <c r="P561" s="6">
        <f>_xlfn.XLOOKUP(FactSales[[#This Row],[Product_ID]],DimProduct[Product_ID],DimProduct[Unit_Cost])</f>
        <v>460</v>
      </c>
      <c r="Q561" s="6">
        <f>FactSales[[#This Row],[Unit_Price]]*FactSales[[#This Row],[Quantity_Sold]]</f>
        <v>1680</v>
      </c>
      <c r="R561" s="6">
        <f>FactSales[[#This Row],[Unit_Cost]]*FactSales[[#This Row],[Quantity_Sold]]</f>
        <v>920</v>
      </c>
      <c r="S561" s="6">
        <f>FactSales[[#This Row],[Sales_Amount]]-FactSales[[#This Row],[Total_Cost]]</f>
        <v>760</v>
      </c>
      <c r="T561" s="6" t="str">
        <f>_xlfn.XLOOKUP(FactSales[[#This Row],[Customer_ID]],DimCustomer[Customer_ID],DimCustomer[Customer_Name])</f>
        <v>Shuvo Uddin</v>
      </c>
      <c r="U561" s="6" t="str">
        <f>_xlfn.XLOOKUP(FactSales[[#This Row],[Salesperson_ID]],DimSalesman[Salesperson_ID],DimSalesman[Salesperson_Name])</f>
        <v>Rumana Khan</v>
      </c>
      <c r="V561" s="6" t="str">
        <f>_xlfn.XLOOKUP(FactSales[[#This Row],[Region_ID]],DimRegion[Region_ID],DimRegion[Region_Name])</f>
        <v>Chattogram</v>
      </c>
      <c r="W561" s="6" t="str">
        <f>_xlfn.XLOOKUP(FactSales[[#This Row],[Store_ID]],DimStore[Store_ID],DimStore[Store_Name])</f>
        <v>Chattogram Nasirabad Store</v>
      </c>
    </row>
    <row r="562" spans="1:23">
      <c r="A562" s="4" t="s">
        <v>1558</v>
      </c>
      <c r="B562" s="5">
        <v>45684</v>
      </c>
      <c r="C562" s="4" t="s">
        <v>535</v>
      </c>
      <c r="D562" s="4" t="s">
        <v>57</v>
      </c>
      <c r="E562" s="4" t="s">
        <v>725</v>
      </c>
      <c r="F562" s="4" t="s">
        <v>968</v>
      </c>
      <c r="G562" s="4" t="s">
        <v>775</v>
      </c>
      <c r="H562" s="4">
        <v>2</v>
      </c>
      <c r="I562" s="7">
        <v>0.12</v>
      </c>
      <c r="J562" s="6">
        <v>5589</v>
      </c>
      <c r="K562" s="4">
        <v>7</v>
      </c>
      <c r="L562" s="8">
        <f t="shared" si="8"/>
        <v>2.7</v>
      </c>
      <c r="M562" s="6" t="str">
        <f>_xlfn.XLOOKUP(FactSales[[#This Row],[Product_ID]],DimProduct[Product_ID],DimProduct[Product_Name])</f>
        <v>Blender Machine</v>
      </c>
      <c r="N562" s="6" t="str">
        <f>_xlfn.XLOOKUP(FactSales[[#This Row],[Product_ID]],DimProduct[Product_ID],DimProduct[Category])</f>
        <v>Home Appliance</v>
      </c>
      <c r="O562" s="6">
        <f>_xlfn.XLOOKUP(FactSales[[#This Row],[Product_ID]],DimProduct[Product_ID],DimProduct[Unit_Price])</f>
        <v>2430</v>
      </c>
      <c r="P562" s="6">
        <f>_xlfn.XLOOKUP(FactSales[[#This Row],[Product_ID]],DimProduct[Product_ID],DimProduct[Unit_Cost])</f>
        <v>1700</v>
      </c>
      <c r="Q562" s="6">
        <f>FactSales[[#This Row],[Unit_Price]]*FactSales[[#This Row],[Quantity_Sold]]</f>
        <v>4860</v>
      </c>
      <c r="R562" s="6">
        <f>FactSales[[#This Row],[Unit_Cost]]*FactSales[[#This Row],[Quantity_Sold]]</f>
        <v>3400</v>
      </c>
      <c r="S562" s="6">
        <f>FactSales[[#This Row],[Sales_Amount]]-FactSales[[#This Row],[Total_Cost]]</f>
        <v>1460</v>
      </c>
      <c r="T562" s="6" t="str">
        <f>_xlfn.XLOOKUP(FactSales[[#This Row],[Customer_ID]],DimCustomer[Customer_ID],DimCustomer[Customer_Name])</f>
        <v>Shuvo Uddin</v>
      </c>
      <c r="U562" s="6" t="str">
        <f>_xlfn.XLOOKUP(FactSales[[#This Row],[Salesperson_ID]],DimSalesman[Salesperson_ID],DimSalesman[Salesperson_Name])</f>
        <v>Morshed Ahmed</v>
      </c>
      <c r="V562" s="6" t="str">
        <f>_xlfn.XLOOKUP(FactSales[[#This Row],[Region_ID]],DimRegion[Region_ID],DimRegion[Region_Name])</f>
        <v>Rangpur</v>
      </c>
      <c r="W562" s="6" t="str">
        <f>_xlfn.XLOOKUP(FactSales[[#This Row],[Store_ID]],DimStore[Store_ID],DimStore[Store_Name])</f>
        <v>Rangpur Central Road Store</v>
      </c>
    </row>
    <row r="563" spans="1:23">
      <c r="A563" s="4" t="s">
        <v>1559</v>
      </c>
      <c r="B563" s="5">
        <v>45856</v>
      </c>
      <c r="C563" s="4" t="s">
        <v>130</v>
      </c>
      <c r="D563" s="4" t="s">
        <v>27</v>
      </c>
      <c r="E563" s="4" t="s">
        <v>618</v>
      </c>
      <c r="F563" s="4" t="s">
        <v>919</v>
      </c>
      <c r="G563" s="4" t="s">
        <v>862</v>
      </c>
      <c r="H563" s="4">
        <v>6</v>
      </c>
      <c r="I563" s="7">
        <v>0.05</v>
      </c>
      <c r="J563" s="6">
        <v>7060</v>
      </c>
      <c r="K563" s="4">
        <v>2</v>
      </c>
      <c r="L563" s="8">
        <f t="shared" si="8"/>
        <v>4.5</v>
      </c>
      <c r="M563" s="6" t="str">
        <f>_xlfn.XLOOKUP(FactSales[[#This Row],[Product_ID]],DimProduct[Product_ID],DimProduct[Product_Name])</f>
        <v>Dumbbell Set</v>
      </c>
      <c r="N563" s="6" t="str">
        <f>_xlfn.XLOOKUP(FactSales[[#This Row],[Product_ID]],DimProduct[Product_ID],DimProduct[Category])</f>
        <v>Sports</v>
      </c>
      <c r="O563" s="6">
        <f>_xlfn.XLOOKUP(FactSales[[#This Row],[Product_ID]],DimProduct[Product_ID],DimProduct[Unit_Price])</f>
        <v>1110</v>
      </c>
      <c r="P563" s="6">
        <f>_xlfn.XLOOKUP(FactSales[[#This Row],[Product_ID]],DimProduct[Product_ID],DimProduct[Unit_Cost])</f>
        <v>690</v>
      </c>
      <c r="Q563" s="6">
        <f>FactSales[[#This Row],[Unit_Price]]*FactSales[[#This Row],[Quantity_Sold]]</f>
        <v>6660</v>
      </c>
      <c r="R563" s="6">
        <f>FactSales[[#This Row],[Unit_Cost]]*FactSales[[#This Row],[Quantity_Sold]]</f>
        <v>4140</v>
      </c>
      <c r="S563" s="6">
        <f>FactSales[[#This Row],[Sales_Amount]]-FactSales[[#This Row],[Total_Cost]]</f>
        <v>2520</v>
      </c>
      <c r="T563" s="6" t="str">
        <f>_xlfn.XLOOKUP(FactSales[[#This Row],[Customer_ID]],DimCustomer[Customer_ID],DimCustomer[Customer_Name])</f>
        <v>Tanjim Ahmed</v>
      </c>
      <c r="U563" s="6" t="str">
        <f>_xlfn.XLOOKUP(FactSales[[#This Row],[Salesperson_ID]],DimSalesman[Salesperson_ID],DimSalesman[Salesperson_Name])</f>
        <v>Imran Mia</v>
      </c>
      <c r="V563" s="6" t="str">
        <f>_xlfn.XLOOKUP(FactSales[[#This Row],[Region_ID]],DimRegion[Region_ID],DimRegion[Region_Name])</f>
        <v>Dhaka</v>
      </c>
      <c r="W563" s="6" t="str">
        <f>_xlfn.XLOOKUP(FactSales[[#This Row],[Store_ID]],DimStore[Store_ID],DimStore[Store_Name])</f>
        <v>Dhaka Gulshan Store</v>
      </c>
    </row>
    <row r="564" spans="1:23">
      <c r="A564" s="4" t="s">
        <v>1560</v>
      </c>
      <c r="B564" s="5">
        <v>46113</v>
      </c>
      <c r="C564" s="4" t="s">
        <v>387</v>
      </c>
      <c r="D564" s="4" t="s">
        <v>47</v>
      </c>
      <c r="E564" s="4" t="s">
        <v>692</v>
      </c>
      <c r="F564" s="4" t="s">
        <v>955</v>
      </c>
      <c r="G564" s="4" t="s">
        <v>850</v>
      </c>
      <c r="H564" s="4">
        <v>1</v>
      </c>
      <c r="I564" s="7">
        <v>0.03</v>
      </c>
      <c r="J564" s="6">
        <v>2878</v>
      </c>
      <c r="K564" s="4">
        <v>4</v>
      </c>
      <c r="L564" s="8">
        <f t="shared" si="8"/>
        <v>3.9</v>
      </c>
      <c r="M564" s="6" t="str">
        <f>_xlfn.XLOOKUP(FactSales[[#This Row],[Product_ID]],DimProduct[Product_ID],DimProduct[Product_Name])</f>
        <v>Cricket Bat</v>
      </c>
      <c r="N564" s="6" t="str">
        <f>_xlfn.XLOOKUP(FactSales[[#This Row],[Product_ID]],DimProduct[Product_ID],DimProduct[Category])</f>
        <v>Sports</v>
      </c>
      <c r="O564" s="6">
        <f>_xlfn.XLOOKUP(FactSales[[#This Row],[Product_ID]],DimProduct[Product_ID],DimProduct[Unit_Price])</f>
        <v>2640</v>
      </c>
      <c r="P564" s="6">
        <f>_xlfn.XLOOKUP(FactSales[[#This Row],[Product_ID]],DimProduct[Product_ID],DimProduct[Unit_Cost])</f>
        <v>1640</v>
      </c>
      <c r="Q564" s="6">
        <f>FactSales[[#This Row],[Unit_Price]]*FactSales[[#This Row],[Quantity_Sold]]</f>
        <v>2640</v>
      </c>
      <c r="R564" s="6">
        <f>FactSales[[#This Row],[Unit_Cost]]*FactSales[[#This Row],[Quantity_Sold]]</f>
        <v>1640</v>
      </c>
      <c r="S564" s="6">
        <f>FactSales[[#This Row],[Sales_Amount]]-FactSales[[#This Row],[Total_Cost]]</f>
        <v>1000</v>
      </c>
      <c r="T564" s="6" t="str">
        <f>_xlfn.XLOOKUP(FactSales[[#This Row],[Customer_ID]],DimCustomer[Customer_ID],DimCustomer[Customer_Name])</f>
        <v>Nayeem Chowdhury</v>
      </c>
      <c r="U564" s="6" t="str">
        <f>_xlfn.XLOOKUP(FactSales[[#This Row],[Salesperson_ID]],DimSalesman[Salesperson_ID],DimSalesman[Salesperson_Name])</f>
        <v>Tania Chowdhury</v>
      </c>
      <c r="V564" s="6" t="str">
        <f>_xlfn.XLOOKUP(FactSales[[#This Row],[Region_ID]],DimRegion[Region_ID],DimRegion[Region_Name])</f>
        <v>Khulna</v>
      </c>
      <c r="W564" s="6" t="str">
        <f>_xlfn.XLOOKUP(FactSales[[#This Row],[Store_ID]],DimStore[Store_ID],DimStore[Store_Name])</f>
        <v>Khulna Boyra Store</v>
      </c>
    </row>
    <row r="565" spans="1:23">
      <c r="A565" s="4" t="s">
        <v>1561</v>
      </c>
      <c r="B565" s="5">
        <v>45807</v>
      </c>
      <c r="C565" s="4" t="s">
        <v>528</v>
      </c>
      <c r="D565" s="4" t="s">
        <v>57</v>
      </c>
      <c r="E565" s="4" t="s">
        <v>719</v>
      </c>
      <c r="F565" s="4" t="s">
        <v>972</v>
      </c>
      <c r="G565" s="4" t="s">
        <v>816</v>
      </c>
      <c r="H565" s="4">
        <v>1</v>
      </c>
      <c r="I565" s="7">
        <v>7.0000000000000007E-2</v>
      </c>
      <c r="J565" s="6">
        <v>1472</v>
      </c>
      <c r="K565" s="4">
        <v>7</v>
      </c>
      <c r="L565" s="8">
        <f t="shared" si="8"/>
        <v>2.8</v>
      </c>
      <c r="M565" s="6" t="str">
        <f>_xlfn.XLOOKUP(FactSales[[#This Row],[Product_ID]],DimProduct[Product_ID],DimProduct[Product_Name])</f>
        <v>Face Wash</v>
      </c>
      <c r="N565" s="6" t="str">
        <f>_xlfn.XLOOKUP(FactSales[[#This Row],[Product_ID]],DimProduct[Product_ID],DimProduct[Category])</f>
        <v>Beauty &amp; Personal Care</v>
      </c>
      <c r="O565" s="6">
        <f>_xlfn.XLOOKUP(FactSales[[#This Row],[Product_ID]],DimProduct[Product_ID],DimProduct[Unit_Price])</f>
        <v>1280</v>
      </c>
      <c r="P565" s="6">
        <f>_xlfn.XLOOKUP(FactSales[[#This Row],[Product_ID]],DimProduct[Product_ID],DimProduct[Unit_Cost])</f>
        <v>740</v>
      </c>
      <c r="Q565" s="6">
        <f>FactSales[[#This Row],[Unit_Price]]*FactSales[[#This Row],[Quantity_Sold]]</f>
        <v>1280</v>
      </c>
      <c r="R565" s="6">
        <f>FactSales[[#This Row],[Unit_Cost]]*FactSales[[#This Row],[Quantity_Sold]]</f>
        <v>740</v>
      </c>
      <c r="S565" s="6">
        <f>FactSales[[#This Row],[Sales_Amount]]-FactSales[[#This Row],[Total_Cost]]</f>
        <v>540</v>
      </c>
      <c r="T565" s="6" t="str">
        <f>_xlfn.XLOOKUP(FactSales[[#This Row],[Customer_ID]],DimCustomer[Customer_ID],DimCustomer[Customer_Name])</f>
        <v>Tamanna Mia</v>
      </c>
      <c r="U565" s="6" t="str">
        <f>_xlfn.XLOOKUP(FactSales[[#This Row],[Salesperson_ID]],DimSalesman[Salesperson_ID],DimSalesman[Salesperson_Name])</f>
        <v>Samiha Hossain</v>
      </c>
      <c r="V565" s="6" t="str">
        <f>_xlfn.XLOOKUP(FactSales[[#This Row],[Region_ID]],DimRegion[Region_ID],DimRegion[Region_Name])</f>
        <v>Rangpur</v>
      </c>
      <c r="W565" s="6" t="str">
        <f>_xlfn.XLOOKUP(FactSales[[#This Row],[Store_ID]],DimStore[Store_ID],DimStore[Store_Name])</f>
        <v>Rangpur Modern More Store</v>
      </c>
    </row>
    <row r="566" spans="1:23">
      <c r="A566" s="4" t="s">
        <v>1562</v>
      </c>
      <c r="B566" s="5">
        <v>45806</v>
      </c>
      <c r="C566" s="4" t="s">
        <v>447</v>
      </c>
      <c r="D566" s="4" t="s">
        <v>52</v>
      </c>
      <c r="E566" s="4" t="s">
        <v>704</v>
      </c>
      <c r="F566" s="4" t="s">
        <v>960</v>
      </c>
      <c r="G566" s="4" t="s">
        <v>800</v>
      </c>
      <c r="H566" s="4">
        <v>1</v>
      </c>
      <c r="I566" s="7">
        <v>0</v>
      </c>
      <c r="J566" s="6">
        <v>1243</v>
      </c>
      <c r="K566" s="4">
        <v>4</v>
      </c>
      <c r="L566" s="8">
        <f t="shared" si="8"/>
        <v>3.9</v>
      </c>
      <c r="M566" s="6" t="str">
        <f>_xlfn.XLOOKUP(FactSales[[#This Row],[Product_ID]],DimProduct[Product_ID],DimProduct[Product_Name])</f>
        <v>Premium Rice 5kg</v>
      </c>
      <c r="N566" s="6" t="str">
        <f>_xlfn.XLOOKUP(FactSales[[#This Row],[Product_ID]],DimProduct[Product_ID],DimProduct[Category])</f>
        <v>Grocery</v>
      </c>
      <c r="O566" s="6">
        <f>_xlfn.XLOOKUP(FactSales[[#This Row],[Product_ID]],DimProduct[Product_ID],DimProduct[Unit_Price])</f>
        <v>1110</v>
      </c>
      <c r="P566" s="6">
        <f>_xlfn.XLOOKUP(FactSales[[#This Row],[Product_ID]],DimProduct[Product_ID],DimProduct[Unit_Cost])</f>
        <v>870</v>
      </c>
      <c r="Q566" s="6">
        <f>FactSales[[#This Row],[Unit_Price]]*FactSales[[#This Row],[Quantity_Sold]]</f>
        <v>1110</v>
      </c>
      <c r="R566" s="6">
        <f>FactSales[[#This Row],[Unit_Cost]]*FactSales[[#This Row],[Quantity_Sold]]</f>
        <v>870</v>
      </c>
      <c r="S566" s="6">
        <f>FactSales[[#This Row],[Sales_Amount]]-FactSales[[#This Row],[Total_Cost]]</f>
        <v>240</v>
      </c>
      <c r="T566" s="6" t="str">
        <f>_xlfn.XLOOKUP(FactSales[[#This Row],[Customer_ID]],DimCustomer[Customer_ID],DimCustomer[Customer_Name])</f>
        <v>Nabila Khan</v>
      </c>
      <c r="U566" s="6" t="str">
        <f>_xlfn.XLOOKUP(FactSales[[#This Row],[Salesperson_ID]],DimSalesman[Salesperson_ID],DimSalesman[Salesperson_Name])</f>
        <v>Mim Akter</v>
      </c>
      <c r="V566" s="6" t="str">
        <f>_xlfn.XLOOKUP(FactSales[[#This Row],[Region_ID]],DimRegion[Region_ID],DimRegion[Region_Name])</f>
        <v>Barishal</v>
      </c>
      <c r="W566" s="6" t="str">
        <f>_xlfn.XLOOKUP(FactSales[[#This Row],[Store_ID]],DimStore[Store_ID],DimStore[Store_Name])</f>
        <v>Barishal Rupatali Store</v>
      </c>
    </row>
    <row r="567" spans="1:23">
      <c r="A567" s="4" t="s">
        <v>1563</v>
      </c>
      <c r="B567" s="5">
        <v>46145</v>
      </c>
      <c r="C567" s="4" t="s">
        <v>341</v>
      </c>
      <c r="D567" s="4" t="s">
        <v>42</v>
      </c>
      <c r="E567" s="4" t="s">
        <v>671</v>
      </c>
      <c r="F567" s="4" t="s">
        <v>943</v>
      </c>
      <c r="G567" s="4" t="s">
        <v>775</v>
      </c>
      <c r="H567" s="4">
        <v>4</v>
      </c>
      <c r="I567" s="7">
        <v>0.15</v>
      </c>
      <c r="J567" s="6">
        <v>10498</v>
      </c>
      <c r="K567" s="4">
        <v>7</v>
      </c>
      <c r="L567" s="8">
        <f t="shared" si="8"/>
        <v>2.6</v>
      </c>
      <c r="M567" s="6" t="str">
        <f>_xlfn.XLOOKUP(FactSales[[#This Row],[Product_ID]],DimProduct[Product_ID],DimProduct[Product_Name])</f>
        <v>Blender Machine</v>
      </c>
      <c r="N567" s="6" t="str">
        <f>_xlfn.XLOOKUP(FactSales[[#This Row],[Product_ID]],DimProduct[Product_ID],DimProduct[Category])</f>
        <v>Home Appliance</v>
      </c>
      <c r="O567" s="6">
        <f>_xlfn.XLOOKUP(FactSales[[#This Row],[Product_ID]],DimProduct[Product_ID],DimProduct[Unit_Price])</f>
        <v>2430</v>
      </c>
      <c r="P567" s="6">
        <f>_xlfn.XLOOKUP(FactSales[[#This Row],[Product_ID]],DimProduct[Product_ID],DimProduct[Unit_Cost])</f>
        <v>1700</v>
      </c>
      <c r="Q567" s="6">
        <f>FactSales[[#This Row],[Unit_Price]]*FactSales[[#This Row],[Quantity_Sold]]</f>
        <v>9720</v>
      </c>
      <c r="R567" s="6">
        <f>FactSales[[#This Row],[Unit_Cost]]*FactSales[[#This Row],[Quantity_Sold]]</f>
        <v>6800</v>
      </c>
      <c r="S567" s="6">
        <f>FactSales[[#This Row],[Sales_Amount]]-FactSales[[#This Row],[Total_Cost]]</f>
        <v>2920</v>
      </c>
      <c r="T567" s="6" t="str">
        <f>_xlfn.XLOOKUP(FactSales[[#This Row],[Customer_ID]],DimCustomer[Customer_ID],DimCustomer[Customer_Name])</f>
        <v>Nayeem Islam</v>
      </c>
      <c r="U567" s="6" t="str">
        <f>_xlfn.XLOOKUP(FactSales[[#This Row],[Salesperson_ID]],DimSalesman[Salesperson_ID],DimSalesman[Salesperson_Name])</f>
        <v>Imran Khan</v>
      </c>
      <c r="V567" s="6" t="str">
        <f>_xlfn.XLOOKUP(FactSales[[#This Row],[Region_ID]],DimRegion[Region_ID],DimRegion[Region_Name])</f>
        <v>Rajshahi</v>
      </c>
      <c r="W567" s="6" t="str">
        <f>_xlfn.XLOOKUP(FactSales[[#This Row],[Store_ID]],DimStore[Store_ID],DimStore[Store_Name])</f>
        <v>Rajshahi Kazla Store</v>
      </c>
    </row>
    <row r="568" spans="1:23">
      <c r="A568" s="4" t="s">
        <v>1564</v>
      </c>
      <c r="B568" s="5">
        <v>46086</v>
      </c>
      <c r="C568" s="4" t="s">
        <v>470</v>
      </c>
      <c r="D568" s="4" t="s">
        <v>52</v>
      </c>
      <c r="E568" s="4" t="s">
        <v>710</v>
      </c>
      <c r="F568" s="4" t="s">
        <v>963</v>
      </c>
      <c r="G568" s="4" t="s">
        <v>825</v>
      </c>
      <c r="H568" s="4">
        <v>2</v>
      </c>
      <c r="I568" s="7">
        <v>0.1</v>
      </c>
      <c r="J568" s="6">
        <v>2598</v>
      </c>
      <c r="K568" s="4">
        <v>8</v>
      </c>
      <c r="L568" s="8">
        <f t="shared" si="8"/>
        <v>2.4</v>
      </c>
      <c r="M568" s="6" t="str">
        <f>_xlfn.XLOOKUP(FactSales[[#This Row],[Product_ID]],DimProduct[Product_ID],DimProduct[Product_Name])</f>
        <v>Body Lotion</v>
      </c>
      <c r="N568" s="6" t="str">
        <f>_xlfn.XLOOKUP(FactSales[[#This Row],[Product_ID]],DimProduct[Product_ID],DimProduct[Category])</f>
        <v>Beauty &amp; Personal Care</v>
      </c>
      <c r="O568" s="6">
        <f>_xlfn.XLOOKUP(FactSales[[#This Row],[Product_ID]],DimProduct[Product_ID],DimProduct[Unit_Price])</f>
        <v>1160</v>
      </c>
      <c r="P568" s="6">
        <f>_xlfn.XLOOKUP(FactSales[[#This Row],[Product_ID]],DimProduct[Product_ID],DimProduct[Unit_Cost])</f>
        <v>670</v>
      </c>
      <c r="Q568" s="6">
        <f>FactSales[[#This Row],[Unit_Price]]*FactSales[[#This Row],[Quantity_Sold]]</f>
        <v>2320</v>
      </c>
      <c r="R568" s="6">
        <f>FactSales[[#This Row],[Unit_Cost]]*FactSales[[#This Row],[Quantity_Sold]]</f>
        <v>1340</v>
      </c>
      <c r="S568" s="6">
        <f>FactSales[[#This Row],[Sales_Amount]]-FactSales[[#This Row],[Total_Cost]]</f>
        <v>980</v>
      </c>
      <c r="T568" s="6" t="str">
        <f>_xlfn.XLOOKUP(FactSales[[#This Row],[Customer_ID]],DimCustomer[Customer_ID],DimCustomer[Customer_Name])</f>
        <v>Imran Chowdhury</v>
      </c>
      <c r="U568" s="6" t="str">
        <f>_xlfn.XLOOKUP(FactSales[[#This Row],[Salesperson_ID]],DimSalesman[Salesperson_ID],DimSalesman[Salesperson_Name])</f>
        <v>Rasel Uddin</v>
      </c>
      <c r="V568" s="6" t="str">
        <f>_xlfn.XLOOKUP(FactSales[[#This Row],[Region_ID]],DimRegion[Region_ID],DimRegion[Region_Name])</f>
        <v>Barishal</v>
      </c>
      <c r="W568" s="6" t="str">
        <f>_xlfn.XLOOKUP(FactSales[[#This Row],[Store_ID]],DimStore[Store_ID],DimStore[Store_Name])</f>
        <v>Barishal Kawnia Store</v>
      </c>
    </row>
    <row r="569" spans="1:23">
      <c r="A569" s="4" t="s">
        <v>1565</v>
      </c>
      <c r="B569" s="5">
        <v>45893</v>
      </c>
      <c r="C569" s="4" t="s">
        <v>569</v>
      </c>
      <c r="D569" s="4" t="s">
        <v>62</v>
      </c>
      <c r="E569" s="4" t="s">
        <v>728</v>
      </c>
      <c r="F569" s="4" t="s">
        <v>987</v>
      </c>
      <c r="G569" s="4" t="s">
        <v>765</v>
      </c>
      <c r="H569" s="4">
        <v>2</v>
      </c>
      <c r="I569" s="7">
        <v>0.1</v>
      </c>
      <c r="J569" s="6">
        <v>10562</v>
      </c>
      <c r="K569" s="4">
        <v>1</v>
      </c>
      <c r="L569" s="8">
        <f t="shared" si="8"/>
        <v>4.7</v>
      </c>
      <c r="M569" s="6" t="str">
        <f>_xlfn.XLOOKUP(FactSales[[#This Row],[Product_ID]],DimProduct[Product_ID],DimProduct[Product_Name])</f>
        <v>USB-C Hub</v>
      </c>
      <c r="N569" s="6" t="str">
        <f>_xlfn.XLOOKUP(FactSales[[#This Row],[Product_ID]],DimProduct[Product_ID],DimProduct[Category])</f>
        <v>Electronics</v>
      </c>
      <c r="O569" s="6">
        <f>_xlfn.XLOOKUP(FactSales[[#This Row],[Product_ID]],DimProduct[Product_ID],DimProduct[Unit_Price])</f>
        <v>4890</v>
      </c>
      <c r="P569" s="6">
        <f>_xlfn.XLOOKUP(FactSales[[#This Row],[Product_ID]],DimProduct[Product_ID],DimProduct[Unit_Cost])</f>
        <v>3330</v>
      </c>
      <c r="Q569" s="6">
        <f>FactSales[[#This Row],[Unit_Price]]*FactSales[[#This Row],[Quantity_Sold]]</f>
        <v>9780</v>
      </c>
      <c r="R569" s="6">
        <f>FactSales[[#This Row],[Unit_Cost]]*FactSales[[#This Row],[Quantity_Sold]]</f>
        <v>6660</v>
      </c>
      <c r="S569" s="6">
        <f>FactSales[[#This Row],[Sales_Amount]]-FactSales[[#This Row],[Total_Cost]]</f>
        <v>3120</v>
      </c>
      <c r="T569" s="6" t="str">
        <f>_xlfn.XLOOKUP(FactSales[[#This Row],[Customer_ID]],DimCustomer[Customer_ID],DimCustomer[Customer_Name])</f>
        <v>Mahmud Mia</v>
      </c>
      <c r="U569" s="6" t="str">
        <f>_xlfn.XLOOKUP(FactSales[[#This Row],[Salesperson_ID]],DimSalesman[Salesperson_ID],DimSalesman[Salesperson_Name])</f>
        <v>Tanvir Chowdhury</v>
      </c>
      <c r="V569" s="6" t="str">
        <f>_xlfn.XLOOKUP(FactSales[[#This Row],[Region_ID]],DimRegion[Region_ID],DimRegion[Region_Name])</f>
        <v>Mymensingh</v>
      </c>
      <c r="W569" s="6" t="str">
        <f>_xlfn.XLOOKUP(FactSales[[#This Row],[Store_ID]],DimStore[Store_ID],DimStore[Store_Name])</f>
        <v>Mymensingh Ganginarpar Store</v>
      </c>
    </row>
    <row r="570" spans="1:23">
      <c r="A570" s="4" t="s">
        <v>1566</v>
      </c>
      <c r="B570" s="5">
        <v>46067</v>
      </c>
      <c r="C570" s="4" t="s">
        <v>326</v>
      </c>
      <c r="D570" s="4" t="s">
        <v>42</v>
      </c>
      <c r="E570" s="4" t="s">
        <v>674</v>
      </c>
      <c r="F570" s="4" t="s">
        <v>950</v>
      </c>
      <c r="G570" s="4" t="s">
        <v>778</v>
      </c>
      <c r="H570" s="4">
        <v>1</v>
      </c>
      <c r="I570" s="7">
        <v>0.08</v>
      </c>
      <c r="J570" s="6">
        <v>4925</v>
      </c>
      <c r="K570" s="4">
        <v>6</v>
      </c>
      <c r="L570" s="8">
        <f t="shared" si="8"/>
        <v>3.1</v>
      </c>
      <c r="M570" s="6" t="str">
        <f>_xlfn.XLOOKUP(FactSales[[#This Row],[Product_ID]],DimProduct[Product_ID],DimProduct[Product_Name])</f>
        <v>Steam Iron</v>
      </c>
      <c r="N570" s="6" t="str">
        <f>_xlfn.XLOOKUP(FactSales[[#This Row],[Product_ID]],DimProduct[Product_ID],DimProduct[Category])</f>
        <v>Home Appliance</v>
      </c>
      <c r="O570" s="6">
        <f>_xlfn.XLOOKUP(FactSales[[#This Row],[Product_ID]],DimProduct[Product_ID],DimProduct[Unit_Price])</f>
        <v>4560</v>
      </c>
      <c r="P570" s="6">
        <f>_xlfn.XLOOKUP(FactSales[[#This Row],[Product_ID]],DimProduct[Product_ID],DimProduct[Unit_Cost])</f>
        <v>3190</v>
      </c>
      <c r="Q570" s="6">
        <f>FactSales[[#This Row],[Unit_Price]]*FactSales[[#This Row],[Quantity_Sold]]</f>
        <v>4560</v>
      </c>
      <c r="R570" s="6">
        <f>FactSales[[#This Row],[Unit_Cost]]*FactSales[[#This Row],[Quantity_Sold]]</f>
        <v>3190</v>
      </c>
      <c r="S570" s="6">
        <f>FactSales[[#This Row],[Sales_Amount]]-FactSales[[#This Row],[Total_Cost]]</f>
        <v>1370</v>
      </c>
      <c r="T570" s="6" t="str">
        <f>_xlfn.XLOOKUP(FactSales[[#This Row],[Customer_ID]],DimCustomer[Customer_ID],DimCustomer[Customer_Name])</f>
        <v>Hasan Rahman</v>
      </c>
      <c r="U570" s="6" t="str">
        <f>_xlfn.XLOOKUP(FactSales[[#This Row],[Salesperson_ID]],DimSalesman[Salesperson_ID],DimSalesman[Salesperson_Name])</f>
        <v>Mim Rahman</v>
      </c>
      <c r="V570" s="6" t="str">
        <f>_xlfn.XLOOKUP(FactSales[[#This Row],[Region_ID]],DimRegion[Region_ID],DimRegion[Region_Name])</f>
        <v>Rajshahi</v>
      </c>
      <c r="W570" s="6" t="str">
        <f>_xlfn.XLOOKUP(FactSales[[#This Row],[Store_ID]],DimStore[Store_ID],DimStore[Store_Name])</f>
        <v>Rajshahi Uposhohor Store</v>
      </c>
    </row>
    <row r="571" spans="1:23">
      <c r="A571" s="4" t="s">
        <v>1567</v>
      </c>
      <c r="B571" s="5">
        <v>45857</v>
      </c>
      <c r="C571" s="4" t="s">
        <v>124</v>
      </c>
      <c r="D571" s="4" t="s">
        <v>27</v>
      </c>
      <c r="E571" s="4" t="s">
        <v>618</v>
      </c>
      <c r="F571" s="4" t="s">
        <v>914</v>
      </c>
      <c r="G571" s="4" t="s">
        <v>768</v>
      </c>
      <c r="H571" s="4">
        <v>3</v>
      </c>
      <c r="I571" s="7">
        <v>0.12</v>
      </c>
      <c r="J571" s="6">
        <v>22896</v>
      </c>
      <c r="K571" s="4">
        <v>5</v>
      </c>
      <c r="L571" s="8">
        <f t="shared" si="8"/>
        <v>3.3</v>
      </c>
      <c r="M571" s="6" t="str">
        <f>_xlfn.XLOOKUP(FactSales[[#This Row],[Product_ID]],DimProduct[Product_ID],DimProduct[Product_Name])</f>
        <v>Electric Kettle</v>
      </c>
      <c r="N571" s="6" t="str">
        <f>_xlfn.XLOOKUP(FactSales[[#This Row],[Product_ID]],DimProduct[Product_ID],DimProduct[Category])</f>
        <v>Home Appliance</v>
      </c>
      <c r="O571" s="6">
        <f>_xlfn.XLOOKUP(FactSales[[#This Row],[Product_ID]],DimProduct[Product_ID],DimProduct[Unit_Price])</f>
        <v>7200</v>
      </c>
      <c r="P571" s="6">
        <f>_xlfn.XLOOKUP(FactSales[[#This Row],[Product_ID]],DimProduct[Product_ID],DimProduct[Unit_Cost])</f>
        <v>5040</v>
      </c>
      <c r="Q571" s="6">
        <f>FactSales[[#This Row],[Unit_Price]]*FactSales[[#This Row],[Quantity_Sold]]</f>
        <v>21600</v>
      </c>
      <c r="R571" s="6">
        <f>FactSales[[#This Row],[Unit_Cost]]*FactSales[[#This Row],[Quantity_Sold]]</f>
        <v>15120</v>
      </c>
      <c r="S571" s="6">
        <f>FactSales[[#This Row],[Sales_Amount]]-FactSales[[#This Row],[Total_Cost]]</f>
        <v>6480</v>
      </c>
      <c r="T571" s="6" t="str">
        <f>_xlfn.XLOOKUP(FactSales[[#This Row],[Customer_ID]],DimCustomer[Customer_ID],DimCustomer[Customer_Name])</f>
        <v>Rafi Khan</v>
      </c>
      <c r="U571" s="6" t="str">
        <f>_xlfn.XLOOKUP(FactSales[[#This Row],[Salesperson_ID]],DimSalesman[Salesperson_ID],DimSalesman[Salesperson_Name])</f>
        <v>Rasel Rahman</v>
      </c>
      <c r="V571" s="6" t="str">
        <f>_xlfn.XLOOKUP(FactSales[[#This Row],[Region_ID]],DimRegion[Region_ID],DimRegion[Region_Name])</f>
        <v>Dhaka</v>
      </c>
      <c r="W571" s="6" t="str">
        <f>_xlfn.XLOOKUP(FactSales[[#This Row],[Store_ID]],DimStore[Store_ID],DimStore[Store_Name])</f>
        <v>Dhaka Gulshan Store</v>
      </c>
    </row>
    <row r="572" spans="1:23">
      <c r="A572" s="4" t="s">
        <v>1568</v>
      </c>
      <c r="B572" s="5">
        <v>45882</v>
      </c>
      <c r="C572" s="4" t="s">
        <v>73</v>
      </c>
      <c r="D572" s="4" t="s">
        <v>27</v>
      </c>
      <c r="E572" s="4" t="s">
        <v>622</v>
      </c>
      <c r="F572" s="4" t="s">
        <v>914</v>
      </c>
      <c r="G572" s="4" t="s">
        <v>768</v>
      </c>
      <c r="H572" s="4">
        <v>6</v>
      </c>
      <c r="I572" s="7">
        <v>0.1</v>
      </c>
      <c r="J572" s="6">
        <v>45792</v>
      </c>
      <c r="K572" s="4">
        <v>3</v>
      </c>
      <c r="L572" s="8">
        <f t="shared" si="8"/>
        <v>4</v>
      </c>
      <c r="M572" s="6" t="str">
        <f>_xlfn.XLOOKUP(FactSales[[#This Row],[Product_ID]],DimProduct[Product_ID],DimProduct[Product_Name])</f>
        <v>Electric Kettle</v>
      </c>
      <c r="N572" s="6" t="str">
        <f>_xlfn.XLOOKUP(FactSales[[#This Row],[Product_ID]],DimProduct[Product_ID],DimProduct[Category])</f>
        <v>Home Appliance</v>
      </c>
      <c r="O572" s="6">
        <f>_xlfn.XLOOKUP(FactSales[[#This Row],[Product_ID]],DimProduct[Product_ID],DimProduct[Unit_Price])</f>
        <v>7200</v>
      </c>
      <c r="P572" s="6">
        <f>_xlfn.XLOOKUP(FactSales[[#This Row],[Product_ID]],DimProduct[Product_ID],DimProduct[Unit_Cost])</f>
        <v>5040</v>
      </c>
      <c r="Q572" s="6">
        <f>FactSales[[#This Row],[Unit_Price]]*FactSales[[#This Row],[Quantity_Sold]]</f>
        <v>43200</v>
      </c>
      <c r="R572" s="6">
        <f>FactSales[[#This Row],[Unit_Cost]]*FactSales[[#This Row],[Quantity_Sold]]</f>
        <v>30240</v>
      </c>
      <c r="S572" s="6">
        <f>FactSales[[#This Row],[Sales_Amount]]-FactSales[[#This Row],[Total_Cost]]</f>
        <v>12960</v>
      </c>
      <c r="T572" s="6" t="str">
        <f>_xlfn.XLOOKUP(FactSales[[#This Row],[Customer_ID]],DimCustomer[Customer_ID],DimCustomer[Customer_Name])</f>
        <v>Rumana Sultana</v>
      </c>
      <c r="U572" s="6" t="str">
        <f>_xlfn.XLOOKUP(FactSales[[#This Row],[Salesperson_ID]],DimSalesman[Salesperson_ID],DimSalesman[Salesperson_Name])</f>
        <v>Rasel Rahman</v>
      </c>
      <c r="V572" s="6" t="str">
        <f>_xlfn.XLOOKUP(FactSales[[#This Row],[Region_ID]],DimRegion[Region_ID],DimRegion[Region_Name])</f>
        <v>Dhaka</v>
      </c>
      <c r="W572" s="6" t="str">
        <f>_xlfn.XLOOKUP(FactSales[[#This Row],[Store_ID]],DimStore[Store_ID],DimStore[Store_Name])</f>
        <v>Dhaka Dhanmondi Store</v>
      </c>
    </row>
    <row r="573" spans="1:23">
      <c r="A573" s="4" t="s">
        <v>1569</v>
      </c>
      <c r="B573" s="5">
        <v>45761</v>
      </c>
      <c r="C573" s="4" t="s">
        <v>234</v>
      </c>
      <c r="D573" s="4" t="s">
        <v>37</v>
      </c>
      <c r="E573" s="4" t="s">
        <v>653</v>
      </c>
      <c r="F573" s="4" t="s">
        <v>934</v>
      </c>
      <c r="G573" s="4" t="s">
        <v>874</v>
      </c>
      <c r="H573" s="4">
        <v>3</v>
      </c>
      <c r="I573" s="7">
        <v>0.02</v>
      </c>
      <c r="J573" s="6">
        <v>3338</v>
      </c>
      <c r="K573" s="4">
        <v>5</v>
      </c>
      <c r="L573" s="8">
        <f t="shared" si="8"/>
        <v>3.6</v>
      </c>
      <c r="M573" s="6" t="str">
        <f>_xlfn.XLOOKUP(FactSales[[#This Row],[Product_ID]],DimProduct[Product_ID],DimProduct[Product_Name])</f>
        <v>Marker Set</v>
      </c>
      <c r="N573" s="6" t="str">
        <f>_xlfn.XLOOKUP(FactSales[[#This Row],[Product_ID]],DimProduct[Product_ID],DimProduct[Category])</f>
        <v>Stationery</v>
      </c>
      <c r="O573" s="6">
        <f>_xlfn.XLOOKUP(FactSales[[#This Row],[Product_ID]],DimProduct[Product_ID],DimProduct[Unit_Price])</f>
        <v>1040</v>
      </c>
      <c r="P573" s="6">
        <f>_xlfn.XLOOKUP(FactSales[[#This Row],[Product_ID]],DimProduct[Product_ID],DimProduct[Unit_Cost])</f>
        <v>520</v>
      </c>
      <c r="Q573" s="6">
        <f>FactSales[[#This Row],[Unit_Price]]*FactSales[[#This Row],[Quantity_Sold]]</f>
        <v>3120</v>
      </c>
      <c r="R573" s="6">
        <f>FactSales[[#This Row],[Unit_Cost]]*FactSales[[#This Row],[Quantity_Sold]]</f>
        <v>1560</v>
      </c>
      <c r="S573" s="6">
        <f>FactSales[[#This Row],[Sales_Amount]]-FactSales[[#This Row],[Total_Cost]]</f>
        <v>1560</v>
      </c>
      <c r="T573" s="6" t="str">
        <f>_xlfn.XLOOKUP(FactSales[[#This Row],[Customer_ID]],DimCustomer[Customer_ID],DimCustomer[Customer_Name])</f>
        <v>Jannat Sultana</v>
      </c>
      <c r="U573" s="6" t="str">
        <f>_xlfn.XLOOKUP(FactSales[[#This Row],[Salesperson_ID]],DimSalesman[Salesperson_ID],DimSalesman[Salesperson_Name])</f>
        <v>Hasan Mia</v>
      </c>
      <c r="V573" s="6" t="str">
        <f>_xlfn.XLOOKUP(FactSales[[#This Row],[Region_ID]],DimRegion[Region_ID],DimRegion[Region_Name])</f>
        <v>Sylhet</v>
      </c>
      <c r="W573" s="6" t="str">
        <f>_xlfn.XLOOKUP(FactSales[[#This Row],[Store_ID]],DimStore[Store_ID],DimStore[Store_Name])</f>
        <v>Sylhet Zindabazar Store</v>
      </c>
    </row>
    <row r="574" spans="1:23">
      <c r="A574" s="4" t="s">
        <v>1570</v>
      </c>
      <c r="B574" s="5">
        <v>45970</v>
      </c>
      <c r="C574" s="4" t="s">
        <v>537</v>
      </c>
      <c r="D574" s="4" t="s">
        <v>57</v>
      </c>
      <c r="E574" s="4" t="s">
        <v>713</v>
      </c>
      <c r="F574" s="4" t="s">
        <v>972</v>
      </c>
      <c r="G574" s="4" t="s">
        <v>893</v>
      </c>
      <c r="H574" s="4">
        <v>2</v>
      </c>
      <c r="I574" s="7">
        <v>7.0000000000000007E-2</v>
      </c>
      <c r="J574" s="6">
        <v>10074</v>
      </c>
      <c r="K574" s="4">
        <v>9</v>
      </c>
      <c r="L574" s="8">
        <f t="shared" si="8"/>
        <v>2.2000000000000002</v>
      </c>
      <c r="M574" s="6" t="str">
        <f>_xlfn.XLOOKUP(FactSales[[#This Row],[Product_ID]],DimProduct[Product_ID],DimProduct[Product_Name])</f>
        <v>Office Chair</v>
      </c>
      <c r="N574" s="6" t="str">
        <f>_xlfn.XLOOKUP(FactSales[[#This Row],[Product_ID]],DimProduct[Product_ID],DimProduct[Category])</f>
        <v>Furniture</v>
      </c>
      <c r="O574" s="6">
        <f>_xlfn.XLOOKUP(FactSales[[#This Row],[Product_ID]],DimProduct[Product_ID],DimProduct[Unit_Price])</f>
        <v>4380</v>
      </c>
      <c r="P574" s="6">
        <f>_xlfn.XLOOKUP(FactSales[[#This Row],[Product_ID]],DimProduct[Product_ID],DimProduct[Unit_Cost])</f>
        <v>3150</v>
      </c>
      <c r="Q574" s="6">
        <f>FactSales[[#This Row],[Unit_Price]]*FactSales[[#This Row],[Quantity_Sold]]</f>
        <v>8760</v>
      </c>
      <c r="R574" s="6">
        <f>FactSales[[#This Row],[Unit_Cost]]*FactSales[[#This Row],[Quantity_Sold]]</f>
        <v>6300</v>
      </c>
      <c r="S574" s="6">
        <f>FactSales[[#This Row],[Sales_Amount]]-FactSales[[#This Row],[Total_Cost]]</f>
        <v>2460</v>
      </c>
      <c r="T574" s="6" t="str">
        <f>_xlfn.XLOOKUP(FactSales[[#This Row],[Customer_ID]],DimCustomer[Customer_ID],DimCustomer[Customer_Name])</f>
        <v>Mim Sultana</v>
      </c>
      <c r="U574" s="6" t="str">
        <f>_xlfn.XLOOKUP(FactSales[[#This Row],[Salesperson_ID]],DimSalesman[Salesperson_ID],DimSalesman[Salesperson_Name])</f>
        <v>Samiha Hossain</v>
      </c>
      <c r="V574" s="6" t="str">
        <f>_xlfn.XLOOKUP(FactSales[[#This Row],[Region_ID]],DimRegion[Region_ID],DimRegion[Region_Name])</f>
        <v>Rangpur</v>
      </c>
      <c r="W574" s="6" t="str">
        <f>_xlfn.XLOOKUP(FactSales[[#This Row],[Store_ID]],DimStore[Store_ID],DimStore[Store_Name])</f>
        <v>Rangpur Jahaj Company Store</v>
      </c>
    </row>
    <row r="575" spans="1:23">
      <c r="A575" s="4" t="s">
        <v>1571</v>
      </c>
      <c r="B575" s="5">
        <v>45791</v>
      </c>
      <c r="C575" s="4" t="s">
        <v>542</v>
      </c>
      <c r="D575" s="4" t="s">
        <v>57</v>
      </c>
      <c r="E575" s="4" t="s">
        <v>713</v>
      </c>
      <c r="F575" s="4" t="s">
        <v>968</v>
      </c>
      <c r="G575" s="4" t="s">
        <v>758</v>
      </c>
      <c r="H575" s="4">
        <v>4</v>
      </c>
      <c r="I575" s="7">
        <v>0.1</v>
      </c>
      <c r="J575" s="6">
        <v>13064</v>
      </c>
      <c r="K575" s="4">
        <v>4</v>
      </c>
      <c r="L575" s="8">
        <f t="shared" si="8"/>
        <v>3.7</v>
      </c>
      <c r="M575" s="6" t="str">
        <f>_xlfn.XLOOKUP(FactSales[[#This Row],[Product_ID]],DimProduct[Product_ID],DimProduct[Product_Name])</f>
        <v>Power Bank</v>
      </c>
      <c r="N575" s="6" t="str">
        <f>_xlfn.XLOOKUP(FactSales[[#This Row],[Product_ID]],DimProduct[Product_ID],DimProduct[Category])</f>
        <v>Electronics</v>
      </c>
      <c r="O575" s="6">
        <f>_xlfn.XLOOKUP(FactSales[[#This Row],[Product_ID]],DimProduct[Product_ID],DimProduct[Unit_Price])</f>
        <v>2840</v>
      </c>
      <c r="P575" s="6">
        <f>_xlfn.XLOOKUP(FactSales[[#This Row],[Product_ID]],DimProduct[Product_ID],DimProduct[Unit_Cost])</f>
        <v>1930</v>
      </c>
      <c r="Q575" s="6">
        <f>FactSales[[#This Row],[Unit_Price]]*FactSales[[#This Row],[Quantity_Sold]]</f>
        <v>11360</v>
      </c>
      <c r="R575" s="6">
        <f>FactSales[[#This Row],[Unit_Cost]]*FactSales[[#This Row],[Quantity_Sold]]</f>
        <v>7720</v>
      </c>
      <c r="S575" s="6">
        <f>FactSales[[#This Row],[Sales_Amount]]-FactSales[[#This Row],[Total_Cost]]</f>
        <v>3640</v>
      </c>
      <c r="T575" s="6" t="str">
        <f>_xlfn.XLOOKUP(FactSales[[#This Row],[Customer_ID]],DimCustomer[Customer_ID],DimCustomer[Customer_Name])</f>
        <v>Farhana Ahmed</v>
      </c>
      <c r="U575" s="6" t="str">
        <f>_xlfn.XLOOKUP(FactSales[[#This Row],[Salesperson_ID]],DimSalesman[Salesperson_ID],DimSalesman[Salesperson_Name])</f>
        <v>Morshed Ahmed</v>
      </c>
      <c r="V575" s="6" t="str">
        <f>_xlfn.XLOOKUP(FactSales[[#This Row],[Region_ID]],DimRegion[Region_ID],DimRegion[Region_Name])</f>
        <v>Rangpur</v>
      </c>
      <c r="W575" s="6" t="str">
        <f>_xlfn.XLOOKUP(FactSales[[#This Row],[Store_ID]],DimStore[Store_ID],DimStore[Store_Name])</f>
        <v>Rangpur Jahaj Company Store</v>
      </c>
    </row>
    <row r="576" spans="1:23">
      <c r="A576" s="4" t="s">
        <v>1572</v>
      </c>
      <c r="B576" s="5">
        <v>45908</v>
      </c>
      <c r="C576" s="4" t="s">
        <v>542</v>
      </c>
      <c r="D576" s="4" t="s">
        <v>57</v>
      </c>
      <c r="E576" s="4" t="s">
        <v>719</v>
      </c>
      <c r="F576" s="4" t="s">
        <v>972</v>
      </c>
      <c r="G576" s="4" t="s">
        <v>821</v>
      </c>
      <c r="H576" s="4">
        <v>6</v>
      </c>
      <c r="I576" s="7">
        <v>0.12</v>
      </c>
      <c r="J576" s="6">
        <v>11454</v>
      </c>
      <c r="K576" s="4">
        <v>3</v>
      </c>
      <c r="L576" s="8">
        <f t="shared" si="8"/>
        <v>4</v>
      </c>
      <c r="M576" s="6" t="str">
        <f>_xlfn.XLOOKUP(FactSales[[#This Row],[Product_ID]],DimProduct[Product_ID],DimProduct[Product_Name])</f>
        <v>Shampoo 375ml</v>
      </c>
      <c r="N576" s="6" t="str">
        <f>_xlfn.XLOOKUP(FactSales[[#This Row],[Product_ID]],DimProduct[Product_ID],DimProduct[Category])</f>
        <v>Beauty &amp; Personal Care</v>
      </c>
      <c r="O576" s="6">
        <f>_xlfn.XLOOKUP(FactSales[[#This Row],[Product_ID]],DimProduct[Product_ID],DimProduct[Unit_Price])</f>
        <v>1660</v>
      </c>
      <c r="P576" s="6">
        <f>_xlfn.XLOOKUP(FactSales[[#This Row],[Product_ID]],DimProduct[Product_ID],DimProduct[Unit_Cost])</f>
        <v>960</v>
      </c>
      <c r="Q576" s="6">
        <f>FactSales[[#This Row],[Unit_Price]]*FactSales[[#This Row],[Quantity_Sold]]</f>
        <v>9960</v>
      </c>
      <c r="R576" s="6">
        <f>FactSales[[#This Row],[Unit_Cost]]*FactSales[[#This Row],[Quantity_Sold]]</f>
        <v>5760</v>
      </c>
      <c r="S576" s="6">
        <f>FactSales[[#This Row],[Sales_Amount]]-FactSales[[#This Row],[Total_Cost]]</f>
        <v>4200</v>
      </c>
      <c r="T576" s="6" t="str">
        <f>_xlfn.XLOOKUP(FactSales[[#This Row],[Customer_ID]],DimCustomer[Customer_ID],DimCustomer[Customer_Name])</f>
        <v>Farhana Ahmed</v>
      </c>
      <c r="U576" s="6" t="str">
        <f>_xlfn.XLOOKUP(FactSales[[#This Row],[Salesperson_ID]],DimSalesman[Salesperson_ID],DimSalesman[Salesperson_Name])</f>
        <v>Samiha Hossain</v>
      </c>
      <c r="V576" s="6" t="str">
        <f>_xlfn.XLOOKUP(FactSales[[#This Row],[Region_ID]],DimRegion[Region_ID],DimRegion[Region_Name])</f>
        <v>Rangpur</v>
      </c>
      <c r="W576" s="6" t="str">
        <f>_xlfn.XLOOKUP(FactSales[[#This Row],[Store_ID]],DimStore[Store_ID],DimStore[Store_Name])</f>
        <v>Rangpur Modern More Store</v>
      </c>
    </row>
    <row r="577" spans="1:23">
      <c r="A577" s="4" t="s">
        <v>1573</v>
      </c>
      <c r="B577" s="5">
        <v>45944</v>
      </c>
      <c r="C577" s="4" t="s">
        <v>366</v>
      </c>
      <c r="D577" s="4" t="s">
        <v>47</v>
      </c>
      <c r="E577" s="4" t="s">
        <v>689</v>
      </c>
      <c r="F577" s="4" t="s">
        <v>953</v>
      </c>
      <c r="G577" s="4" t="s">
        <v>750</v>
      </c>
      <c r="H577" s="4">
        <v>5</v>
      </c>
      <c r="I577" s="7">
        <v>0.18</v>
      </c>
      <c r="J577" s="6">
        <v>17658</v>
      </c>
      <c r="K577" s="4">
        <v>1</v>
      </c>
      <c r="L577" s="8">
        <f t="shared" si="8"/>
        <v>4.5</v>
      </c>
      <c r="M577" s="6" t="str">
        <f>_xlfn.XLOOKUP(FactSales[[#This Row],[Product_ID]],DimProduct[Product_ID],DimProduct[Product_Name])</f>
        <v>Bluetooth Speaker</v>
      </c>
      <c r="N577" s="6" t="str">
        <f>_xlfn.XLOOKUP(FactSales[[#This Row],[Product_ID]],DimProduct[Product_ID],DimProduct[Category])</f>
        <v>Electronics</v>
      </c>
      <c r="O577" s="6">
        <f>_xlfn.XLOOKUP(FactSales[[#This Row],[Product_ID]],DimProduct[Product_ID],DimProduct[Unit_Price])</f>
        <v>3240</v>
      </c>
      <c r="P577" s="6">
        <f>_xlfn.XLOOKUP(FactSales[[#This Row],[Product_ID]],DimProduct[Product_ID],DimProduct[Unit_Cost])</f>
        <v>2200</v>
      </c>
      <c r="Q577" s="6">
        <f>FactSales[[#This Row],[Unit_Price]]*FactSales[[#This Row],[Quantity_Sold]]</f>
        <v>16200</v>
      </c>
      <c r="R577" s="6">
        <f>FactSales[[#This Row],[Unit_Cost]]*FactSales[[#This Row],[Quantity_Sold]]</f>
        <v>11000</v>
      </c>
      <c r="S577" s="6">
        <f>FactSales[[#This Row],[Sales_Amount]]-FactSales[[#This Row],[Total_Cost]]</f>
        <v>5200</v>
      </c>
      <c r="T577" s="6" t="str">
        <f>_xlfn.XLOOKUP(FactSales[[#This Row],[Customer_ID]],DimCustomer[Customer_ID],DimCustomer[Customer_Name])</f>
        <v>Sajib Hossain</v>
      </c>
      <c r="U577" s="6" t="str">
        <f>_xlfn.XLOOKUP(FactSales[[#This Row],[Salesperson_ID]],DimSalesman[Salesperson_ID],DimSalesman[Salesperson_Name])</f>
        <v>Nusrat Akter</v>
      </c>
      <c r="V577" s="6" t="str">
        <f>_xlfn.XLOOKUP(FactSales[[#This Row],[Region_ID]],DimRegion[Region_ID],DimRegion[Region_Name])</f>
        <v>Khulna</v>
      </c>
      <c r="W577" s="6" t="str">
        <f>_xlfn.XLOOKUP(FactSales[[#This Row],[Store_ID]],DimStore[Store_ID],DimStore[Store_Name])</f>
        <v>Khulna Daulatpur Store</v>
      </c>
    </row>
    <row r="578" spans="1:23">
      <c r="A578" s="4" t="s">
        <v>1574</v>
      </c>
      <c r="B578" s="5">
        <v>45724</v>
      </c>
      <c r="C578" s="4" t="s">
        <v>567</v>
      </c>
      <c r="D578" s="4" t="s">
        <v>62</v>
      </c>
      <c r="E578" s="4" t="s">
        <v>728</v>
      </c>
      <c r="F578" s="4" t="s">
        <v>983</v>
      </c>
      <c r="G578" s="4" t="s">
        <v>862</v>
      </c>
      <c r="H578" s="4">
        <v>2</v>
      </c>
      <c r="I578" s="7">
        <v>0.12</v>
      </c>
      <c r="J578" s="6">
        <v>2398</v>
      </c>
      <c r="K578" s="4">
        <v>2</v>
      </c>
      <c r="L578" s="8">
        <f t="shared" ref="L578:L641" si="9">MAX(1,MIN(5,ROUND(5.2-(K578*0.32)-(I578*2.2),1)))</f>
        <v>4.3</v>
      </c>
      <c r="M578" s="6" t="str">
        <f>_xlfn.XLOOKUP(FactSales[[#This Row],[Product_ID]],DimProduct[Product_ID],DimProduct[Product_Name])</f>
        <v>Dumbbell Set</v>
      </c>
      <c r="N578" s="6" t="str">
        <f>_xlfn.XLOOKUP(FactSales[[#This Row],[Product_ID]],DimProduct[Product_ID],DimProduct[Category])</f>
        <v>Sports</v>
      </c>
      <c r="O578" s="6">
        <f>_xlfn.XLOOKUP(FactSales[[#This Row],[Product_ID]],DimProduct[Product_ID],DimProduct[Unit_Price])</f>
        <v>1110</v>
      </c>
      <c r="P578" s="6">
        <f>_xlfn.XLOOKUP(FactSales[[#This Row],[Product_ID]],DimProduct[Product_ID],DimProduct[Unit_Cost])</f>
        <v>690</v>
      </c>
      <c r="Q578" s="6">
        <f>FactSales[[#This Row],[Unit_Price]]*FactSales[[#This Row],[Quantity_Sold]]</f>
        <v>2220</v>
      </c>
      <c r="R578" s="6">
        <f>FactSales[[#This Row],[Unit_Cost]]*FactSales[[#This Row],[Quantity_Sold]]</f>
        <v>1380</v>
      </c>
      <c r="S578" s="6">
        <f>FactSales[[#This Row],[Sales_Amount]]-FactSales[[#This Row],[Total_Cost]]</f>
        <v>840</v>
      </c>
      <c r="T578" s="6" t="str">
        <f>_xlfn.XLOOKUP(FactSales[[#This Row],[Customer_ID]],DimCustomer[Customer_ID],DimCustomer[Customer_Name])</f>
        <v>Shakib Mia</v>
      </c>
      <c r="U578" s="6" t="str">
        <f>_xlfn.XLOOKUP(FactSales[[#This Row],[Salesperson_ID]],DimSalesman[Salesperson_ID],DimSalesman[Salesperson_Name])</f>
        <v>Fahim Hossain</v>
      </c>
      <c r="V578" s="6" t="str">
        <f>_xlfn.XLOOKUP(FactSales[[#This Row],[Region_ID]],DimRegion[Region_ID],DimRegion[Region_Name])</f>
        <v>Mymensingh</v>
      </c>
      <c r="W578" s="6" t="str">
        <f>_xlfn.XLOOKUP(FactSales[[#This Row],[Store_ID]],DimStore[Store_ID],DimStore[Store_Name])</f>
        <v>Mymensingh Ganginarpar Store</v>
      </c>
    </row>
    <row r="579" spans="1:23">
      <c r="A579" s="4" t="s">
        <v>1575</v>
      </c>
      <c r="B579" s="5">
        <v>46164</v>
      </c>
      <c r="C579" s="4" t="s">
        <v>246</v>
      </c>
      <c r="D579" s="4" t="s">
        <v>37</v>
      </c>
      <c r="E579" s="4" t="s">
        <v>659</v>
      </c>
      <c r="F579" s="4" t="s">
        <v>939</v>
      </c>
      <c r="G579" s="4" t="s">
        <v>844</v>
      </c>
      <c r="H579" s="4">
        <v>2</v>
      </c>
      <c r="I579" s="7">
        <v>0.12</v>
      </c>
      <c r="J579" s="6">
        <v>5735</v>
      </c>
      <c r="K579" s="4">
        <v>5</v>
      </c>
      <c r="L579" s="8">
        <f t="shared" si="9"/>
        <v>3.3</v>
      </c>
      <c r="M579" s="6" t="str">
        <f>_xlfn.XLOOKUP(FactSales[[#This Row],[Product_ID]],DimProduct[Product_ID],DimProduct[Product_Name])</f>
        <v>Kids Sneaker</v>
      </c>
      <c r="N579" s="6" t="str">
        <f>_xlfn.XLOOKUP(FactSales[[#This Row],[Product_ID]],DimProduct[Product_ID],DimProduct[Category])</f>
        <v>Footwear</v>
      </c>
      <c r="O579" s="6">
        <f>_xlfn.XLOOKUP(FactSales[[#This Row],[Product_ID]],DimProduct[Product_ID],DimProduct[Unit_Price])</f>
        <v>2680</v>
      </c>
      <c r="P579" s="6">
        <f>_xlfn.XLOOKUP(FactSales[[#This Row],[Product_ID]],DimProduct[Product_ID],DimProduct[Unit_Cost])</f>
        <v>1610</v>
      </c>
      <c r="Q579" s="6">
        <f>FactSales[[#This Row],[Unit_Price]]*FactSales[[#This Row],[Quantity_Sold]]</f>
        <v>5360</v>
      </c>
      <c r="R579" s="6">
        <f>FactSales[[#This Row],[Unit_Cost]]*FactSales[[#This Row],[Quantity_Sold]]</f>
        <v>3220</v>
      </c>
      <c r="S579" s="6">
        <f>FactSales[[#This Row],[Sales_Amount]]-FactSales[[#This Row],[Total_Cost]]</f>
        <v>2140</v>
      </c>
      <c r="T579" s="6" t="str">
        <f>_xlfn.XLOOKUP(FactSales[[#This Row],[Customer_ID]],DimCustomer[Customer_ID],DimCustomer[Customer_Name])</f>
        <v>Shamim Akter</v>
      </c>
      <c r="U579" s="6" t="str">
        <f>_xlfn.XLOOKUP(FactSales[[#This Row],[Salesperson_ID]],DimSalesman[Salesperson_ID],DimSalesman[Salesperson_Name])</f>
        <v>Fahim Mia</v>
      </c>
      <c r="V579" s="6" t="str">
        <f>_xlfn.XLOOKUP(FactSales[[#This Row],[Region_ID]],DimRegion[Region_ID],DimRegion[Region_Name])</f>
        <v>Sylhet</v>
      </c>
      <c r="W579" s="6" t="str">
        <f>_xlfn.XLOOKUP(FactSales[[#This Row],[Store_ID]],DimStore[Store_ID],DimStore[Store_Name])</f>
        <v>Sylhet South Surma Store</v>
      </c>
    </row>
    <row r="580" spans="1:23">
      <c r="A580" s="4" t="s">
        <v>1576</v>
      </c>
      <c r="B580" s="5">
        <v>45882</v>
      </c>
      <c r="C580" s="4" t="s">
        <v>537</v>
      </c>
      <c r="D580" s="4" t="s">
        <v>57</v>
      </c>
      <c r="E580" s="4" t="s">
        <v>725</v>
      </c>
      <c r="F580" s="4" t="s">
        <v>977</v>
      </c>
      <c r="G580" s="4" t="s">
        <v>750</v>
      </c>
      <c r="H580" s="4">
        <v>6</v>
      </c>
      <c r="I580" s="7">
        <v>0.15</v>
      </c>
      <c r="J580" s="6">
        <v>22356</v>
      </c>
      <c r="K580" s="4">
        <v>7</v>
      </c>
      <c r="L580" s="8">
        <f t="shared" si="9"/>
        <v>2.6</v>
      </c>
      <c r="M580" s="6" t="str">
        <f>_xlfn.XLOOKUP(FactSales[[#This Row],[Product_ID]],DimProduct[Product_ID],DimProduct[Product_Name])</f>
        <v>Bluetooth Speaker</v>
      </c>
      <c r="N580" s="6" t="str">
        <f>_xlfn.XLOOKUP(FactSales[[#This Row],[Product_ID]],DimProduct[Product_ID],DimProduct[Category])</f>
        <v>Electronics</v>
      </c>
      <c r="O580" s="6">
        <f>_xlfn.XLOOKUP(FactSales[[#This Row],[Product_ID]],DimProduct[Product_ID],DimProduct[Unit_Price])</f>
        <v>3240</v>
      </c>
      <c r="P580" s="6">
        <f>_xlfn.XLOOKUP(FactSales[[#This Row],[Product_ID]],DimProduct[Product_ID],DimProduct[Unit_Cost])</f>
        <v>2200</v>
      </c>
      <c r="Q580" s="6">
        <f>FactSales[[#This Row],[Unit_Price]]*FactSales[[#This Row],[Quantity_Sold]]</f>
        <v>19440</v>
      </c>
      <c r="R580" s="6">
        <f>FactSales[[#This Row],[Unit_Cost]]*FactSales[[#This Row],[Quantity_Sold]]</f>
        <v>13200</v>
      </c>
      <c r="S580" s="6">
        <f>FactSales[[#This Row],[Sales_Amount]]-FactSales[[#This Row],[Total_Cost]]</f>
        <v>6240</v>
      </c>
      <c r="T580" s="6" t="str">
        <f>_xlfn.XLOOKUP(FactSales[[#This Row],[Customer_ID]],DimCustomer[Customer_ID],DimCustomer[Customer_Name])</f>
        <v>Mim Sultana</v>
      </c>
      <c r="U580" s="6" t="str">
        <f>_xlfn.XLOOKUP(FactSales[[#This Row],[Salesperson_ID]],DimSalesman[Salesperson_ID],DimSalesman[Salesperson_Name])</f>
        <v>Tania Hossain</v>
      </c>
      <c r="V580" s="6" t="str">
        <f>_xlfn.XLOOKUP(FactSales[[#This Row],[Region_ID]],DimRegion[Region_ID],DimRegion[Region_Name])</f>
        <v>Rangpur</v>
      </c>
      <c r="W580" s="6" t="str">
        <f>_xlfn.XLOOKUP(FactSales[[#This Row],[Store_ID]],DimStore[Store_ID],DimStore[Store_Name])</f>
        <v>Rangpur Central Road Store</v>
      </c>
    </row>
    <row r="581" spans="1:23">
      <c r="A581" s="4" t="s">
        <v>1577</v>
      </c>
      <c r="B581" s="5">
        <v>46041</v>
      </c>
      <c r="C581" s="4" t="s">
        <v>393</v>
      </c>
      <c r="D581" s="4" t="s">
        <v>47</v>
      </c>
      <c r="E581" s="4" t="s">
        <v>692</v>
      </c>
      <c r="F581" s="4" t="s">
        <v>956</v>
      </c>
      <c r="G581" s="4" t="s">
        <v>758</v>
      </c>
      <c r="H581" s="4">
        <v>2</v>
      </c>
      <c r="I581" s="7">
        <v>0.08</v>
      </c>
      <c r="J581" s="6">
        <v>6191</v>
      </c>
      <c r="K581" s="4">
        <v>2</v>
      </c>
      <c r="L581" s="8">
        <f t="shared" si="9"/>
        <v>4.4000000000000004</v>
      </c>
      <c r="M581" s="6" t="str">
        <f>_xlfn.XLOOKUP(FactSales[[#This Row],[Product_ID]],DimProduct[Product_ID],DimProduct[Product_Name])</f>
        <v>Power Bank</v>
      </c>
      <c r="N581" s="6" t="str">
        <f>_xlfn.XLOOKUP(FactSales[[#This Row],[Product_ID]],DimProduct[Product_ID],DimProduct[Category])</f>
        <v>Electronics</v>
      </c>
      <c r="O581" s="6">
        <f>_xlfn.XLOOKUP(FactSales[[#This Row],[Product_ID]],DimProduct[Product_ID],DimProduct[Unit_Price])</f>
        <v>2840</v>
      </c>
      <c r="P581" s="6">
        <f>_xlfn.XLOOKUP(FactSales[[#This Row],[Product_ID]],DimProduct[Product_ID],DimProduct[Unit_Cost])</f>
        <v>1930</v>
      </c>
      <c r="Q581" s="6">
        <f>FactSales[[#This Row],[Unit_Price]]*FactSales[[#This Row],[Quantity_Sold]]</f>
        <v>5680</v>
      </c>
      <c r="R581" s="6">
        <f>FactSales[[#This Row],[Unit_Cost]]*FactSales[[#This Row],[Quantity_Sold]]</f>
        <v>3860</v>
      </c>
      <c r="S581" s="6">
        <f>FactSales[[#This Row],[Sales_Amount]]-FactSales[[#This Row],[Total_Cost]]</f>
        <v>1820</v>
      </c>
      <c r="T581" s="6" t="str">
        <f>_xlfn.XLOOKUP(FactSales[[#This Row],[Customer_ID]],DimCustomer[Customer_ID],DimCustomer[Customer_Name])</f>
        <v>Imran Uddin</v>
      </c>
      <c r="U581" s="6" t="str">
        <f>_xlfn.XLOOKUP(FactSales[[#This Row],[Salesperson_ID]],DimSalesman[Salesperson_ID],DimSalesman[Salesperson_Name])</f>
        <v>Rafi Ahmed</v>
      </c>
      <c r="V581" s="6" t="str">
        <f>_xlfn.XLOOKUP(FactSales[[#This Row],[Region_ID]],DimRegion[Region_ID],DimRegion[Region_Name])</f>
        <v>Khulna</v>
      </c>
      <c r="W581" s="6" t="str">
        <f>_xlfn.XLOOKUP(FactSales[[#This Row],[Store_ID]],DimStore[Store_ID],DimStore[Store_Name])</f>
        <v>Khulna Boyra Store</v>
      </c>
    </row>
    <row r="582" spans="1:23">
      <c r="A582" s="4" t="s">
        <v>1578</v>
      </c>
      <c r="B582" s="5">
        <v>46018</v>
      </c>
      <c r="C582" s="4" t="s">
        <v>283</v>
      </c>
      <c r="D582" s="4" t="s">
        <v>37</v>
      </c>
      <c r="E582" s="4" t="s">
        <v>653</v>
      </c>
      <c r="F582" s="4" t="s">
        <v>936</v>
      </c>
      <c r="G582" s="4" t="s">
        <v>788</v>
      </c>
      <c r="H582" s="4">
        <v>1</v>
      </c>
      <c r="I582" s="7">
        <v>0.1</v>
      </c>
      <c r="J582" s="6">
        <v>1947</v>
      </c>
      <c r="K582" s="4">
        <v>1</v>
      </c>
      <c r="L582" s="8">
        <f t="shared" si="9"/>
        <v>4.7</v>
      </c>
      <c r="M582" s="6" t="str">
        <f>_xlfn.XLOOKUP(FactSales[[#This Row],[Product_ID]],DimProduct[Product_ID],DimProduct[Product_Name])</f>
        <v>Formal Shirt</v>
      </c>
      <c r="N582" s="6" t="str">
        <f>_xlfn.XLOOKUP(FactSales[[#This Row],[Product_ID]],DimProduct[Product_ID],DimProduct[Category])</f>
        <v>Fashion</v>
      </c>
      <c r="O582" s="6">
        <f>_xlfn.XLOOKUP(FactSales[[#This Row],[Product_ID]],DimProduct[Product_ID],DimProduct[Unit_Price])</f>
        <v>1820</v>
      </c>
      <c r="P582" s="6">
        <f>_xlfn.XLOOKUP(FactSales[[#This Row],[Product_ID]],DimProduct[Product_ID],DimProduct[Unit_Cost])</f>
        <v>1000</v>
      </c>
      <c r="Q582" s="6">
        <f>FactSales[[#This Row],[Unit_Price]]*FactSales[[#This Row],[Quantity_Sold]]</f>
        <v>1820</v>
      </c>
      <c r="R582" s="6">
        <f>FactSales[[#This Row],[Unit_Cost]]*FactSales[[#This Row],[Quantity_Sold]]</f>
        <v>1000</v>
      </c>
      <c r="S582" s="6">
        <f>FactSales[[#This Row],[Sales_Amount]]-FactSales[[#This Row],[Total_Cost]]</f>
        <v>820</v>
      </c>
      <c r="T582" s="6" t="str">
        <f>_xlfn.XLOOKUP(FactSales[[#This Row],[Customer_ID]],DimCustomer[Customer_ID],DimCustomer[Customer_Name])</f>
        <v>Tanvir Akter</v>
      </c>
      <c r="U582" s="6" t="str">
        <f>_xlfn.XLOOKUP(FactSales[[#This Row],[Salesperson_ID]],DimSalesman[Salesperson_ID],DimSalesman[Salesperson_Name])</f>
        <v>Mehedi Chowdhury</v>
      </c>
      <c r="V582" s="6" t="str">
        <f>_xlfn.XLOOKUP(FactSales[[#This Row],[Region_ID]],DimRegion[Region_ID],DimRegion[Region_Name])</f>
        <v>Sylhet</v>
      </c>
      <c r="W582" s="6" t="str">
        <f>_xlfn.XLOOKUP(FactSales[[#This Row],[Store_ID]],DimStore[Store_ID],DimStore[Store_Name])</f>
        <v>Sylhet Zindabazar Store</v>
      </c>
    </row>
    <row r="583" spans="1:23">
      <c r="A583" s="4" t="s">
        <v>1579</v>
      </c>
      <c r="B583" s="5">
        <v>46167</v>
      </c>
      <c r="C583" s="4" t="s">
        <v>585</v>
      </c>
      <c r="D583" s="4" t="s">
        <v>62</v>
      </c>
      <c r="E583" s="4" t="s">
        <v>737</v>
      </c>
      <c r="F583" s="4" t="s">
        <v>983</v>
      </c>
      <c r="G583" s="4" t="s">
        <v>778</v>
      </c>
      <c r="H583" s="4">
        <v>2</v>
      </c>
      <c r="I583" s="7">
        <v>0.15</v>
      </c>
      <c r="J583" s="6">
        <v>9850</v>
      </c>
      <c r="K583" s="4">
        <v>6</v>
      </c>
      <c r="L583" s="8">
        <f t="shared" si="9"/>
        <v>3</v>
      </c>
      <c r="M583" s="6" t="str">
        <f>_xlfn.XLOOKUP(FactSales[[#This Row],[Product_ID]],DimProduct[Product_ID],DimProduct[Product_Name])</f>
        <v>Steam Iron</v>
      </c>
      <c r="N583" s="6" t="str">
        <f>_xlfn.XLOOKUP(FactSales[[#This Row],[Product_ID]],DimProduct[Product_ID],DimProduct[Category])</f>
        <v>Home Appliance</v>
      </c>
      <c r="O583" s="6">
        <f>_xlfn.XLOOKUP(FactSales[[#This Row],[Product_ID]],DimProduct[Product_ID],DimProduct[Unit_Price])</f>
        <v>4560</v>
      </c>
      <c r="P583" s="6">
        <f>_xlfn.XLOOKUP(FactSales[[#This Row],[Product_ID]],DimProduct[Product_ID],DimProduct[Unit_Cost])</f>
        <v>3190</v>
      </c>
      <c r="Q583" s="6">
        <f>FactSales[[#This Row],[Unit_Price]]*FactSales[[#This Row],[Quantity_Sold]]</f>
        <v>9120</v>
      </c>
      <c r="R583" s="6">
        <f>FactSales[[#This Row],[Unit_Cost]]*FactSales[[#This Row],[Quantity_Sold]]</f>
        <v>6380</v>
      </c>
      <c r="S583" s="6">
        <f>FactSales[[#This Row],[Sales_Amount]]-FactSales[[#This Row],[Total_Cost]]</f>
        <v>2740</v>
      </c>
      <c r="T583" s="6" t="str">
        <f>_xlfn.XLOOKUP(FactSales[[#This Row],[Customer_ID]],DimCustomer[Customer_ID],DimCustomer[Customer_Name])</f>
        <v>Shaila Hossain</v>
      </c>
      <c r="U583" s="6" t="str">
        <f>_xlfn.XLOOKUP(FactSales[[#This Row],[Salesperson_ID]],DimSalesman[Salesperson_ID],DimSalesman[Salesperson_Name])</f>
        <v>Fahim Hossain</v>
      </c>
      <c r="V583" s="6" t="str">
        <f>_xlfn.XLOOKUP(FactSales[[#This Row],[Region_ID]],DimRegion[Region_ID],DimRegion[Region_Name])</f>
        <v>Mymensingh</v>
      </c>
      <c r="W583" s="6" t="str">
        <f>_xlfn.XLOOKUP(FactSales[[#This Row],[Store_ID]],DimStore[Store_ID],DimStore[Store_Name])</f>
        <v>Mymensingh Kewatkhali Store</v>
      </c>
    </row>
    <row r="584" spans="1:23">
      <c r="A584" s="4" t="s">
        <v>1580</v>
      </c>
      <c r="B584" s="5">
        <v>45735</v>
      </c>
      <c r="C584" s="4" t="s">
        <v>89</v>
      </c>
      <c r="D584" s="4" t="s">
        <v>27</v>
      </c>
      <c r="E584" s="4" t="s">
        <v>630</v>
      </c>
      <c r="F584" s="4" t="s">
        <v>914</v>
      </c>
      <c r="G584" s="4" t="s">
        <v>765</v>
      </c>
      <c r="H584" s="4">
        <v>2</v>
      </c>
      <c r="I584" s="7">
        <v>0.12</v>
      </c>
      <c r="J584" s="6">
        <v>10367</v>
      </c>
      <c r="K584" s="4">
        <v>3</v>
      </c>
      <c r="L584" s="8">
        <f t="shared" si="9"/>
        <v>4</v>
      </c>
      <c r="M584" s="6" t="str">
        <f>_xlfn.XLOOKUP(FactSales[[#This Row],[Product_ID]],DimProduct[Product_ID],DimProduct[Product_Name])</f>
        <v>USB-C Hub</v>
      </c>
      <c r="N584" s="6" t="str">
        <f>_xlfn.XLOOKUP(FactSales[[#This Row],[Product_ID]],DimProduct[Product_ID],DimProduct[Category])</f>
        <v>Electronics</v>
      </c>
      <c r="O584" s="6">
        <f>_xlfn.XLOOKUP(FactSales[[#This Row],[Product_ID]],DimProduct[Product_ID],DimProduct[Unit_Price])</f>
        <v>4890</v>
      </c>
      <c r="P584" s="6">
        <f>_xlfn.XLOOKUP(FactSales[[#This Row],[Product_ID]],DimProduct[Product_ID],DimProduct[Unit_Cost])</f>
        <v>3330</v>
      </c>
      <c r="Q584" s="6">
        <f>FactSales[[#This Row],[Unit_Price]]*FactSales[[#This Row],[Quantity_Sold]]</f>
        <v>9780</v>
      </c>
      <c r="R584" s="6">
        <f>FactSales[[#This Row],[Unit_Cost]]*FactSales[[#This Row],[Quantity_Sold]]</f>
        <v>6660</v>
      </c>
      <c r="S584" s="6">
        <f>FactSales[[#This Row],[Sales_Amount]]-FactSales[[#This Row],[Total_Cost]]</f>
        <v>3120</v>
      </c>
      <c r="T584" s="6" t="str">
        <f>_xlfn.XLOOKUP(FactSales[[#This Row],[Customer_ID]],DimCustomer[Customer_ID],DimCustomer[Customer_Name])</f>
        <v>Tania Hossain</v>
      </c>
      <c r="U584" s="6" t="str">
        <f>_xlfn.XLOOKUP(FactSales[[#This Row],[Salesperson_ID]],DimSalesman[Salesperson_ID],DimSalesman[Salesperson_Name])</f>
        <v>Rasel Rahman</v>
      </c>
      <c r="V584" s="6" t="str">
        <f>_xlfn.XLOOKUP(FactSales[[#This Row],[Region_ID]],DimRegion[Region_ID],DimRegion[Region_Name])</f>
        <v>Dhaka</v>
      </c>
      <c r="W584" s="6" t="str">
        <f>_xlfn.XLOOKUP(FactSales[[#This Row],[Store_ID]],DimStore[Store_ID],DimStore[Store_Name])</f>
        <v>Dhaka Uttara Store</v>
      </c>
    </row>
    <row r="585" spans="1:23">
      <c r="A585" s="4" t="s">
        <v>1581</v>
      </c>
      <c r="B585" s="5">
        <v>46026</v>
      </c>
      <c r="C585" s="4" t="s">
        <v>171</v>
      </c>
      <c r="D585" s="4" t="s">
        <v>32</v>
      </c>
      <c r="E585" s="4" t="s">
        <v>641</v>
      </c>
      <c r="F585" s="4" t="s">
        <v>922</v>
      </c>
      <c r="G585" s="4" t="s">
        <v>758</v>
      </c>
      <c r="H585" s="4">
        <v>1</v>
      </c>
      <c r="I585" s="7">
        <v>0.1</v>
      </c>
      <c r="J585" s="6">
        <v>3238</v>
      </c>
      <c r="K585" s="4">
        <v>3</v>
      </c>
      <c r="L585" s="8">
        <f t="shared" si="9"/>
        <v>4</v>
      </c>
      <c r="M585" s="6" t="str">
        <f>_xlfn.XLOOKUP(FactSales[[#This Row],[Product_ID]],DimProduct[Product_ID],DimProduct[Product_Name])</f>
        <v>Power Bank</v>
      </c>
      <c r="N585" s="6" t="str">
        <f>_xlfn.XLOOKUP(FactSales[[#This Row],[Product_ID]],DimProduct[Product_ID],DimProduct[Category])</f>
        <v>Electronics</v>
      </c>
      <c r="O585" s="6">
        <f>_xlfn.XLOOKUP(FactSales[[#This Row],[Product_ID]],DimProduct[Product_ID],DimProduct[Unit_Price])</f>
        <v>2840</v>
      </c>
      <c r="P585" s="6">
        <f>_xlfn.XLOOKUP(FactSales[[#This Row],[Product_ID]],DimProduct[Product_ID],DimProduct[Unit_Cost])</f>
        <v>1930</v>
      </c>
      <c r="Q585" s="6">
        <f>FactSales[[#This Row],[Unit_Price]]*FactSales[[#This Row],[Quantity_Sold]]</f>
        <v>2840</v>
      </c>
      <c r="R585" s="6">
        <f>FactSales[[#This Row],[Unit_Cost]]*FactSales[[#This Row],[Quantity_Sold]]</f>
        <v>1930</v>
      </c>
      <c r="S585" s="6">
        <f>FactSales[[#This Row],[Sales_Amount]]-FactSales[[#This Row],[Total_Cost]]</f>
        <v>910</v>
      </c>
      <c r="T585" s="6" t="str">
        <f>_xlfn.XLOOKUP(FactSales[[#This Row],[Customer_ID]],DimCustomer[Customer_ID],DimCustomer[Customer_Name])</f>
        <v>Mim Hossain</v>
      </c>
      <c r="U585" s="6" t="str">
        <f>_xlfn.XLOOKUP(FactSales[[#This Row],[Salesperson_ID]],DimSalesman[Salesperson_ID],DimSalesman[Salesperson_Name])</f>
        <v>Rafi Sultana</v>
      </c>
      <c r="V585" s="6" t="str">
        <f>_xlfn.XLOOKUP(FactSales[[#This Row],[Region_ID]],DimRegion[Region_ID],DimRegion[Region_Name])</f>
        <v>Chattogram</v>
      </c>
      <c r="W585" s="6" t="str">
        <f>_xlfn.XLOOKUP(FactSales[[#This Row],[Store_ID]],DimStore[Store_ID],DimStore[Store_Name])</f>
        <v>Chattogram GEC Store</v>
      </c>
    </row>
    <row r="586" spans="1:23">
      <c r="A586" s="4" t="s">
        <v>1582</v>
      </c>
      <c r="B586" s="5">
        <v>45939</v>
      </c>
      <c r="C586" s="4" t="s">
        <v>439</v>
      </c>
      <c r="D586" s="4" t="s">
        <v>52</v>
      </c>
      <c r="E586" s="4" t="s">
        <v>704</v>
      </c>
      <c r="F586" s="4" t="s">
        <v>963</v>
      </c>
      <c r="G586" s="4" t="s">
        <v>768</v>
      </c>
      <c r="H586" s="4">
        <v>1</v>
      </c>
      <c r="I586" s="7">
        <v>0.18</v>
      </c>
      <c r="J586" s="6">
        <v>8064</v>
      </c>
      <c r="K586" s="4">
        <v>13</v>
      </c>
      <c r="L586" s="8">
        <f t="shared" si="9"/>
        <v>1</v>
      </c>
      <c r="M586" s="6" t="str">
        <f>_xlfn.XLOOKUP(FactSales[[#This Row],[Product_ID]],DimProduct[Product_ID],DimProduct[Product_Name])</f>
        <v>Electric Kettle</v>
      </c>
      <c r="N586" s="6" t="str">
        <f>_xlfn.XLOOKUP(FactSales[[#This Row],[Product_ID]],DimProduct[Product_ID],DimProduct[Category])</f>
        <v>Home Appliance</v>
      </c>
      <c r="O586" s="6">
        <f>_xlfn.XLOOKUP(FactSales[[#This Row],[Product_ID]],DimProduct[Product_ID],DimProduct[Unit_Price])</f>
        <v>7200</v>
      </c>
      <c r="P586" s="6">
        <f>_xlfn.XLOOKUP(FactSales[[#This Row],[Product_ID]],DimProduct[Product_ID],DimProduct[Unit_Cost])</f>
        <v>5040</v>
      </c>
      <c r="Q586" s="6">
        <f>FactSales[[#This Row],[Unit_Price]]*FactSales[[#This Row],[Quantity_Sold]]</f>
        <v>7200</v>
      </c>
      <c r="R586" s="6">
        <f>FactSales[[#This Row],[Unit_Cost]]*FactSales[[#This Row],[Quantity_Sold]]</f>
        <v>5040</v>
      </c>
      <c r="S586" s="6">
        <f>FactSales[[#This Row],[Sales_Amount]]-FactSales[[#This Row],[Total_Cost]]</f>
        <v>2160</v>
      </c>
      <c r="T586" s="6" t="str">
        <f>_xlfn.XLOOKUP(FactSales[[#This Row],[Customer_ID]],DimCustomer[Customer_ID],DimCustomer[Customer_Name])</f>
        <v>Mahmud Sultana</v>
      </c>
      <c r="U586" s="6" t="str">
        <f>_xlfn.XLOOKUP(FactSales[[#This Row],[Salesperson_ID]],DimSalesman[Salesperson_ID],DimSalesman[Salesperson_Name])</f>
        <v>Rasel Uddin</v>
      </c>
      <c r="V586" s="6" t="str">
        <f>_xlfn.XLOOKUP(FactSales[[#This Row],[Region_ID]],DimRegion[Region_ID],DimRegion[Region_Name])</f>
        <v>Barishal</v>
      </c>
      <c r="W586" s="6" t="str">
        <f>_xlfn.XLOOKUP(FactSales[[#This Row],[Store_ID]],DimStore[Store_ID],DimStore[Store_Name])</f>
        <v>Barishal Rupatali Store</v>
      </c>
    </row>
    <row r="587" spans="1:23">
      <c r="A587" s="4" t="s">
        <v>1583</v>
      </c>
      <c r="B587" s="5">
        <v>46071</v>
      </c>
      <c r="C587" s="4" t="s">
        <v>354</v>
      </c>
      <c r="D587" s="4" t="s">
        <v>47</v>
      </c>
      <c r="E587" s="4" t="s">
        <v>689</v>
      </c>
      <c r="F587" s="4" t="s">
        <v>954</v>
      </c>
      <c r="G587" s="4" t="s">
        <v>871</v>
      </c>
      <c r="H587" s="4">
        <v>8</v>
      </c>
      <c r="I587" s="7">
        <v>0</v>
      </c>
      <c r="J587" s="6">
        <v>2965</v>
      </c>
      <c r="K587" s="4">
        <v>3</v>
      </c>
      <c r="L587" s="8">
        <f t="shared" si="9"/>
        <v>4.2</v>
      </c>
      <c r="M587" s="6" t="str">
        <f>_xlfn.XLOOKUP(FactSales[[#This Row],[Product_ID]],DimProduct[Product_ID],DimProduct[Product_Name])</f>
        <v>Office File Set</v>
      </c>
      <c r="N587" s="6" t="str">
        <f>_xlfn.XLOOKUP(FactSales[[#This Row],[Product_ID]],DimProduct[Product_ID],DimProduct[Category])</f>
        <v>Stationery</v>
      </c>
      <c r="O587" s="6">
        <f>_xlfn.XLOOKUP(FactSales[[#This Row],[Product_ID]],DimProduct[Product_ID],DimProduct[Unit_Price])</f>
        <v>340</v>
      </c>
      <c r="P587" s="6">
        <f>_xlfn.XLOOKUP(FactSales[[#This Row],[Product_ID]],DimProduct[Product_ID],DimProduct[Unit_Cost])</f>
        <v>170</v>
      </c>
      <c r="Q587" s="6">
        <f>FactSales[[#This Row],[Unit_Price]]*FactSales[[#This Row],[Quantity_Sold]]</f>
        <v>2720</v>
      </c>
      <c r="R587" s="6">
        <f>FactSales[[#This Row],[Unit_Cost]]*FactSales[[#This Row],[Quantity_Sold]]</f>
        <v>1360</v>
      </c>
      <c r="S587" s="6">
        <f>FactSales[[#This Row],[Sales_Amount]]-FactSales[[#This Row],[Total_Cost]]</f>
        <v>1360</v>
      </c>
      <c r="T587" s="6" t="str">
        <f>_xlfn.XLOOKUP(FactSales[[#This Row],[Customer_ID]],DimCustomer[Customer_ID],DimCustomer[Customer_Name])</f>
        <v>Karim Mia</v>
      </c>
      <c r="U587" s="6" t="str">
        <f>_xlfn.XLOOKUP(FactSales[[#This Row],[Salesperson_ID]],DimSalesman[Salesperson_ID],DimSalesman[Salesperson_Name])</f>
        <v>Sadia Sultana</v>
      </c>
      <c r="V587" s="6" t="str">
        <f>_xlfn.XLOOKUP(FactSales[[#This Row],[Region_ID]],DimRegion[Region_ID],DimRegion[Region_Name])</f>
        <v>Khulna</v>
      </c>
      <c r="W587" s="6" t="str">
        <f>_xlfn.XLOOKUP(FactSales[[#This Row],[Store_ID]],DimStore[Store_ID],DimStore[Store_Name])</f>
        <v>Khulna Daulatpur Store</v>
      </c>
    </row>
    <row r="588" spans="1:23">
      <c r="A588" s="4" t="s">
        <v>1584</v>
      </c>
      <c r="B588" s="5">
        <v>45891</v>
      </c>
      <c r="C588" s="4" t="s">
        <v>601</v>
      </c>
      <c r="D588" s="4" t="s">
        <v>62</v>
      </c>
      <c r="E588" s="4" t="s">
        <v>740</v>
      </c>
      <c r="F588" s="4" t="s">
        <v>979</v>
      </c>
      <c r="G588" s="4" t="s">
        <v>878</v>
      </c>
      <c r="H588" s="4">
        <v>1</v>
      </c>
      <c r="I588" s="7">
        <v>0.05</v>
      </c>
      <c r="J588" s="6">
        <v>907</v>
      </c>
      <c r="K588" s="4">
        <v>2</v>
      </c>
      <c r="L588" s="8">
        <f t="shared" si="9"/>
        <v>4.5</v>
      </c>
      <c r="M588" s="6" t="str">
        <f>_xlfn.XLOOKUP(FactSales[[#This Row],[Product_ID]],DimProduct[Product_ID],DimProduct[Product_Name])</f>
        <v>Building Blocks</v>
      </c>
      <c r="N588" s="6" t="str">
        <f>_xlfn.XLOOKUP(FactSales[[#This Row],[Product_ID]],DimProduct[Product_ID],DimProduct[Category])</f>
        <v>Kids &amp; Toys</v>
      </c>
      <c r="O588" s="6">
        <f>_xlfn.XLOOKUP(FactSales[[#This Row],[Product_ID]],DimProduct[Product_ID],DimProduct[Unit_Price])</f>
        <v>840</v>
      </c>
      <c r="P588" s="6">
        <f>_xlfn.XLOOKUP(FactSales[[#This Row],[Product_ID]],DimProduct[Product_ID],DimProduct[Unit_Cost])</f>
        <v>460</v>
      </c>
      <c r="Q588" s="6">
        <f>FactSales[[#This Row],[Unit_Price]]*FactSales[[#This Row],[Quantity_Sold]]</f>
        <v>840</v>
      </c>
      <c r="R588" s="6">
        <f>FactSales[[#This Row],[Unit_Cost]]*FactSales[[#This Row],[Quantity_Sold]]</f>
        <v>460</v>
      </c>
      <c r="S588" s="6">
        <f>FactSales[[#This Row],[Sales_Amount]]-FactSales[[#This Row],[Total_Cost]]</f>
        <v>380</v>
      </c>
      <c r="T588" s="6" t="str">
        <f>_xlfn.XLOOKUP(FactSales[[#This Row],[Customer_ID]],DimCustomer[Customer_ID],DimCustomer[Customer_Name])</f>
        <v>Tania Islam</v>
      </c>
      <c r="U588" s="6" t="str">
        <f>_xlfn.XLOOKUP(FactSales[[#This Row],[Salesperson_ID]],DimSalesman[Salesperson_ID],DimSalesman[Salesperson_Name])</f>
        <v>Rahim Rahman</v>
      </c>
      <c r="V588" s="6" t="str">
        <f>_xlfn.XLOOKUP(FactSales[[#This Row],[Region_ID]],DimRegion[Region_ID],DimRegion[Region_Name])</f>
        <v>Mymensingh</v>
      </c>
      <c r="W588" s="6" t="str">
        <f>_xlfn.XLOOKUP(FactSales[[#This Row],[Store_ID]],DimStore[Store_ID],DimStore[Store_Name])</f>
        <v>Mymensingh Maskanda Store</v>
      </c>
    </row>
    <row r="589" spans="1:23">
      <c r="A589" s="4" t="s">
        <v>1585</v>
      </c>
      <c r="B589" s="5">
        <v>45978</v>
      </c>
      <c r="C589" s="4" t="s">
        <v>609</v>
      </c>
      <c r="D589" s="4" t="s">
        <v>62</v>
      </c>
      <c r="E589" s="4" t="s">
        <v>737</v>
      </c>
      <c r="F589" s="4" t="s">
        <v>981</v>
      </c>
      <c r="G589" s="4" t="s">
        <v>864</v>
      </c>
      <c r="H589" s="4">
        <v>5</v>
      </c>
      <c r="I589" s="7">
        <v>0.05</v>
      </c>
      <c r="J589" s="6">
        <v>2160</v>
      </c>
      <c r="K589" s="4">
        <v>4</v>
      </c>
      <c r="L589" s="8">
        <f t="shared" si="9"/>
        <v>3.8</v>
      </c>
      <c r="M589" s="6" t="str">
        <f>_xlfn.XLOOKUP(FactSales[[#This Row],[Product_ID]],DimProduct[Product_ID],DimProduct[Product_Name])</f>
        <v>Notebook Pack</v>
      </c>
      <c r="N589" s="6" t="str">
        <f>_xlfn.XLOOKUP(FactSales[[#This Row],[Product_ID]],DimProduct[Product_ID],DimProduct[Category])</f>
        <v>Stationery</v>
      </c>
      <c r="O589" s="6">
        <f>_xlfn.XLOOKUP(FactSales[[#This Row],[Product_ID]],DimProduct[Product_ID],DimProduct[Unit_Price])</f>
        <v>400</v>
      </c>
      <c r="P589" s="6">
        <f>_xlfn.XLOOKUP(FactSales[[#This Row],[Product_ID]],DimProduct[Product_ID],DimProduct[Unit_Cost])</f>
        <v>200</v>
      </c>
      <c r="Q589" s="6">
        <f>FactSales[[#This Row],[Unit_Price]]*FactSales[[#This Row],[Quantity_Sold]]</f>
        <v>2000</v>
      </c>
      <c r="R589" s="6">
        <f>FactSales[[#This Row],[Unit_Cost]]*FactSales[[#This Row],[Quantity_Sold]]</f>
        <v>1000</v>
      </c>
      <c r="S589" s="6">
        <f>FactSales[[#This Row],[Sales_Amount]]-FactSales[[#This Row],[Total_Cost]]</f>
        <v>1000</v>
      </c>
      <c r="T589" s="6" t="str">
        <f>_xlfn.XLOOKUP(FactSales[[#This Row],[Customer_ID]],DimCustomer[Customer_ID],DimCustomer[Customer_Name])</f>
        <v>Farhana Islam</v>
      </c>
      <c r="U589" s="6" t="str">
        <f>_xlfn.XLOOKUP(FactSales[[#This Row],[Salesperson_ID]],DimSalesman[Salesperson_ID],DimSalesman[Salesperson_Name])</f>
        <v>Morshed Islam</v>
      </c>
      <c r="V589" s="6" t="str">
        <f>_xlfn.XLOOKUP(FactSales[[#This Row],[Region_ID]],DimRegion[Region_ID],DimRegion[Region_Name])</f>
        <v>Mymensingh</v>
      </c>
      <c r="W589" s="6" t="str">
        <f>_xlfn.XLOOKUP(FactSales[[#This Row],[Store_ID]],DimStore[Store_ID],DimStore[Store_Name])</f>
        <v>Mymensingh Kewatkhali Store</v>
      </c>
    </row>
    <row r="590" spans="1:23">
      <c r="A590" s="4" t="s">
        <v>1586</v>
      </c>
      <c r="B590" s="5">
        <v>45688</v>
      </c>
      <c r="C590" s="4" t="s">
        <v>503</v>
      </c>
      <c r="D590" s="4" t="s">
        <v>57</v>
      </c>
      <c r="E590" s="4" t="s">
        <v>722</v>
      </c>
      <c r="F590" s="4" t="s">
        <v>974</v>
      </c>
      <c r="G590" s="4" t="s">
        <v>876</v>
      </c>
      <c r="H590" s="4">
        <v>2</v>
      </c>
      <c r="I590" s="7">
        <v>0.02</v>
      </c>
      <c r="J590" s="6">
        <v>1748</v>
      </c>
      <c r="K590" s="4">
        <v>5</v>
      </c>
      <c r="L590" s="8">
        <f t="shared" si="9"/>
        <v>3.6</v>
      </c>
      <c r="M590" s="6" t="str">
        <f>_xlfn.XLOOKUP(FactSales[[#This Row],[Product_ID]],DimProduct[Product_ID],DimProduct[Product_Name])</f>
        <v>Sticky Notes</v>
      </c>
      <c r="N590" s="6" t="str">
        <f>_xlfn.XLOOKUP(FactSales[[#This Row],[Product_ID]],DimProduct[Product_ID],DimProduct[Category])</f>
        <v>Stationery</v>
      </c>
      <c r="O590" s="6">
        <f>_xlfn.XLOOKUP(FactSales[[#This Row],[Product_ID]],DimProduct[Product_ID],DimProduct[Unit_Price])</f>
        <v>760</v>
      </c>
      <c r="P590" s="6">
        <f>_xlfn.XLOOKUP(FactSales[[#This Row],[Product_ID]],DimProduct[Product_ID],DimProduct[Unit_Cost])</f>
        <v>380</v>
      </c>
      <c r="Q590" s="6">
        <f>FactSales[[#This Row],[Unit_Price]]*FactSales[[#This Row],[Quantity_Sold]]</f>
        <v>1520</v>
      </c>
      <c r="R590" s="6">
        <f>FactSales[[#This Row],[Unit_Cost]]*FactSales[[#This Row],[Quantity_Sold]]</f>
        <v>760</v>
      </c>
      <c r="S590" s="6">
        <f>FactSales[[#This Row],[Sales_Amount]]-FactSales[[#This Row],[Total_Cost]]</f>
        <v>760</v>
      </c>
      <c r="T590" s="6" t="str">
        <f>_xlfn.XLOOKUP(FactSales[[#This Row],[Customer_ID]],DimCustomer[Customer_ID],DimCustomer[Customer_Name])</f>
        <v>Hasan Rahman</v>
      </c>
      <c r="U590" s="6" t="str">
        <f>_xlfn.XLOOKUP(FactSales[[#This Row],[Salesperson_ID]],DimSalesman[Salesperson_ID],DimSalesman[Salesperson_Name])</f>
        <v>Farhana Uddin</v>
      </c>
      <c r="V590" s="6" t="str">
        <f>_xlfn.XLOOKUP(FactSales[[#This Row],[Region_ID]],DimRegion[Region_ID],DimRegion[Region_Name])</f>
        <v>Rangpur</v>
      </c>
      <c r="W590" s="6" t="str">
        <f>_xlfn.XLOOKUP(FactSales[[#This Row],[Store_ID]],DimStore[Store_ID],DimStore[Store_Name])</f>
        <v>Rangpur Dhap Store</v>
      </c>
    </row>
    <row r="591" spans="1:23">
      <c r="A591" s="4" t="s">
        <v>1587</v>
      </c>
      <c r="B591" s="5">
        <v>46093</v>
      </c>
      <c r="C591" s="4" t="s">
        <v>604</v>
      </c>
      <c r="D591" s="4" t="s">
        <v>62</v>
      </c>
      <c r="E591" s="4" t="s">
        <v>734</v>
      </c>
      <c r="F591" s="4" t="s">
        <v>981</v>
      </c>
      <c r="G591" s="4" t="s">
        <v>765</v>
      </c>
      <c r="H591" s="4">
        <v>5</v>
      </c>
      <c r="I591" s="7">
        <v>0.18</v>
      </c>
      <c r="J591" s="6">
        <v>26406</v>
      </c>
      <c r="K591" s="4">
        <v>7</v>
      </c>
      <c r="L591" s="8">
        <f t="shared" si="9"/>
        <v>2.6</v>
      </c>
      <c r="M591" s="6" t="str">
        <f>_xlfn.XLOOKUP(FactSales[[#This Row],[Product_ID]],DimProduct[Product_ID],DimProduct[Product_Name])</f>
        <v>USB-C Hub</v>
      </c>
      <c r="N591" s="6" t="str">
        <f>_xlfn.XLOOKUP(FactSales[[#This Row],[Product_ID]],DimProduct[Product_ID],DimProduct[Category])</f>
        <v>Electronics</v>
      </c>
      <c r="O591" s="6">
        <f>_xlfn.XLOOKUP(FactSales[[#This Row],[Product_ID]],DimProduct[Product_ID],DimProduct[Unit_Price])</f>
        <v>4890</v>
      </c>
      <c r="P591" s="6">
        <f>_xlfn.XLOOKUP(FactSales[[#This Row],[Product_ID]],DimProduct[Product_ID],DimProduct[Unit_Cost])</f>
        <v>3330</v>
      </c>
      <c r="Q591" s="6">
        <f>FactSales[[#This Row],[Unit_Price]]*FactSales[[#This Row],[Quantity_Sold]]</f>
        <v>24450</v>
      </c>
      <c r="R591" s="6">
        <f>FactSales[[#This Row],[Unit_Cost]]*FactSales[[#This Row],[Quantity_Sold]]</f>
        <v>16650</v>
      </c>
      <c r="S591" s="6">
        <f>FactSales[[#This Row],[Sales_Amount]]-FactSales[[#This Row],[Total_Cost]]</f>
        <v>7800</v>
      </c>
      <c r="T591" s="6" t="str">
        <f>_xlfn.XLOOKUP(FactSales[[#This Row],[Customer_ID]],DimCustomer[Customer_ID],DimCustomer[Customer_Name])</f>
        <v>Shamim Rahman</v>
      </c>
      <c r="U591" s="6" t="str">
        <f>_xlfn.XLOOKUP(FactSales[[#This Row],[Salesperson_ID]],DimSalesman[Salesperson_ID],DimSalesman[Salesperson_Name])</f>
        <v>Morshed Islam</v>
      </c>
      <c r="V591" s="6" t="str">
        <f>_xlfn.XLOOKUP(FactSales[[#This Row],[Region_ID]],DimRegion[Region_ID],DimRegion[Region_Name])</f>
        <v>Mymensingh</v>
      </c>
      <c r="W591" s="6" t="str">
        <f>_xlfn.XLOOKUP(FactSales[[#This Row],[Store_ID]],DimStore[Store_ID],DimStore[Store_Name])</f>
        <v>Mymensingh Charpara Store</v>
      </c>
    </row>
    <row r="592" spans="1:23">
      <c r="A592" s="4" t="s">
        <v>1588</v>
      </c>
      <c r="B592" s="5">
        <v>45690</v>
      </c>
      <c r="C592" s="4" t="s">
        <v>384</v>
      </c>
      <c r="D592" s="4" t="s">
        <v>47</v>
      </c>
      <c r="E592" s="4" t="s">
        <v>695</v>
      </c>
      <c r="F592" s="4" t="s">
        <v>952</v>
      </c>
      <c r="G592" s="4" t="s">
        <v>810</v>
      </c>
      <c r="H592" s="4">
        <v>6</v>
      </c>
      <c r="I592" s="7">
        <v>0.02</v>
      </c>
      <c r="J592" s="6">
        <v>2878</v>
      </c>
      <c r="K592" s="4">
        <v>9</v>
      </c>
      <c r="L592" s="8">
        <f t="shared" si="9"/>
        <v>2.2999999999999998</v>
      </c>
      <c r="M592" s="6" t="str">
        <f>_xlfn.XLOOKUP(FactSales[[#This Row],[Product_ID]],DimProduct[Product_ID],DimProduct[Product_Name])</f>
        <v>Flour 2kg</v>
      </c>
      <c r="N592" s="6" t="str">
        <f>_xlfn.XLOOKUP(FactSales[[#This Row],[Product_ID]],DimProduct[Product_ID],DimProduct[Category])</f>
        <v>Grocery</v>
      </c>
      <c r="O592" s="6">
        <f>_xlfn.XLOOKUP(FactSales[[#This Row],[Product_ID]],DimProduct[Product_ID],DimProduct[Unit_Price])</f>
        <v>440</v>
      </c>
      <c r="P592" s="6">
        <f>_xlfn.XLOOKUP(FactSales[[#This Row],[Product_ID]],DimProduct[Product_ID],DimProduct[Unit_Cost])</f>
        <v>340</v>
      </c>
      <c r="Q592" s="6">
        <f>FactSales[[#This Row],[Unit_Price]]*FactSales[[#This Row],[Quantity_Sold]]</f>
        <v>2640</v>
      </c>
      <c r="R592" s="6">
        <f>FactSales[[#This Row],[Unit_Cost]]*FactSales[[#This Row],[Quantity_Sold]]</f>
        <v>2040</v>
      </c>
      <c r="S592" s="6">
        <f>FactSales[[#This Row],[Sales_Amount]]-FactSales[[#This Row],[Total_Cost]]</f>
        <v>600</v>
      </c>
      <c r="T592" s="6" t="str">
        <f>_xlfn.XLOOKUP(FactSales[[#This Row],[Customer_ID]],DimCustomer[Customer_ID],DimCustomer[Customer_Name])</f>
        <v>Rumana Islam</v>
      </c>
      <c r="U592" s="6" t="str">
        <f>_xlfn.XLOOKUP(FactSales[[#This Row],[Salesperson_ID]],DimSalesman[Salesperson_ID],DimSalesman[Salesperson_Name])</f>
        <v>Samiha Islam</v>
      </c>
      <c r="V592" s="6" t="str">
        <f>_xlfn.XLOOKUP(FactSales[[#This Row],[Region_ID]],DimRegion[Region_ID],DimRegion[Region_Name])</f>
        <v>Khulna</v>
      </c>
      <c r="W592" s="6" t="str">
        <f>_xlfn.XLOOKUP(FactSales[[#This Row],[Store_ID]],DimStore[Store_ID],DimStore[Store_Name])</f>
        <v>Khulna Shibbari Store</v>
      </c>
    </row>
    <row r="593" spans="1:23">
      <c r="A593" s="4" t="s">
        <v>1589</v>
      </c>
      <c r="B593" s="5">
        <v>46053</v>
      </c>
      <c r="C593" s="4" t="s">
        <v>518</v>
      </c>
      <c r="D593" s="4" t="s">
        <v>57</v>
      </c>
      <c r="E593" s="4" t="s">
        <v>716</v>
      </c>
      <c r="F593" s="4" t="s">
        <v>974</v>
      </c>
      <c r="G593" s="4" t="s">
        <v>755</v>
      </c>
      <c r="H593" s="4">
        <v>1</v>
      </c>
      <c r="I593" s="7">
        <v>0.08</v>
      </c>
      <c r="J593" s="6">
        <v>3841</v>
      </c>
      <c r="K593" s="4">
        <v>5</v>
      </c>
      <c r="L593" s="8">
        <f t="shared" si="9"/>
        <v>3.4</v>
      </c>
      <c r="M593" s="6" t="str">
        <f>_xlfn.XLOOKUP(FactSales[[#This Row],[Product_ID]],DimProduct[Product_ID],DimProduct[Product_Name])</f>
        <v>Wireless Mouse</v>
      </c>
      <c r="N593" s="6" t="str">
        <f>_xlfn.XLOOKUP(FactSales[[#This Row],[Product_ID]],DimProduct[Product_ID],DimProduct[Category])</f>
        <v>Electronics</v>
      </c>
      <c r="O593" s="6">
        <f>_xlfn.XLOOKUP(FactSales[[#This Row],[Product_ID]],DimProduct[Product_ID],DimProduct[Unit_Price])</f>
        <v>3340</v>
      </c>
      <c r="P593" s="6">
        <f>_xlfn.XLOOKUP(FactSales[[#This Row],[Product_ID]],DimProduct[Product_ID],DimProduct[Unit_Cost])</f>
        <v>2270</v>
      </c>
      <c r="Q593" s="6">
        <f>FactSales[[#This Row],[Unit_Price]]*FactSales[[#This Row],[Quantity_Sold]]</f>
        <v>3340</v>
      </c>
      <c r="R593" s="6">
        <f>FactSales[[#This Row],[Unit_Cost]]*FactSales[[#This Row],[Quantity_Sold]]</f>
        <v>2270</v>
      </c>
      <c r="S593" s="6">
        <f>FactSales[[#This Row],[Sales_Amount]]-FactSales[[#This Row],[Total_Cost]]</f>
        <v>1070</v>
      </c>
      <c r="T593" s="6" t="str">
        <f>_xlfn.XLOOKUP(FactSales[[#This Row],[Customer_ID]],DimCustomer[Customer_ID],DimCustomer[Customer_Name])</f>
        <v>Arif Rahman</v>
      </c>
      <c r="U593" s="6" t="str">
        <f>_xlfn.XLOOKUP(FactSales[[#This Row],[Salesperson_ID]],DimSalesman[Salesperson_ID],DimSalesman[Salesperson_Name])</f>
        <v>Farhana Uddin</v>
      </c>
      <c r="V593" s="6" t="str">
        <f>_xlfn.XLOOKUP(FactSales[[#This Row],[Region_ID]],DimRegion[Region_ID],DimRegion[Region_Name])</f>
        <v>Rangpur</v>
      </c>
      <c r="W593" s="6" t="str">
        <f>_xlfn.XLOOKUP(FactSales[[#This Row],[Store_ID]],DimStore[Store_ID],DimStore[Store_Name])</f>
        <v>Rangpur Shapla Chattar Store</v>
      </c>
    </row>
    <row r="594" spans="1:23">
      <c r="A594" s="4" t="s">
        <v>1590</v>
      </c>
      <c r="B594" s="5">
        <v>45753</v>
      </c>
      <c r="C594" s="4" t="s">
        <v>470</v>
      </c>
      <c r="D594" s="4" t="s">
        <v>52</v>
      </c>
      <c r="E594" s="4" t="s">
        <v>707</v>
      </c>
      <c r="F594" s="4" t="s">
        <v>966</v>
      </c>
      <c r="G594" s="4" t="s">
        <v>885</v>
      </c>
      <c r="H594" s="4">
        <v>3</v>
      </c>
      <c r="I594" s="7">
        <v>0.12</v>
      </c>
      <c r="J594" s="6">
        <v>7392</v>
      </c>
      <c r="K594" s="4">
        <v>6</v>
      </c>
      <c r="L594" s="8">
        <f t="shared" si="9"/>
        <v>3</v>
      </c>
      <c r="M594" s="6" t="str">
        <f>_xlfn.XLOOKUP(FactSales[[#This Row],[Product_ID]],DimProduct[Product_ID],DimProduct[Product_Name])</f>
        <v>Puzzle Board</v>
      </c>
      <c r="N594" s="6" t="str">
        <f>_xlfn.XLOOKUP(FactSales[[#This Row],[Product_ID]],DimProduct[Product_ID],DimProduct[Category])</f>
        <v>Kids &amp; Toys</v>
      </c>
      <c r="O594" s="6">
        <f>_xlfn.XLOOKUP(FactSales[[#This Row],[Product_ID]],DimProduct[Product_ID],DimProduct[Unit_Price])</f>
        <v>2200</v>
      </c>
      <c r="P594" s="6">
        <f>_xlfn.XLOOKUP(FactSales[[#This Row],[Product_ID]],DimProduct[Product_ID],DimProduct[Unit_Cost])</f>
        <v>1210</v>
      </c>
      <c r="Q594" s="6">
        <f>FactSales[[#This Row],[Unit_Price]]*FactSales[[#This Row],[Quantity_Sold]]</f>
        <v>6600</v>
      </c>
      <c r="R594" s="6">
        <f>FactSales[[#This Row],[Unit_Cost]]*FactSales[[#This Row],[Quantity_Sold]]</f>
        <v>3630</v>
      </c>
      <c r="S594" s="6">
        <f>FactSales[[#This Row],[Sales_Amount]]-FactSales[[#This Row],[Total_Cost]]</f>
        <v>2970</v>
      </c>
      <c r="T594" s="6" t="str">
        <f>_xlfn.XLOOKUP(FactSales[[#This Row],[Customer_ID]],DimCustomer[Customer_ID],DimCustomer[Customer_Name])</f>
        <v>Imran Chowdhury</v>
      </c>
      <c r="U594" s="6" t="str">
        <f>_xlfn.XLOOKUP(FactSales[[#This Row],[Salesperson_ID]],DimSalesman[Salesperson_ID],DimSalesman[Salesperson_Name])</f>
        <v>Nayeem Akter</v>
      </c>
      <c r="V594" s="6" t="str">
        <f>_xlfn.XLOOKUP(FactSales[[#This Row],[Region_ID]],DimRegion[Region_ID],DimRegion[Region_Name])</f>
        <v>Barishal</v>
      </c>
      <c r="W594" s="6" t="str">
        <f>_xlfn.XLOOKUP(FactSales[[#This Row],[Store_ID]],DimStore[Store_ID],DimStore[Store_Name])</f>
        <v>Barishal Chowmatha Store</v>
      </c>
    </row>
    <row r="595" spans="1:23">
      <c r="A595" s="4" t="s">
        <v>1591</v>
      </c>
      <c r="B595" s="5">
        <v>46053</v>
      </c>
      <c r="C595" s="4" t="s">
        <v>551</v>
      </c>
      <c r="D595" s="4" t="s">
        <v>62</v>
      </c>
      <c r="E595" s="4" t="s">
        <v>731</v>
      </c>
      <c r="F595" s="4" t="s">
        <v>979</v>
      </c>
      <c r="G595" s="4" t="s">
        <v>755</v>
      </c>
      <c r="H595" s="4">
        <v>2</v>
      </c>
      <c r="I595" s="7">
        <v>0.1</v>
      </c>
      <c r="J595" s="6">
        <v>7214</v>
      </c>
      <c r="K595" s="4">
        <v>7</v>
      </c>
      <c r="L595" s="8">
        <f t="shared" si="9"/>
        <v>2.7</v>
      </c>
      <c r="M595" s="6" t="str">
        <f>_xlfn.XLOOKUP(FactSales[[#This Row],[Product_ID]],DimProduct[Product_ID],DimProduct[Product_Name])</f>
        <v>Wireless Mouse</v>
      </c>
      <c r="N595" s="6" t="str">
        <f>_xlfn.XLOOKUP(FactSales[[#This Row],[Product_ID]],DimProduct[Product_ID],DimProduct[Category])</f>
        <v>Electronics</v>
      </c>
      <c r="O595" s="6">
        <f>_xlfn.XLOOKUP(FactSales[[#This Row],[Product_ID]],DimProduct[Product_ID],DimProduct[Unit_Price])</f>
        <v>3340</v>
      </c>
      <c r="P595" s="6">
        <f>_xlfn.XLOOKUP(FactSales[[#This Row],[Product_ID]],DimProduct[Product_ID],DimProduct[Unit_Cost])</f>
        <v>2270</v>
      </c>
      <c r="Q595" s="6">
        <f>FactSales[[#This Row],[Unit_Price]]*FactSales[[#This Row],[Quantity_Sold]]</f>
        <v>6680</v>
      </c>
      <c r="R595" s="6">
        <f>FactSales[[#This Row],[Unit_Cost]]*FactSales[[#This Row],[Quantity_Sold]]</f>
        <v>4540</v>
      </c>
      <c r="S595" s="6">
        <f>FactSales[[#This Row],[Sales_Amount]]-FactSales[[#This Row],[Total_Cost]]</f>
        <v>2140</v>
      </c>
      <c r="T595" s="6" t="str">
        <f>_xlfn.XLOOKUP(FactSales[[#This Row],[Customer_ID]],DimCustomer[Customer_ID],DimCustomer[Customer_Name])</f>
        <v>Samiha Islam</v>
      </c>
      <c r="U595" s="6" t="str">
        <f>_xlfn.XLOOKUP(FactSales[[#This Row],[Salesperson_ID]],DimSalesman[Salesperson_ID],DimSalesman[Salesperson_Name])</f>
        <v>Rahim Rahman</v>
      </c>
      <c r="V595" s="6" t="str">
        <f>_xlfn.XLOOKUP(FactSales[[#This Row],[Region_ID]],DimRegion[Region_ID],DimRegion[Region_Name])</f>
        <v>Mymensingh</v>
      </c>
      <c r="W595" s="6" t="str">
        <f>_xlfn.XLOOKUP(FactSales[[#This Row],[Store_ID]],DimStore[Store_ID],DimStore[Store_Name])</f>
        <v>Mymensingh Town Hall Store</v>
      </c>
    </row>
    <row r="596" spans="1:23">
      <c r="A596" s="4" t="s">
        <v>1592</v>
      </c>
      <c r="B596" s="5">
        <v>46035</v>
      </c>
      <c r="C596" s="4" t="s">
        <v>413</v>
      </c>
      <c r="D596" s="4" t="s">
        <v>47</v>
      </c>
      <c r="E596" s="4" t="s">
        <v>695</v>
      </c>
      <c r="F596" s="4" t="s">
        <v>952</v>
      </c>
      <c r="G596" s="4" t="s">
        <v>788</v>
      </c>
      <c r="H596" s="4">
        <v>3</v>
      </c>
      <c r="I596" s="7">
        <v>0.05</v>
      </c>
      <c r="J596" s="6">
        <v>5951</v>
      </c>
      <c r="K596" s="4">
        <v>1</v>
      </c>
      <c r="L596" s="8">
        <f t="shared" si="9"/>
        <v>4.8</v>
      </c>
      <c r="M596" s="6" t="str">
        <f>_xlfn.XLOOKUP(FactSales[[#This Row],[Product_ID]],DimProduct[Product_ID],DimProduct[Product_Name])</f>
        <v>Formal Shirt</v>
      </c>
      <c r="N596" s="6" t="str">
        <f>_xlfn.XLOOKUP(FactSales[[#This Row],[Product_ID]],DimProduct[Product_ID],DimProduct[Category])</f>
        <v>Fashion</v>
      </c>
      <c r="O596" s="6">
        <f>_xlfn.XLOOKUP(FactSales[[#This Row],[Product_ID]],DimProduct[Product_ID],DimProduct[Unit_Price])</f>
        <v>1820</v>
      </c>
      <c r="P596" s="6">
        <f>_xlfn.XLOOKUP(FactSales[[#This Row],[Product_ID]],DimProduct[Product_ID],DimProduct[Unit_Cost])</f>
        <v>1000</v>
      </c>
      <c r="Q596" s="6">
        <f>FactSales[[#This Row],[Unit_Price]]*FactSales[[#This Row],[Quantity_Sold]]</f>
        <v>5460</v>
      </c>
      <c r="R596" s="6">
        <f>FactSales[[#This Row],[Unit_Cost]]*FactSales[[#This Row],[Quantity_Sold]]</f>
        <v>3000</v>
      </c>
      <c r="S596" s="6">
        <f>FactSales[[#This Row],[Sales_Amount]]-FactSales[[#This Row],[Total_Cost]]</f>
        <v>2460</v>
      </c>
      <c r="T596" s="6" t="str">
        <f>_xlfn.XLOOKUP(FactSales[[#This Row],[Customer_ID]],DimCustomer[Customer_ID],DimCustomer[Customer_Name])</f>
        <v>Samiha Sultana</v>
      </c>
      <c r="U596" s="6" t="str">
        <f>_xlfn.XLOOKUP(FactSales[[#This Row],[Salesperson_ID]],DimSalesman[Salesperson_ID],DimSalesman[Salesperson_Name])</f>
        <v>Samiha Islam</v>
      </c>
      <c r="V596" s="6" t="str">
        <f>_xlfn.XLOOKUP(FactSales[[#This Row],[Region_ID]],DimRegion[Region_ID],DimRegion[Region_Name])</f>
        <v>Khulna</v>
      </c>
      <c r="W596" s="6" t="str">
        <f>_xlfn.XLOOKUP(FactSales[[#This Row],[Store_ID]],DimStore[Store_ID],DimStore[Store_Name])</f>
        <v>Khulna Shibbari Store</v>
      </c>
    </row>
    <row r="597" spans="1:23">
      <c r="A597" s="4" t="s">
        <v>1593</v>
      </c>
      <c r="B597" s="5">
        <v>46147</v>
      </c>
      <c r="C597" s="4" t="s">
        <v>500</v>
      </c>
      <c r="D597" s="4" t="s">
        <v>57</v>
      </c>
      <c r="E597" s="4" t="s">
        <v>713</v>
      </c>
      <c r="F597" s="4" t="s">
        <v>970</v>
      </c>
      <c r="G597" s="4" t="s">
        <v>804</v>
      </c>
      <c r="H597" s="4">
        <v>4</v>
      </c>
      <c r="I597" s="7">
        <v>0.05</v>
      </c>
      <c r="J597" s="6">
        <v>1702</v>
      </c>
      <c r="K597" s="4">
        <v>9</v>
      </c>
      <c r="L597" s="8">
        <f t="shared" si="9"/>
        <v>2.2000000000000002</v>
      </c>
      <c r="M597" s="6" t="str">
        <f>_xlfn.XLOOKUP(FactSales[[#This Row],[Product_ID]],DimProduct[Product_ID],DimProduct[Product_Name])</f>
        <v>Soybean Oil 5L</v>
      </c>
      <c r="N597" s="6" t="str">
        <f>_xlfn.XLOOKUP(FactSales[[#This Row],[Product_ID]],DimProduct[Product_ID],DimProduct[Category])</f>
        <v>Grocery</v>
      </c>
      <c r="O597" s="6">
        <f>_xlfn.XLOOKUP(FactSales[[#This Row],[Product_ID]],DimProduct[Product_ID],DimProduct[Unit_Price])</f>
        <v>370</v>
      </c>
      <c r="P597" s="6">
        <f>_xlfn.XLOOKUP(FactSales[[#This Row],[Product_ID]],DimProduct[Product_ID],DimProduct[Unit_Cost])</f>
        <v>290</v>
      </c>
      <c r="Q597" s="6">
        <f>FactSales[[#This Row],[Unit_Price]]*FactSales[[#This Row],[Quantity_Sold]]</f>
        <v>1480</v>
      </c>
      <c r="R597" s="6">
        <f>FactSales[[#This Row],[Unit_Cost]]*FactSales[[#This Row],[Quantity_Sold]]</f>
        <v>1160</v>
      </c>
      <c r="S597" s="6">
        <f>FactSales[[#This Row],[Sales_Amount]]-FactSales[[#This Row],[Total_Cost]]</f>
        <v>320</v>
      </c>
      <c r="T597" s="6" t="str">
        <f>_xlfn.XLOOKUP(FactSales[[#This Row],[Customer_ID]],DimCustomer[Customer_ID],DimCustomer[Customer_Name])</f>
        <v>Karim Ahmed</v>
      </c>
      <c r="U597" s="6" t="str">
        <f>_xlfn.XLOOKUP(FactSales[[#This Row],[Salesperson_ID]],DimSalesman[Salesperson_ID],DimSalesman[Salesperson_Name])</f>
        <v>Tanvir Islam</v>
      </c>
      <c r="V597" s="6" t="str">
        <f>_xlfn.XLOOKUP(FactSales[[#This Row],[Region_ID]],DimRegion[Region_ID],DimRegion[Region_Name])</f>
        <v>Rangpur</v>
      </c>
      <c r="W597" s="6" t="str">
        <f>_xlfn.XLOOKUP(FactSales[[#This Row],[Store_ID]],DimStore[Store_ID],DimStore[Store_Name])</f>
        <v>Rangpur Jahaj Company Store</v>
      </c>
    </row>
    <row r="598" spans="1:23">
      <c r="A598" s="4" t="s">
        <v>1594</v>
      </c>
      <c r="B598" s="5">
        <v>46144</v>
      </c>
      <c r="C598" s="4" t="s">
        <v>297</v>
      </c>
      <c r="D598" s="4" t="s">
        <v>42</v>
      </c>
      <c r="E598" s="4" t="s">
        <v>671</v>
      </c>
      <c r="F598" s="4" t="s">
        <v>945</v>
      </c>
      <c r="G598" s="4" t="s">
        <v>784</v>
      </c>
      <c r="H598" s="4">
        <v>1</v>
      </c>
      <c r="I598" s="7">
        <v>0.12</v>
      </c>
      <c r="J598" s="6">
        <v>2020</v>
      </c>
      <c r="K598" s="4">
        <v>6</v>
      </c>
      <c r="L598" s="8">
        <f t="shared" si="9"/>
        <v>3</v>
      </c>
      <c r="M598" s="6" t="str">
        <f>_xlfn.XLOOKUP(FactSales[[#This Row],[Product_ID]],DimProduct[Product_ID],DimProduct[Product_Name])</f>
        <v>Cotton T-Shirt</v>
      </c>
      <c r="N598" s="6" t="str">
        <f>_xlfn.XLOOKUP(FactSales[[#This Row],[Product_ID]],DimProduct[Product_ID],DimProduct[Category])</f>
        <v>Fashion</v>
      </c>
      <c r="O598" s="6">
        <f>_xlfn.XLOOKUP(FactSales[[#This Row],[Product_ID]],DimProduct[Product_ID],DimProduct[Unit_Price])</f>
        <v>1870</v>
      </c>
      <c r="P598" s="6">
        <f>_xlfn.XLOOKUP(FactSales[[#This Row],[Product_ID]],DimProduct[Product_ID],DimProduct[Unit_Cost])</f>
        <v>1030</v>
      </c>
      <c r="Q598" s="6">
        <f>FactSales[[#This Row],[Unit_Price]]*FactSales[[#This Row],[Quantity_Sold]]</f>
        <v>1870</v>
      </c>
      <c r="R598" s="6">
        <f>FactSales[[#This Row],[Unit_Cost]]*FactSales[[#This Row],[Quantity_Sold]]</f>
        <v>1030</v>
      </c>
      <c r="S598" s="6">
        <f>FactSales[[#This Row],[Sales_Amount]]-FactSales[[#This Row],[Total_Cost]]</f>
        <v>840</v>
      </c>
      <c r="T598" s="6" t="str">
        <f>_xlfn.XLOOKUP(FactSales[[#This Row],[Customer_ID]],DimCustomer[Customer_ID],DimCustomer[Customer_Name])</f>
        <v>Tanjim Akter</v>
      </c>
      <c r="U598" s="6" t="str">
        <f>_xlfn.XLOOKUP(FactSales[[#This Row],[Salesperson_ID]],DimSalesman[Salesperson_ID],DimSalesman[Salesperson_Name])</f>
        <v>Hasan Khan</v>
      </c>
      <c r="V598" s="6" t="str">
        <f>_xlfn.XLOOKUP(FactSales[[#This Row],[Region_ID]],DimRegion[Region_ID],DimRegion[Region_Name])</f>
        <v>Rajshahi</v>
      </c>
      <c r="W598" s="6" t="str">
        <f>_xlfn.XLOOKUP(FactSales[[#This Row],[Store_ID]],DimStore[Store_ID],DimStore[Store_Name])</f>
        <v>Rajshahi Kazla Store</v>
      </c>
    </row>
    <row r="599" spans="1:23">
      <c r="A599" s="4" t="s">
        <v>1595</v>
      </c>
      <c r="B599" s="5">
        <v>46114</v>
      </c>
      <c r="C599" s="4" t="s">
        <v>572</v>
      </c>
      <c r="D599" s="4" t="s">
        <v>62</v>
      </c>
      <c r="E599" s="4" t="s">
        <v>731</v>
      </c>
      <c r="F599" s="4" t="s">
        <v>978</v>
      </c>
      <c r="G599" s="4" t="s">
        <v>905</v>
      </c>
      <c r="H599" s="4">
        <v>2</v>
      </c>
      <c r="I599" s="7">
        <v>0.12</v>
      </c>
      <c r="J599" s="6">
        <v>12679</v>
      </c>
      <c r="K599" s="4">
        <v>5</v>
      </c>
      <c r="L599" s="8">
        <f t="shared" si="9"/>
        <v>3.3</v>
      </c>
      <c r="M599" s="6" t="str">
        <f>_xlfn.XLOOKUP(FactSales[[#This Row],[Product_ID]],DimProduct[Product_ID],DimProduct[Product_Name])</f>
        <v>Bedside Table</v>
      </c>
      <c r="N599" s="6" t="str">
        <f>_xlfn.XLOOKUP(FactSales[[#This Row],[Product_ID]],DimProduct[Product_ID],DimProduct[Category])</f>
        <v>Furniture</v>
      </c>
      <c r="O599" s="6">
        <f>_xlfn.XLOOKUP(FactSales[[#This Row],[Product_ID]],DimProduct[Product_ID],DimProduct[Unit_Price])</f>
        <v>5870</v>
      </c>
      <c r="P599" s="6">
        <f>_xlfn.XLOOKUP(FactSales[[#This Row],[Product_ID]],DimProduct[Product_ID],DimProduct[Unit_Cost])</f>
        <v>4230</v>
      </c>
      <c r="Q599" s="6">
        <f>FactSales[[#This Row],[Unit_Price]]*FactSales[[#This Row],[Quantity_Sold]]</f>
        <v>11740</v>
      </c>
      <c r="R599" s="6">
        <f>FactSales[[#This Row],[Unit_Cost]]*FactSales[[#This Row],[Quantity_Sold]]</f>
        <v>8460</v>
      </c>
      <c r="S599" s="6">
        <f>FactSales[[#This Row],[Sales_Amount]]-FactSales[[#This Row],[Total_Cost]]</f>
        <v>3280</v>
      </c>
      <c r="T599" s="6" t="str">
        <f>_xlfn.XLOOKUP(FactSales[[#This Row],[Customer_ID]],DimCustomer[Customer_ID],DimCustomer[Customer_Name])</f>
        <v>Rasel Hossain</v>
      </c>
      <c r="U599" s="6" t="str">
        <f>_xlfn.XLOOKUP(FactSales[[#This Row],[Salesperson_ID]],DimSalesman[Salesperson_ID],DimSalesman[Salesperson_Name])</f>
        <v>Sajib Rahman</v>
      </c>
      <c r="V599" s="6" t="str">
        <f>_xlfn.XLOOKUP(FactSales[[#This Row],[Region_ID]],DimRegion[Region_ID],DimRegion[Region_Name])</f>
        <v>Mymensingh</v>
      </c>
      <c r="W599" s="6" t="str">
        <f>_xlfn.XLOOKUP(FactSales[[#This Row],[Store_ID]],DimStore[Store_ID],DimStore[Store_Name])</f>
        <v>Mymensingh Town Hall Store</v>
      </c>
    </row>
    <row r="600" spans="1:23">
      <c r="A600" s="4" t="s">
        <v>1596</v>
      </c>
      <c r="B600" s="5">
        <v>46129</v>
      </c>
      <c r="C600" s="4" t="s">
        <v>329</v>
      </c>
      <c r="D600" s="4" t="s">
        <v>42</v>
      </c>
      <c r="E600" s="4" t="s">
        <v>674</v>
      </c>
      <c r="F600" s="4" t="s">
        <v>949</v>
      </c>
      <c r="G600" s="4" t="s">
        <v>882</v>
      </c>
      <c r="H600" s="4">
        <v>2</v>
      </c>
      <c r="I600" s="7">
        <v>0.03</v>
      </c>
      <c r="J600" s="6">
        <v>3931</v>
      </c>
      <c r="K600" s="4">
        <v>3</v>
      </c>
      <c r="L600" s="8">
        <f t="shared" si="9"/>
        <v>4.2</v>
      </c>
      <c r="M600" s="6" t="str">
        <f>_xlfn.XLOOKUP(FactSales[[#This Row],[Product_ID]],DimProduct[Product_ID],DimProduct[Product_Name])</f>
        <v>Toy Car Set</v>
      </c>
      <c r="N600" s="6" t="str">
        <f>_xlfn.XLOOKUP(FactSales[[#This Row],[Product_ID]],DimProduct[Product_ID],DimProduct[Category])</f>
        <v>Kids &amp; Toys</v>
      </c>
      <c r="O600" s="6">
        <f>_xlfn.XLOOKUP(FactSales[[#This Row],[Product_ID]],DimProduct[Product_ID],DimProduct[Unit_Price])</f>
        <v>1820</v>
      </c>
      <c r="P600" s="6">
        <f>_xlfn.XLOOKUP(FactSales[[#This Row],[Product_ID]],DimProduct[Product_ID],DimProduct[Unit_Cost])</f>
        <v>1000</v>
      </c>
      <c r="Q600" s="6">
        <f>FactSales[[#This Row],[Unit_Price]]*FactSales[[#This Row],[Quantity_Sold]]</f>
        <v>3640</v>
      </c>
      <c r="R600" s="6">
        <f>FactSales[[#This Row],[Unit_Cost]]*FactSales[[#This Row],[Quantity_Sold]]</f>
        <v>2000</v>
      </c>
      <c r="S600" s="6">
        <f>FactSales[[#This Row],[Sales_Amount]]-FactSales[[#This Row],[Total_Cost]]</f>
        <v>1640</v>
      </c>
      <c r="T600" s="6" t="str">
        <f>_xlfn.XLOOKUP(FactSales[[#This Row],[Customer_ID]],DimCustomer[Customer_ID],DimCustomer[Customer_Name])</f>
        <v>Mim Chowdhury</v>
      </c>
      <c r="U600" s="6" t="str">
        <f>_xlfn.XLOOKUP(FactSales[[#This Row],[Salesperson_ID]],DimSalesman[Salesperson_ID],DimSalesman[Salesperson_Name])</f>
        <v>Mahmud Chowdhury</v>
      </c>
      <c r="V600" s="6" t="str">
        <f>_xlfn.XLOOKUP(FactSales[[#This Row],[Region_ID]],DimRegion[Region_ID],DimRegion[Region_Name])</f>
        <v>Rajshahi</v>
      </c>
      <c r="W600" s="6" t="str">
        <f>_xlfn.XLOOKUP(FactSales[[#This Row],[Store_ID]],DimStore[Store_ID],DimStore[Store_Name])</f>
        <v>Rajshahi Uposhohor Store</v>
      </c>
    </row>
    <row r="601" spans="1:23">
      <c r="A601" s="4" t="s">
        <v>1597</v>
      </c>
      <c r="B601" s="5">
        <v>45837</v>
      </c>
      <c r="C601" s="4" t="s">
        <v>579</v>
      </c>
      <c r="D601" s="4" t="s">
        <v>62</v>
      </c>
      <c r="E601" s="4" t="s">
        <v>734</v>
      </c>
      <c r="F601" s="4" t="s">
        <v>983</v>
      </c>
      <c r="G601" s="4" t="s">
        <v>825</v>
      </c>
      <c r="H601" s="4">
        <v>2</v>
      </c>
      <c r="I601" s="7">
        <v>0.05</v>
      </c>
      <c r="J601" s="6">
        <v>2506</v>
      </c>
      <c r="K601" s="4">
        <v>8</v>
      </c>
      <c r="L601" s="8">
        <f t="shared" si="9"/>
        <v>2.5</v>
      </c>
      <c r="M601" s="6" t="str">
        <f>_xlfn.XLOOKUP(FactSales[[#This Row],[Product_ID]],DimProduct[Product_ID],DimProduct[Product_Name])</f>
        <v>Body Lotion</v>
      </c>
      <c r="N601" s="6" t="str">
        <f>_xlfn.XLOOKUP(FactSales[[#This Row],[Product_ID]],DimProduct[Product_ID],DimProduct[Category])</f>
        <v>Beauty &amp; Personal Care</v>
      </c>
      <c r="O601" s="6">
        <f>_xlfn.XLOOKUP(FactSales[[#This Row],[Product_ID]],DimProduct[Product_ID],DimProduct[Unit_Price])</f>
        <v>1160</v>
      </c>
      <c r="P601" s="6">
        <f>_xlfn.XLOOKUP(FactSales[[#This Row],[Product_ID]],DimProduct[Product_ID],DimProduct[Unit_Cost])</f>
        <v>670</v>
      </c>
      <c r="Q601" s="6">
        <f>FactSales[[#This Row],[Unit_Price]]*FactSales[[#This Row],[Quantity_Sold]]</f>
        <v>2320</v>
      </c>
      <c r="R601" s="6">
        <f>FactSales[[#This Row],[Unit_Cost]]*FactSales[[#This Row],[Quantity_Sold]]</f>
        <v>1340</v>
      </c>
      <c r="S601" s="6">
        <f>FactSales[[#This Row],[Sales_Amount]]-FactSales[[#This Row],[Total_Cost]]</f>
        <v>980</v>
      </c>
      <c r="T601" s="6" t="str">
        <f>_xlfn.XLOOKUP(FactSales[[#This Row],[Customer_ID]],DimCustomer[Customer_ID],DimCustomer[Customer_Name])</f>
        <v>Nabila Khan</v>
      </c>
      <c r="U601" s="6" t="str">
        <f>_xlfn.XLOOKUP(FactSales[[#This Row],[Salesperson_ID]],DimSalesman[Salesperson_ID],DimSalesman[Salesperson_Name])</f>
        <v>Fahim Hossain</v>
      </c>
      <c r="V601" s="6" t="str">
        <f>_xlfn.XLOOKUP(FactSales[[#This Row],[Region_ID]],DimRegion[Region_ID],DimRegion[Region_Name])</f>
        <v>Mymensingh</v>
      </c>
      <c r="W601" s="6" t="str">
        <f>_xlfn.XLOOKUP(FactSales[[#This Row],[Store_ID]],DimStore[Store_ID],DimStore[Store_Name])</f>
        <v>Mymensingh Charpara Store</v>
      </c>
    </row>
    <row r="602" spans="1:23">
      <c r="A602" s="4" t="s">
        <v>1598</v>
      </c>
      <c r="B602" s="5">
        <v>45755</v>
      </c>
      <c r="C602" s="4" t="s">
        <v>522</v>
      </c>
      <c r="D602" s="4" t="s">
        <v>57</v>
      </c>
      <c r="E602" s="4" t="s">
        <v>722</v>
      </c>
      <c r="F602" s="4" t="s">
        <v>977</v>
      </c>
      <c r="G602" s="4" t="s">
        <v>762</v>
      </c>
      <c r="H602" s="4">
        <v>2</v>
      </c>
      <c r="I602" s="7">
        <v>0.1</v>
      </c>
      <c r="J602" s="6">
        <v>8901</v>
      </c>
      <c r="K602" s="4">
        <v>7</v>
      </c>
      <c r="L602" s="8">
        <f t="shared" si="9"/>
        <v>2.7</v>
      </c>
      <c r="M602" s="6" t="str">
        <f>_xlfn.XLOOKUP(FactSales[[#This Row],[Product_ID]],DimProduct[Product_ID],DimProduct[Product_Name])</f>
        <v>Smart Watch</v>
      </c>
      <c r="N602" s="6" t="str">
        <f>_xlfn.XLOOKUP(FactSales[[#This Row],[Product_ID]],DimProduct[Product_ID],DimProduct[Category])</f>
        <v>Electronics</v>
      </c>
      <c r="O602" s="6">
        <f>_xlfn.XLOOKUP(FactSales[[#This Row],[Product_ID]],DimProduct[Product_ID],DimProduct[Unit_Price])</f>
        <v>3870</v>
      </c>
      <c r="P602" s="6">
        <f>_xlfn.XLOOKUP(FactSales[[#This Row],[Product_ID]],DimProduct[Product_ID],DimProduct[Unit_Cost])</f>
        <v>2630</v>
      </c>
      <c r="Q602" s="6">
        <f>FactSales[[#This Row],[Unit_Price]]*FactSales[[#This Row],[Quantity_Sold]]</f>
        <v>7740</v>
      </c>
      <c r="R602" s="6">
        <f>FactSales[[#This Row],[Unit_Cost]]*FactSales[[#This Row],[Quantity_Sold]]</f>
        <v>5260</v>
      </c>
      <c r="S602" s="6">
        <f>FactSales[[#This Row],[Sales_Amount]]-FactSales[[#This Row],[Total_Cost]]</f>
        <v>2480</v>
      </c>
      <c r="T602" s="6" t="str">
        <f>_xlfn.XLOOKUP(FactSales[[#This Row],[Customer_ID]],DimCustomer[Customer_ID],DimCustomer[Customer_Name])</f>
        <v>Shamim Uddin</v>
      </c>
      <c r="U602" s="6" t="str">
        <f>_xlfn.XLOOKUP(FactSales[[#This Row],[Salesperson_ID]],DimSalesman[Salesperson_ID],DimSalesman[Salesperson_Name])</f>
        <v>Tania Hossain</v>
      </c>
      <c r="V602" s="6" t="str">
        <f>_xlfn.XLOOKUP(FactSales[[#This Row],[Region_ID]],DimRegion[Region_ID],DimRegion[Region_Name])</f>
        <v>Rangpur</v>
      </c>
      <c r="W602" s="6" t="str">
        <f>_xlfn.XLOOKUP(FactSales[[#This Row],[Store_ID]],DimStore[Store_ID],DimStore[Store_Name])</f>
        <v>Rangpur Dhap Store</v>
      </c>
    </row>
    <row r="603" spans="1:23">
      <c r="A603" s="4" t="s">
        <v>1599</v>
      </c>
      <c r="B603" s="5">
        <v>45880</v>
      </c>
      <c r="C603" s="4" t="s">
        <v>413</v>
      </c>
      <c r="D603" s="4" t="s">
        <v>47</v>
      </c>
      <c r="E603" s="4" t="s">
        <v>683</v>
      </c>
      <c r="F603" s="4" t="s">
        <v>958</v>
      </c>
      <c r="G603" s="4" t="s">
        <v>850</v>
      </c>
      <c r="H603" s="4">
        <v>6</v>
      </c>
      <c r="I603" s="7">
        <v>0.1</v>
      </c>
      <c r="J603" s="6">
        <v>17266</v>
      </c>
      <c r="K603" s="4">
        <v>2</v>
      </c>
      <c r="L603" s="8">
        <f t="shared" si="9"/>
        <v>4.3</v>
      </c>
      <c r="M603" s="6" t="str">
        <f>_xlfn.XLOOKUP(FactSales[[#This Row],[Product_ID]],DimProduct[Product_ID],DimProduct[Product_Name])</f>
        <v>Cricket Bat</v>
      </c>
      <c r="N603" s="6" t="str">
        <f>_xlfn.XLOOKUP(FactSales[[#This Row],[Product_ID]],DimProduct[Product_ID],DimProduct[Category])</f>
        <v>Sports</v>
      </c>
      <c r="O603" s="6">
        <f>_xlfn.XLOOKUP(FactSales[[#This Row],[Product_ID]],DimProduct[Product_ID],DimProduct[Unit_Price])</f>
        <v>2640</v>
      </c>
      <c r="P603" s="6">
        <f>_xlfn.XLOOKUP(FactSales[[#This Row],[Product_ID]],DimProduct[Product_ID],DimProduct[Unit_Cost])</f>
        <v>1640</v>
      </c>
      <c r="Q603" s="6">
        <f>FactSales[[#This Row],[Unit_Price]]*FactSales[[#This Row],[Quantity_Sold]]</f>
        <v>15840</v>
      </c>
      <c r="R603" s="6">
        <f>FactSales[[#This Row],[Unit_Cost]]*FactSales[[#This Row],[Quantity_Sold]]</f>
        <v>9840</v>
      </c>
      <c r="S603" s="6">
        <f>FactSales[[#This Row],[Sales_Amount]]-FactSales[[#This Row],[Total_Cost]]</f>
        <v>6000</v>
      </c>
      <c r="T603" s="6" t="str">
        <f>_xlfn.XLOOKUP(FactSales[[#This Row],[Customer_ID]],DimCustomer[Customer_ID],DimCustomer[Customer_Name])</f>
        <v>Samiha Sultana</v>
      </c>
      <c r="U603" s="6" t="str">
        <f>_xlfn.XLOOKUP(FactSales[[#This Row],[Salesperson_ID]],DimSalesman[Salesperson_ID],DimSalesman[Salesperson_Name])</f>
        <v>Fahim Uddin</v>
      </c>
      <c r="V603" s="6" t="str">
        <f>_xlfn.XLOOKUP(FactSales[[#This Row],[Region_ID]],DimRegion[Region_ID],DimRegion[Region_Name])</f>
        <v>Khulna</v>
      </c>
      <c r="W603" s="6" t="str">
        <f>_xlfn.XLOOKUP(FactSales[[#This Row],[Store_ID]],DimStore[Store_ID],DimStore[Store_Name])</f>
        <v>Khulna Sonadanga Store</v>
      </c>
    </row>
    <row r="604" spans="1:23">
      <c r="A604" s="4" t="s">
        <v>1600</v>
      </c>
      <c r="B604" s="5">
        <v>45991</v>
      </c>
      <c r="C604" s="4" t="s">
        <v>180</v>
      </c>
      <c r="D604" s="4" t="s">
        <v>32</v>
      </c>
      <c r="E604" s="4" t="s">
        <v>638</v>
      </c>
      <c r="F604" s="4" t="s">
        <v>922</v>
      </c>
      <c r="G604" s="4" t="s">
        <v>797</v>
      </c>
      <c r="H604" s="4">
        <v>2</v>
      </c>
      <c r="I604" s="7">
        <v>0.05</v>
      </c>
      <c r="J604" s="6">
        <v>5974</v>
      </c>
      <c r="K604" s="4">
        <v>5</v>
      </c>
      <c r="L604" s="8">
        <f t="shared" si="9"/>
        <v>3.5</v>
      </c>
      <c r="M604" s="6" t="str">
        <f>_xlfn.XLOOKUP(FactSales[[#This Row],[Product_ID]],DimProduct[Product_ID],DimProduct[Product_Name])</f>
        <v>Leather Belt</v>
      </c>
      <c r="N604" s="6" t="str">
        <f>_xlfn.XLOOKUP(FactSales[[#This Row],[Product_ID]],DimProduct[Product_ID],DimProduct[Category])</f>
        <v>Fashion</v>
      </c>
      <c r="O604" s="6">
        <f>_xlfn.XLOOKUP(FactSales[[#This Row],[Product_ID]],DimProduct[Product_ID],DimProduct[Unit_Price])</f>
        <v>2620</v>
      </c>
      <c r="P604" s="6">
        <f>_xlfn.XLOOKUP(FactSales[[#This Row],[Product_ID]],DimProduct[Product_ID],DimProduct[Unit_Cost])</f>
        <v>1440</v>
      </c>
      <c r="Q604" s="6">
        <f>FactSales[[#This Row],[Unit_Price]]*FactSales[[#This Row],[Quantity_Sold]]</f>
        <v>5240</v>
      </c>
      <c r="R604" s="6">
        <f>FactSales[[#This Row],[Unit_Cost]]*FactSales[[#This Row],[Quantity_Sold]]</f>
        <v>2880</v>
      </c>
      <c r="S604" s="6">
        <f>FactSales[[#This Row],[Sales_Amount]]-FactSales[[#This Row],[Total_Cost]]</f>
        <v>2360</v>
      </c>
      <c r="T604" s="6" t="str">
        <f>_xlfn.XLOOKUP(FactSales[[#This Row],[Customer_ID]],DimCustomer[Customer_ID],DimCustomer[Customer_Name])</f>
        <v>Jannat Islam</v>
      </c>
      <c r="U604" s="6" t="str">
        <f>_xlfn.XLOOKUP(FactSales[[#This Row],[Salesperson_ID]],DimSalesman[Salesperson_ID],DimSalesman[Salesperson_Name])</f>
        <v>Rafi Sultana</v>
      </c>
      <c r="V604" s="6" t="str">
        <f>_xlfn.XLOOKUP(FactSales[[#This Row],[Region_ID]],DimRegion[Region_ID],DimRegion[Region_Name])</f>
        <v>Chattogram</v>
      </c>
      <c r="W604" s="6" t="str">
        <f>_xlfn.XLOOKUP(FactSales[[#This Row],[Store_ID]],DimStore[Store_ID],DimStore[Store_Name])</f>
        <v>Chattogram Agrabad Store</v>
      </c>
    </row>
    <row r="605" spans="1:23">
      <c r="A605" s="4" t="s">
        <v>1601</v>
      </c>
      <c r="B605" s="5">
        <v>46130</v>
      </c>
      <c r="C605" s="4" t="s">
        <v>551</v>
      </c>
      <c r="D605" s="4" t="s">
        <v>62</v>
      </c>
      <c r="E605" s="4" t="s">
        <v>728</v>
      </c>
      <c r="F605" s="4" t="s">
        <v>987</v>
      </c>
      <c r="G605" s="4" t="s">
        <v>844</v>
      </c>
      <c r="H605" s="4">
        <v>4</v>
      </c>
      <c r="I605" s="7">
        <v>0.1</v>
      </c>
      <c r="J605" s="6">
        <v>11578</v>
      </c>
      <c r="K605" s="4">
        <v>6</v>
      </c>
      <c r="L605" s="8">
        <f t="shared" si="9"/>
        <v>3.1</v>
      </c>
      <c r="M605" s="6" t="str">
        <f>_xlfn.XLOOKUP(FactSales[[#This Row],[Product_ID]],DimProduct[Product_ID],DimProduct[Product_Name])</f>
        <v>Kids Sneaker</v>
      </c>
      <c r="N605" s="6" t="str">
        <f>_xlfn.XLOOKUP(FactSales[[#This Row],[Product_ID]],DimProduct[Product_ID],DimProduct[Category])</f>
        <v>Footwear</v>
      </c>
      <c r="O605" s="6">
        <f>_xlfn.XLOOKUP(FactSales[[#This Row],[Product_ID]],DimProduct[Product_ID],DimProduct[Unit_Price])</f>
        <v>2680</v>
      </c>
      <c r="P605" s="6">
        <f>_xlfn.XLOOKUP(FactSales[[#This Row],[Product_ID]],DimProduct[Product_ID],DimProduct[Unit_Cost])</f>
        <v>1610</v>
      </c>
      <c r="Q605" s="6">
        <f>FactSales[[#This Row],[Unit_Price]]*FactSales[[#This Row],[Quantity_Sold]]</f>
        <v>10720</v>
      </c>
      <c r="R605" s="6">
        <f>FactSales[[#This Row],[Unit_Cost]]*FactSales[[#This Row],[Quantity_Sold]]</f>
        <v>6440</v>
      </c>
      <c r="S605" s="6">
        <f>FactSales[[#This Row],[Sales_Amount]]-FactSales[[#This Row],[Total_Cost]]</f>
        <v>4280</v>
      </c>
      <c r="T605" s="6" t="str">
        <f>_xlfn.XLOOKUP(FactSales[[#This Row],[Customer_ID]],DimCustomer[Customer_ID],DimCustomer[Customer_Name])</f>
        <v>Samiha Islam</v>
      </c>
      <c r="U605" s="6" t="str">
        <f>_xlfn.XLOOKUP(FactSales[[#This Row],[Salesperson_ID]],DimSalesman[Salesperson_ID],DimSalesman[Salesperson_Name])</f>
        <v>Tanvir Chowdhury</v>
      </c>
      <c r="V605" s="6" t="str">
        <f>_xlfn.XLOOKUP(FactSales[[#This Row],[Region_ID]],DimRegion[Region_ID],DimRegion[Region_Name])</f>
        <v>Mymensingh</v>
      </c>
      <c r="W605" s="6" t="str">
        <f>_xlfn.XLOOKUP(FactSales[[#This Row],[Store_ID]],DimStore[Store_ID],DimStore[Store_Name])</f>
        <v>Mymensingh Ganginarpar Store</v>
      </c>
    </row>
    <row r="606" spans="1:23">
      <c r="A606" s="4" t="s">
        <v>1602</v>
      </c>
      <c r="B606" s="5">
        <v>45797</v>
      </c>
      <c r="C606" s="4" t="s">
        <v>317</v>
      </c>
      <c r="D606" s="4" t="s">
        <v>42</v>
      </c>
      <c r="E606" s="4" t="s">
        <v>668</v>
      </c>
      <c r="F606" s="4" t="s">
        <v>943</v>
      </c>
      <c r="G606" s="4" t="s">
        <v>765</v>
      </c>
      <c r="H606" s="4">
        <v>2</v>
      </c>
      <c r="I606" s="7">
        <v>0.15</v>
      </c>
      <c r="J606" s="6">
        <v>10562</v>
      </c>
      <c r="K606" s="4">
        <v>3</v>
      </c>
      <c r="L606" s="8">
        <f t="shared" si="9"/>
        <v>3.9</v>
      </c>
      <c r="M606" s="6" t="str">
        <f>_xlfn.XLOOKUP(FactSales[[#This Row],[Product_ID]],DimProduct[Product_ID],DimProduct[Product_Name])</f>
        <v>USB-C Hub</v>
      </c>
      <c r="N606" s="6" t="str">
        <f>_xlfn.XLOOKUP(FactSales[[#This Row],[Product_ID]],DimProduct[Product_ID],DimProduct[Category])</f>
        <v>Electronics</v>
      </c>
      <c r="O606" s="6">
        <f>_xlfn.XLOOKUP(FactSales[[#This Row],[Product_ID]],DimProduct[Product_ID],DimProduct[Unit_Price])</f>
        <v>4890</v>
      </c>
      <c r="P606" s="6">
        <f>_xlfn.XLOOKUP(FactSales[[#This Row],[Product_ID]],DimProduct[Product_ID],DimProduct[Unit_Cost])</f>
        <v>3330</v>
      </c>
      <c r="Q606" s="6">
        <f>FactSales[[#This Row],[Unit_Price]]*FactSales[[#This Row],[Quantity_Sold]]</f>
        <v>9780</v>
      </c>
      <c r="R606" s="6">
        <f>FactSales[[#This Row],[Unit_Cost]]*FactSales[[#This Row],[Quantity_Sold]]</f>
        <v>6660</v>
      </c>
      <c r="S606" s="6">
        <f>FactSales[[#This Row],[Sales_Amount]]-FactSales[[#This Row],[Total_Cost]]</f>
        <v>3120</v>
      </c>
      <c r="T606" s="6" t="str">
        <f>_xlfn.XLOOKUP(FactSales[[#This Row],[Customer_ID]],DimCustomer[Customer_ID],DimCustomer[Customer_Name])</f>
        <v>Imran Khan</v>
      </c>
      <c r="U606" s="6" t="str">
        <f>_xlfn.XLOOKUP(FactSales[[#This Row],[Salesperson_ID]],DimSalesman[Salesperson_ID],DimSalesman[Salesperson_Name])</f>
        <v>Imran Khan</v>
      </c>
      <c r="V606" s="6" t="str">
        <f>_xlfn.XLOOKUP(FactSales[[#This Row],[Region_ID]],DimRegion[Region_ID],DimRegion[Region_Name])</f>
        <v>Rajshahi</v>
      </c>
      <c r="W606" s="6" t="str">
        <f>_xlfn.XLOOKUP(FactSales[[#This Row],[Store_ID]],DimStore[Store_ID],DimStore[Store_Name])</f>
        <v>Rajshahi Shaheb Bazar Store</v>
      </c>
    </row>
    <row r="607" spans="1:23">
      <c r="A607" s="4" t="s">
        <v>1603</v>
      </c>
      <c r="B607" s="5">
        <v>45943</v>
      </c>
      <c r="C607" s="4" t="s">
        <v>346</v>
      </c>
      <c r="D607" s="4" t="s">
        <v>42</v>
      </c>
      <c r="E607" s="4" t="s">
        <v>677</v>
      </c>
      <c r="F607" s="4" t="s">
        <v>944</v>
      </c>
      <c r="G607" s="4" t="s">
        <v>788</v>
      </c>
      <c r="H607" s="4">
        <v>5</v>
      </c>
      <c r="I607" s="7">
        <v>0.05</v>
      </c>
      <c r="J607" s="6">
        <v>9828</v>
      </c>
      <c r="K607" s="4">
        <v>4</v>
      </c>
      <c r="L607" s="8">
        <f t="shared" si="9"/>
        <v>3.8</v>
      </c>
      <c r="M607" s="6" t="str">
        <f>_xlfn.XLOOKUP(FactSales[[#This Row],[Product_ID]],DimProduct[Product_ID],DimProduct[Product_Name])</f>
        <v>Formal Shirt</v>
      </c>
      <c r="N607" s="6" t="str">
        <f>_xlfn.XLOOKUP(FactSales[[#This Row],[Product_ID]],DimProduct[Product_ID],DimProduct[Category])</f>
        <v>Fashion</v>
      </c>
      <c r="O607" s="6">
        <f>_xlfn.XLOOKUP(FactSales[[#This Row],[Product_ID]],DimProduct[Product_ID],DimProduct[Unit_Price])</f>
        <v>1820</v>
      </c>
      <c r="P607" s="6">
        <f>_xlfn.XLOOKUP(FactSales[[#This Row],[Product_ID]],DimProduct[Product_ID],DimProduct[Unit_Cost])</f>
        <v>1000</v>
      </c>
      <c r="Q607" s="6">
        <f>FactSales[[#This Row],[Unit_Price]]*FactSales[[#This Row],[Quantity_Sold]]</f>
        <v>9100</v>
      </c>
      <c r="R607" s="6">
        <f>FactSales[[#This Row],[Unit_Cost]]*FactSales[[#This Row],[Quantity_Sold]]</f>
        <v>5000</v>
      </c>
      <c r="S607" s="6">
        <f>FactSales[[#This Row],[Sales_Amount]]-FactSales[[#This Row],[Total_Cost]]</f>
        <v>4100</v>
      </c>
      <c r="T607" s="6" t="str">
        <f>_xlfn.XLOOKUP(FactSales[[#This Row],[Customer_ID]],DimCustomer[Customer_ID],DimCustomer[Customer_Name])</f>
        <v>Hasan Ahmed</v>
      </c>
      <c r="U607" s="6" t="str">
        <f>_xlfn.XLOOKUP(FactSales[[#This Row],[Salesperson_ID]],DimSalesman[Salesperson_ID],DimSalesman[Salesperson_Name])</f>
        <v>Karim Khan</v>
      </c>
      <c r="V607" s="6" t="str">
        <f>_xlfn.XLOOKUP(FactSales[[#This Row],[Region_ID]],DimRegion[Region_ID],DimRegion[Region_Name])</f>
        <v>Rajshahi</v>
      </c>
      <c r="W607" s="6" t="str">
        <f>_xlfn.XLOOKUP(FactSales[[#This Row],[Store_ID]],DimStore[Store_ID],DimStore[Store_Name])</f>
        <v>Rajshahi Railgate Store</v>
      </c>
    </row>
    <row r="608" spans="1:23">
      <c r="A608" s="4" t="s">
        <v>1604</v>
      </c>
      <c r="B608" s="5">
        <v>46058</v>
      </c>
      <c r="C608" s="4" t="s">
        <v>130</v>
      </c>
      <c r="D608" s="4" t="s">
        <v>27</v>
      </c>
      <c r="E608" s="4" t="s">
        <v>618</v>
      </c>
      <c r="F608" s="4" t="s">
        <v>914</v>
      </c>
      <c r="G608" s="4" t="s">
        <v>768</v>
      </c>
      <c r="H608" s="4">
        <v>1</v>
      </c>
      <c r="I608" s="7">
        <v>0.08</v>
      </c>
      <c r="J608" s="6">
        <v>7632</v>
      </c>
      <c r="K608" s="4">
        <v>4</v>
      </c>
      <c r="L608" s="8">
        <f t="shared" si="9"/>
        <v>3.7</v>
      </c>
      <c r="M608" s="6" t="str">
        <f>_xlfn.XLOOKUP(FactSales[[#This Row],[Product_ID]],DimProduct[Product_ID],DimProduct[Product_Name])</f>
        <v>Electric Kettle</v>
      </c>
      <c r="N608" s="6" t="str">
        <f>_xlfn.XLOOKUP(FactSales[[#This Row],[Product_ID]],DimProduct[Product_ID],DimProduct[Category])</f>
        <v>Home Appliance</v>
      </c>
      <c r="O608" s="6">
        <f>_xlfn.XLOOKUP(FactSales[[#This Row],[Product_ID]],DimProduct[Product_ID],DimProduct[Unit_Price])</f>
        <v>7200</v>
      </c>
      <c r="P608" s="6">
        <f>_xlfn.XLOOKUP(FactSales[[#This Row],[Product_ID]],DimProduct[Product_ID],DimProduct[Unit_Cost])</f>
        <v>5040</v>
      </c>
      <c r="Q608" s="6">
        <f>FactSales[[#This Row],[Unit_Price]]*FactSales[[#This Row],[Quantity_Sold]]</f>
        <v>7200</v>
      </c>
      <c r="R608" s="6">
        <f>FactSales[[#This Row],[Unit_Cost]]*FactSales[[#This Row],[Quantity_Sold]]</f>
        <v>5040</v>
      </c>
      <c r="S608" s="6">
        <f>FactSales[[#This Row],[Sales_Amount]]-FactSales[[#This Row],[Total_Cost]]</f>
        <v>2160</v>
      </c>
      <c r="T608" s="6" t="str">
        <f>_xlfn.XLOOKUP(FactSales[[#This Row],[Customer_ID]],DimCustomer[Customer_ID],DimCustomer[Customer_Name])</f>
        <v>Tanjim Ahmed</v>
      </c>
      <c r="U608" s="6" t="str">
        <f>_xlfn.XLOOKUP(FactSales[[#This Row],[Salesperson_ID]],DimSalesman[Salesperson_ID],DimSalesman[Salesperson_Name])</f>
        <v>Rasel Rahman</v>
      </c>
      <c r="V608" s="6" t="str">
        <f>_xlfn.XLOOKUP(FactSales[[#This Row],[Region_ID]],DimRegion[Region_ID],DimRegion[Region_Name])</f>
        <v>Dhaka</v>
      </c>
      <c r="W608" s="6" t="str">
        <f>_xlfn.XLOOKUP(FactSales[[#This Row],[Store_ID]],DimStore[Store_ID],DimStore[Store_Name])</f>
        <v>Dhaka Gulshan Store</v>
      </c>
    </row>
    <row r="609" spans="1:23">
      <c r="A609" s="4" t="s">
        <v>1605</v>
      </c>
      <c r="B609" s="5">
        <v>45879</v>
      </c>
      <c r="C609" s="4" t="s">
        <v>436</v>
      </c>
      <c r="D609" s="4" t="s">
        <v>52</v>
      </c>
      <c r="E609" s="4" t="s">
        <v>701</v>
      </c>
      <c r="F609" s="4" t="s">
        <v>966</v>
      </c>
      <c r="G609" s="4" t="s">
        <v>750</v>
      </c>
      <c r="H609" s="4">
        <v>2</v>
      </c>
      <c r="I609" s="7">
        <v>0.08</v>
      </c>
      <c r="J609" s="6">
        <v>7258</v>
      </c>
      <c r="K609" s="4">
        <v>4</v>
      </c>
      <c r="L609" s="8">
        <f t="shared" si="9"/>
        <v>3.7</v>
      </c>
      <c r="M609" s="6" t="str">
        <f>_xlfn.XLOOKUP(FactSales[[#This Row],[Product_ID]],DimProduct[Product_ID],DimProduct[Product_Name])</f>
        <v>Bluetooth Speaker</v>
      </c>
      <c r="N609" s="6" t="str">
        <f>_xlfn.XLOOKUP(FactSales[[#This Row],[Product_ID]],DimProduct[Product_ID],DimProduct[Category])</f>
        <v>Electronics</v>
      </c>
      <c r="O609" s="6">
        <f>_xlfn.XLOOKUP(FactSales[[#This Row],[Product_ID]],DimProduct[Product_ID],DimProduct[Unit_Price])</f>
        <v>3240</v>
      </c>
      <c r="P609" s="6">
        <f>_xlfn.XLOOKUP(FactSales[[#This Row],[Product_ID]],DimProduct[Product_ID],DimProduct[Unit_Cost])</f>
        <v>2200</v>
      </c>
      <c r="Q609" s="6">
        <f>FactSales[[#This Row],[Unit_Price]]*FactSales[[#This Row],[Quantity_Sold]]</f>
        <v>6480</v>
      </c>
      <c r="R609" s="6">
        <f>FactSales[[#This Row],[Unit_Cost]]*FactSales[[#This Row],[Quantity_Sold]]</f>
        <v>4400</v>
      </c>
      <c r="S609" s="6">
        <f>FactSales[[#This Row],[Sales_Amount]]-FactSales[[#This Row],[Total_Cost]]</f>
        <v>2080</v>
      </c>
      <c r="T609" s="6" t="str">
        <f>_xlfn.XLOOKUP(FactSales[[#This Row],[Customer_ID]],DimCustomer[Customer_ID],DimCustomer[Customer_Name])</f>
        <v>Shamim Ahmed</v>
      </c>
      <c r="U609" s="6" t="str">
        <f>_xlfn.XLOOKUP(FactSales[[#This Row],[Salesperson_ID]],DimSalesman[Salesperson_ID],DimSalesman[Salesperson_Name])</f>
        <v>Nayeem Akter</v>
      </c>
      <c r="V609" s="6" t="str">
        <f>_xlfn.XLOOKUP(FactSales[[#This Row],[Region_ID]],DimRegion[Region_ID],DimRegion[Region_Name])</f>
        <v>Barishal</v>
      </c>
      <c r="W609" s="6" t="str">
        <f>_xlfn.XLOOKUP(FactSales[[#This Row],[Store_ID]],DimStore[Store_ID],DimStore[Store_Name])</f>
        <v>Barishal Sadar Road Store</v>
      </c>
    </row>
    <row r="610" spans="1:23">
      <c r="A610" s="4" t="s">
        <v>1606</v>
      </c>
      <c r="B610" s="5">
        <v>45662</v>
      </c>
      <c r="C610" s="4" t="s">
        <v>183</v>
      </c>
      <c r="D610" s="4" t="s">
        <v>32</v>
      </c>
      <c r="E610" s="4" t="s">
        <v>644</v>
      </c>
      <c r="F610" s="4" t="s">
        <v>927</v>
      </c>
      <c r="G610" s="4" t="s">
        <v>750</v>
      </c>
      <c r="H610" s="4">
        <v>1</v>
      </c>
      <c r="I610" s="7">
        <v>0.15</v>
      </c>
      <c r="J610" s="6">
        <v>3694</v>
      </c>
      <c r="K610" s="4">
        <v>5</v>
      </c>
      <c r="L610" s="8">
        <f t="shared" si="9"/>
        <v>3.3</v>
      </c>
      <c r="M610" s="6" t="str">
        <f>_xlfn.XLOOKUP(FactSales[[#This Row],[Product_ID]],DimProduct[Product_ID],DimProduct[Product_Name])</f>
        <v>Bluetooth Speaker</v>
      </c>
      <c r="N610" s="6" t="str">
        <f>_xlfn.XLOOKUP(FactSales[[#This Row],[Product_ID]],DimProduct[Product_ID],DimProduct[Category])</f>
        <v>Electronics</v>
      </c>
      <c r="O610" s="6">
        <f>_xlfn.XLOOKUP(FactSales[[#This Row],[Product_ID]],DimProduct[Product_ID],DimProduct[Unit_Price])</f>
        <v>3240</v>
      </c>
      <c r="P610" s="6">
        <f>_xlfn.XLOOKUP(FactSales[[#This Row],[Product_ID]],DimProduct[Product_ID],DimProduct[Unit_Cost])</f>
        <v>2200</v>
      </c>
      <c r="Q610" s="6">
        <f>FactSales[[#This Row],[Unit_Price]]*FactSales[[#This Row],[Quantity_Sold]]</f>
        <v>3240</v>
      </c>
      <c r="R610" s="6">
        <f>FactSales[[#This Row],[Unit_Cost]]*FactSales[[#This Row],[Quantity_Sold]]</f>
        <v>2200</v>
      </c>
      <c r="S610" s="6">
        <f>FactSales[[#This Row],[Sales_Amount]]-FactSales[[#This Row],[Total_Cost]]</f>
        <v>1040</v>
      </c>
      <c r="T610" s="6" t="str">
        <f>_xlfn.XLOOKUP(FactSales[[#This Row],[Customer_ID]],DimCustomer[Customer_ID],DimCustomer[Customer_Name])</f>
        <v>Tanjim Akter</v>
      </c>
      <c r="U610" s="6" t="str">
        <f>_xlfn.XLOOKUP(FactSales[[#This Row],[Salesperson_ID]],DimSalesman[Salesperson_ID],DimSalesman[Salesperson_Name])</f>
        <v>Shakib Ahmed</v>
      </c>
      <c r="V610" s="6" t="str">
        <f>_xlfn.XLOOKUP(FactSales[[#This Row],[Region_ID]],DimRegion[Region_ID],DimRegion[Region_Name])</f>
        <v>Chattogram</v>
      </c>
      <c r="W610" s="6" t="str">
        <f>_xlfn.XLOOKUP(FactSales[[#This Row],[Store_ID]],DimStore[Store_ID],DimStore[Store_Name])</f>
        <v>Chattogram Panchlaish Store</v>
      </c>
    </row>
    <row r="611" spans="1:23">
      <c r="A611" s="4" t="s">
        <v>1607</v>
      </c>
      <c r="B611" s="5">
        <v>45686</v>
      </c>
      <c r="C611" s="4" t="s">
        <v>442</v>
      </c>
      <c r="D611" s="4" t="s">
        <v>52</v>
      </c>
      <c r="E611" s="4" t="s">
        <v>701</v>
      </c>
      <c r="F611" s="4" t="s">
        <v>960</v>
      </c>
      <c r="G611" s="4" t="s">
        <v>750</v>
      </c>
      <c r="H611" s="4">
        <v>10</v>
      </c>
      <c r="I611" s="7">
        <v>0.12</v>
      </c>
      <c r="J611" s="6">
        <v>36288</v>
      </c>
      <c r="K611" s="4">
        <v>1</v>
      </c>
      <c r="L611" s="8">
        <f t="shared" si="9"/>
        <v>4.5999999999999996</v>
      </c>
      <c r="M611" s="6" t="str">
        <f>_xlfn.XLOOKUP(FactSales[[#This Row],[Product_ID]],DimProduct[Product_ID],DimProduct[Product_Name])</f>
        <v>Bluetooth Speaker</v>
      </c>
      <c r="N611" s="6" t="str">
        <f>_xlfn.XLOOKUP(FactSales[[#This Row],[Product_ID]],DimProduct[Product_ID],DimProduct[Category])</f>
        <v>Electronics</v>
      </c>
      <c r="O611" s="6">
        <f>_xlfn.XLOOKUP(FactSales[[#This Row],[Product_ID]],DimProduct[Product_ID],DimProduct[Unit_Price])</f>
        <v>3240</v>
      </c>
      <c r="P611" s="6">
        <f>_xlfn.XLOOKUP(FactSales[[#This Row],[Product_ID]],DimProduct[Product_ID],DimProduct[Unit_Cost])</f>
        <v>2200</v>
      </c>
      <c r="Q611" s="6">
        <f>FactSales[[#This Row],[Unit_Price]]*FactSales[[#This Row],[Quantity_Sold]]</f>
        <v>32400</v>
      </c>
      <c r="R611" s="6">
        <f>FactSales[[#This Row],[Unit_Cost]]*FactSales[[#This Row],[Quantity_Sold]]</f>
        <v>22000</v>
      </c>
      <c r="S611" s="6">
        <f>FactSales[[#This Row],[Sales_Amount]]-FactSales[[#This Row],[Total_Cost]]</f>
        <v>10400</v>
      </c>
      <c r="T611" s="6" t="str">
        <f>_xlfn.XLOOKUP(FactSales[[#This Row],[Customer_ID]],DimCustomer[Customer_ID],DimCustomer[Customer_Name])</f>
        <v>Rasel Chowdhury</v>
      </c>
      <c r="U611" s="6" t="str">
        <f>_xlfn.XLOOKUP(FactSales[[#This Row],[Salesperson_ID]],DimSalesman[Salesperson_ID],DimSalesman[Salesperson_Name])</f>
        <v>Mim Akter</v>
      </c>
      <c r="V611" s="6" t="str">
        <f>_xlfn.XLOOKUP(FactSales[[#This Row],[Region_ID]],DimRegion[Region_ID],DimRegion[Region_Name])</f>
        <v>Barishal</v>
      </c>
      <c r="W611" s="6" t="str">
        <f>_xlfn.XLOOKUP(FactSales[[#This Row],[Store_ID]],DimStore[Store_ID],DimStore[Store_Name])</f>
        <v>Barishal Sadar Road Store</v>
      </c>
    </row>
    <row r="612" spans="1:23">
      <c r="A612" s="4" t="s">
        <v>1608</v>
      </c>
      <c r="B612" s="5">
        <v>45756</v>
      </c>
      <c r="C612" s="4" t="s">
        <v>344</v>
      </c>
      <c r="D612" s="4" t="s">
        <v>42</v>
      </c>
      <c r="E612" s="4" t="s">
        <v>668</v>
      </c>
      <c r="F612" s="4" t="s">
        <v>944</v>
      </c>
      <c r="G612" s="4" t="s">
        <v>900</v>
      </c>
      <c r="H612" s="4">
        <v>6</v>
      </c>
      <c r="I612" s="7">
        <v>0.05</v>
      </c>
      <c r="J612" s="6">
        <v>34474</v>
      </c>
      <c r="K612" s="4">
        <v>6</v>
      </c>
      <c r="L612" s="8">
        <f t="shared" si="9"/>
        <v>3.2</v>
      </c>
      <c r="M612" s="6" t="str">
        <f>_xlfn.XLOOKUP(FactSales[[#This Row],[Product_ID]],DimProduct[Product_ID],DimProduct[Product_Name])</f>
        <v>Shoe Rack</v>
      </c>
      <c r="N612" s="6" t="str">
        <f>_xlfn.XLOOKUP(FactSales[[#This Row],[Product_ID]],DimProduct[Product_ID],DimProduct[Category])</f>
        <v>Furniture</v>
      </c>
      <c r="O612" s="6">
        <f>_xlfn.XLOOKUP(FactSales[[#This Row],[Product_ID]],DimProduct[Product_ID],DimProduct[Unit_Price])</f>
        <v>5320</v>
      </c>
      <c r="P612" s="6">
        <f>_xlfn.XLOOKUP(FactSales[[#This Row],[Product_ID]],DimProduct[Product_ID],DimProduct[Unit_Cost])</f>
        <v>3830</v>
      </c>
      <c r="Q612" s="6">
        <f>FactSales[[#This Row],[Unit_Price]]*FactSales[[#This Row],[Quantity_Sold]]</f>
        <v>31920</v>
      </c>
      <c r="R612" s="6">
        <f>FactSales[[#This Row],[Unit_Cost]]*FactSales[[#This Row],[Quantity_Sold]]</f>
        <v>22980</v>
      </c>
      <c r="S612" s="6">
        <f>FactSales[[#This Row],[Sales_Amount]]-FactSales[[#This Row],[Total_Cost]]</f>
        <v>8940</v>
      </c>
      <c r="T612" s="6" t="str">
        <f>_xlfn.XLOOKUP(FactSales[[#This Row],[Customer_ID]],DimCustomer[Customer_ID],DimCustomer[Customer_Name])</f>
        <v>Mehedi Khan</v>
      </c>
      <c r="U612" s="6" t="str">
        <f>_xlfn.XLOOKUP(FactSales[[#This Row],[Salesperson_ID]],DimSalesman[Salesperson_ID],DimSalesman[Salesperson_Name])</f>
        <v>Karim Khan</v>
      </c>
      <c r="V612" s="6" t="str">
        <f>_xlfn.XLOOKUP(FactSales[[#This Row],[Region_ID]],DimRegion[Region_ID],DimRegion[Region_Name])</f>
        <v>Rajshahi</v>
      </c>
      <c r="W612" s="6" t="str">
        <f>_xlfn.XLOOKUP(FactSales[[#This Row],[Store_ID]],DimStore[Store_ID],DimStore[Store_Name])</f>
        <v>Rajshahi Shaheb Bazar Store</v>
      </c>
    </row>
    <row r="613" spans="1:23">
      <c r="A613" s="4" t="s">
        <v>1609</v>
      </c>
      <c r="B613" s="5">
        <v>45870</v>
      </c>
      <c r="C613" s="4" t="s">
        <v>177</v>
      </c>
      <c r="D613" s="4" t="s">
        <v>32</v>
      </c>
      <c r="E613" s="4" t="s">
        <v>644</v>
      </c>
      <c r="F613" s="4" t="s">
        <v>929</v>
      </c>
      <c r="G613" s="4" t="s">
        <v>828</v>
      </c>
      <c r="H613" s="4">
        <v>6</v>
      </c>
      <c r="I613" s="7">
        <v>0.1</v>
      </c>
      <c r="J613" s="6">
        <v>9644</v>
      </c>
      <c r="K613" s="4">
        <v>4</v>
      </c>
      <c r="L613" s="8">
        <f t="shared" si="9"/>
        <v>3.7</v>
      </c>
      <c r="M613" s="6" t="str">
        <f>_xlfn.XLOOKUP(FactSales[[#This Row],[Product_ID]],DimProduct[Product_ID],DimProduct[Product_Name])</f>
        <v>Toothpaste Twin Pack</v>
      </c>
      <c r="N613" s="6" t="str">
        <f>_xlfn.XLOOKUP(FactSales[[#This Row],[Product_ID]],DimProduct[Product_ID],DimProduct[Category])</f>
        <v>Beauty &amp; Personal Care</v>
      </c>
      <c r="O613" s="6">
        <f>_xlfn.XLOOKUP(FactSales[[#This Row],[Product_ID]],DimProduct[Product_ID],DimProduct[Unit_Price])</f>
        <v>1410</v>
      </c>
      <c r="P613" s="6">
        <f>_xlfn.XLOOKUP(FactSales[[#This Row],[Product_ID]],DimProduct[Product_ID],DimProduct[Unit_Cost])</f>
        <v>820</v>
      </c>
      <c r="Q613" s="6">
        <f>FactSales[[#This Row],[Unit_Price]]*FactSales[[#This Row],[Quantity_Sold]]</f>
        <v>8460</v>
      </c>
      <c r="R613" s="6">
        <f>FactSales[[#This Row],[Unit_Cost]]*FactSales[[#This Row],[Quantity_Sold]]</f>
        <v>4920</v>
      </c>
      <c r="S613" s="6">
        <f>FactSales[[#This Row],[Sales_Amount]]-FactSales[[#This Row],[Total_Cost]]</f>
        <v>3540</v>
      </c>
      <c r="T613" s="6" t="str">
        <f>_xlfn.XLOOKUP(FactSales[[#This Row],[Customer_ID]],DimCustomer[Customer_ID],DimCustomer[Customer_Name])</f>
        <v>Rasel Uddin</v>
      </c>
      <c r="U613" s="6" t="str">
        <f>_xlfn.XLOOKUP(FactSales[[#This Row],[Salesperson_ID]],DimSalesman[Salesperson_ID],DimSalesman[Salesperson_Name])</f>
        <v>Nabila Mia</v>
      </c>
      <c r="V613" s="6" t="str">
        <f>_xlfn.XLOOKUP(FactSales[[#This Row],[Region_ID]],DimRegion[Region_ID],DimRegion[Region_Name])</f>
        <v>Chattogram</v>
      </c>
      <c r="W613" s="6" t="str">
        <f>_xlfn.XLOOKUP(FactSales[[#This Row],[Store_ID]],DimStore[Store_ID],DimStore[Store_Name])</f>
        <v>Chattogram Panchlaish Store</v>
      </c>
    </row>
    <row r="614" spans="1:23">
      <c r="A614" s="4" t="s">
        <v>1610</v>
      </c>
      <c r="B614" s="5">
        <v>45989</v>
      </c>
      <c r="C614" s="4" t="s">
        <v>496</v>
      </c>
      <c r="D614" s="4" t="s">
        <v>57</v>
      </c>
      <c r="E614" s="4" t="s">
        <v>716</v>
      </c>
      <c r="F614" s="4" t="s">
        <v>970</v>
      </c>
      <c r="G614" s="4" t="s">
        <v>755</v>
      </c>
      <c r="H614" s="4">
        <v>1</v>
      </c>
      <c r="I614" s="7">
        <v>0.15</v>
      </c>
      <c r="J614" s="6">
        <v>3841</v>
      </c>
      <c r="K614" s="4">
        <v>6</v>
      </c>
      <c r="L614" s="8">
        <f t="shared" si="9"/>
        <v>3</v>
      </c>
      <c r="M614" s="6" t="str">
        <f>_xlfn.XLOOKUP(FactSales[[#This Row],[Product_ID]],DimProduct[Product_ID],DimProduct[Product_Name])</f>
        <v>Wireless Mouse</v>
      </c>
      <c r="N614" s="6" t="str">
        <f>_xlfn.XLOOKUP(FactSales[[#This Row],[Product_ID]],DimProduct[Product_ID],DimProduct[Category])</f>
        <v>Electronics</v>
      </c>
      <c r="O614" s="6">
        <f>_xlfn.XLOOKUP(FactSales[[#This Row],[Product_ID]],DimProduct[Product_ID],DimProduct[Unit_Price])</f>
        <v>3340</v>
      </c>
      <c r="P614" s="6">
        <f>_xlfn.XLOOKUP(FactSales[[#This Row],[Product_ID]],DimProduct[Product_ID],DimProduct[Unit_Cost])</f>
        <v>2270</v>
      </c>
      <c r="Q614" s="6">
        <f>FactSales[[#This Row],[Unit_Price]]*FactSales[[#This Row],[Quantity_Sold]]</f>
        <v>3340</v>
      </c>
      <c r="R614" s="6">
        <f>FactSales[[#This Row],[Unit_Cost]]*FactSales[[#This Row],[Quantity_Sold]]</f>
        <v>2270</v>
      </c>
      <c r="S614" s="6">
        <f>FactSales[[#This Row],[Sales_Amount]]-FactSales[[#This Row],[Total_Cost]]</f>
        <v>1070</v>
      </c>
      <c r="T614" s="6" t="str">
        <f>_xlfn.XLOOKUP(FactSales[[#This Row],[Customer_ID]],DimCustomer[Customer_ID],DimCustomer[Customer_Name])</f>
        <v>Sadia Sultana</v>
      </c>
      <c r="U614" s="6" t="str">
        <f>_xlfn.XLOOKUP(FactSales[[#This Row],[Salesperson_ID]],DimSalesman[Salesperson_ID],DimSalesman[Salesperson_Name])</f>
        <v>Tanvir Islam</v>
      </c>
      <c r="V614" s="6" t="str">
        <f>_xlfn.XLOOKUP(FactSales[[#This Row],[Region_ID]],DimRegion[Region_ID],DimRegion[Region_Name])</f>
        <v>Rangpur</v>
      </c>
      <c r="W614" s="6" t="str">
        <f>_xlfn.XLOOKUP(FactSales[[#This Row],[Store_ID]],DimStore[Store_ID],DimStore[Store_Name])</f>
        <v>Rangpur Shapla Chattar Store</v>
      </c>
    </row>
    <row r="615" spans="1:23">
      <c r="A615" s="4" t="s">
        <v>1611</v>
      </c>
      <c r="B615" s="5">
        <v>45943</v>
      </c>
      <c r="C615" s="4" t="s">
        <v>323</v>
      </c>
      <c r="D615" s="4" t="s">
        <v>42</v>
      </c>
      <c r="E615" s="4" t="s">
        <v>671</v>
      </c>
      <c r="F615" s="4" t="s">
        <v>943</v>
      </c>
      <c r="G615" s="4" t="s">
        <v>834</v>
      </c>
      <c r="H615" s="4">
        <v>3</v>
      </c>
      <c r="I615" s="7">
        <v>7.0000000000000007E-2</v>
      </c>
      <c r="J615" s="6">
        <v>11372</v>
      </c>
      <c r="K615" s="4">
        <v>4</v>
      </c>
      <c r="L615" s="8">
        <f t="shared" si="9"/>
        <v>3.8</v>
      </c>
      <c r="M615" s="6" t="str">
        <f>_xlfn.XLOOKUP(FactSales[[#This Row],[Product_ID]],DimProduct[Product_ID],DimProduct[Product_Name])</f>
        <v>Running Shoe</v>
      </c>
      <c r="N615" s="6" t="str">
        <f>_xlfn.XLOOKUP(FactSales[[#This Row],[Product_ID]],DimProduct[Product_ID],DimProduct[Category])</f>
        <v>Footwear</v>
      </c>
      <c r="O615" s="6">
        <f>_xlfn.XLOOKUP(FactSales[[#This Row],[Product_ID]],DimProduct[Product_ID],DimProduct[Unit_Price])</f>
        <v>3510</v>
      </c>
      <c r="P615" s="6">
        <f>_xlfn.XLOOKUP(FactSales[[#This Row],[Product_ID]],DimProduct[Product_ID],DimProduct[Unit_Cost])</f>
        <v>2110</v>
      </c>
      <c r="Q615" s="6">
        <f>FactSales[[#This Row],[Unit_Price]]*FactSales[[#This Row],[Quantity_Sold]]</f>
        <v>10530</v>
      </c>
      <c r="R615" s="6">
        <f>FactSales[[#This Row],[Unit_Cost]]*FactSales[[#This Row],[Quantity_Sold]]</f>
        <v>6330</v>
      </c>
      <c r="S615" s="6">
        <f>FactSales[[#This Row],[Sales_Amount]]-FactSales[[#This Row],[Total_Cost]]</f>
        <v>4200</v>
      </c>
      <c r="T615" s="6" t="str">
        <f>_xlfn.XLOOKUP(FactSales[[#This Row],[Customer_ID]],DimCustomer[Customer_ID],DimCustomer[Customer_Name])</f>
        <v>Tania Mia</v>
      </c>
      <c r="U615" s="6" t="str">
        <f>_xlfn.XLOOKUP(FactSales[[#This Row],[Salesperson_ID]],DimSalesman[Salesperson_ID],DimSalesman[Salesperson_Name])</f>
        <v>Imran Khan</v>
      </c>
      <c r="V615" s="6" t="str">
        <f>_xlfn.XLOOKUP(FactSales[[#This Row],[Region_ID]],DimRegion[Region_ID],DimRegion[Region_Name])</f>
        <v>Rajshahi</v>
      </c>
      <c r="W615" s="6" t="str">
        <f>_xlfn.XLOOKUP(FactSales[[#This Row],[Store_ID]],DimStore[Store_ID],DimStore[Store_Name])</f>
        <v>Rajshahi Kazla Store</v>
      </c>
    </row>
    <row r="616" spans="1:23">
      <c r="A616" s="4" t="s">
        <v>1612</v>
      </c>
      <c r="B616" s="5">
        <v>46169</v>
      </c>
      <c r="C616" s="4" t="s">
        <v>79</v>
      </c>
      <c r="D616" s="4" t="s">
        <v>27</v>
      </c>
      <c r="E616" s="4" t="s">
        <v>622</v>
      </c>
      <c r="F616" s="4" t="s">
        <v>918</v>
      </c>
      <c r="G616" s="4" t="s">
        <v>768</v>
      </c>
      <c r="H616" s="4">
        <v>10</v>
      </c>
      <c r="I616" s="7">
        <v>0.08</v>
      </c>
      <c r="J616" s="6">
        <v>76320</v>
      </c>
      <c r="K616" s="4">
        <v>3</v>
      </c>
      <c r="L616" s="8">
        <f t="shared" si="9"/>
        <v>4.0999999999999996</v>
      </c>
      <c r="M616" s="6" t="str">
        <f>_xlfn.XLOOKUP(FactSales[[#This Row],[Product_ID]],DimProduct[Product_ID],DimProduct[Product_Name])</f>
        <v>Electric Kettle</v>
      </c>
      <c r="N616" s="6" t="str">
        <f>_xlfn.XLOOKUP(FactSales[[#This Row],[Product_ID]],DimProduct[Product_ID],DimProduct[Category])</f>
        <v>Home Appliance</v>
      </c>
      <c r="O616" s="6">
        <f>_xlfn.XLOOKUP(FactSales[[#This Row],[Product_ID]],DimProduct[Product_ID],DimProduct[Unit_Price])</f>
        <v>7200</v>
      </c>
      <c r="P616" s="6">
        <f>_xlfn.XLOOKUP(FactSales[[#This Row],[Product_ID]],DimProduct[Product_ID],DimProduct[Unit_Cost])</f>
        <v>5040</v>
      </c>
      <c r="Q616" s="6">
        <f>FactSales[[#This Row],[Unit_Price]]*FactSales[[#This Row],[Quantity_Sold]]</f>
        <v>72000</v>
      </c>
      <c r="R616" s="6">
        <f>FactSales[[#This Row],[Unit_Cost]]*FactSales[[#This Row],[Quantity_Sold]]</f>
        <v>50400</v>
      </c>
      <c r="S616" s="6">
        <f>FactSales[[#This Row],[Sales_Amount]]-FactSales[[#This Row],[Total_Cost]]</f>
        <v>21600</v>
      </c>
      <c r="T616" s="6" t="str">
        <f>_xlfn.XLOOKUP(FactSales[[#This Row],[Customer_ID]],DimCustomer[Customer_ID],DimCustomer[Customer_Name])</f>
        <v>Tania Chowdhury</v>
      </c>
      <c r="U616" s="6" t="str">
        <f>_xlfn.XLOOKUP(FactSales[[#This Row],[Salesperson_ID]],DimSalesman[Salesperson_ID],DimSalesman[Salesperson_Name])</f>
        <v>Tania Sultana</v>
      </c>
      <c r="V616" s="6" t="str">
        <f>_xlfn.XLOOKUP(FactSales[[#This Row],[Region_ID]],DimRegion[Region_ID],DimRegion[Region_Name])</f>
        <v>Dhaka</v>
      </c>
      <c r="W616" s="6" t="str">
        <f>_xlfn.XLOOKUP(FactSales[[#This Row],[Store_ID]],DimStore[Store_ID],DimStore[Store_Name])</f>
        <v>Dhaka Dhanmondi Store</v>
      </c>
    </row>
    <row r="617" spans="1:23">
      <c r="A617" s="4" t="s">
        <v>1613</v>
      </c>
      <c r="B617" s="5">
        <v>46055</v>
      </c>
      <c r="C617" s="4" t="s">
        <v>240</v>
      </c>
      <c r="D617" s="4" t="s">
        <v>37</v>
      </c>
      <c r="E617" s="4" t="s">
        <v>653</v>
      </c>
      <c r="F617" s="4" t="s">
        <v>939</v>
      </c>
      <c r="G617" s="4" t="s">
        <v>773</v>
      </c>
      <c r="H617" s="4">
        <v>3</v>
      </c>
      <c r="I617" s="7">
        <v>0.1</v>
      </c>
      <c r="J617" s="6">
        <v>23850</v>
      </c>
      <c r="K617" s="4">
        <v>2</v>
      </c>
      <c r="L617" s="8">
        <f t="shared" si="9"/>
        <v>4.3</v>
      </c>
      <c r="M617" s="6" t="str">
        <f>_xlfn.XLOOKUP(FactSales[[#This Row],[Product_ID]],DimProduct[Product_ID],DimProduct[Product_Name])</f>
        <v>Rice Cooker</v>
      </c>
      <c r="N617" s="6" t="str">
        <f>_xlfn.XLOOKUP(FactSales[[#This Row],[Product_ID]],DimProduct[Product_ID],DimProduct[Category])</f>
        <v>Home Appliance</v>
      </c>
      <c r="O617" s="6">
        <f>_xlfn.XLOOKUP(FactSales[[#This Row],[Product_ID]],DimProduct[Product_ID],DimProduct[Unit_Price])</f>
        <v>7430</v>
      </c>
      <c r="P617" s="6">
        <f>_xlfn.XLOOKUP(FactSales[[#This Row],[Product_ID]],DimProduct[Product_ID],DimProduct[Unit_Cost])</f>
        <v>5200</v>
      </c>
      <c r="Q617" s="6">
        <f>FactSales[[#This Row],[Unit_Price]]*FactSales[[#This Row],[Quantity_Sold]]</f>
        <v>22290</v>
      </c>
      <c r="R617" s="6">
        <f>FactSales[[#This Row],[Unit_Cost]]*FactSales[[#This Row],[Quantity_Sold]]</f>
        <v>15600</v>
      </c>
      <c r="S617" s="6">
        <f>FactSales[[#This Row],[Sales_Amount]]-FactSales[[#This Row],[Total_Cost]]</f>
        <v>6690</v>
      </c>
      <c r="T617" s="6" t="str">
        <f>_xlfn.XLOOKUP(FactSales[[#This Row],[Customer_ID]],DimCustomer[Customer_ID],DimCustomer[Customer_Name])</f>
        <v>Imran Islam</v>
      </c>
      <c r="U617" s="6" t="str">
        <f>_xlfn.XLOOKUP(FactSales[[#This Row],[Salesperson_ID]],DimSalesman[Salesperson_ID],DimSalesman[Salesperson_Name])</f>
        <v>Fahim Mia</v>
      </c>
      <c r="V617" s="6" t="str">
        <f>_xlfn.XLOOKUP(FactSales[[#This Row],[Region_ID]],DimRegion[Region_ID],DimRegion[Region_Name])</f>
        <v>Sylhet</v>
      </c>
      <c r="W617" s="6" t="str">
        <f>_xlfn.XLOOKUP(FactSales[[#This Row],[Store_ID]],DimStore[Store_ID],DimStore[Store_Name])</f>
        <v>Sylhet Zindabazar Store</v>
      </c>
    </row>
    <row r="618" spans="1:23">
      <c r="A618" s="4" t="s">
        <v>1614</v>
      </c>
      <c r="B618" s="5">
        <v>46001</v>
      </c>
      <c r="C618" s="4" t="s">
        <v>436</v>
      </c>
      <c r="D618" s="4" t="s">
        <v>52</v>
      </c>
      <c r="E618" s="4" t="s">
        <v>704</v>
      </c>
      <c r="F618" s="4" t="s">
        <v>966</v>
      </c>
      <c r="G618" s="4" t="s">
        <v>790</v>
      </c>
      <c r="H618" s="4">
        <v>3</v>
      </c>
      <c r="I618" s="7">
        <v>0.1</v>
      </c>
      <c r="J618" s="6">
        <v>6686</v>
      </c>
      <c r="K618" s="4">
        <v>3</v>
      </c>
      <c r="L618" s="8">
        <f t="shared" si="9"/>
        <v>4</v>
      </c>
      <c r="M618" s="6" t="str">
        <f>_xlfn.XLOOKUP(FactSales[[#This Row],[Product_ID]],DimProduct[Product_ID],DimProduct[Product_Name])</f>
        <v>Women Kurti</v>
      </c>
      <c r="N618" s="6" t="str">
        <f>_xlfn.XLOOKUP(FactSales[[#This Row],[Product_ID]],DimProduct[Product_ID],DimProduct[Category])</f>
        <v>Fashion</v>
      </c>
      <c r="O618" s="6">
        <f>_xlfn.XLOOKUP(FactSales[[#This Row],[Product_ID]],DimProduct[Product_ID],DimProduct[Unit_Price])</f>
        <v>1990</v>
      </c>
      <c r="P618" s="6">
        <f>_xlfn.XLOOKUP(FactSales[[#This Row],[Product_ID]],DimProduct[Product_ID],DimProduct[Unit_Cost])</f>
        <v>1090</v>
      </c>
      <c r="Q618" s="6">
        <f>FactSales[[#This Row],[Unit_Price]]*FactSales[[#This Row],[Quantity_Sold]]</f>
        <v>5970</v>
      </c>
      <c r="R618" s="6">
        <f>FactSales[[#This Row],[Unit_Cost]]*FactSales[[#This Row],[Quantity_Sold]]</f>
        <v>3270</v>
      </c>
      <c r="S618" s="6">
        <f>FactSales[[#This Row],[Sales_Amount]]-FactSales[[#This Row],[Total_Cost]]</f>
        <v>2700</v>
      </c>
      <c r="T618" s="6" t="str">
        <f>_xlfn.XLOOKUP(FactSales[[#This Row],[Customer_ID]],DimCustomer[Customer_ID],DimCustomer[Customer_Name])</f>
        <v>Shamim Ahmed</v>
      </c>
      <c r="U618" s="6" t="str">
        <f>_xlfn.XLOOKUP(FactSales[[#This Row],[Salesperson_ID]],DimSalesman[Salesperson_ID],DimSalesman[Salesperson_Name])</f>
        <v>Nayeem Akter</v>
      </c>
      <c r="V618" s="6" t="str">
        <f>_xlfn.XLOOKUP(FactSales[[#This Row],[Region_ID]],DimRegion[Region_ID],DimRegion[Region_Name])</f>
        <v>Barishal</v>
      </c>
      <c r="W618" s="6" t="str">
        <f>_xlfn.XLOOKUP(FactSales[[#This Row],[Store_ID]],DimStore[Store_ID],DimStore[Store_Name])</f>
        <v>Barishal Rupatali Store</v>
      </c>
    </row>
    <row r="619" spans="1:23">
      <c r="A619" s="4" t="s">
        <v>1615</v>
      </c>
      <c r="B619" s="5">
        <v>45896</v>
      </c>
      <c r="C619" s="4" t="s">
        <v>329</v>
      </c>
      <c r="D619" s="4" t="s">
        <v>42</v>
      </c>
      <c r="E619" s="4" t="s">
        <v>680</v>
      </c>
      <c r="F619" s="4" t="s">
        <v>950</v>
      </c>
      <c r="G619" s="4" t="s">
        <v>905</v>
      </c>
      <c r="H619" s="4">
        <v>1</v>
      </c>
      <c r="I619" s="7">
        <v>0.03</v>
      </c>
      <c r="J619" s="6">
        <v>6340</v>
      </c>
      <c r="K619" s="4">
        <v>8</v>
      </c>
      <c r="L619" s="8">
        <f t="shared" si="9"/>
        <v>2.6</v>
      </c>
      <c r="M619" s="6" t="str">
        <f>_xlfn.XLOOKUP(FactSales[[#This Row],[Product_ID]],DimProduct[Product_ID],DimProduct[Product_Name])</f>
        <v>Bedside Table</v>
      </c>
      <c r="N619" s="6" t="str">
        <f>_xlfn.XLOOKUP(FactSales[[#This Row],[Product_ID]],DimProduct[Product_ID],DimProduct[Category])</f>
        <v>Furniture</v>
      </c>
      <c r="O619" s="6">
        <f>_xlfn.XLOOKUP(FactSales[[#This Row],[Product_ID]],DimProduct[Product_ID],DimProduct[Unit_Price])</f>
        <v>5870</v>
      </c>
      <c r="P619" s="6">
        <f>_xlfn.XLOOKUP(FactSales[[#This Row],[Product_ID]],DimProduct[Product_ID],DimProduct[Unit_Cost])</f>
        <v>4230</v>
      </c>
      <c r="Q619" s="6">
        <f>FactSales[[#This Row],[Unit_Price]]*FactSales[[#This Row],[Quantity_Sold]]</f>
        <v>5870</v>
      </c>
      <c r="R619" s="6">
        <f>FactSales[[#This Row],[Unit_Cost]]*FactSales[[#This Row],[Quantity_Sold]]</f>
        <v>4230</v>
      </c>
      <c r="S619" s="6">
        <f>FactSales[[#This Row],[Sales_Amount]]-FactSales[[#This Row],[Total_Cost]]</f>
        <v>1640</v>
      </c>
      <c r="T619" s="6" t="str">
        <f>_xlfn.XLOOKUP(FactSales[[#This Row],[Customer_ID]],DimCustomer[Customer_ID],DimCustomer[Customer_Name])</f>
        <v>Mim Chowdhury</v>
      </c>
      <c r="U619" s="6" t="str">
        <f>_xlfn.XLOOKUP(FactSales[[#This Row],[Salesperson_ID]],DimSalesman[Salesperson_ID],DimSalesman[Salesperson_Name])</f>
        <v>Mim Rahman</v>
      </c>
      <c r="V619" s="6" t="str">
        <f>_xlfn.XLOOKUP(FactSales[[#This Row],[Region_ID]],DimRegion[Region_ID],DimRegion[Region_Name])</f>
        <v>Rajshahi</v>
      </c>
      <c r="W619" s="6" t="str">
        <f>_xlfn.XLOOKUP(FactSales[[#This Row],[Store_ID]],DimStore[Store_ID],DimStore[Store_Name])</f>
        <v>Rajshahi Lakshmipur Store</v>
      </c>
    </row>
    <row r="620" spans="1:23">
      <c r="A620" s="4" t="s">
        <v>1616</v>
      </c>
      <c r="B620" s="5">
        <v>45719</v>
      </c>
      <c r="C620" s="4" t="s">
        <v>375</v>
      </c>
      <c r="D620" s="4" t="s">
        <v>47</v>
      </c>
      <c r="E620" s="4" t="s">
        <v>692</v>
      </c>
      <c r="F620" s="4" t="s">
        <v>953</v>
      </c>
      <c r="G620" s="4" t="s">
        <v>825</v>
      </c>
      <c r="H620" s="4">
        <v>2</v>
      </c>
      <c r="I620" s="7">
        <v>7.0000000000000007E-2</v>
      </c>
      <c r="J620" s="6">
        <v>2529</v>
      </c>
      <c r="K620" s="4">
        <v>4</v>
      </c>
      <c r="L620" s="8">
        <f t="shared" si="9"/>
        <v>3.8</v>
      </c>
      <c r="M620" s="6" t="str">
        <f>_xlfn.XLOOKUP(FactSales[[#This Row],[Product_ID]],DimProduct[Product_ID],DimProduct[Product_Name])</f>
        <v>Body Lotion</v>
      </c>
      <c r="N620" s="6" t="str">
        <f>_xlfn.XLOOKUP(FactSales[[#This Row],[Product_ID]],DimProduct[Product_ID],DimProduct[Category])</f>
        <v>Beauty &amp; Personal Care</v>
      </c>
      <c r="O620" s="6">
        <f>_xlfn.XLOOKUP(FactSales[[#This Row],[Product_ID]],DimProduct[Product_ID],DimProduct[Unit_Price])</f>
        <v>1160</v>
      </c>
      <c r="P620" s="6">
        <f>_xlfn.XLOOKUP(FactSales[[#This Row],[Product_ID]],DimProduct[Product_ID],DimProduct[Unit_Cost])</f>
        <v>670</v>
      </c>
      <c r="Q620" s="6">
        <f>FactSales[[#This Row],[Unit_Price]]*FactSales[[#This Row],[Quantity_Sold]]</f>
        <v>2320</v>
      </c>
      <c r="R620" s="6">
        <f>FactSales[[#This Row],[Unit_Cost]]*FactSales[[#This Row],[Quantity_Sold]]</f>
        <v>1340</v>
      </c>
      <c r="S620" s="6">
        <f>FactSales[[#This Row],[Sales_Amount]]-FactSales[[#This Row],[Total_Cost]]</f>
        <v>980</v>
      </c>
      <c r="T620" s="6" t="str">
        <f>_xlfn.XLOOKUP(FactSales[[#This Row],[Customer_ID]],DimCustomer[Customer_ID],DimCustomer[Customer_Name])</f>
        <v>Jannat Rahman</v>
      </c>
      <c r="U620" s="6" t="str">
        <f>_xlfn.XLOOKUP(FactSales[[#This Row],[Salesperson_ID]],DimSalesman[Salesperson_ID],DimSalesman[Salesperson_Name])</f>
        <v>Nusrat Akter</v>
      </c>
      <c r="V620" s="6" t="str">
        <f>_xlfn.XLOOKUP(FactSales[[#This Row],[Region_ID]],DimRegion[Region_ID],DimRegion[Region_Name])</f>
        <v>Khulna</v>
      </c>
      <c r="W620" s="6" t="str">
        <f>_xlfn.XLOOKUP(FactSales[[#This Row],[Store_ID]],DimStore[Store_ID],DimStore[Store_Name])</f>
        <v>Khulna Boyra Store</v>
      </c>
    </row>
    <row r="621" spans="1:23">
      <c r="A621" s="4" t="s">
        <v>1617</v>
      </c>
      <c r="B621" s="5">
        <v>45994</v>
      </c>
      <c r="C621" s="4" t="s">
        <v>95</v>
      </c>
      <c r="D621" s="4" t="s">
        <v>27</v>
      </c>
      <c r="E621" s="4" t="s">
        <v>634</v>
      </c>
      <c r="F621" s="4" t="s">
        <v>918</v>
      </c>
      <c r="G621" s="4" t="s">
        <v>854</v>
      </c>
      <c r="H621" s="4">
        <v>2</v>
      </c>
      <c r="I621" s="7">
        <v>0.03</v>
      </c>
      <c r="J621" s="6">
        <v>7886</v>
      </c>
      <c r="K621" s="4">
        <v>4</v>
      </c>
      <c r="L621" s="8">
        <f t="shared" si="9"/>
        <v>3.9</v>
      </c>
      <c r="M621" s="6" t="str">
        <f>_xlfn.XLOOKUP(FactSales[[#This Row],[Product_ID]],DimProduct[Product_ID],DimProduct[Product_Name])</f>
        <v>Football</v>
      </c>
      <c r="N621" s="6" t="str">
        <f>_xlfn.XLOOKUP(FactSales[[#This Row],[Product_ID]],DimProduct[Product_ID],DimProduct[Category])</f>
        <v>Sports</v>
      </c>
      <c r="O621" s="6">
        <f>_xlfn.XLOOKUP(FactSales[[#This Row],[Product_ID]],DimProduct[Product_ID],DimProduct[Unit_Price])</f>
        <v>3720</v>
      </c>
      <c r="P621" s="6">
        <f>_xlfn.XLOOKUP(FactSales[[#This Row],[Product_ID]],DimProduct[Product_ID],DimProduct[Unit_Cost])</f>
        <v>2310</v>
      </c>
      <c r="Q621" s="6">
        <f>FactSales[[#This Row],[Unit_Price]]*FactSales[[#This Row],[Quantity_Sold]]</f>
        <v>7440</v>
      </c>
      <c r="R621" s="6">
        <f>FactSales[[#This Row],[Unit_Cost]]*FactSales[[#This Row],[Quantity_Sold]]</f>
        <v>4620</v>
      </c>
      <c r="S621" s="6">
        <f>FactSales[[#This Row],[Sales_Amount]]-FactSales[[#This Row],[Total_Cost]]</f>
        <v>2820</v>
      </c>
      <c r="T621" s="6" t="str">
        <f>_xlfn.XLOOKUP(FactSales[[#This Row],[Customer_ID]],DimCustomer[Customer_ID],DimCustomer[Customer_Name])</f>
        <v>Karim Islam</v>
      </c>
      <c r="U621" s="6" t="str">
        <f>_xlfn.XLOOKUP(FactSales[[#This Row],[Salesperson_ID]],DimSalesman[Salesperson_ID],DimSalesman[Salesperson_Name])</f>
        <v>Tania Sultana</v>
      </c>
      <c r="V621" s="6" t="str">
        <f>_xlfn.XLOOKUP(FactSales[[#This Row],[Region_ID]],DimRegion[Region_ID],DimRegion[Region_Name])</f>
        <v>Dhaka</v>
      </c>
      <c r="W621" s="6" t="str">
        <f>_xlfn.XLOOKUP(FactSales[[#This Row],[Store_ID]],DimStore[Store_ID],DimStore[Store_Name])</f>
        <v>Dhaka Motijheel Store</v>
      </c>
    </row>
    <row r="622" spans="1:23">
      <c r="A622" s="4" t="s">
        <v>1618</v>
      </c>
      <c r="B622" s="5">
        <v>45997</v>
      </c>
      <c r="C622" s="4" t="s">
        <v>537</v>
      </c>
      <c r="D622" s="4" t="s">
        <v>57</v>
      </c>
      <c r="E622" s="4" t="s">
        <v>719</v>
      </c>
      <c r="F622" s="4" t="s">
        <v>968</v>
      </c>
      <c r="G622" s="4" t="s">
        <v>765</v>
      </c>
      <c r="H622" s="4">
        <v>2</v>
      </c>
      <c r="I622" s="7">
        <v>0.18</v>
      </c>
      <c r="J622" s="6">
        <v>11247</v>
      </c>
      <c r="K622" s="4">
        <v>10</v>
      </c>
      <c r="L622" s="8">
        <f t="shared" si="9"/>
        <v>1.6</v>
      </c>
      <c r="M622" s="6" t="str">
        <f>_xlfn.XLOOKUP(FactSales[[#This Row],[Product_ID]],DimProduct[Product_ID],DimProduct[Product_Name])</f>
        <v>USB-C Hub</v>
      </c>
      <c r="N622" s="6" t="str">
        <f>_xlfn.XLOOKUP(FactSales[[#This Row],[Product_ID]],DimProduct[Product_ID],DimProduct[Category])</f>
        <v>Electronics</v>
      </c>
      <c r="O622" s="6">
        <f>_xlfn.XLOOKUP(FactSales[[#This Row],[Product_ID]],DimProduct[Product_ID],DimProduct[Unit_Price])</f>
        <v>4890</v>
      </c>
      <c r="P622" s="6">
        <f>_xlfn.XLOOKUP(FactSales[[#This Row],[Product_ID]],DimProduct[Product_ID],DimProduct[Unit_Cost])</f>
        <v>3330</v>
      </c>
      <c r="Q622" s="6">
        <f>FactSales[[#This Row],[Unit_Price]]*FactSales[[#This Row],[Quantity_Sold]]</f>
        <v>9780</v>
      </c>
      <c r="R622" s="6">
        <f>FactSales[[#This Row],[Unit_Cost]]*FactSales[[#This Row],[Quantity_Sold]]</f>
        <v>6660</v>
      </c>
      <c r="S622" s="6">
        <f>FactSales[[#This Row],[Sales_Amount]]-FactSales[[#This Row],[Total_Cost]]</f>
        <v>3120</v>
      </c>
      <c r="T622" s="6" t="str">
        <f>_xlfn.XLOOKUP(FactSales[[#This Row],[Customer_ID]],DimCustomer[Customer_ID],DimCustomer[Customer_Name])</f>
        <v>Mim Sultana</v>
      </c>
      <c r="U622" s="6" t="str">
        <f>_xlfn.XLOOKUP(FactSales[[#This Row],[Salesperson_ID]],DimSalesman[Salesperson_ID],DimSalesman[Salesperson_Name])</f>
        <v>Morshed Ahmed</v>
      </c>
      <c r="V622" s="6" t="str">
        <f>_xlfn.XLOOKUP(FactSales[[#This Row],[Region_ID]],DimRegion[Region_ID],DimRegion[Region_Name])</f>
        <v>Rangpur</v>
      </c>
      <c r="W622" s="6" t="str">
        <f>_xlfn.XLOOKUP(FactSales[[#This Row],[Store_ID]],DimStore[Store_ID],DimStore[Store_Name])</f>
        <v>Rangpur Modern More Store</v>
      </c>
    </row>
    <row r="623" spans="1:23">
      <c r="A623" s="4" t="s">
        <v>1619</v>
      </c>
      <c r="B623" s="5">
        <v>45987</v>
      </c>
      <c r="C623" s="4" t="s">
        <v>344</v>
      </c>
      <c r="D623" s="4" t="s">
        <v>42</v>
      </c>
      <c r="E623" s="4" t="s">
        <v>671</v>
      </c>
      <c r="F623" s="4" t="s">
        <v>949</v>
      </c>
      <c r="G623" s="4" t="s">
        <v>878</v>
      </c>
      <c r="H623" s="4">
        <v>1</v>
      </c>
      <c r="I623" s="7">
        <v>0.03</v>
      </c>
      <c r="J623" s="6">
        <v>907</v>
      </c>
      <c r="K623" s="4">
        <v>5</v>
      </c>
      <c r="L623" s="8">
        <f t="shared" si="9"/>
        <v>3.5</v>
      </c>
      <c r="M623" s="6" t="str">
        <f>_xlfn.XLOOKUP(FactSales[[#This Row],[Product_ID]],DimProduct[Product_ID],DimProduct[Product_Name])</f>
        <v>Building Blocks</v>
      </c>
      <c r="N623" s="6" t="str">
        <f>_xlfn.XLOOKUP(FactSales[[#This Row],[Product_ID]],DimProduct[Product_ID],DimProduct[Category])</f>
        <v>Kids &amp; Toys</v>
      </c>
      <c r="O623" s="6">
        <f>_xlfn.XLOOKUP(FactSales[[#This Row],[Product_ID]],DimProduct[Product_ID],DimProduct[Unit_Price])</f>
        <v>840</v>
      </c>
      <c r="P623" s="6">
        <f>_xlfn.XLOOKUP(FactSales[[#This Row],[Product_ID]],DimProduct[Product_ID],DimProduct[Unit_Cost])</f>
        <v>460</v>
      </c>
      <c r="Q623" s="6">
        <f>FactSales[[#This Row],[Unit_Price]]*FactSales[[#This Row],[Quantity_Sold]]</f>
        <v>840</v>
      </c>
      <c r="R623" s="6">
        <f>FactSales[[#This Row],[Unit_Cost]]*FactSales[[#This Row],[Quantity_Sold]]</f>
        <v>460</v>
      </c>
      <c r="S623" s="6">
        <f>FactSales[[#This Row],[Sales_Amount]]-FactSales[[#This Row],[Total_Cost]]</f>
        <v>380</v>
      </c>
      <c r="T623" s="6" t="str">
        <f>_xlfn.XLOOKUP(FactSales[[#This Row],[Customer_ID]],DimCustomer[Customer_ID],DimCustomer[Customer_Name])</f>
        <v>Mehedi Khan</v>
      </c>
      <c r="U623" s="6" t="str">
        <f>_xlfn.XLOOKUP(FactSales[[#This Row],[Salesperson_ID]],DimSalesman[Salesperson_ID],DimSalesman[Salesperson_Name])</f>
        <v>Mahmud Chowdhury</v>
      </c>
      <c r="V623" s="6" t="str">
        <f>_xlfn.XLOOKUP(FactSales[[#This Row],[Region_ID]],DimRegion[Region_ID],DimRegion[Region_Name])</f>
        <v>Rajshahi</v>
      </c>
      <c r="W623" s="6" t="str">
        <f>_xlfn.XLOOKUP(FactSales[[#This Row],[Store_ID]],DimStore[Store_ID],DimStore[Store_Name])</f>
        <v>Rajshahi Kazla Store</v>
      </c>
    </row>
    <row r="624" spans="1:23">
      <c r="A624" s="4" t="s">
        <v>1620</v>
      </c>
      <c r="B624" s="5">
        <v>45802</v>
      </c>
      <c r="C624" s="4" t="s">
        <v>192</v>
      </c>
      <c r="D624" s="4" t="s">
        <v>32</v>
      </c>
      <c r="E624" s="4" t="s">
        <v>638</v>
      </c>
      <c r="F624" s="4" t="s">
        <v>924</v>
      </c>
      <c r="G624" s="4" t="s">
        <v>750</v>
      </c>
      <c r="H624" s="4">
        <v>6</v>
      </c>
      <c r="I624" s="7">
        <v>0.1</v>
      </c>
      <c r="J624" s="6">
        <v>22162</v>
      </c>
      <c r="K624" s="4">
        <v>7</v>
      </c>
      <c r="L624" s="8">
        <f t="shared" si="9"/>
        <v>2.7</v>
      </c>
      <c r="M624" s="6" t="str">
        <f>_xlfn.XLOOKUP(FactSales[[#This Row],[Product_ID]],DimProduct[Product_ID],DimProduct[Product_Name])</f>
        <v>Bluetooth Speaker</v>
      </c>
      <c r="N624" s="6" t="str">
        <f>_xlfn.XLOOKUP(FactSales[[#This Row],[Product_ID]],DimProduct[Product_ID],DimProduct[Category])</f>
        <v>Electronics</v>
      </c>
      <c r="O624" s="6">
        <f>_xlfn.XLOOKUP(FactSales[[#This Row],[Product_ID]],DimProduct[Product_ID],DimProduct[Unit_Price])</f>
        <v>3240</v>
      </c>
      <c r="P624" s="6">
        <f>_xlfn.XLOOKUP(FactSales[[#This Row],[Product_ID]],DimProduct[Product_ID],DimProduct[Unit_Cost])</f>
        <v>2200</v>
      </c>
      <c r="Q624" s="6">
        <f>FactSales[[#This Row],[Unit_Price]]*FactSales[[#This Row],[Quantity_Sold]]</f>
        <v>19440</v>
      </c>
      <c r="R624" s="6">
        <f>FactSales[[#This Row],[Unit_Cost]]*FactSales[[#This Row],[Quantity_Sold]]</f>
        <v>13200</v>
      </c>
      <c r="S624" s="6">
        <f>FactSales[[#This Row],[Sales_Amount]]-FactSales[[#This Row],[Total_Cost]]</f>
        <v>6240</v>
      </c>
      <c r="T624" s="6" t="str">
        <f>_xlfn.XLOOKUP(FactSales[[#This Row],[Customer_ID]],DimCustomer[Customer_ID],DimCustomer[Customer_Name])</f>
        <v>Arif Ahmed</v>
      </c>
      <c r="U624" s="6" t="str">
        <f>_xlfn.XLOOKUP(FactSales[[#This Row],[Salesperson_ID]],DimSalesman[Salesperson_ID],DimSalesman[Salesperson_Name])</f>
        <v>Rumana Khan</v>
      </c>
      <c r="V624" s="6" t="str">
        <f>_xlfn.XLOOKUP(FactSales[[#This Row],[Region_ID]],DimRegion[Region_ID],DimRegion[Region_Name])</f>
        <v>Chattogram</v>
      </c>
      <c r="W624" s="6" t="str">
        <f>_xlfn.XLOOKUP(FactSales[[#This Row],[Store_ID]],DimStore[Store_ID],DimStore[Store_Name])</f>
        <v>Chattogram Agrabad Store</v>
      </c>
    </row>
    <row r="625" spans="1:23">
      <c r="A625" s="4" t="s">
        <v>1621</v>
      </c>
      <c r="B625" s="5">
        <v>46136</v>
      </c>
      <c r="C625" s="4" t="s">
        <v>304</v>
      </c>
      <c r="D625" s="4" t="s">
        <v>42</v>
      </c>
      <c r="E625" s="4" t="s">
        <v>680</v>
      </c>
      <c r="F625" s="4" t="s">
        <v>943</v>
      </c>
      <c r="G625" s="4" t="s">
        <v>784</v>
      </c>
      <c r="H625" s="4">
        <v>4</v>
      </c>
      <c r="I625" s="7">
        <v>0.05</v>
      </c>
      <c r="J625" s="6">
        <v>8078</v>
      </c>
      <c r="K625" s="4">
        <v>5</v>
      </c>
      <c r="L625" s="8">
        <f t="shared" si="9"/>
        <v>3.5</v>
      </c>
      <c r="M625" s="6" t="str">
        <f>_xlfn.XLOOKUP(FactSales[[#This Row],[Product_ID]],DimProduct[Product_ID],DimProduct[Product_Name])</f>
        <v>Cotton T-Shirt</v>
      </c>
      <c r="N625" s="6" t="str">
        <f>_xlfn.XLOOKUP(FactSales[[#This Row],[Product_ID]],DimProduct[Product_ID],DimProduct[Category])</f>
        <v>Fashion</v>
      </c>
      <c r="O625" s="6">
        <f>_xlfn.XLOOKUP(FactSales[[#This Row],[Product_ID]],DimProduct[Product_ID],DimProduct[Unit_Price])</f>
        <v>1870</v>
      </c>
      <c r="P625" s="6">
        <f>_xlfn.XLOOKUP(FactSales[[#This Row],[Product_ID]],DimProduct[Product_ID],DimProduct[Unit_Cost])</f>
        <v>1030</v>
      </c>
      <c r="Q625" s="6">
        <f>FactSales[[#This Row],[Unit_Price]]*FactSales[[#This Row],[Quantity_Sold]]</f>
        <v>7480</v>
      </c>
      <c r="R625" s="6">
        <f>FactSales[[#This Row],[Unit_Cost]]*FactSales[[#This Row],[Quantity_Sold]]</f>
        <v>4120</v>
      </c>
      <c r="S625" s="6">
        <f>FactSales[[#This Row],[Sales_Amount]]-FactSales[[#This Row],[Total_Cost]]</f>
        <v>3360</v>
      </c>
      <c r="T625" s="6" t="str">
        <f>_xlfn.XLOOKUP(FactSales[[#This Row],[Customer_ID]],DimCustomer[Customer_ID],DimCustomer[Customer_Name])</f>
        <v>Farhana Mia</v>
      </c>
      <c r="U625" s="6" t="str">
        <f>_xlfn.XLOOKUP(FactSales[[#This Row],[Salesperson_ID]],DimSalesman[Salesperson_ID],DimSalesman[Salesperson_Name])</f>
        <v>Imran Khan</v>
      </c>
      <c r="V625" s="6" t="str">
        <f>_xlfn.XLOOKUP(FactSales[[#This Row],[Region_ID]],DimRegion[Region_ID],DimRegion[Region_Name])</f>
        <v>Rajshahi</v>
      </c>
      <c r="W625" s="6" t="str">
        <f>_xlfn.XLOOKUP(FactSales[[#This Row],[Store_ID]],DimStore[Store_ID],DimStore[Store_Name])</f>
        <v>Rajshahi Lakshmipur Store</v>
      </c>
    </row>
    <row r="626" spans="1:23">
      <c r="A626" s="4" t="s">
        <v>1622</v>
      </c>
      <c r="B626" s="5">
        <v>45950</v>
      </c>
      <c r="C626" s="4" t="s">
        <v>320</v>
      </c>
      <c r="D626" s="4" t="s">
        <v>42</v>
      </c>
      <c r="E626" s="4" t="s">
        <v>671</v>
      </c>
      <c r="F626" s="4" t="s">
        <v>949</v>
      </c>
      <c r="G626" s="4" t="s">
        <v>765</v>
      </c>
      <c r="H626" s="4">
        <v>3</v>
      </c>
      <c r="I626" s="7">
        <v>0.1</v>
      </c>
      <c r="J626" s="6">
        <v>15844</v>
      </c>
      <c r="K626" s="4">
        <v>4</v>
      </c>
      <c r="L626" s="8">
        <f t="shared" si="9"/>
        <v>3.7</v>
      </c>
      <c r="M626" s="6" t="str">
        <f>_xlfn.XLOOKUP(FactSales[[#This Row],[Product_ID]],DimProduct[Product_ID],DimProduct[Product_Name])</f>
        <v>USB-C Hub</v>
      </c>
      <c r="N626" s="6" t="str">
        <f>_xlfn.XLOOKUP(FactSales[[#This Row],[Product_ID]],DimProduct[Product_ID],DimProduct[Category])</f>
        <v>Electronics</v>
      </c>
      <c r="O626" s="6">
        <f>_xlfn.XLOOKUP(FactSales[[#This Row],[Product_ID]],DimProduct[Product_ID],DimProduct[Unit_Price])</f>
        <v>4890</v>
      </c>
      <c r="P626" s="6">
        <f>_xlfn.XLOOKUP(FactSales[[#This Row],[Product_ID]],DimProduct[Product_ID],DimProduct[Unit_Cost])</f>
        <v>3330</v>
      </c>
      <c r="Q626" s="6">
        <f>FactSales[[#This Row],[Unit_Price]]*FactSales[[#This Row],[Quantity_Sold]]</f>
        <v>14670</v>
      </c>
      <c r="R626" s="6">
        <f>FactSales[[#This Row],[Unit_Cost]]*FactSales[[#This Row],[Quantity_Sold]]</f>
        <v>9990</v>
      </c>
      <c r="S626" s="6">
        <f>FactSales[[#This Row],[Sales_Amount]]-FactSales[[#This Row],[Total_Cost]]</f>
        <v>4680</v>
      </c>
      <c r="T626" s="6" t="str">
        <f>_xlfn.XLOOKUP(FactSales[[#This Row],[Customer_ID]],DimCustomer[Customer_ID],DimCustomer[Customer_Name])</f>
        <v>Shuvo Sultana</v>
      </c>
      <c r="U626" s="6" t="str">
        <f>_xlfn.XLOOKUP(FactSales[[#This Row],[Salesperson_ID]],DimSalesman[Salesperson_ID],DimSalesman[Salesperson_Name])</f>
        <v>Mahmud Chowdhury</v>
      </c>
      <c r="V626" s="6" t="str">
        <f>_xlfn.XLOOKUP(FactSales[[#This Row],[Region_ID]],DimRegion[Region_ID],DimRegion[Region_Name])</f>
        <v>Rajshahi</v>
      </c>
      <c r="W626" s="6" t="str">
        <f>_xlfn.XLOOKUP(FactSales[[#This Row],[Store_ID]],DimStore[Store_ID],DimStore[Store_Name])</f>
        <v>Rajshahi Kazla Store</v>
      </c>
    </row>
    <row r="627" spans="1:23">
      <c r="A627" s="4" t="s">
        <v>1623</v>
      </c>
      <c r="B627" s="5">
        <v>46109</v>
      </c>
      <c r="C627" s="4" t="s">
        <v>180</v>
      </c>
      <c r="D627" s="4" t="s">
        <v>32</v>
      </c>
      <c r="E627" s="4" t="s">
        <v>647</v>
      </c>
      <c r="F627" s="4" t="s">
        <v>927</v>
      </c>
      <c r="G627" s="4" t="s">
        <v>762</v>
      </c>
      <c r="H627" s="4">
        <v>4</v>
      </c>
      <c r="I627" s="7">
        <v>0.15</v>
      </c>
      <c r="J627" s="6">
        <v>17647</v>
      </c>
      <c r="K627" s="4">
        <v>8</v>
      </c>
      <c r="L627" s="8">
        <f t="shared" si="9"/>
        <v>2.2999999999999998</v>
      </c>
      <c r="M627" s="6" t="str">
        <f>_xlfn.XLOOKUP(FactSales[[#This Row],[Product_ID]],DimProduct[Product_ID],DimProduct[Product_Name])</f>
        <v>Smart Watch</v>
      </c>
      <c r="N627" s="6" t="str">
        <f>_xlfn.XLOOKUP(FactSales[[#This Row],[Product_ID]],DimProduct[Product_ID],DimProduct[Category])</f>
        <v>Electronics</v>
      </c>
      <c r="O627" s="6">
        <f>_xlfn.XLOOKUP(FactSales[[#This Row],[Product_ID]],DimProduct[Product_ID],DimProduct[Unit_Price])</f>
        <v>3870</v>
      </c>
      <c r="P627" s="6">
        <f>_xlfn.XLOOKUP(FactSales[[#This Row],[Product_ID]],DimProduct[Product_ID],DimProduct[Unit_Cost])</f>
        <v>2630</v>
      </c>
      <c r="Q627" s="6">
        <f>FactSales[[#This Row],[Unit_Price]]*FactSales[[#This Row],[Quantity_Sold]]</f>
        <v>15480</v>
      </c>
      <c r="R627" s="6">
        <f>FactSales[[#This Row],[Unit_Cost]]*FactSales[[#This Row],[Quantity_Sold]]</f>
        <v>10520</v>
      </c>
      <c r="S627" s="6">
        <f>FactSales[[#This Row],[Sales_Amount]]-FactSales[[#This Row],[Total_Cost]]</f>
        <v>4960</v>
      </c>
      <c r="T627" s="6" t="str">
        <f>_xlfn.XLOOKUP(FactSales[[#This Row],[Customer_ID]],DimCustomer[Customer_ID],DimCustomer[Customer_Name])</f>
        <v>Jannat Islam</v>
      </c>
      <c r="U627" s="6" t="str">
        <f>_xlfn.XLOOKUP(FactSales[[#This Row],[Salesperson_ID]],DimSalesman[Salesperson_ID],DimSalesman[Salesperson_Name])</f>
        <v>Shakib Ahmed</v>
      </c>
      <c r="V627" s="6" t="str">
        <f>_xlfn.XLOOKUP(FactSales[[#This Row],[Region_ID]],DimRegion[Region_ID],DimRegion[Region_Name])</f>
        <v>Chattogram</v>
      </c>
      <c r="W627" s="6" t="str">
        <f>_xlfn.XLOOKUP(FactSales[[#This Row],[Store_ID]],DimStore[Store_ID],DimStore[Store_Name])</f>
        <v>Chattogram Nasirabad Store</v>
      </c>
    </row>
    <row r="628" spans="1:23">
      <c r="A628" s="4" t="s">
        <v>1624</v>
      </c>
      <c r="B628" s="5">
        <v>45743</v>
      </c>
      <c r="C628" s="4" t="s">
        <v>259</v>
      </c>
      <c r="D628" s="4" t="s">
        <v>37</v>
      </c>
      <c r="E628" s="4" t="s">
        <v>653</v>
      </c>
      <c r="F628" s="4" t="s">
        <v>938</v>
      </c>
      <c r="G628" s="4" t="s">
        <v>784</v>
      </c>
      <c r="H628" s="4">
        <v>5</v>
      </c>
      <c r="I628" s="7">
        <v>0.12</v>
      </c>
      <c r="J628" s="6">
        <v>10004</v>
      </c>
      <c r="K628" s="4">
        <v>1</v>
      </c>
      <c r="L628" s="8">
        <f t="shared" si="9"/>
        <v>4.5999999999999996</v>
      </c>
      <c r="M628" s="6" t="str">
        <f>_xlfn.XLOOKUP(FactSales[[#This Row],[Product_ID]],DimProduct[Product_ID],DimProduct[Product_Name])</f>
        <v>Cotton T-Shirt</v>
      </c>
      <c r="N628" s="6" t="str">
        <f>_xlfn.XLOOKUP(FactSales[[#This Row],[Product_ID]],DimProduct[Product_ID],DimProduct[Category])</f>
        <v>Fashion</v>
      </c>
      <c r="O628" s="6">
        <f>_xlfn.XLOOKUP(FactSales[[#This Row],[Product_ID]],DimProduct[Product_ID],DimProduct[Unit_Price])</f>
        <v>1870</v>
      </c>
      <c r="P628" s="6">
        <f>_xlfn.XLOOKUP(FactSales[[#This Row],[Product_ID]],DimProduct[Product_ID],DimProduct[Unit_Cost])</f>
        <v>1030</v>
      </c>
      <c r="Q628" s="6">
        <f>FactSales[[#This Row],[Unit_Price]]*FactSales[[#This Row],[Quantity_Sold]]</f>
        <v>9350</v>
      </c>
      <c r="R628" s="6">
        <f>FactSales[[#This Row],[Unit_Cost]]*FactSales[[#This Row],[Quantity_Sold]]</f>
        <v>5150</v>
      </c>
      <c r="S628" s="6">
        <f>FactSales[[#This Row],[Sales_Amount]]-FactSales[[#This Row],[Total_Cost]]</f>
        <v>4200</v>
      </c>
      <c r="T628" s="6" t="str">
        <f>_xlfn.XLOOKUP(FactSales[[#This Row],[Customer_ID]],DimCustomer[Customer_ID],DimCustomer[Customer_Name])</f>
        <v>Hasan Akter</v>
      </c>
      <c r="U628" s="6" t="str">
        <f>_xlfn.XLOOKUP(FactSales[[#This Row],[Salesperson_ID]],DimSalesman[Salesperson_ID],DimSalesman[Salesperson_Name])</f>
        <v>Rasel Akter</v>
      </c>
      <c r="V628" s="6" t="str">
        <f>_xlfn.XLOOKUP(FactSales[[#This Row],[Region_ID]],DimRegion[Region_ID],DimRegion[Region_Name])</f>
        <v>Sylhet</v>
      </c>
      <c r="W628" s="6" t="str">
        <f>_xlfn.XLOOKUP(FactSales[[#This Row],[Store_ID]],DimStore[Store_ID],DimStore[Store_Name])</f>
        <v>Sylhet Zindabazar Store</v>
      </c>
    </row>
    <row r="629" spans="1:23">
      <c r="A629" s="4" t="s">
        <v>1625</v>
      </c>
      <c r="B629" s="5">
        <v>45948</v>
      </c>
      <c r="C629" s="4" t="s">
        <v>240</v>
      </c>
      <c r="D629" s="4" t="s">
        <v>37</v>
      </c>
      <c r="E629" s="4" t="s">
        <v>662</v>
      </c>
      <c r="F629" s="4" t="s">
        <v>938</v>
      </c>
      <c r="G629" s="4" t="s">
        <v>773</v>
      </c>
      <c r="H629" s="4">
        <v>2</v>
      </c>
      <c r="I629" s="7">
        <v>0.18</v>
      </c>
      <c r="J629" s="6">
        <v>15900</v>
      </c>
      <c r="K629" s="4">
        <v>4</v>
      </c>
      <c r="L629" s="8">
        <f t="shared" si="9"/>
        <v>3.5</v>
      </c>
      <c r="M629" s="6" t="str">
        <f>_xlfn.XLOOKUP(FactSales[[#This Row],[Product_ID]],DimProduct[Product_ID],DimProduct[Product_Name])</f>
        <v>Rice Cooker</v>
      </c>
      <c r="N629" s="6" t="str">
        <f>_xlfn.XLOOKUP(FactSales[[#This Row],[Product_ID]],DimProduct[Product_ID],DimProduct[Category])</f>
        <v>Home Appliance</v>
      </c>
      <c r="O629" s="6">
        <f>_xlfn.XLOOKUP(FactSales[[#This Row],[Product_ID]],DimProduct[Product_ID],DimProduct[Unit_Price])</f>
        <v>7430</v>
      </c>
      <c r="P629" s="6">
        <f>_xlfn.XLOOKUP(FactSales[[#This Row],[Product_ID]],DimProduct[Product_ID],DimProduct[Unit_Cost])</f>
        <v>5200</v>
      </c>
      <c r="Q629" s="6">
        <f>FactSales[[#This Row],[Unit_Price]]*FactSales[[#This Row],[Quantity_Sold]]</f>
        <v>14860</v>
      </c>
      <c r="R629" s="6">
        <f>FactSales[[#This Row],[Unit_Cost]]*FactSales[[#This Row],[Quantity_Sold]]</f>
        <v>10400</v>
      </c>
      <c r="S629" s="6">
        <f>FactSales[[#This Row],[Sales_Amount]]-FactSales[[#This Row],[Total_Cost]]</f>
        <v>4460</v>
      </c>
      <c r="T629" s="6" t="str">
        <f>_xlfn.XLOOKUP(FactSales[[#This Row],[Customer_ID]],DimCustomer[Customer_ID],DimCustomer[Customer_Name])</f>
        <v>Imran Islam</v>
      </c>
      <c r="U629" s="6" t="str">
        <f>_xlfn.XLOOKUP(FactSales[[#This Row],[Salesperson_ID]],DimSalesman[Salesperson_ID],DimSalesman[Salesperson_Name])</f>
        <v>Rasel Akter</v>
      </c>
      <c r="V629" s="6" t="str">
        <f>_xlfn.XLOOKUP(FactSales[[#This Row],[Region_ID]],DimRegion[Region_ID],DimRegion[Region_Name])</f>
        <v>Sylhet</v>
      </c>
      <c r="W629" s="6" t="str">
        <f>_xlfn.XLOOKUP(FactSales[[#This Row],[Store_ID]],DimStore[Store_ID],DimStore[Store_Name])</f>
        <v>Sylhet Subidbazar Store</v>
      </c>
    </row>
    <row r="630" spans="1:23">
      <c r="A630" s="4" t="s">
        <v>1626</v>
      </c>
      <c r="B630" s="5">
        <v>45858</v>
      </c>
      <c r="C630" s="4" t="s">
        <v>556</v>
      </c>
      <c r="D630" s="4" t="s">
        <v>62</v>
      </c>
      <c r="E630" s="4" t="s">
        <v>734</v>
      </c>
      <c r="F630" s="4" t="s">
        <v>979</v>
      </c>
      <c r="G630" s="4" t="s">
        <v>847</v>
      </c>
      <c r="H630" s="4">
        <v>1</v>
      </c>
      <c r="I630" s="7">
        <v>0.05</v>
      </c>
      <c r="J630" s="6">
        <v>2020</v>
      </c>
      <c r="K630" s="4">
        <v>8</v>
      </c>
      <c r="L630" s="8">
        <f t="shared" si="9"/>
        <v>2.5</v>
      </c>
      <c r="M630" s="6" t="str">
        <f>_xlfn.XLOOKUP(FactSales[[#This Row],[Product_ID]],DimProduct[Product_ID],DimProduct[Product_Name])</f>
        <v>Casual Loafer</v>
      </c>
      <c r="N630" s="6" t="str">
        <f>_xlfn.XLOOKUP(FactSales[[#This Row],[Product_ID]],DimProduct[Product_ID],DimProduct[Category])</f>
        <v>Footwear</v>
      </c>
      <c r="O630" s="6">
        <f>_xlfn.XLOOKUP(FactSales[[#This Row],[Product_ID]],DimProduct[Product_ID],DimProduct[Unit_Price])</f>
        <v>1870</v>
      </c>
      <c r="P630" s="6">
        <f>_xlfn.XLOOKUP(FactSales[[#This Row],[Product_ID]],DimProduct[Product_ID],DimProduct[Unit_Cost])</f>
        <v>1120</v>
      </c>
      <c r="Q630" s="6">
        <f>FactSales[[#This Row],[Unit_Price]]*FactSales[[#This Row],[Quantity_Sold]]</f>
        <v>1870</v>
      </c>
      <c r="R630" s="6">
        <f>FactSales[[#This Row],[Unit_Cost]]*FactSales[[#This Row],[Quantity_Sold]]</f>
        <v>1120</v>
      </c>
      <c r="S630" s="6">
        <f>FactSales[[#This Row],[Sales_Amount]]-FactSales[[#This Row],[Total_Cost]]</f>
        <v>750</v>
      </c>
      <c r="T630" s="6" t="str">
        <f>_xlfn.XLOOKUP(FactSales[[#This Row],[Customer_ID]],DimCustomer[Customer_ID],DimCustomer[Customer_Name])</f>
        <v>Rahim Khan</v>
      </c>
      <c r="U630" s="6" t="str">
        <f>_xlfn.XLOOKUP(FactSales[[#This Row],[Salesperson_ID]],DimSalesman[Salesperson_ID],DimSalesman[Salesperson_Name])</f>
        <v>Rahim Rahman</v>
      </c>
      <c r="V630" s="6" t="str">
        <f>_xlfn.XLOOKUP(FactSales[[#This Row],[Region_ID]],DimRegion[Region_ID],DimRegion[Region_Name])</f>
        <v>Mymensingh</v>
      </c>
      <c r="W630" s="6" t="str">
        <f>_xlfn.XLOOKUP(FactSales[[#This Row],[Store_ID]],DimStore[Store_ID],DimStore[Store_Name])</f>
        <v>Mymensingh Charpara Store</v>
      </c>
    </row>
    <row r="631" spans="1:23">
      <c r="A631" s="4" t="s">
        <v>1627</v>
      </c>
      <c r="B631" s="5">
        <v>46040</v>
      </c>
      <c r="C631" s="4" t="s">
        <v>462</v>
      </c>
      <c r="D631" s="4" t="s">
        <v>52</v>
      </c>
      <c r="E631" s="4" t="s">
        <v>707</v>
      </c>
      <c r="F631" s="4" t="s">
        <v>964</v>
      </c>
      <c r="G631" s="4" t="s">
        <v>893</v>
      </c>
      <c r="H631" s="4">
        <v>2</v>
      </c>
      <c r="I631" s="7">
        <v>7.0000000000000007E-2</v>
      </c>
      <c r="J631" s="6">
        <v>9811</v>
      </c>
      <c r="K631" s="4">
        <v>7</v>
      </c>
      <c r="L631" s="8">
        <f t="shared" si="9"/>
        <v>2.8</v>
      </c>
      <c r="M631" s="6" t="str">
        <f>_xlfn.XLOOKUP(FactSales[[#This Row],[Product_ID]],DimProduct[Product_ID],DimProduct[Product_Name])</f>
        <v>Office Chair</v>
      </c>
      <c r="N631" s="6" t="str">
        <f>_xlfn.XLOOKUP(FactSales[[#This Row],[Product_ID]],DimProduct[Product_ID],DimProduct[Category])</f>
        <v>Furniture</v>
      </c>
      <c r="O631" s="6">
        <f>_xlfn.XLOOKUP(FactSales[[#This Row],[Product_ID]],DimProduct[Product_ID],DimProduct[Unit_Price])</f>
        <v>4380</v>
      </c>
      <c r="P631" s="6">
        <f>_xlfn.XLOOKUP(FactSales[[#This Row],[Product_ID]],DimProduct[Product_ID],DimProduct[Unit_Cost])</f>
        <v>3150</v>
      </c>
      <c r="Q631" s="6">
        <f>FactSales[[#This Row],[Unit_Price]]*FactSales[[#This Row],[Quantity_Sold]]</f>
        <v>8760</v>
      </c>
      <c r="R631" s="6">
        <f>FactSales[[#This Row],[Unit_Cost]]*FactSales[[#This Row],[Quantity_Sold]]</f>
        <v>6300</v>
      </c>
      <c r="S631" s="6">
        <f>FactSales[[#This Row],[Sales_Amount]]-FactSales[[#This Row],[Total_Cost]]</f>
        <v>2460</v>
      </c>
      <c r="T631" s="6" t="str">
        <f>_xlfn.XLOOKUP(FactSales[[#This Row],[Customer_ID]],DimCustomer[Customer_ID],DimCustomer[Customer_Name])</f>
        <v>Sajib Islam</v>
      </c>
      <c r="U631" s="6" t="str">
        <f>_xlfn.XLOOKUP(FactSales[[#This Row],[Salesperson_ID]],DimSalesman[Salesperson_ID],DimSalesman[Salesperson_Name])</f>
        <v>Shaila Uddin</v>
      </c>
      <c r="V631" s="6" t="str">
        <f>_xlfn.XLOOKUP(FactSales[[#This Row],[Region_ID]],DimRegion[Region_ID],DimRegion[Region_Name])</f>
        <v>Barishal</v>
      </c>
      <c r="W631" s="6" t="str">
        <f>_xlfn.XLOOKUP(FactSales[[#This Row],[Store_ID]],DimStore[Store_ID],DimStore[Store_Name])</f>
        <v>Barishal Chowmatha Store</v>
      </c>
    </row>
    <row r="632" spans="1:23">
      <c r="A632" s="4" t="s">
        <v>1628</v>
      </c>
      <c r="B632" s="5">
        <v>45824</v>
      </c>
      <c r="C632" s="4" t="s">
        <v>186</v>
      </c>
      <c r="D632" s="4" t="s">
        <v>32</v>
      </c>
      <c r="E632" s="4" t="s">
        <v>638</v>
      </c>
      <c r="F632" s="4" t="s">
        <v>922</v>
      </c>
      <c r="G632" s="4" t="s">
        <v>778</v>
      </c>
      <c r="H632" s="4">
        <v>1</v>
      </c>
      <c r="I632" s="7">
        <v>0.15</v>
      </c>
      <c r="J632" s="6">
        <v>5198</v>
      </c>
      <c r="K632" s="4">
        <v>10</v>
      </c>
      <c r="L632" s="8">
        <f t="shared" si="9"/>
        <v>1.7</v>
      </c>
      <c r="M632" s="6" t="str">
        <f>_xlfn.XLOOKUP(FactSales[[#This Row],[Product_ID]],DimProduct[Product_ID],DimProduct[Product_Name])</f>
        <v>Steam Iron</v>
      </c>
      <c r="N632" s="6" t="str">
        <f>_xlfn.XLOOKUP(FactSales[[#This Row],[Product_ID]],DimProduct[Product_ID],DimProduct[Category])</f>
        <v>Home Appliance</v>
      </c>
      <c r="O632" s="6">
        <f>_xlfn.XLOOKUP(FactSales[[#This Row],[Product_ID]],DimProduct[Product_ID],DimProduct[Unit_Price])</f>
        <v>4560</v>
      </c>
      <c r="P632" s="6">
        <f>_xlfn.XLOOKUP(FactSales[[#This Row],[Product_ID]],DimProduct[Product_ID],DimProduct[Unit_Cost])</f>
        <v>3190</v>
      </c>
      <c r="Q632" s="6">
        <f>FactSales[[#This Row],[Unit_Price]]*FactSales[[#This Row],[Quantity_Sold]]</f>
        <v>4560</v>
      </c>
      <c r="R632" s="6">
        <f>FactSales[[#This Row],[Unit_Cost]]*FactSales[[#This Row],[Quantity_Sold]]</f>
        <v>3190</v>
      </c>
      <c r="S632" s="6">
        <f>FactSales[[#This Row],[Sales_Amount]]-FactSales[[#This Row],[Total_Cost]]</f>
        <v>1370</v>
      </c>
      <c r="T632" s="6" t="str">
        <f>_xlfn.XLOOKUP(FactSales[[#This Row],[Customer_ID]],DimCustomer[Customer_ID],DimCustomer[Customer_Name])</f>
        <v>Ayesha Sultana</v>
      </c>
      <c r="U632" s="6" t="str">
        <f>_xlfn.XLOOKUP(FactSales[[#This Row],[Salesperson_ID]],DimSalesman[Salesperson_ID],DimSalesman[Salesperson_Name])</f>
        <v>Rafi Sultana</v>
      </c>
      <c r="V632" s="6" t="str">
        <f>_xlfn.XLOOKUP(FactSales[[#This Row],[Region_ID]],DimRegion[Region_ID],DimRegion[Region_Name])</f>
        <v>Chattogram</v>
      </c>
      <c r="W632" s="6" t="str">
        <f>_xlfn.XLOOKUP(FactSales[[#This Row],[Store_ID]],DimStore[Store_ID],DimStore[Store_Name])</f>
        <v>Chattogram Agrabad Store</v>
      </c>
    </row>
    <row r="633" spans="1:23">
      <c r="A633" s="4" t="s">
        <v>1629</v>
      </c>
      <c r="B633" s="5">
        <v>45717</v>
      </c>
      <c r="C633" s="4" t="s">
        <v>465</v>
      </c>
      <c r="D633" s="4" t="s">
        <v>52</v>
      </c>
      <c r="E633" s="4" t="s">
        <v>707</v>
      </c>
      <c r="F633" s="4" t="s">
        <v>966</v>
      </c>
      <c r="G633" s="4" t="s">
        <v>841</v>
      </c>
      <c r="H633" s="4">
        <v>4</v>
      </c>
      <c r="I633" s="7">
        <v>0.05</v>
      </c>
      <c r="J633" s="6">
        <v>14426</v>
      </c>
      <c r="K633" s="4">
        <v>4</v>
      </c>
      <c r="L633" s="8">
        <f t="shared" si="9"/>
        <v>3.8</v>
      </c>
      <c r="M633" s="6" t="str">
        <f>_xlfn.XLOOKUP(FactSales[[#This Row],[Product_ID]],DimProduct[Product_ID],DimProduct[Product_Name])</f>
        <v>Ladies Sandal</v>
      </c>
      <c r="N633" s="6" t="str">
        <f>_xlfn.XLOOKUP(FactSales[[#This Row],[Product_ID]],DimProduct[Product_ID],DimProduct[Category])</f>
        <v>Footwear</v>
      </c>
      <c r="O633" s="6">
        <f>_xlfn.XLOOKUP(FactSales[[#This Row],[Product_ID]],DimProduct[Product_ID],DimProduct[Unit_Price])</f>
        <v>3220</v>
      </c>
      <c r="P633" s="6">
        <f>_xlfn.XLOOKUP(FactSales[[#This Row],[Product_ID]],DimProduct[Product_ID],DimProduct[Unit_Cost])</f>
        <v>1930</v>
      </c>
      <c r="Q633" s="6">
        <f>FactSales[[#This Row],[Unit_Price]]*FactSales[[#This Row],[Quantity_Sold]]</f>
        <v>12880</v>
      </c>
      <c r="R633" s="6">
        <f>FactSales[[#This Row],[Unit_Cost]]*FactSales[[#This Row],[Quantity_Sold]]</f>
        <v>7720</v>
      </c>
      <c r="S633" s="6">
        <f>FactSales[[#This Row],[Sales_Amount]]-FactSales[[#This Row],[Total_Cost]]</f>
        <v>5160</v>
      </c>
      <c r="T633" s="6" t="str">
        <f>_xlfn.XLOOKUP(FactSales[[#This Row],[Customer_ID]],DimCustomer[Customer_ID],DimCustomer[Customer_Name])</f>
        <v>Shuvo Chowdhury</v>
      </c>
      <c r="U633" s="6" t="str">
        <f>_xlfn.XLOOKUP(FactSales[[#This Row],[Salesperson_ID]],DimSalesman[Salesperson_ID],DimSalesman[Salesperson_Name])</f>
        <v>Nayeem Akter</v>
      </c>
      <c r="V633" s="6" t="str">
        <f>_xlfn.XLOOKUP(FactSales[[#This Row],[Region_ID]],DimRegion[Region_ID],DimRegion[Region_Name])</f>
        <v>Barishal</v>
      </c>
      <c r="W633" s="6" t="str">
        <f>_xlfn.XLOOKUP(FactSales[[#This Row],[Store_ID]],DimStore[Store_ID],DimStore[Store_Name])</f>
        <v>Barishal Chowmatha Store</v>
      </c>
    </row>
    <row r="634" spans="1:23">
      <c r="A634" s="4" t="s">
        <v>1630</v>
      </c>
      <c r="B634" s="5">
        <v>45686</v>
      </c>
      <c r="C634" s="4" t="s">
        <v>326</v>
      </c>
      <c r="D634" s="4" t="s">
        <v>42</v>
      </c>
      <c r="E634" s="4" t="s">
        <v>668</v>
      </c>
      <c r="F634" s="4" t="s">
        <v>945</v>
      </c>
      <c r="G634" s="4" t="s">
        <v>828</v>
      </c>
      <c r="H634" s="4">
        <v>4</v>
      </c>
      <c r="I634" s="7">
        <v>0.05</v>
      </c>
      <c r="J634" s="6">
        <v>6091</v>
      </c>
      <c r="K634" s="4">
        <v>4</v>
      </c>
      <c r="L634" s="8">
        <f t="shared" si="9"/>
        <v>3.8</v>
      </c>
      <c r="M634" s="6" t="str">
        <f>_xlfn.XLOOKUP(FactSales[[#This Row],[Product_ID]],DimProduct[Product_ID],DimProduct[Product_Name])</f>
        <v>Toothpaste Twin Pack</v>
      </c>
      <c r="N634" s="6" t="str">
        <f>_xlfn.XLOOKUP(FactSales[[#This Row],[Product_ID]],DimProduct[Product_ID],DimProduct[Category])</f>
        <v>Beauty &amp; Personal Care</v>
      </c>
      <c r="O634" s="6">
        <f>_xlfn.XLOOKUP(FactSales[[#This Row],[Product_ID]],DimProduct[Product_ID],DimProduct[Unit_Price])</f>
        <v>1410</v>
      </c>
      <c r="P634" s="6">
        <f>_xlfn.XLOOKUP(FactSales[[#This Row],[Product_ID]],DimProduct[Product_ID],DimProduct[Unit_Cost])</f>
        <v>820</v>
      </c>
      <c r="Q634" s="6">
        <f>FactSales[[#This Row],[Unit_Price]]*FactSales[[#This Row],[Quantity_Sold]]</f>
        <v>5640</v>
      </c>
      <c r="R634" s="6">
        <f>FactSales[[#This Row],[Unit_Cost]]*FactSales[[#This Row],[Quantity_Sold]]</f>
        <v>3280</v>
      </c>
      <c r="S634" s="6">
        <f>FactSales[[#This Row],[Sales_Amount]]-FactSales[[#This Row],[Total_Cost]]</f>
        <v>2360</v>
      </c>
      <c r="T634" s="6" t="str">
        <f>_xlfn.XLOOKUP(FactSales[[#This Row],[Customer_ID]],DimCustomer[Customer_ID],DimCustomer[Customer_Name])</f>
        <v>Hasan Rahman</v>
      </c>
      <c r="U634" s="6" t="str">
        <f>_xlfn.XLOOKUP(FactSales[[#This Row],[Salesperson_ID]],DimSalesman[Salesperson_ID],DimSalesman[Salesperson_Name])</f>
        <v>Hasan Khan</v>
      </c>
      <c r="V634" s="6" t="str">
        <f>_xlfn.XLOOKUP(FactSales[[#This Row],[Region_ID]],DimRegion[Region_ID],DimRegion[Region_Name])</f>
        <v>Rajshahi</v>
      </c>
      <c r="W634" s="6" t="str">
        <f>_xlfn.XLOOKUP(FactSales[[#This Row],[Store_ID]],DimStore[Store_ID],DimStore[Store_Name])</f>
        <v>Rajshahi Shaheb Bazar Store</v>
      </c>
    </row>
    <row r="635" spans="1:23">
      <c r="A635" s="4" t="s">
        <v>1631</v>
      </c>
      <c r="B635" s="5">
        <v>45823</v>
      </c>
      <c r="C635" s="4" t="s">
        <v>240</v>
      </c>
      <c r="D635" s="4" t="s">
        <v>37</v>
      </c>
      <c r="E635" s="4" t="s">
        <v>656</v>
      </c>
      <c r="F635" s="4" t="s">
        <v>939</v>
      </c>
      <c r="G635" s="4" t="s">
        <v>813</v>
      </c>
      <c r="H635" s="4">
        <v>1</v>
      </c>
      <c r="I635" s="7">
        <v>0</v>
      </c>
      <c r="J635" s="6">
        <v>2290</v>
      </c>
      <c r="K635" s="4">
        <v>5</v>
      </c>
      <c r="L635" s="8">
        <f t="shared" si="9"/>
        <v>3.6</v>
      </c>
      <c r="M635" s="6" t="str">
        <f>_xlfn.XLOOKUP(FactSales[[#This Row],[Product_ID]],DimProduct[Product_ID],DimProduct[Product_Name])</f>
        <v>Tea Pack 500g</v>
      </c>
      <c r="N635" s="6" t="str">
        <f>_xlfn.XLOOKUP(FactSales[[#This Row],[Product_ID]],DimProduct[Product_ID],DimProduct[Category])</f>
        <v>Grocery</v>
      </c>
      <c r="O635" s="6">
        <f>_xlfn.XLOOKUP(FactSales[[#This Row],[Product_ID]],DimProduct[Product_ID],DimProduct[Unit_Price])</f>
        <v>2140</v>
      </c>
      <c r="P635" s="6">
        <f>_xlfn.XLOOKUP(FactSales[[#This Row],[Product_ID]],DimProduct[Product_ID],DimProduct[Unit_Cost])</f>
        <v>1670</v>
      </c>
      <c r="Q635" s="6">
        <f>FactSales[[#This Row],[Unit_Price]]*FactSales[[#This Row],[Quantity_Sold]]</f>
        <v>2140</v>
      </c>
      <c r="R635" s="6">
        <f>FactSales[[#This Row],[Unit_Cost]]*FactSales[[#This Row],[Quantity_Sold]]</f>
        <v>1670</v>
      </c>
      <c r="S635" s="6">
        <f>FactSales[[#This Row],[Sales_Amount]]-FactSales[[#This Row],[Total_Cost]]</f>
        <v>470</v>
      </c>
      <c r="T635" s="6" t="str">
        <f>_xlfn.XLOOKUP(FactSales[[#This Row],[Customer_ID]],DimCustomer[Customer_ID],DimCustomer[Customer_Name])</f>
        <v>Imran Islam</v>
      </c>
      <c r="U635" s="6" t="str">
        <f>_xlfn.XLOOKUP(FactSales[[#This Row],[Salesperson_ID]],DimSalesman[Salesperson_ID],DimSalesman[Salesperson_Name])</f>
        <v>Fahim Mia</v>
      </c>
      <c r="V635" s="6" t="str">
        <f>_xlfn.XLOOKUP(FactSales[[#This Row],[Region_ID]],DimRegion[Region_ID],DimRegion[Region_Name])</f>
        <v>Sylhet</v>
      </c>
      <c r="W635" s="6" t="str">
        <f>_xlfn.XLOOKUP(FactSales[[#This Row],[Store_ID]],DimStore[Store_ID],DimStore[Store_Name])</f>
        <v>Sylhet Ambarkhana Store</v>
      </c>
    </row>
    <row r="636" spans="1:23">
      <c r="A636" s="4" t="s">
        <v>1632</v>
      </c>
      <c r="B636" s="5">
        <v>45851</v>
      </c>
      <c r="C636" s="4" t="s">
        <v>518</v>
      </c>
      <c r="D636" s="4" t="s">
        <v>57</v>
      </c>
      <c r="E636" s="4" t="s">
        <v>725</v>
      </c>
      <c r="F636" s="4" t="s">
        <v>968</v>
      </c>
      <c r="G636" s="4" t="s">
        <v>800</v>
      </c>
      <c r="H636" s="4">
        <v>5</v>
      </c>
      <c r="I636" s="7">
        <v>0.02</v>
      </c>
      <c r="J636" s="6">
        <v>6382</v>
      </c>
      <c r="K636" s="4">
        <v>7</v>
      </c>
      <c r="L636" s="8">
        <f t="shared" si="9"/>
        <v>2.9</v>
      </c>
      <c r="M636" s="6" t="str">
        <f>_xlfn.XLOOKUP(FactSales[[#This Row],[Product_ID]],DimProduct[Product_ID],DimProduct[Product_Name])</f>
        <v>Premium Rice 5kg</v>
      </c>
      <c r="N636" s="6" t="str">
        <f>_xlfn.XLOOKUP(FactSales[[#This Row],[Product_ID]],DimProduct[Product_ID],DimProduct[Category])</f>
        <v>Grocery</v>
      </c>
      <c r="O636" s="6">
        <f>_xlfn.XLOOKUP(FactSales[[#This Row],[Product_ID]],DimProduct[Product_ID],DimProduct[Unit_Price])</f>
        <v>1110</v>
      </c>
      <c r="P636" s="6">
        <f>_xlfn.XLOOKUP(FactSales[[#This Row],[Product_ID]],DimProduct[Product_ID],DimProduct[Unit_Cost])</f>
        <v>870</v>
      </c>
      <c r="Q636" s="6">
        <f>FactSales[[#This Row],[Unit_Price]]*FactSales[[#This Row],[Quantity_Sold]]</f>
        <v>5550</v>
      </c>
      <c r="R636" s="6">
        <f>FactSales[[#This Row],[Unit_Cost]]*FactSales[[#This Row],[Quantity_Sold]]</f>
        <v>4350</v>
      </c>
      <c r="S636" s="6">
        <f>FactSales[[#This Row],[Sales_Amount]]-FactSales[[#This Row],[Total_Cost]]</f>
        <v>1200</v>
      </c>
      <c r="T636" s="6" t="str">
        <f>_xlfn.XLOOKUP(FactSales[[#This Row],[Customer_ID]],DimCustomer[Customer_ID],DimCustomer[Customer_Name])</f>
        <v>Arif Rahman</v>
      </c>
      <c r="U636" s="6" t="str">
        <f>_xlfn.XLOOKUP(FactSales[[#This Row],[Salesperson_ID]],DimSalesman[Salesperson_ID],DimSalesman[Salesperson_Name])</f>
        <v>Morshed Ahmed</v>
      </c>
      <c r="V636" s="6" t="str">
        <f>_xlfn.XLOOKUP(FactSales[[#This Row],[Region_ID]],DimRegion[Region_ID],DimRegion[Region_Name])</f>
        <v>Rangpur</v>
      </c>
      <c r="W636" s="6" t="str">
        <f>_xlfn.XLOOKUP(FactSales[[#This Row],[Store_ID]],DimStore[Store_ID],DimStore[Store_Name])</f>
        <v>Rangpur Central Road Store</v>
      </c>
    </row>
    <row r="637" spans="1:23">
      <c r="A637" s="4" t="s">
        <v>1633</v>
      </c>
      <c r="B637" s="5">
        <v>45973</v>
      </c>
      <c r="C637" s="4" t="s">
        <v>401</v>
      </c>
      <c r="D637" s="4" t="s">
        <v>47</v>
      </c>
      <c r="E637" s="4" t="s">
        <v>695</v>
      </c>
      <c r="F637" s="4" t="s">
        <v>958</v>
      </c>
      <c r="G637" s="4" t="s">
        <v>882</v>
      </c>
      <c r="H637" s="4">
        <v>4</v>
      </c>
      <c r="I637" s="7">
        <v>0.03</v>
      </c>
      <c r="J637" s="6">
        <v>7935</v>
      </c>
      <c r="K637" s="4">
        <v>2</v>
      </c>
      <c r="L637" s="8">
        <f t="shared" si="9"/>
        <v>4.5</v>
      </c>
      <c r="M637" s="6" t="str">
        <f>_xlfn.XLOOKUP(FactSales[[#This Row],[Product_ID]],DimProduct[Product_ID],DimProduct[Product_Name])</f>
        <v>Toy Car Set</v>
      </c>
      <c r="N637" s="6" t="str">
        <f>_xlfn.XLOOKUP(FactSales[[#This Row],[Product_ID]],DimProduct[Product_ID],DimProduct[Category])</f>
        <v>Kids &amp; Toys</v>
      </c>
      <c r="O637" s="6">
        <f>_xlfn.XLOOKUP(FactSales[[#This Row],[Product_ID]],DimProduct[Product_ID],DimProduct[Unit_Price])</f>
        <v>1820</v>
      </c>
      <c r="P637" s="6">
        <f>_xlfn.XLOOKUP(FactSales[[#This Row],[Product_ID]],DimProduct[Product_ID],DimProduct[Unit_Cost])</f>
        <v>1000</v>
      </c>
      <c r="Q637" s="6">
        <f>FactSales[[#This Row],[Unit_Price]]*FactSales[[#This Row],[Quantity_Sold]]</f>
        <v>7280</v>
      </c>
      <c r="R637" s="6">
        <f>FactSales[[#This Row],[Unit_Cost]]*FactSales[[#This Row],[Quantity_Sold]]</f>
        <v>4000</v>
      </c>
      <c r="S637" s="6">
        <f>FactSales[[#This Row],[Sales_Amount]]-FactSales[[#This Row],[Total_Cost]]</f>
        <v>3280</v>
      </c>
      <c r="T637" s="6" t="str">
        <f>_xlfn.XLOOKUP(FactSales[[#This Row],[Customer_ID]],DimCustomer[Customer_ID],DimCustomer[Customer_Name])</f>
        <v>Sajib Rahman</v>
      </c>
      <c r="U637" s="6" t="str">
        <f>_xlfn.XLOOKUP(FactSales[[#This Row],[Salesperson_ID]],DimSalesman[Salesperson_ID],DimSalesman[Salesperson_Name])</f>
        <v>Fahim Uddin</v>
      </c>
      <c r="V637" s="6" t="str">
        <f>_xlfn.XLOOKUP(FactSales[[#This Row],[Region_ID]],DimRegion[Region_ID],DimRegion[Region_Name])</f>
        <v>Khulna</v>
      </c>
      <c r="W637" s="6" t="str">
        <f>_xlfn.XLOOKUP(FactSales[[#This Row],[Store_ID]],DimStore[Store_ID],DimStore[Store_Name])</f>
        <v>Khulna Shibbari Store</v>
      </c>
    </row>
    <row r="638" spans="1:23">
      <c r="A638" s="4" t="s">
        <v>1634</v>
      </c>
      <c r="B638" s="5">
        <v>45933</v>
      </c>
      <c r="C638" s="4" t="s">
        <v>205</v>
      </c>
      <c r="D638" s="4" t="s">
        <v>32</v>
      </c>
      <c r="E638" s="4" t="s">
        <v>650</v>
      </c>
      <c r="F638" s="4" t="s">
        <v>926</v>
      </c>
      <c r="G638" s="4" t="s">
        <v>868</v>
      </c>
      <c r="H638" s="4">
        <v>4</v>
      </c>
      <c r="I638" s="7">
        <v>0.05</v>
      </c>
      <c r="J638" s="6">
        <v>1550</v>
      </c>
      <c r="K638" s="4">
        <v>5</v>
      </c>
      <c r="L638" s="8">
        <f t="shared" si="9"/>
        <v>3.5</v>
      </c>
      <c r="M638" s="6" t="str">
        <f>_xlfn.XLOOKUP(FactSales[[#This Row],[Product_ID]],DimProduct[Product_ID],DimProduct[Product_Name])</f>
        <v>Ball Pen Box</v>
      </c>
      <c r="N638" s="6" t="str">
        <f>_xlfn.XLOOKUP(FactSales[[#This Row],[Product_ID]],DimProduct[Product_ID],DimProduct[Category])</f>
        <v>Stationery</v>
      </c>
      <c r="O638" s="6">
        <f>_xlfn.XLOOKUP(FactSales[[#This Row],[Product_ID]],DimProduct[Product_ID],DimProduct[Unit_Price])</f>
        <v>340</v>
      </c>
      <c r="P638" s="6">
        <f>_xlfn.XLOOKUP(FactSales[[#This Row],[Product_ID]],DimProduct[Product_ID],DimProduct[Unit_Cost])</f>
        <v>170</v>
      </c>
      <c r="Q638" s="6">
        <f>FactSales[[#This Row],[Unit_Price]]*FactSales[[#This Row],[Quantity_Sold]]</f>
        <v>1360</v>
      </c>
      <c r="R638" s="6">
        <f>FactSales[[#This Row],[Unit_Cost]]*FactSales[[#This Row],[Quantity_Sold]]</f>
        <v>680</v>
      </c>
      <c r="S638" s="6">
        <f>FactSales[[#This Row],[Sales_Amount]]-FactSales[[#This Row],[Total_Cost]]</f>
        <v>680</v>
      </c>
      <c r="T638" s="6" t="str">
        <f>_xlfn.XLOOKUP(FactSales[[#This Row],[Customer_ID]],DimCustomer[Customer_ID],DimCustomer[Customer_Name])</f>
        <v>Mahmud Islam</v>
      </c>
      <c r="U638" s="6" t="str">
        <f>_xlfn.XLOOKUP(FactSales[[#This Row],[Salesperson_ID]],DimSalesman[Salesperson_ID],DimSalesman[Salesperson_Name])</f>
        <v>Rafi Akter</v>
      </c>
      <c r="V638" s="6" t="str">
        <f>_xlfn.XLOOKUP(FactSales[[#This Row],[Region_ID]],DimRegion[Region_ID],DimRegion[Region_Name])</f>
        <v>Chattogram</v>
      </c>
      <c r="W638" s="6" t="str">
        <f>_xlfn.XLOOKUP(FactSales[[#This Row],[Store_ID]],DimStore[Store_ID],DimStore[Store_Name])</f>
        <v>Chattogram Halishahar Store</v>
      </c>
    </row>
    <row r="639" spans="1:23">
      <c r="A639" s="4" t="s">
        <v>1635</v>
      </c>
      <c r="B639" s="5">
        <v>46085</v>
      </c>
      <c r="C639" s="4" t="s">
        <v>259</v>
      </c>
      <c r="D639" s="4" t="s">
        <v>37</v>
      </c>
      <c r="E639" s="4" t="s">
        <v>653</v>
      </c>
      <c r="F639" s="4" t="s">
        <v>932</v>
      </c>
      <c r="G639" s="4" t="s">
        <v>755</v>
      </c>
      <c r="H639" s="4">
        <v>5</v>
      </c>
      <c r="I639" s="7">
        <v>0.12</v>
      </c>
      <c r="J639" s="6">
        <v>17869</v>
      </c>
      <c r="K639" s="4">
        <v>3</v>
      </c>
      <c r="L639" s="8">
        <f t="shared" si="9"/>
        <v>4</v>
      </c>
      <c r="M639" s="6" t="str">
        <f>_xlfn.XLOOKUP(FactSales[[#This Row],[Product_ID]],DimProduct[Product_ID],DimProduct[Product_Name])</f>
        <v>Wireless Mouse</v>
      </c>
      <c r="N639" s="6" t="str">
        <f>_xlfn.XLOOKUP(FactSales[[#This Row],[Product_ID]],DimProduct[Product_ID],DimProduct[Category])</f>
        <v>Electronics</v>
      </c>
      <c r="O639" s="6">
        <f>_xlfn.XLOOKUP(FactSales[[#This Row],[Product_ID]],DimProduct[Product_ID],DimProduct[Unit_Price])</f>
        <v>3340</v>
      </c>
      <c r="P639" s="6">
        <f>_xlfn.XLOOKUP(FactSales[[#This Row],[Product_ID]],DimProduct[Product_ID],DimProduct[Unit_Cost])</f>
        <v>2270</v>
      </c>
      <c r="Q639" s="6">
        <f>FactSales[[#This Row],[Unit_Price]]*FactSales[[#This Row],[Quantity_Sold]]</f>
        <v>16700</v>
      </c>
      <c r="R639" s="6">
        <f>FactSales[[#This Row],[Unit_Cost]]*FactSales[[#This Row],[Quantity_Sold]]</f>
        <v>11350</v>
      </c>
      <c r="S639" s="6">
        <f>FactSales[[#This Row],[Sales_Amount]]-FactSales[[#This Row],[Total_Cost]]</f>
        <v>5350</v>
      </c>
      <c r="T639" s="6" t="str">
        <f>_xlfn.XLOOKUP(FactSales[[#This Row],[Customer_ID]],DimCustomer[Customer_ID],DimCustomer[Customer_Name])</f>
        <v>Hasan Akter</v>
      </c>
      <c r="U639" s="6" t="str">
        <f>_xlfn.XLOOKUP(FactSales[[#This Row],[Salesperson_ID]],DimSalesman[Salesperson_ID],DimSalesman[Salesperson_Name])</f>
        <v>Morshed Chowdhury</v>
      </c>
      <c r="V639" s="6" t="str">
        <f>_xlfn.XLOOKUP(FactSales[[#This Row],[Region_ID]],DimRegion[Region_ID],DimRegion[Region_Name])</f>
        <v>Sylhet</v>
      </c>
      <c r="W639" s="6" t="str">
        <f>_xlfn.XLOOKUP(FactSales[[#This Row],[Store_ID]],DimStore[Store_ID],DimStore[Store_Name])</f>
        <v>Sylhet Zindabazar Store</v>
      </c>
    </row>
    <row r="640" spans="1:23">
      <c r="A640" s="4" t="s">
        <v>1636</v>
      </c>
      <c r="B640" s="5">
        <v>45795</v>
      </c>
      <c r="C640" s="4" t="s">
        <v>500</v>
      </c>
      <c r="D640" s="4" t="s">
        <v>57</v>
      </c>
      <c r="E640" s="4" t="s">
        <v>716</v>
      </c>
      <c r="F640" s="4" t="s">
        <v>972</v>
      </c>
      <c r="G640" s="4" t="s">
        <v>762</v>
      </c>
      <c r="H640" s="4">
        <v>1</v>
      </c>
      <c r="I640" s="7">
        <v>0.1</v>
      </c>
      <c r="J640" s="6">
        <v>4450</v>
      </c>
      <c r="K640" s="4">
        <v>5</v>
      </c>
      <c r="L640" s="8">
        <f t="shared" si="9"/>
        <v>3.4</v>
      </c>
      <c r="M640" s="6" t="str">
        <f>_xlfn.XLOOKUP(FactSales[[#This Row],[Product_ID]],DimProduct[Product_ID],DimProduct[Product_Name])</f>
        <v>Smart Watch</v>
      </c>
      <c r="N640" s="6" t="str">
        <f>_xlfn.XLOOKUP(FactSales[[#This Row],[Product_ID]],DimProduct[Product_ID],DimProduct[Category])</f>
        <v>Electronics</v>
      </c>
      <c r="O640" s="6">
        <f>_xlfn.XLOOKUP(FactSales[[#This Row],[Product_ID]],DimProduct[Product_ID],DimProduct[Unit_Price])</f>
        <v>3870</v>
      </c>
      <c r="P640" s="6">
        <f>_xlfn.XLOOKUP(FactSales[[#This Row],[Product_ID]],DimProduct[Product_ID],DimProduct[Unit_Cost])</f>
        <v>2630</v>
      </c>
      <c r="Q640" s="6">
        <f>FactSales[[#This Row],[Unit_Price]]*FactSales[[#This Row],[Quantity_Sold]]</f>
        <v>3870</v>
      </c>
      <c r="R640" s="6">
        <f>FactSales[[#This Row],[Unit_Cost]]*FactSales[[#This Row],[Quantity_Sold]]</f>
        <v>2630</v>
      </c>
      <c r="S640" s="6">
        <f>FactSales[[#This Row],[Sales_Amount]]-FactSales[[#This Row],[Total_Cost]]</f>
        <v>1240</v>
      </c>
      <c r="T640" s="6" t="str">
        <f>_xlfn.XLOOKUP(FactSales[[#This Row],[Customer_ID]],DimCustomer[Customer_ID],DimCustomer[Customer_Name])</f>
        <v>Karim Ahmed</v>
      </c>
      <c r="U640" s="6" t="str">
        <f>_xlfn.XLOOKUP(FactSales[[#This Row],[Salesperson_ID]],DimSalesman[Salesperson_ID],DimSalesman[Salesperson_Name])</f>
        <v>Samiha Hossain</v>
      </c>
      <c r="V640" s="6" t="str">
        <f>_xlfn.XLOOKUP(FactSales[[#This Row],[Region_ID]],DimRegion[Region_ID],DimRegion[Region_Name])</f>
        <v>Rangpur</v>
      </c>
      <c r="W640" s="6" t="str">
        <f>_xlfn.XLOOKUP(FactSales[[#This Row],[Store_ID]],DimStore[Store_ID],DimStore[Store_Name])</f>
        <v>Rangpur Shapla Chattar Store</v>
      </c>
    </row>
    <row r="641" spans="1:23">
      <c r="A641" s="4" t="s">
        <v>1637</v>
      </c>
      <c r="B641" s="5">
        <v>45854</v>
      </c>
      <c r="C641" s="4" t="s">
        <v>299</v>
      </c>
      <c r="D641" s="4" t="s">
        <v>42</v>
      </c>
      <c r="E641" s="4" t="s">
        <v>671</v>
      </c>
      <c r="F641" s="4" t="s">
        <v>943</v>
      </c>
      <c r="G641" s="4" t="s">
        <v>854</v>
      </c>
      <c r="H641" s="4">
        <v>2</v>
      </c>
      <c r="I641" s="7">
        <v>0.1</v>
      </c>
      <c r="J641" s="6">
        <v>8035</v>
      </c>
      <c r="K641" s="4">
        <v>4</v>
      </c>
      <c r="L641" s="8">
        <f t="shared" si="9"/>
        <v>3.7</v>
      </c>
      <c r="M641" s="6" t="str">
        <f>_xlfn.XLOOKUP(FactSales[[#This Row],[Product_ID]],DimProduct[Product_ID],DimProduct[Product_Name])</f>
        <v>Football</v>
      </c>
      <c r="N641" s="6" t="str">
        <f>_xlfn.XLOOKUP(FactSales[[#This Row],[Product_ID]],DimProduct[Product_ID],DimProduct[Category])</f>
        <v>Sports</v>
      </c>
      <c r="O641" s="6">
        <f>_xlfn.XLOOKUP(FactSales[[#This Row],[Product_ID]],DimProduct[Product_ID],DimProduct[Unit_Price])</f>
        <v>3720</v>
      </c>
      <c r="P641" s="6">
        <f>_xlfn.XLOOKUP(FactSales[[#This Row],[Product_ID]],DimProduct[Product_ID],DimProduct[Unit_Cost])</f>
        <v>2310</v>
      </c>
      <c r="Q641" s="6">
        <f>FactSales[[#This Row],[Unit_Price]]*FactSales[[#This Row],[Quantity_Sold]]</f>
        <v>7440</v>
      </c>
      <c r="R641" s="6">
        <f>FactSales[[#This Row],[Unit_Cost]]*FactSales[[#This Row],[Quantity_Sold]]</f>
        <v>4620</v>
      </c>
      <c r="S641" s="6">
        <f>FactSales[[#This Row],[Sales_Amount]]-FactSales[[#This Row],[Total_Cost]]</f>
        <v>2820</v>
      </c>
      <c r="T641" s="6" t="str">
        <f>_xlfn.XLOOKUP(FactSales[[#This Row],[Customer_ID]],DimCustomer[Customer_ID],DimCustomer[Customer_Name])</f>
        <v>Samiha Ahmed</v>
      </c>
      <c r="U641" s="6" t="str">
        <f>_xlfn.XLOOKUP(FactSales[[#This Row],[Salesperson_ID]],DimSalesman[Salesperson_ID],DimSalesman[Salesperson_Name])</f>
        <v>Imran Khan</v>
      </c>
      <c r="V641" s="6" t="str">
        <f>_xlfn.XLOOKUP(FactSales[[#This Row],[Region_ID]],DimRegion[Region_ID],DimRegion[Region_Name])</f>
        <v>Rajshahi</v>
      </c>
      <c r="W641" s="6" t="str">
        <f>_xlfn.XLOOKUP(FactSales[[#This Row],[Store_ID]],DimStore[Store_ID],DimStore[Store_Name])</f>
        <v>Rajshahi Kazla Store</v>
      </c>
    </row>
    <row r="642" spans="1:23">
      <c r="A642" s="4" t="s">
        <v>1638</v>
      </c>
      <c r="B642" s="5">
        <v>45828</v>
      </c>
      <c r="C642" s="4" t="s">
        <v>601</v>
      </c>
      <c r="D642" s="4" t="s">
        <v>62</v>
      </c>
      <c r="E642" s="4" t="s">
        <v>740</v>
      </c>
      <c r="F642" s="4" t="s">
        <v>978</v>
      </c>
      <c r="G642" s="4" t="s">
        <v>878</v>
      </c>
      <c r="H642" s="4">
        <v>1</v>
      </c>
      <c r="I642" s="7">
        <v>0.03</v>
      </c>
      <c r="J642" s="6">
        <v>907</v>
      </c>
      <c r="K642" s="4">
        <v>3</v>
      </c>
      <c r="L642" s="8">
        <f t="shared" ref="L642:L705" si="10">MAX(1,MIN(5,ROUND(5.2-(K642*0.32)-(I642*2.2),1)))</f>
        <v>4.2</v>
      </c>
      <c r="M642" s="6" t="str">
        <f>_xlfn.XLOOKUP(FactSales[[#This Row],[Product_ID]],DimProduct[Product_ID],DimProduct[Product_Name])</f>
        <v>Building Blocks</v>
      </c>
      <c r="N642" s="6" t="str">
        <f>_xlfn.XLOOKUP(FactSales[[#This Row],[Product_ID]],DimProduct[Product_ID],DimProduct[Category])</f>
        <v>Kids &amp; Toys</v>
      </c>
      <c r="O642" s="6">
        <f>_xlfn.XLOOKUP(FactSales[[#This Row],[Product_ID]],DimProduct[Product_ID],DimProduct[Unit_Price])</f>
        <v>840</v>
      </c>
      <c r="P642" s="6">
        <f>_xlfn.XLOOKUP(FactSales[[#This Row],[Product_ID]],DimProduct[Product_ID],DimProduct[Unit_Cost])</f>
        <v>460</v>
      </c>
      <c r="Q642" s="6">
        <f>FactSales[[#This Row],[Unit_Price]]*FactSales[[#This Row],[Quantity_Sold]]</f>
        <v>840</v>
      </c>
      <c r="R642" s="6">
        <f>FactSales[[#This Row],[Unit_Cost]]*FactSales[[#This Row],[Quantity_Sold]]</f>
        <v>460</v>
      </c>
      <c r="S642" s="6">
        <f>FactSales[[#This Row],[Sales_Amount]]-FactSales[[#This Row],[Total_Cost]]</f>
        <v>380</v>
      </c>
      <c r="T642" s="6" t="str">
        <f>_xlfn.XLOOKUP(FactSales[[#This Row],[Customer_ID]],DimCustomer[Customer_ID],DimCustomer[Customer_Name])</f>
        <v>Tania Islam</v>
      </c>
      <c r="U642" s="6" t="str">
        <f>_xlfn.XLOOKUP(FactSales[[#This Row],[Salesperson_ID]],DimSalesman[Salesperson_ID],DimSalesman[Salesperson_Name])</f>
        <v>Sajib Rahman</v>
      </c>
      <c r="V642" s="6" t="str">
        <f>_xlfn.XLOOKUP(FactSales[[#This Row],[Region_ID]],DimRegion[Region_ID],DimRegion[Region_Name])</f>
        <v>Mymensingh</v>
      </c>
      <c r="W642" s="6" t="str">
        <f>_xlfn.XLOOKUP(FactSales[[#This Row],[Store_ID]],DimStore[Store_ID],DimStore[Store_Name])</f>
        <v>Mymensingh Maskanda Store</v>
      </c>
    </row>
    <row r="643" spans="1:23">
      <c r="A643" s="4" t="s">
        <v>1639</v>
      </c>
      <c r="B643" s="5">
        <v>45761</v>
      </c>
      <c r="C643" s="4" t="s">
        <v>425</v>
      </c>
      <c r="D643" s="4" t="s">
        <v>52</v>
      </c>
      <c r="E643" s="4" t="s">
        <v>710</v>
      </c>
      <c r="F643" s="4" t="s">
        <v>961</v>
      </c>
      <c r="G643" s="4" t="s">
        <v>790</v>
      </c>
      <c r="H643" s="4">
        <v>2</v>
      </c>
      <c r="I643" s="7">
        <v>0.03</v>
      </c>
      <c r="J643" s="6">
        <v>4458</v>
      </c>
      <c r="K643" s="4">
        <v>6</v>
      </c>
      <c r="L643" s="8">
        <f t="shared" si="10"/>
        <v>3.2</v>
      </c>
      <c r="M643" s="6" t="str">
        <f>_xlfn.XLOOKUP(FactSales[[#This Row],[Product_ID]],DimProduct[Product_ID],DimProduct[Product_Name])</f>
        <v>Women Kurti</v>
      </c>
      <c r="N643" s="6" t="str">
        <f>_xlfn.XLOOKUP(FactSales[[#This Row],[Product_ID]],DimProduct[Product_ID],DimProduct[Category])</f>
        <v>Fashion</v>
      </c>
      <c r="O643" s="6">
        <f>_xlfn.XLOOKUP(FactSales[[#This Row],[Product_ID]],DimProduct[Product_ID],DimProduct[Unit_Price])</f>
        <v>1990</v>
      </c>
      <c r="P643" s="6">
        <f>_xlfn.XLOOKUP(FactSales[[#This Row],[Product_ID]],DimProduct[Product_ID],DimProduct[Unit_Cost])</f>
        <v>1090</v>
      </c>
      <c r="Q643" s="6">
        <f>FactSales[[#This Row],[Unit_Price]]*FactSales[[#This Row],[Quantity_Sold]]</f>
        <v>3980</v>
      </c>
      <c r="R643" s="6">
        <f>FactSales[[#This Row],[Unit_Cost]]*FactSales[[#This Row],[Quantity_Sold]]</f>
        <v>2180</v>
      </c>
      <c r="S643" s="6">
        <f>FactSales[[#This Row],[Sales_Amount]]-FactSales[[#This Row],[Total_Cost]]</f>
        <v>1800</v>
      </c>
      <c r="T643" s="6" t="str">
        <f>_xlfn.XLOOKUP(FactSales[[#This Row],[Customer_ID]],DimCustomer[Customer_ID],DimCustomer[Customer_Name])</f>
        <v>Shuvo Sultana</v>
      </c>
      <c r="U643" s="6" t="str">
        <f>_xlfn.XLOOKUP(FactSales[[#This Row],[Salesperson_ID]],DimSalesman[Salesperson_ID],DimSalesman[Salesperson_Name])</f>
        <v>Shaila Akter</v>
      </c>
      <c r="V643" s="6" t="str">
        <f>_xlfn.XLOOKUP(FactSales[[#This Row],[Region_ID]],DimRegion[Region_ID],DimRegion[Region_Name])</f>
        <v>Barishal</v>
      </c>
      <c r="W643" s="6" t="str">
        <f>_xlfn.XLOOKUP(FactSales[[#This Row],[Store_ID]],DimStore[Store_ID],DimStore[Store_Name])</f>
        <v>Barishal Kawnia Store</v>
      </c>
    </row>
    <row r="644" spans="1:23">
      <c r="A644" s="4" t="s">
        <v>1640</v>
      </c>
      <c r="B644" s="5">
        <v>46042</v>
      </c>
      <c r="C644" s="4" t="s">
        <v>82</v>
      </c>
      <c r="D644" s="4" t="s">
        <v>27</v>
      </c>
      <c r="E644" s="4" t="s">
        <v>622</v>
      </c>
      <c r="F644" s="4" t="s">
        <v>919</v>
      </c>
      <c r="G644" s="4" t="s">
        <v>864</v>
      </c>
      <c r="H644" s="4">
        <v>3</v>
      </c>
      <c r="I644" s="7">
        <v>0.03</v>
      </c>
      <c r="J644" s="6">
        <v>1272</v>
      </c>
      <c r="K644" s="4">
        <v>4</v>
      </c>
      <c r="L644" s="8">
        <f t="shared" si="10"/>
        <v>3.9</v>
      </c>
      <c r="M644" s="6" t="str">
        <f>_xlfn.XLOOKUP(FactSales[[#This Row],[Product_ID]],DimProduct[Product_ID],DimProduct[Product_Name])</f>
        <v>Notebook Pack</v>
      </c>
      <c r="N644" s="6" t="str">
        <f>_xlfn.XLOOKUP(FactSales[[#This Row],[Product_ID]],DimProduct[Product_ID],DimProduct[Category])</f>
        <v>Stationery</v>
      </c>
      <c r="O644" s="6">
        <f>_xlfn.XLOOKUP(FactSales[[#This Row],[Product_ID]],DimProduct[Product_ID],DimProduct[Unit_Price])</f>
        <v>400</v>
      </c>
      <c r="P644" s="6">
        <f>_xlfn.XLOOKUP(FactSales[[#This Row],[Product_ID]],DimProduct[Product_ID],DimProduct[Unit_Cost])</f>
        <v>200</v>
      </c>
      <c r="Q644" s="6">
        <f>FactSales[[#This Row],[Unit_Price]]*FactSales[[#This Row],[Quantity_Sold]]</f>
        <v>1200</v>
      </c>
      <c r="R644" s="6">
        <f>FactSales[[#This Row],[Unit_Cost]]*FactSales[[#This Row],[Quantity_Sold]]</f>
        <v>600</v>
      </c>
      <c r="S644" s="6">
        <f>FactSales[[#This Row],[Sales_Amount]]-FactSales[[#This Row],[Total_Cost]]</f>
        <v>600</v>
      </c>
      <c r="T644" s="6" t="str">
        <f>_xlfn.XLOOKUP(FactSales[[#This Row],[Customer_ID]],DimCustomer[Customer_ID],DimCustomer[Customer_Name])</f>
        <v>Mahmud Ahmed</v>
      </c>
      <c r="U644" s="6" t="str">
        <f>_xlfn.XLOOKUP(FactSales[[#This Row],[Salesperson_ID]],DimSalesman[Salesperson_ID],DimSalesman[Salesperson_Name])</f>
        <v>Imran Mia</v>
      </c>
      <c r="V644" s="6" t="str">
        <f>_xlfn.XLOOKUP(FactSales[[#This Row],[Region_ID]],DimRegion[Region_ID],DimRegion[Region_Name])</f>
        <v>Dhaka</v>
      </c>
      <c r="W644" s="6" t="str">
        <f>_xlfn.XLOOKUP(FactSales[[#This Row],[Store_ID]],DimStore[Store_ID],DimStore[Store_Name])</f>
        <v>Dhaka Dhanmondi Store</v>
      </c>
    </row>
    <row r="645" spans="1:23">
      <c r="A645" s="4" t="s">
        <v>1641</v>
      </c>
      <c r="B645" s="5">
        <v>46009</v>
      </c>
      <c r="C645" s="4" t="s">
        <v>472</v>
      </c>
      <c r="D645" s="4" t="s">
        <v>52</v>
      </c>
      <c r="E645" s="4" t="s">
        <v>707</v>
      </c>
      <c r="F645" s="4" t="s">
        <v>963</v>
      </c>
      <c r="G645" s="4" t="s">
        <v>778</v>
      </c>
      <c r="H645" s="4">
        <v>10</v>
      </c>
      <c r="I645" s="7">
        <v>0.12</v>
      </c>
      <c r="J645" s="6">
        <v>51072</v>
      </c>
      <c r="K645" s="4">
        <v>6</v>
      </c>
      <c r="L645" s="8">
        <f t="shared" si="10"/>
        <v>3</v>
      </c>
      <c r="M645" s="6" t="str">
        <f>_xlfn.XLOOKUP(FactSales[[#This Row],[Product_ID]],DimProduct[Product_ID],DimProduct[Product_Name])</f>
        <v>Steam Iron</v>
      </c>
      <c r="N645" s="6" t="str">
        <f>_xlfn.XLOOKUP(FactSales[[#This Row],[Product_ID]],DimProduct[Product_ID],DimProduct[Category])</f>
        <v>Home Appliance</v>
      </c>
      <c r="O645" s="6">
        <f>_xlfn.XLOOKUP(FactSales[[#This Row],[Product_ID]],DimProduct[Product_ID],DimProduct[Unit_Price])</f>
        <v>4560</v>
      </c>
      <c r="P645" s="6">
        <f>_xlfn.XLOOKUP(FactSales[[#This Row],[Product_ID]],DimProduct[Product_ID],DimProduct[Unit_Cost])</f>
        <v>3190</v>
      </c>
      <c r="Q645" s="6">
        <f>FactSales[[#This Row],[Unit_Price]]*FactSales[[#This Row],[Quantity_Sold]]</f>
        <v>45600</v>
      </c>
      <c r="R645" s="6">
        <f>FactSales[[#This Row],[Unit_Cost]]*FactSales[[#This Row],[Quantity_Sold]]</f>
        <v>31900</v>
      </c>
      <c r="S645" s="6">
        <f>FactSales[[#This Row],[Sales_Amount]]-FactSales[[#This Row],[Total_Cost]]</f>
        <v>13700</v>
      </c>
      <c r="T645" s="6" t="str">
        <f>_xlfn.XLOOKUP(FactSales[[#This Row],[Customer_ID]],DimCustomer[Customer_ID],DimCustomer[Customer_Name])</f>
        <v>Rumana Akter</v>
      </c>
      <c r="U645" s="6" t="str">
        <f>_xlfn.XLOOKUP(FactSales[[#This Row],[Salesperson_ID]],DimSalesman[Salesperson_ID],DimSalesman[Salesperson_Name])</f>
        <v>Rasel Uddin</v>
      </c>
      <c r="V645" s="6" t="str">
        <f>_xlfn.XLOOKUP(FactSales[[#This Row],[Region_ID]],DimRegion[Region_ID],DimRegion[Region_Name])</f>
        <v>Barishal</v>
      </c>
      <c r="W645" s="6" t="str">
        <f>_xlfn.XLOOKUP(FactSales[[#This Row],[Store_ID]],DimStore[Store_ID],DimStore[Store_Name])</f>
        <v>Barishal Chowmatha Store</v>
      </c>
    </row>
    <row r="646" spans="1:23">
      <c r="A646" s="4" t="s">
        <v>1642</v>
      </c>
      <c r="B646" s="5">
        <v>45996</v>
      </c>
      <c r="C646" s="4" t="s">
        <v>518</v>
      </c>
      <c r="D646" s="4" t="s">
        <v>57</v>
      </c>
      <c r="E646" s="4" t="s">
        <v>725</v>
      </c>
      <c r="F646" s="4" t="s">
        <v>968</v>
      </c>
      <c r="G646" s="4" t="s">
        <v>903</v>
      </c>
      <c r="H646" s="4">
        <v>5</v>
      </c>
      <c r="I646" s="7">
        <v>0.1</v>
      </c>
      <c r="J646" s="6">
        <v>24322</v>
      </c>
      <c r="K646" s="4">
        <v>9</v>
      </c>
      <c r="L646" s="8">
        <f t="shared" si="10"/>
        <v>2.1</v>
      </c>
      <c r="M646" s="6" t="str">
        <f>_xlfn.XLOOKUP(FactSales[[#This Row],[Product_ID]],DimProduct[Product_ID],DimProduct[Product_Name])</f>
        <v>Bookshelf</v>
      </c>
      <c r="N646" s="6" t="str">
        <f>_xlfn.XLOOKUP(FactSales[[#This Row],[Product_ID]],DimProduct[Product_ID],DimProduct[Category])</f>
        <v>Furniture</v>
      </c>
      <c r="O646" s="6">
        <f>_xlfn.XLOOKUP(FactSales[[#This Row],[Product_ID]],DimProduct[Product_ID],DimProduct[Unit_Price])</f>
        <v>4230</v>
      </c>
      <c r="P646" s="6">
        <f>_xlfn.XLOOKUP(FactSales[[#This Row],[Product_ID]],DimProduct[Product_ID],DimProduct[Unit_Cost])</f>
        <v>3050</v>
      </c>
      <c r="Q646" s="6">
        <f>FactSales[[#This Row],[Unit_Price]]*FactSales[[#This Row],[Quantity_Sold]]</f>
        <v>21150</v>
      </c>
      <c r="R646" s="6">
        <f>FactSales[[#This Row],[Unit_Cost]]*FactSales[[#This Row],[Quantity_Sold]]</f>
        <v>15250</v>
      </c>
      <c r="S646" s="6">
        <f>FactSales[[#This Row],[Sales_Amount]]-FactSales[[#This Row],[Total_Cost]]</f>
        <v>5900</v>
      </c>
      <c r="T646" s="6" t="str">
        <f>_xlfn.XLOOKUP(FactSales[[#This Row],[Customer_ID]],DimCustomer[Customer_ID],DimCustomer[Customer_Name])</f>
        <v>Arif Rahman</v>
      </c>
      <c r="U646" s="6" t="str">
        <f>_xlfn.XLOOKUP(FactSales[[#This Row],[Salesperson_ID]],DimSalesman[Salesperson_ID],DimSalesman[Salesperson_Name])</f>
        <v>Morshed Ahmed</v>
      </c>
      <c r="V646" s="6" t="str">
        <f>_xlfn.XLOOKUP(FactSales[[#This Row],[Region_ID]],DimRegion[Region_ID],DimRegion[Region_Name])</f>
        <v>Rangpur</v>
      </c>
      <c r="W646" s="6" t="str">
        <f>_xlfn.XLOOKUP(FactSales[[#This Row],[Store_ID]],DimStore[Store_ID],DimStore[Store_Name])</f>
        <v>Rangpur Central Road Store</v>
      </c>
    </row>
    <row r="647" spans="1:23">
      <c r="A647" s="4" t="s">
        <v>1643</v>
      </c>
      <c r="B647" s="5">
        <v>45944</v>
      </c>
      <c r="C647" s="4" t="s">
        <v>217</v>
      </c>
      <c r="D647" s="4" t="s">
        <v>37</v>
      </c>
      <c r="E647" s="4" t="s">
        <v>665</v>
      </c>
      <c r="F647" s="4" t="s">
        <v>932</v>
      </c>
      <c r="G647" s="4" t="s">
        <v>878</v>
      </c>
      <c r="H647" s="4">
        <v>8</v>
      </c>
      <c r="I647" s="7">
        <v>0.05</v>
      </c>
      <c r="J647" s="6">
        <v>7190</v>
      </c>
      <c r="K647" s="4">
        <v>2</v>
      </c>
      <c r="L647" s="8">
        <f t="shared" si="10"/>
        <v>4.5</v>
      </c>
      <c r="M647" s="6" t="str">
        <f>_xlfn.XLOOKUP(FactSales[[#This Row],[Product_ID]],DimProduct[Product_ID],DimProduct[Product_Name])</f>
        <v>Building Blocks</v>
      </c>
      <c r="N647" s="6" t="str">
        <f>_xlfn.XLOOKUP(FactSales[[#This Row],[Product_ID]],DimProduct[Product_ID],DimProduct[Category])</f>
        <v>Kids &amp; Toys</v>
      </c>
      <c r="O647" s="6">
        <f>_xlfn.XLOOKUP(FactSales[[#This Row],[Product_ID]],DimProduct[Product_ID],DimProduct[Unit_Price])</f>
        <v>840</v>
      </c>
      <c r="P647" s="6">
        <f>_xlfn.XLOOKUP(FactSales[[#This Row],[Product_ID]],DimProduct[Product_ID],DimProduct[Unit_Cost])</f>
        <v>460</v>
      </c>
      <c r="Q647" s="6">
        <f>FactSales[[#This Row],[Unit_Price]]*FactSales[[#This Row],[Quantity_Sold]]</f>
        <v>6720</v>
      </c>
      <c r="R647" s="6">
        <f>FactSales[[#This Row],[Unit_Cost]]*FactSales[[#This Row],[Quantity_Sold]]</f>
        <v>3680</v>
      </c>
      <c r="S647" s="6">
        <f>FactSales[[#This Row],[Sales_Amount]]-FactSales[[#This Row],[Total_Cost]]</f>
        <v>3040</v>
      </c>
      <c r="T647" s="6" t="str">
        <f>_xlfn.XLOOKUP(FactSales[[#This Row],[Customer_ID]],DimCustomer[Customer_ID],DimCustomer[Customer_Name])</f>
        <v>Karim Khan</v>
      </c>
      <c r="U647" s="6" t="str">
        <f>_xlfn.XLOOKUP(FactSales[[#This Row],[Salesperson_ID]],DimSalesman[Salesperson_ID],DimSalesman[Salesperson_Name])</f>
        <v>Morshed Chowdhury</v>
      </c>
      <c r="V647" s="6" t="str">
        <f>_xlfn.XLOOKUP(FactSales[[#This Row],[Region_ID]],DimRegion[Region_ID],DimRegion[Region_Name])</f>
        <v>Sylhet</v>
      </c>
      <c r="W647" s="6" t="str">
        <f>_xlfn.XLOOKUP(FactSales[[#This Row],[Store_ID]],DimStore[Store_ID],DimStore[Store_Name])</f>
        <v>Sylhet Upashahar Store</v>
      </c>
    </row>
    <row r="648" spans="1:23">
      <c r="A648" s="4" t="s">
        <v>1644</v>
      </c>
      <c r="B648" s="5">
        <v>46144</v>
      </c>
      <c r="C648" s="4" t="s">
        <v>460</v>
      </c>
      <c r="D648" s="4" t="s">
        <v>52</v>
      </c>
      <c r="E648" s="4" t="s">
        <v>710</v>
      </c>
      <c r="F648" s="4" t="s">
        <v>966</v>
      </c>
      <c r="G648" s="4" t="s">
        <v>834</v>
      </c>
      <c r="H648" s="4">
        <v>3</v>
      </c>
      <c r="I648" s="7">
        <v>0.05</v>
      </c>
      <c r="J648" s="6">
        <v>11794</v>
      </c>
      <c r="K648" s="4">
        <v>8</v>
      </c>
      <c r="L648" s="8">
        <f t="shared" si="10"/>
        <v>2.5</v>
      </c>
      <c r="M648" s="6" t="str">
        <f>_xlfn.XLOOKUP(FactSales[[#This Row],[Product_ID]],DimProduct[Product_ID],DimProduct[Product_Name])</f>
        <v>Running Shoe</v>
      </c>
      <c r="N648" s="6" t="str">
        <f>_xlfn.XLOOKUP(FactSales[[#This Row],[Product_ID]],DimProduct[Product_ID],DimProduct[Category])</f>
        <v>Footwear</v>
      </c>
      <c r="O648" s="6">
        <f>_xlfn.XLOOKUP(FactSales[[#This Row],[Product_ID]],DimProduct[Product_ID],DimProduct[Unit_Price])</f>
        <v>3510</v>
      </c>
      <c r="P648" s="6">
        <f>_xlfn.XLOOKUP(FactSales[[#This Row],[Product_ID]],DimProduct[Product_ID],DimProduct[Unit_Cost])</f>
        <v>2110</v>
      </c>
      <c r="Q648" s="6">
        <f>FactSales[[#This Row],[Unit_Price]]*FactSales[[#This Row],[Quantity_Sold]]</f>
        <v>10530</v>
      </c>
      <c r="R648" s="6">
        <f>FactSales[[#This Row],[Unit_Cost]]*FactSales[[#This Row],[Quantity_Sold]]</f>
        <v>6330</v>
      </c>
      <c r="S648" s="6">
        <f>FactSales[[#This Row],[Sales_Amount]]-FactSales[[#This Row],[Total_Cost]]</f>
        <v>4200</v>
      </c>
      <c r="T648" s="6" t="str">
        <f>_xlfn.XLOOKUP(FactSales[[#This Row],[Customer_ID]],DimCustomer[Customer_ID],DimCustomer[Customer_Name])</f>
        <v>Ayesha Ahmed</v>
      </c>
      <c r="U648" s="6" t="str">
        <f>_xlfn.XLOOKUP(FactSales[[#This Row],[Salesperson_ID]],DimSalesman[Salesperson_ID],DimSalesman[Salesperson_Name])</f>
        <v>Nayeem Akter</v>
      </c>
      <c r="V648" s="6" t="str">
        <f>_xlfn.XLOOKUP(FactSales[[#This Row],[Region_ID]],DimRegion[Region_ID],DimRegion[Region_Name])</f>
        <v>Barishal</v>
      </c>
      <c r="W648" s="6" t="str">
        <f>_xlfn.XLOOKUP(FactSales[[#This Row],[Store_ID]],DimStore[Store_ID],DimStore[Store_Name])</f>
        <v>Barishal Kawnia Store</v>
      </c>
    </row>
    <row r="649" spans="1:23">
      <c r="A649" s="4" t="s">
        <v>1645</v>
      </c>
      <c r="B649" s="5">
        <v>45991</v>
      </c>
      <c r="C649" s="4" t="s">
        <v>425</v>
      </c>
      <c r="D649" s="4" t="s">
        <v>52</v>
      </c>
      <c r="E649" s="4" t="s">
        <v>704</v>
      </c>
      <c r="F649" s="4" t="s">
        <v>960</v>
      </c>
      <c r="G649" s="4" t="s">
        <v>900</v>
      </c>
      <c r="H649" s="4">
        <v>3</v>
      </c>
      <c r="I649" s="7">
        <v>0.05</v>
      </c>
      <c r="J649" s="6">
        <v>17875</v>
      </c>
      <c r="K649" s="4">
        <v>7</v>
      </c>
      <c r="L649" s="8">
        <f t="shared" si="10"/>
        <v>2.9</v>
      </c>
      <c r="M649" s="6" t="str">
        <f>_xlfn.XLOOKUP(FactSales[[#This Row],[Product_ID]],DimProduct[Product_ID],DimProduct[Product_Name])</f>
        <v>Shoe Rack</v>
      </c>
      <c r="N649" s="6" t="str">
        <f>_xlfn.XLOOKUP(FactSales[[#This Row],[Product_ID]],DimProduct[Product_ID],DimProduct[Category])</f>
        <v>Furniture</v>
      </c>
      <c r="O649" s="6">
        <f>_xlfn.XLOOKUP(FactSales[[#This Row],[Product_ID]],DimProduct[Product_ID],DimProduct[Unit_Price])</f>
        <v>5320</v>
      </c>
      <c r="P649" s="6">
        <f>_xlfn.XLOOKUP(FactSales[[#This Row],[Product_ID]],DimProduct[Product_ID],DimProduct[Unit_Cost])</f>
        <v>3830</v>
      </c>
      <c r="Q649" s="6">
        <f>FactSales[[#This Row],[Unit_Price]]*FactSales[[#This Row],[Quantity_Sold]]</f>
        <v>15960</v>
      </c>
      <c r="R649" s="6">
        <f>FactSales[[#This Row],[Unit_Cost]]*FactSales[[#This Row],[Quantity_Sold]]</f>
        <v>11490</v>
      </c>
      <c r="S649" s="6">
        <f>FactSales[[#This Row],[Sales_Amount]]-FactSales[[#This Row],[Total_Cost]]</f>
        <v>4470</v>
      </c>
      <c r="T649" s="6" t="str">
        <f>_xlfn.XLOOKUP(FactSales[[#This Row],[Customer_ID]],DimCustomer[Customer_ID],DimCustomer[Customer_Name])</f>
        <v>Shuvo Sultana</v>
      </c>
      <c r="U649" s="6" t="str">
        <f>_xlfn.XLOOKUP(FactSales[[#This Row],[Salesperson_ID]],DimSalesman[Salesperson_ID],DimSalesman[Salesperson_Name])</f>
        <v>Mim Akter</v>
      </c>
      <c r="V649" s="6" t="str">
        <f>_xlfn.XLOOKUP(FactSales[[#This Row],[Region_ID]],DimRegion[Region_ID],DimRegion[Region_Name])</f>
        <v>Barishal</v>
      </c>
      <c r="W649" s="6" t="str">
        <f>_xlfn.XLOOKUP(FactSales[[#This Row],[Store_ID]],DimStore[Store_ID],DimStore[Store_Name])</f>
        <v>Barishal Rupatali Store</v>
      </c>
    </row>
    <row r="650" spans="1:23">
      <c r="A650" s="4" t="s">
        <v>1646</v>
      </c>
      <c r="B650" s="5">
        <v>46145</v>
      </c>
      <c r="C650" s="4" t="s">
        <v>581</v>
      </c>
      <c r="D650" s="4" t="s">
        <v>62</v>
      </c>
      <c r="E650" s="4" t="s">
        <v>740</v>
      </c>
      <c r="F650" s="4" t="s">
        <v>978</v>
      </c>
      <c r="G650" s="4" t="s">
        <v>775</v>
      </c>
      <c r="H650" s="4">
        <v>10</v>
      </c>
      <c r="I650" s="7">
        <v>0.08</v>
      </c>
      <c r="J650" s="6">
        <v>26244</v>
      </c>
      <c r="K650" s="4">
        <v>6</v>
      </c>
      <c r="L650" s="8">
        <f t="shared" si="10"/>
        <v>3.1</v>
      </c>
      <c r="M650" s="6" t="str">
        <f>_xlfn.XLOOKUP(FactSales[[#This Row],[Product_ID]],DimProduct[Product_ID],DimProduct[Product_Name])</f>
        <v>Blender Machine</v>
      </c>
      <c r="N650" s="6" t="str">
        <f>_xlfn.XLOOKUP(FactSales[[#This Row],[Product_ID]],DimProduct[Product_ID],DimProduct[Category])</f>
        <v>Home Appliance</v>
      </c>
      <c r="O650" s="6">
        <f>_xlfn.XLOOKUP(FactSales[[#This Row],[Product_ID]],DimProduct[Product_ID],DimProduct[Unit_Price])</f>
        <v>2430</v>
      </c>
      <c r="P650" s="6">
        <f>_xlfn.XLOOKUP(FactSales[[#This Row],[Product_ID]],DimProduct[Product_ID],DimProduct[Unit_Cost])</f>
        <v>1700</v>
      </c>
      <c r="Q650" s="6">
        <f>FactSales[[#This Row],[Unit_Price]]*FactSales[[#This Row],[Quantity_Sold]]</f>
        <v>24300</v>
      </c>
      <c r="R650" s="6">
        <f>FactSales[[#This Row],[Unit_Cost]]*FactSales[[#This Row],[Quantity_Sold]]</f>
        <v>17000</v>
      </c>
      <c r="S650" s="6">
        <f>FactSales[[#This Row],[Sales_Amount]]-FactSales[[#This Row],[Total_Cost]]</f>
        <v>7300</v>
      </c>
      <c r="T650" s="6" t="str">
        <f>_xlfn.XLOOKUP(FactSales[[#This Row],[Customer_ID]],DimCustomer[Customer_ID],DimCustomer[Customer_Name])</f>
        <v>Jannat Hossain</v>
      </c>
      <c r="U650" s="6" t="str">
        <f>_xlfn.XLOOKUP(FactSales[[#This Row],[Salesperson_ID]],DimSalesman[Salesperson_ID],DimSalesman[Salesperson_Name])</f>
        <v>Sajib Rahman</v>
      </c>
      <c r="V650" s="6" t="str">
        <f>_xlfn.XLOOKUP(FactSales[[#This Row],[Region_ID]],DimRegion[Region_ID],DimRegion[Region_Name])</f>
        <v>Mymensingh</v>
      </c>
      <c r="W650" s="6" t="str">
        <f>_xlfn.XLOOKUP(FactSales[[#This Row],[Store_ID]],DimStore[Store_ID],DimStore[Store_Name])</f>
        <v>Mymensingh Maskanda Store</v>
      </c>
    </row>
    <row r="651" spans="1:23">
      <c r="A651" s="4" t="s">
        <v>1647</v>
      </c>
      <c r="B651" s="5">
        <v>46174</v>
      </c>
      <c r="C651" s="4" t="s">
        <v>346</v>
      </c>
      <c r="D651" s="4" t="s">
        <v>42</v>
      </c>
      <c r="E651" s="4" t="s">
        <v>671</v>
      </c>
      <c r="F651" s="4" t="s">
        <v>949</v>
      </c>
      <c r="G651" s="4" t="s">
        <v>882</v>
      </c>
      <c r="H651" s="4">
        <v>1</v>
      </c>
      <c r="I651" s="7">
        <v>0.1</v>
      </c>
      <c r="J651" s="6">
        <v>1966</v>
      </c>
      <c r="K651" s="4">
        <v>3</v>
      </c>
      <c r="L651" s="8">
        <f t="shared" si="10"/>
        <v>4</v>
      </c>
      <c r="M651" s="6" t="str">
        <f>_xlfn.XLOOKUP(FactSales[[#This Row],[Product_ID]],DimProduct[Product_ID],DimProduct[Product_Name])</f>
        <v>Toy Car Set</v>
      </c>
      <c r="N651" s="6" t="str">
        <f>_xlfn.XLOOKUP(FactSales[[#This Row],[Product_ID]],DimProduct[Product_ID],DimProduct[Category])</f>
        <v>Kids &amp; Toys</v>
      </c>
      <c r="O651" s="6">
        <f>_xlfn.XLOOKUP(FactSales[[#This Row],[Product_ID]],DimProduct[Product_ID],DimProduct[Unit_Price])</f>
        <v>1820</v>
      </c>
      <c r="P651" s="6">
        <f>_xlfn.XLOOKUP(FactSales[[#This Row],[Product_ID]],DimProduct[Product_ID],DimProduct[Unit_Cost])</f>
        <v>1000</v>
      </c>
      <c r="Q651" s="6">
        <f>FactSales[[#This Row],[Unit_Price]]*FactSales[[#This Row],[Quantity_Sold]]</f>
        <v>1820</v>
      </c>
      <c r="R651" s="6">
        <f>FactSales[[#This Row],[Unit_Cost]]*FactSales[[#This Row],[Quantity_Sold]]</f>
        <v>1000</v>
      </c>
      <c r="S651" s="6">
        <f>FactSales[[#This Row],[Sales_Amount]]-FactSales[[#This Row],[Total_Cost]]</f>
        <v>820</v>
      </c>
      <c r="T651" s="6" t="str">
        <f>_xlfn.XLOOKUP(FactSales[[#This Row],[Customer_ID]],DimCustomer[Customer_ID],DimCustomer[Customer_Name])</f>
        <v>Hasan Ahmed</v>
      </c>
      <c r="U651" s="6" t="str">
        <f>_xlfn.XLOOKUP(FactSales[[#This Row],[Salesperson_ID]],DimSalesman[Salesperson_ID],DimSalesman[Salesperson_Name])</f>
        <v>Mahmud Chowdhury</v>
      </c>
      <c r="V651" s="6" t="str">
        <f>_xlfn.XLOOKUP(FactSales[[#This Row],[Region_ID]],DimRegion[Region_ID],DimRegion[Region_Name])</f>
        <v>Rajshahi</v>
      </c>
      <c r="W651" s="6" t="str">
        <f>_xlfn.XLOOKUP(FactSales[[#This Row],[Store_ID]],DimStore[Store_ID],DimStore[Store_Name])</f>
        <v>Rajshahi Kazla Store</v>
      </c>
    </row>
    <row r="652" spans="1:23">
      <c r="A652" s="4" t="s">
        <v>1648</v>
      </c>
      <c r="B652" s="5">
        <v>46114</v>
      </c>
      <c r="C652" s="4" t="s">
        <v>174</v>
      </c>
      <c r="D652" s="4" t="s">
        <v>32</v>
      </c>
      <c r="E652" s="4" t="s">
        <v>650</v>
      </c>
      <c r="F652" s="4" t="s">
        <v>927</v>
      </c>
      <c r="G652" s="4" t="s">
        <v>762</v>
      </c>
      <c r="H652" s="4">
        <v>9</v>
      </c>
      <c r="I652" s="7">
        <v>0.18</v>
      </c>
      <c r="J652" s="6">
        <v>39706</v>
      </c>
      <c r="K652" s="4">
        <v>5</v>
      </c>
      <c r="L652" s="8">
        <f t="shared" si="10"/>
        <v>3.2</v>
      </c>
      <c r="M652" s="6" t="str">
        <f>_xlfn.XLOOKUP(FactSales[[#This Row],[Product_ID]],DimProduct[Product_ID],DimProduct[Product_Name])</f>
        <v>Smart Watch</v>
      </c>
      <c r="N652" s="6" t="str">
        <f>_xlfn.XLOOKUP(FactSales[[#This Row],[Product_ID]],DimProduct[Product_ID],DimProduct[Category])</f>
        <v>Electronics</v>
      </c>
      <c r="O652" s="6">
        <f>_xlfn.XLOOKUP(FactSales[[#This Row],[Product_ID]],DimProduct[Product_ID],DimProduct[Unit_Price])</f>
        <v>3870</v>
      </c>
      <c r="P652" s="6">
        <f>_xlfn.XLOOKUP(FactSales[[#This Row],[Product_ID]],DimProduct[Product_ID],DimProduct[Unit_Cost])</f>
        <v>2630</v>
      </c>
      <c r="Q652" s="6">
        <f>FactSales[[#This Row],[Unit_Price]]*FactSales[[#This Row],[Quantity_Sold]]</f>
        <v>34830</v>
      </c>
      <c r="R652" s="6">
        <f>FactSales[[#This Row],[Unit_Cost]]*FactSales[[#This Row],[Quantity_Sold]]</f>
        <v>23670</v>
      </c>
      <c r="S652" s="6">
        <f>FactSales[[#This Row],[Sales_Amount]]-FactSales[[#This Row],[Total_Cost]]</f>
        <v>11160</v>
      </c>
      <c r="T652" s="6" t="str">
        <f>_xlfn.XLOOKUP(FactSales[[#This Row],[Customer_ID]],DimCustomer[Customer_ID],DimCustomer[Customer_Name])</f>
        <v>Jannat Ahmed</v>
      </c>
      <c r="U652" s="6" t="str">
        <f>_xlfn.XLOOKUP(FactSales[[#This Row],[Salesperson_ID]],DimSalesman[Salesperson_ID],DimSalesman[Salesperson_Name])</f>
        <v>Shakib Ahmed</v>
      </c>
      <c r="V652" s="6" t="str">
        <f>_xlfn.XLOOKUP(FactSales[[#This Row],[Region_ID]],DimRegion[Region_ID],DimRegion[Region_Name])</f>
        <v>Chattogram</v>
      </c>
      <c r="W652" s="6" t="str">
        <f>_xlfn.XLOOKUP(FactSales[[#This Row],[Store_ID]],DimStore[Store_ID],DimStore[Store_Name])</f>
        <v>Chattogram Halishahar Store</v>
      </c>
    </row>
    <row r="653" spans="1:23">
      <c r="A653" s="4" t="s">
        <v>1649</v>
      </c>
      <c r="B653" s="5">
        <v>45992</v>
      </c>
      <c r="C653" s="4" t="s">
        <v>156</v>
      </c>
      <c r="D653" s="4" t="s">
        <v>32</v>
      </c>
      <c r="E653" s="4" t="s">
        <v>647</v>
      </c>
      <c r="F653" s="4" t="s">
        <v>931</v>
      </c>
      <c r="G653" s="4" t="s">
        <v>750</v>
      </c>
      <c r="H653" s="4">
        <v>7</v>
      </c>
      <c r="I653" s="7">
        <v>0.1</v>
      </c>
      <c r="J653" s="6">
        <v>25855</v>
      </c>
      <c r="K653" s="4">
        <v>6</v>
      </c>
      <c r="L653" s="8">
        <f t="shared" si="10"/>
        <v>3.1</v>
      </c>
      <c r="M653" s="6" t="str">
        <f>_xlfn.XLOOKUP(FactSales[[#This Row],[Product_ID]],DimProduct[Product_ID],DimProduct[Product_Name])</f>
        <v>Bluetooth Speaker</v>
      </c>
      <c r="N653" s="6" t="str">
        <f>_xlfn.XLOOKUP(FactSales[[#This Row],[Product_ID]],DimProduct[Product_ID],DimProduct[Category])</f>
        <v>Electronics</v>
      </c>
      <c r="O653" s="6">
        <f>_xlfn.XLOOKUP(FactSales[[#This Row],[Product_ID]],DimProduct[Product_ID],DimProduct[Unit_Price])</f>
        <v>3240</v>
      </c>
      <c r="P653" s="6">
        <f>_xlfn.XLOOKUP(FactSales[[#This Row],[Product_ID]],DimProduct[Product_ID],DimProduct[Unit_Cost])</f>
        <v>2200</v>
      </c>
      <c r="Q653" s="6">
        <f>FactSales[[#This Row],[Unit_Price]]*FactSales[[#This Row],[Quantity_Sold]]</f>
        <v>22680</v>
      </c>
      <c r="R653" s="6">
        <f>FactSales[[#This Row],[Unit_Cost]]*FactSales[[#This Row],[Quantity_Sold]]</f>
        <v>15400</v>
      </c>
      <c r="S653" s="6">
        <f>FactSales[[#This Row],[Sales_Amount]]-FactSales[[#This Row],[Total_Cost]]</f>
        <v>7280</v>
      </c>
      <c r="T653" s="6" t="str">
        <f>_xlfn.XLOOKUP(FactSales[[#This Row],[Customer_ID]],DimCustomer[Customer_ID],DimCustomer[Customer_Name])</f>
        <v>Shaila Mia</v>
      </c>
      <c r="U653" s="6" t="str">
        <f>_xlfn.XLOOKUP(FactSales[[#This Row],[Salesperson_ID]],DimSalesman[Salesperson_ID],DimSalesman[Salesperson_Name])</f>
        <v>Sadia Islam</v>
      </c>
      <c r="V653" s="6" t="str">
        <f>_xlfn.XLOOKUP(FactSales[[#This Row],[Region_ID]],DimRegion[Region_ID],DimRegion[Region_Name])</f>
        <v>Chattogram</v>
      </c>
      <c r="W653" s="6" t="str">
        <f>_xlfn.XLOOKUP(FactSales[[#This Row],[Store_ID]],DimStore[Store_ID],DimStore[Store_Name])</f>
        <v>Chattogram Nasirabad Store</v>
      </c>
    </row>
    <row r="654" spans="1:23">
      <c r="A654" s="4" t="s">
        <v>1650</v>
      </c>
      <c r="B654" s="5">
        <v>45797</v>
      </c>
      <c r="C654" s="4" t="s">
        <v>413</v>
      </c>
      <c r="D654" s="4" t="s">
        <v>47</v>
      </c>
      <c r="E654" s="4" t="s">
        <v>692</v>
      </c>
      <c r="F654" s="4" t="s">
        <v>958</v>
      </c>
      <c r="G654" s="4" t="s">
        <v>758</v>
      </c>
      <c r="H654" s="4">
        <v>6</v>
      </c>
      <c r="I654" s="7">
        <v>0.15</v>
      </c>
      <c r="J654" s="6">
        <v>18574</v>
      </c>
      <c r="K654" s="4">
        <v>5</v>
      </c>
      <c r="L654" s="8">
        <f t="shared" si="10"/>
        <v>3.3</v>
      </c>
      <c r="M654" s="6" t="str">
        <f>_xlfn.XLOOKUP(FactSales[[#This Row],[Product_ID]],DimProduct[Product_ID],DimProduct[Product_Name])</f>
        <v>Power Bank</v>
      </c>
      <c r="N654" s="6" t="str">
        <f>_xlfn.XLOOKUP(FactSales[[#This Row],[Product_ID]],DimProduct[Product_ID],DimProduct[Category])</f>
        <v>Electronics</v>
      </c>
      <c r="O654" s="6">
        <f>_xlfn.XLOOKUP(FactSales[[#This Row],[Product_ID]],DimProduct[Product_ID],DimProduct[Unit_Price])</f>
        <v>2840</v>
      </c>
      <c r="P654" s="6">
        <f>_xlfn.XLOOKUP(FactSales[[#This Row],[Product_ID]],DimProduct[Product_ID],DimProduct[Unit_Cost])</f>
        <v>1930</v>
      </c>
      <c r="Q654" s="6">
        <f>FactSales[[#This Row],[Unit_Price]]*FactSales[[#This Row],[Quantity_Sold]]</f>
        <v>17040</v>
      </c>
      <c r="R654" s="6">
        <f>FactSales[[#This Row],[Unit_Cost]]*FactSales[[#This Row],[Quantity_Sold]]</f>
        <v>11580</v>
      </c>
      <c r="S654" s="6">
        <f>FactSales[[#This Row],[Sales_Amount]]-FactSales[[#This Row],[Total_Cost]]</f>
        <v>5460</v>
      </c>
      <c r="T654" s="6" t="str">
        <f>_xlfn.XLOOKUP(FactSales[[#This Row],[Customer_ID]],DimCustomer[Customer_ID],DimCustomer[Customer_Name])</f>
        <v>Samiha Sultana</v>
      </c>
      <c r="U654" s="6" t="str">
        <f>_xlfn.XLOOKUP(FactSales[[#This Row],[Salesperson_ID]],DimSalesman[Salesperson_ID],DimSalesman[Salesperson_Name])</f>
        <v>Fahim Uddin</v>
      </c>
      <c r="V654" s="6" t="str">
        <f>_xlfn.XLOOKUP(FactSales[[#This Row],[Region_ID]],DimRegion[Region_ID],DimRegion[Region_Name])</f>
        <v>Khulna</v>
      </c>
      <c r="W654" s="6" t="str">
        <f>_xlfn.XLOOKUP(FactSales[[#This Row],[Store_ID]],DimStore[Store_ID],DimStore[Store_Name])</f>
        <v>Khulna Boyra Store</v>
      </c>
    </row>
    <row r="655" spans="1:23">
      <c r="A655" s="4" t="s">
        <v>1651</v>
      </c>
      <c r="B655" s="5">
        <v>46044</v>
      </c>
      <c r="C655" s="4" t="s">
        <v>335</v>
      </c>
      <c r="D655" s="4" t="s">
        <v>42</v>
      </c>
      <c r="E655" s="4" t="s">
        <v>680</v>
      </c>
      <c r="F655" s="4" t="s">
        <v>943</v>
      </c>
      <c r="G655" s="4" t="s">
        <v>831</v>
      </c>
      <c r="H655" s="4">
        <v>6</v>
      </c>
      <c r="I655" s="7">
        <v>0.1</v>
      </c>
      <c r="J655" s="6">
        <v>8165</v>
      </c>
      <c r="K655" s="4">
        <v>5</v>
      </c>
      <c r="L655" s="8">
        <f t="shared" si="10"/>
        <v>3.4</v>
      </c>
      <c r="M655" s="6" t="str">
        <f>_xlfn.XLOOKUP(FactSales[[#This Row],[Product_ID]],DimProduct[Product_ID],DimProduct[Product_Name])</f>
        <v>Perfume Spray</v>
      </c>
      <c r="N655" s="6" t="str">
        <f>_xlfn.XLOOKUP(FactSales[[#This Row],[Product_ID]],DimProduct[Product_ID],DimProduct[Category])</f>
        <v>Beauty &amp; Personal Care</v>
      </c>
      <c r="O655" s="6">
        <f>_xlfn.XLOOKUP(FactSales[[#This Row],[Product_ID]],DimProduct[Product_ID],DimProduct[Unit_Price])</f>
        <v>1260</v>
      </c>
      <c r="P655" s="6">
        <f>_xlfn.XLOOKUP(FactSales[[#This Row],[Product_ID]],DimProduct[Product_ID],DimProduct[Unit_Cost])</f>
        <v>730</v>
      </c>
      <c r="Q655" s="6">
        <f>FactSales[[#This Row],[Unit_Price]]*FactSales[[#This Row],[Quantity_Sold]]</f>
        <v>7560</v>
      </c>
      <c r="R655" s="6">
        <f>FactSales[[#This Row],[Unit_Cost]]*FactSales[[#This Row],[Quantity_Sold]]</f>
        <v>4380</v>
      </c>
      <c r="S655" s="6">
        <f>FactSales[[#This Row],[Sales_Amount]]-FactSales[[#This Row],[Total_Cost]]</f>
        <v>3180</v>
      </c>
      <c r="T655" s="6" t="str">
        <f>_xlfn.XLOOKUP(FactSales[[#This Row],[Customer_ID]],DimCustomer[Customer_ID],DimCustomer[Customer_Name])</f>
        <v>Shuvo Khan</v>
      </c>
      <c r="U655" s="6" t="str">
        <f>_xlfn.XLOOKUP(FactSales[[#This Row],[Salesperson_ID]],DimSalesman[Salesperson_ID],DimSalesman[Salesperson_Name])</f>
        <v>Imran Khan</v>
      </c>
      <c r="V655" s="6" t="str">
        <f>_xlfn.XLOOKUP(FactSales[[#This Row],[Region_ID]],DimRegion[Region_ID],DimRegion[Region_Name])</f>
        <v>Rajshahi</v>
      </c>
      <c r="W655" s="6" t="str">
        <f>_xlfn.XLOOKUP(FactSales[[#This Row],[Store_ID]],DimStore[Store_ID],DimStore[Store_Name])</f>
        <v>Rajshahi Lakshmipur Store</v>
      </c>
    </row>
    <row r="656" spans="1:23">
      <c r="A656" s="4" t="s">
        <v>1652</v>
      </c>
      <c r="B656" s="5">
        <v>45747</v>
      </c>
      <c r="C656" s="4" t="s">
        <v>505</v>
      </c>
      <c r="D656" s="4" t="s">
        <v>57</v>
      </c>
      <c r="E656" s="4" t="s">
        <v>716</v>
      </c>
      <c r="F656" s="4" t="s">
        <v>972</v>
      </c>
      <c r="G656" s="4" t="s">
        <v>758</v>
      </c>
      <c r="H656" s="4">
        <v>2</v>
      </c>
      <c r="I656" s="7">
        <v>0.18</v>
      </c>
      <c r="J656" s="6">
        <v>6532</v>
      </c>
      <c r="K656" s="4">
        <v>9</v>
      </c>
      <c r="L656" s="8">
        <f t="shared" si="10"/>
        <v>1.9</v>
      </c>
      <c r="M656" s="6" t="str">
        <f>_xlfn.XLOOKUP(FactSales[[#This Row],[Product_ID]],DimProduct[Product_ID],DimProduct[Product_Name])</f>
        <v>Power Bank</v>
      </c>
      <c r="N656" s="6" t="str">
        <f>_xlfn.XLOOKUP(FactSales[[#This Row],[Product_ID]],DimProduct[Product_ID],DimProduct[Category])</f>
        <v>Electronics</v>
      </c>
      <c r="O656" s="6">
        <f>_xlfn.XLOOKUP(FactSales[[#This Row],[Product_ID]],DimProduct[Product_ID],DimProduct[Unit_Price])</f>
        <v>2840</v>
      </c>
      <c r="P656" s="6">
        <f>_xlfn.XLOOKUP(FactSales[[#This Row],[Product_ID]],DimProduct[Product_ID],DimProduct[Unit_Cost])</f>
        <v>1930</v>
      </c>
      <c r="Q656" s="6">
        <f>FactSales[[#This Row],[Unit_Price]]*FactSales[[#This Row],[Quantity_Sold]]</f>
        <v>5680</v>
      </c>
      <c r="R656" s="6">
        <f>FactSales[[#This Row],[Unit_Cost]]*FactSales[[#This Row],[Quantity_Sold]]</f>
        <v>3860</v>
      </c>
      <c r="S656" s="6">
        <f>FactSales[[#This Row],[Sales_Amount]]-FactSales[[#This Row],[Total_Cost]]</f>
        <v>1820</v>
      </c>
      <c r="T656" s="6" t="str">
        <f>_xlfn.XLOOKUP(FactSales[[#This Row],[Customer_ID]],DimCustomer[Customer_ID],DimCustomer[Customer_Name])</f>
        <v>Imran Mia</v>
      </c>
      <c r="U656" s="6" t="str">
        <f>_xlfn.XLOOKUP(FactSales[[#This Row],[Salesperson_ID]],DimSalesman[Salesperson_ID],DimSalesman[Salesperson_Name])</f>
        <v>Samiha Hossain</v>
      </c>
      <c r="V656" s="6" t="str">
        <f>_xlfn.XLOOKUP(FactSales[[#This Row],[Region_ID]],DimRegion[Region_ID],DimRegion[Region_Name])</f>
        <v>Rangpur</v>
      </c>
      <c r="W656" s="6" t="str">
        <f>_xlfn.XLOOKUP(FactSales[[#This Row],[Store_ID]],DimStore[Store_ID],DimStore[Store_Name])</f>
        <v>Rangpur Shapla Chattar Store</v>
      </c>
    </row>
    <row r="657" spans="1:23">
      <c r="A657" s="4" t="s">
        <v>1653</v>
      </c>
      <c r="B657" s="5">
        <v>46047</v>
      </c>
      <c r="C657" s="4" t="s">
        <v>199</v>
      </c>
      <c r="D657" s="4" t="s">
        <v>32</v>
      </c>
      <c r="E657" s="4" t="s">
        <v>644</v>
      </c>
      <c r="F657" s="4" t="s">
        <v>924</v>
      </c>
      <c r="G657" s="4" t="s">
        <v>876</v>
      </c>
      <c r="H657" s="4">
        <v>3</v>
      </c>
      <c r="I657" s="7">
        <v>0</v>
      </c>
      <c r="J657" s="6">
        <v>2599</v>
      </c>
      <c r="K657" s="4">
        <v>4</v>
      </c>
      <c r="L657" s="8">
        <f t="shared" si="10"/>
        <v>3.9</v>
      </c>
      <c r="M657" s="6" t="str">
        <f>_xlfn.XLOOKUP(FactSales[[#This Row],[Product_ID]],DimProduct[Product_ID],DimProduct[Product_Name])</f>
        <v>Sticky Notes</v>
      </c>
      <c r="N657" s="6" t="str">
        <f>_xlfn.XLOOKUP(FactSales[[#This Row],[Product_ID]],DimProduct[Product_ID],DimProduct[Category])</f>
        <v>Stationery</v>
      </c>
      <c r="O657" s="6">
        <f>_xlfn.XLOOKUP(FactSales[[#This Row],[Product_ID]],DimProduct[Product_ID],DimProduct[Unit_Price])</f>
        <v>760</v>
      </c>
      <c r="P657" s="6">
        <f>_xlfn.XLOOKUP(FactSales[[#This Row],[Product_ID]],DimProduct[Product_ID],DimProduct[Unit_Cost])</f>
        <v>380</v>
      </c>
      <c r="Q657" s="6">
        <f>FactSales[[#This Row],[Unit_Price]]*FactSales[[#This Row],[Quantity_Sold]]</f>
        <v>2280</v>
      </c>
      <c r="R657" s="6">
        <f>FactSales[[#This Row],[Unit_Cost]]*FactSales[[#This Row],[Quantity_Sold]]</f>
        <v>1140</v>
      </c>
      <c r="S657" s="6">
        <f>FactSales[[#This Row],[Sales_Amount]]-FactSales[[#This Row],[Total_Cost]]</f>
        <v>1140</v>
      </c>
      <c r="T657" s="6" t="str">
        <f>_xlfn.XLOOKUP(FactSales[[#This Row],[Customer_ID]],DimCustomer[Customer_ID],DimCustomer[Customer_Name])</f>
        <v>Tanjim Rahman</v>
      </c>
      <c r="U657" s="6" t="str">
        <f>_xlfn.XLOOKUP(FactSales[[#This Row],[Salesperson_ID]],DimSalesman[Salesperson_ID],DimSalesman[Salesperson_Name])</f>
        <v>Rumana Khan</v>
      </c>
      <c r="V657" s="6" t="str">
        <f>_xlfn.XLOOKUP(FactSales[[#This Row],[Region_ID]],DimRegion[Region_ID],DimRegion[Region_Name])</f>
        <v>Chattogram</v>
      </c>
      <c r="W657" s="6" t="str">
        <f>_xlfn.XLOOKUP(FactSales[[#This Row],[Store_ID]],DimStore[Store_ID],DimStore[Store_Name])</f>
        <v>Chattogram Panchlaish Store</v>
      </c>
    </row>
    <row r="658" spans="1:23">
      <c r="A658" s="4" t="s">
        <v>1654</v>
      </c>
      <c r="B658" s="5">
        <v>46055</v>
      </c>
      <c r="C658" s="4" t="s">
        <v>357</v>
      </c>
      <c r="D658" s="4" t="s">
        <v>47</v>
      </c>
      <c r="E658" s="4" t="s">
        <v>695</v>
      </c>
      <c r="F658" s="4" t="s">
        <v>956</v>
      </c>
      <c r="G658" s="4" t="s">
        <v>762</v>
      </c>
      <c r="H658" s="4">
        <v>8</v>
      </c>
      <c r="I658" s="7">
        <v>0.12</v>
      </c>
      <c r="J658" s="6">
        <v>33746</v>
      </c>
      <c r="K658" s="4">
        <v>3</v>
      </c>
      <c r="L658" s="8">
        <f t="shared" si="10"/>
        <v>4</v>
      </c>
      <c r="M658" s="6" t="str">
        <f>_xlfn.XLOOKUP(FactSales[[#This Row],[Product_ID]],DimProduct[Product_ID],DimProduct[Product_Name])</f>
        <v>Smart Watch</v>
      </c>
      <c r="N658" s="6" t="str">
        <f>_xlfn.XLOOKUP(FactSales[[#This Row],[Product_ID]],DimProduct[Product_ID],DimProduct[Category])</f>
        <v>Electronics</v>
      </c>
      <c r="O658" s="6">
        <f>_xlfn.XLOOKUP(FactSales[[#This Row],[Product_ID]],DimProduct[Product_ID],DimProduct[Unit_Price])</f>
        <v>3870</v>
      </c>
      <c r="P658" s="6">
        <f>_xlfn.XLOOKUP(FactSales[[#This Row],[Product_ID]],DimProduct[Product_ID],DimProduct[Unit_Cost])</f>
        <v>2630</v>
      </c>
      <c r="Q658" s="6">
        <f>FactSales[[#This Row],[Unit_Price]]*FactSales[[#This Row],[Quantity_Sold]]</f>
        <v>30960</v>
      </c>
      <c r="R658" s="6">
        <f>FactSales[[#This Row],[Unit_Cost]]*FactSales[[#This Row],[Quantity_Sold]]</f>
        <v>21040</v>
      </c>
      <c r="S658" s="6">
        <f>FactSales[[#This Row],[Sales_Amount]]-FactSales[[#This Row],[Total_Cost]]</f>
        <v>9920</v>
      </c>
      <c r="T658" s="6" t="str">
        <f>_xlfn.XLOOKUP(FactSales[[#This Row],[Customer_ID]],DimCustomer[Customer_ID],DimCustomer[Customer_Name])</f>
        <v>Tamanna Islam</v>
      </c>
      <c r="U658" s="6" t="str">
        <f>_xlfn.XLOOKUP(FactSales[[#This Row],[Salesperson_ID]],DimSalesman[Salesperson_ID],DimSalesman[Salesperson_Name])</f>
        <v>Rafi Ahmed</v>
      </c>
      <c r="V658" s="6" t="str">
        <f>_xlfn.XLOOKUP(FactSales[[#This Row],[Region_ID]],DimRegion[Region_ID],DimRegion[Region_Name])</f>
        <v>Khulna</v>
      </c>
      <c r="W658" s="6" t="str">
        <f>_xlfn.XLOOKUP(FactSales[[#This Row],[Store_ID]],DimStore[Store_ID],DimStore[Store_Name])</f>
        <v>Khulna Shibbari Store</v>
      </c>
    </row>
    <row r="659" spans="1:23">
      <c r="A659" s="4" t="s">
        <v>1655</v>
      </c>
      <c r="B659" s="5">
        <v>46062</v>
      </c>
      <c r="C659" s="4" t="s">
        <v>261</v>
      </c>
      <c r="D659" s="4" t="s">
        <v>37</v>
      </c>
      <c r="E659" s="4" t="s">
        <v>665</v>
      </c>
      <c r="F659" s="4" t="s">
        <v>939</v>
      </c>
      <c r="G659" s="4" t="s">
        <v>762</v>
      </c>
      <c r="H659" s="4">
        <v>1</v>
      </c>
      <c r="I659" s="7">
        <v>0.15</v>
      </c>
      <c r="J659" s="6">
        <v>4141</v>
      </c>
      <c r="K659" s="4">
        <v>1</v>
      </c>
      <c r="L659" s="8">
        <f t="shared" si="10"/>
        <v>4.5999999999999996</v>
      </c>
      <c r="M659" s="6" t="str">
        <f>_xlfn.XLOOKUP(FactSales[[#This Row],[Product_ID]],DimProduct[Product_ID],DimProduct[Product_Name])</f>
        <v>Smart Watch</v>
      </c>
      <c r="N659" s="6" t="str">
        <f>_xlfn.XLOOKUP(FactSales[[#This Row],[Product_ID]],DimProduct[Product_ID],DimProduct[Category])</f>
        <v>Electronics</v>
      </c>
      <c r="O659" s="6">
        <f>_xlfn.XLOOKUP(FactSales[[#This Row],[Product_ID]],DimProduct[Product_ID],DimProduct[Unit_Price])</f>
        <v>3870</v>
      </c>
      <c r="P659" s="6">
        <f>_xlfn.XLOOKUP(FactSales[[#This Row],[Product_ID]],DimProduct[Product_ID],DimProduct[Unit_Cost])</f>
        <v>2630</v>
      </c>
      <c r="Q659" s="6">
        <f>FactSales[[#This Row],[Unit_Price]]*FactSales[[#This Row],[Quantity_Sold]]</f>
        <v>3870</v>
      </c>
      <c r="R659" s="6">
        <f>FactSales[[#This Row],[Unit_Cost]]*FactSales[[#This Row],[Quantity_Sold]]</f>
        <v>2630</v>
      </c>
      <c r="S659" s="6">
        <f>FactSales[[#This Row],[Sales_Amount]]-FactSales[[#This Row],[Total_Cost]]</f>
        <v>1240</v>
      </c>
      <c r="T659" s="6" t="str">
        <f>_xlfn.XLOOKUP(FactSales[[#This Row],[Customer_ID]],DimCustomer[Customer_ID],DimCustomer[Customer_Name])</f>
        <v>Tania Sultana</v>
      </c>
      <c r="U659" s="6" t="str">
        <f>_xlfn.XLOOKUP(FactSales[[#This Row],[Salesperson_ID]],DimSalesman[Salesperson_ID],DimSalesman[Salesperson_Name])</f>
        <v>Fahim Mia</v>
      </c>
      <c r="V659" s="6" t="str">
        <f>_xlfn.XLOOKUP(FactSales[[#This Row],[Region_ID]],DimRegion[Region_ID],DimRegion[Region_Name])</f>
        <v>Sylhet</v>
      </c>
      <c r="W659" s="6" t="str">
        <f>_xlfn.XLOOKUP(FactSales[[#This Row],[Store_ID]],DimStore[Store_ID],DimStore[Store_Name])</f>
        <v>Sylhet Upashahar Store</v>
      </c>
    </row>
    <row r="660" spans="1:23">
      <c r="A660" s="4" t="s">
        <v>1656</v>
      </c>
      <c r="B660" s="5">
        <v>46124</v>
      </c>
      <c r="C660" s="4" t="s">
        <v>433</v>
      </c>
      <c r="D660" s="4" t="s">
        <v>52</v>
      </c>
      <c r="E660" s="4" t="s">
        <v>704</v>
      </c>
      <c r="F660" s="4" t="s">
        <v>961</v>
      </c>
      <c r="G660" s="4" t="s">
        <v>794</v>
      </c>
      <c r="H660" s="4">
        <v>2</v>
      </c>
      <c r="I660" s="7">
        <v>0.05</v>
      </c>
      <c r="J660" s="6">
        <v>1971</v>
      </c>
      <c r="K660" s="4">
        <v>5</v>
      </c>
      <c r="L660" s="8">
        <f t="shared" si="10"/>
        <v>3.5</v>
      </c>
      <c r="M660" s="6" t="str">
        <f>_xlfn.XLOOKUP(FactSales[[#This Row],[Product_ID]],DimProduct[Product_ID],DimProduct[Product_Name])</f>
        <v>Denim Jeans</v>
      </c>
      <c r="N660" s="6" t="str">
        <f>_xlfn.XLOOKUP(FactSales[[#This Row],[Product_ID]],DimProduct[Product_ID],DimProduct[Category])</f>
        <v>Fashion</v>
      </c>
      <c r="O660" s="6">
        <f>_xlfn.XLOOKUP(FactSales[[#This Row],[Product_ID]],DimProduct[Product_ID],DimProduct[Unit_Price])</f>
        <v>880</v>
      </c>
      <c r="P660" s="6">
        <f>_xlfn.XLOOKUP(FactSales[[#This Row],[Product_ID]],DimProduct[Product_ID],DimProduct[Unit_Cost])</f>
        <v>480</v>
      </c>
      <c r="Q660" s="6">
        <f>FactSales[[#This Row],[Unit_Price]]*FactSales[[#This Row],[Quantity_Sold]]</f>
        <v>1760</v>
      </c>
      <c r="R660" s="6">
        <f>FactSales[[#This Row],[Unit_Cost]]*FactSales[[#This Row],[Quantity_Sold]]</f>
        <v>960</v>
      </c>
      <c r="S660" s="6">
        <f>FactSales[[#This Row],[Sales_Amount]]-FactSales[[#This Row],[Total_Cost]]</f>
        <v>800</v>
      </c>
      <c r="T660" s="6" t="str">
        <f>_xlfn.XLOOKUP(FactSales[[#This Row],[Customer_ID]],DimCustomer[Customer_ID],DimCustomer[Customer_Name])</f>
        <v>Rahim Sultana</v>
      </c>
      <c r="U660" s="6" t="str">
        <f>_xlfn.XLOOKUP(FactSales[[#This Row],[Salesperson_ID]],DimSalesman[Salesperson_ID],DimSalesman[Salesperson_Name])</f>
        <v>Shaila Akter</v>
      </c>
      <c r="V660" s="6" t="str">
        <f>_xlfn.XLOOKUP(FactSales[[#This Row],[Region_ID]],DimRegion[Region_ID],DimRegion[Region_Name])</f>
        <v>Barishal</v>
      </c>
      <c r="W660" s="6" t="str">
        <f>_xlfn.XLOOKUP(FactSales[[#This Row],[Store_ID]],DimStore[Store_ID],DimStore[Store_Name])</f>
        <v>Barishal Rupatali Store</v>
      </c>
    </row>
    <row r="661" spans="1:23">
      <c r="A661" s="4" t="s">
        <v>1657</v>
      </c>
      <c r="B661" s="5">
        <v>45784</v>
      </c>
      <c r="C661" s="4" t="s">
        <v>130</v>
      </c>
      <c r="D661" s="4" t="s">
        <v>27</v>
      </c>
      <c r="E661" s="4" t="s">
        <v>626</v>
      </c>
      <c r="F661" s="4" t="s">
        <v>916</v>
      </c>
      <c r="G661" s="4" t="s">
        <v>797</v>
      </c>
      <c r="H661" s="4">
        <v>2</v>
      </c>
      <c r="I661" s="7">
        <v>0.12</v>
      </c>
      <c r="J661" s="6">
        <v>5554</v>
      </c>
      <c r="K661" s="4">
        <v>1</v>
      </c>
      <c r="L661" s="8">
        <f t="shared" si="10"/>
        <v>4.5999999999999996</v>
      </c>
      <c r="M661" s="6" t="str">
        <f>_xlfn.XLOOKUP(FactSales[[#This Row],[Product_ID]],DimProduct[Product_ID],DimProduct[Product_Name])</f>
        <v>Leather Belt</v>
      </c>
      <c r="N661" s="6" t="str">
        <f>_xlfn.XLOOKUP(FactSales[[#This Row],[Product_ID]],DimProduct[Product_ID],DimProduct[Category])</f>
        <v>Fashion</v>
      </c>
      <c r="O661" s="6">
        <f>_xlfn.XLOOKUP(FactSales[[#This Row],[Product_ID]],DimProduct[Product_ID],DimProduct[Unit_Price])</f>
        <v>2620</v>
      </c>
      <c r="P661" s="6">
        <f>_xlfn.XLOOKUP(FactSales[[#This Row],[Product_ID]],DimProduct[Product_ID],DimProduct[Unit_Cost])</f>
        <v>1440</v>
      </c>
      <c r="Q661" s="6">
        <f>FactSales[[#This Row],[Unit_Price]]*FactSales[[#This Row],[Quantity_Sold]]</f>
        <v>5240</v>
      </c>
      <c r="R661" s="6">
        <f>FactSales[[#This Row],[Unit_Cost]]*FactSales[[#This Row],[Quantity_Sold]]</f>
        <v>2880</v>
      </c>
      <c r="S661" s="6">
        <f>FactSales[[#This Row],[Sales_Amount]]-FactSales[[#This Row],[Total_Cost]]</f>
        <v>2360</v>
      </c>
      <c r="T661" s="6" t="str">
        <f>_xlfn.XLOOKUP(FactSales[[#This Row],[Customer_ID]],DimCustomer[Customer_ID],DimCustomer[Customer_Name])</f>
        <v>Tanjim Ahmed</v>
      </c>
      <c r="U661" s="6" t="str">
        <f>_xlfn.XLOOKUP(FactSales[[#This Row],[Salesperson_ID]],DimSalesman[Salesperson_ID],DimSalesman[Salesperson_Name])</f>
        <v>Rafi Islam</v>
      </c>
      <c r="V661" s="6" t="str">
        <f>_xlfn.XLOOKUP(FactSales[[#This Row],[Region_ID]],DimRegion[Region_ID],DimRegion[Region_Name])</f>
        <v>Dhaka</v>
      </c>
      <c r="W661" s="6" t="str">
        <f>_xlfn.XLOOKUP(FactSales[[#This Row],[Store_ID]],DimStore[Store_ID],DimStore[Store_Name])</f>
        <v>Dhaka Mirpur Store</v>
      </c>
    </row>
    <row r="662" spans="1:23">
      <c r="A662" s="4" t="s">
        <v>1658</v>
      </c>
      <c r="B662" s="5">
        <v>46043</v>
      </c>
      <c r="C662" s="4" t="s">
        <v>601</v>
      </c>
      <c r="D662" s="4" t="s">
        <v>62</v>
      </c>
      <c r="E662" s="4" t="s">
        <v>731</v>
      </c>
      <c r="F662" s="4" t="s">
        <v>983</v>
      </c>
      <c r="G662" s="4" t="s">
        <v>768</v>
      </c>
      <c r="H662" s="4">
        <v>1</v>
      </c>
      <c r="I662" s="7">
        <v>0.12</v>
      </c>
      <c r="J662" s="6">
        <v>7776</v>
      </c>
      <c r="K662" s="4">
        <v>8</v>
      </c>
      <c r="L662" s="8">
        <f t="shared" si="10"/>
        <v>2.4</v>
      </c>
      <c r="M662" s="6" t="str">
        <f>_xlfn.XLOOKUP(FactSales[[#This Row],[Product_ID]],DimProduct[Product_ID],DimProduct[Product_Name])</f>
        <v>Electric Kettle</v>
      </c>
      <c r="N662" s="6" t="str">
        <f>_xlfn.XLOOKUP(FactSales[[#This Row],[Product_ID]],DimProduct[Product_ID],DimProduct[Category])</f>
        <v>Home Appliance</v>
      </c>
      <c r="O662" s="6">
        <f>_xlfn.XLOOKUP(FactSales[[#This Row],[Product_ID]],DimProduct[Product_ID],DimProduct[Unit_Price])</f>
        <v>7200</v>
      </c>
      <c r="P662" s="6">
        <f>_xlfn.XLOOKUP(FactSales[[#This Row],[Product_ID]],DimProduct[Product_ID],DimProduct[Unit_Cost])</f>
        <v>5040</v>
      </c>
      <c r="Q662" s="6">
        <f>FactSales[[#This Row],[Unit_Price]]*FactSales[[#This Row],[Quantity_Sold]]</f>
        <v>7200</v>
      </c>
      <c r="R662" s="6">
        <f>FactSales[[#This Row],[Unit_Cost]]*FactSales[[#This Row],[Quantity_Sold]]</f>
        <v>5040</v>
      </c>
      <c r="S662" s="6">
        <f>FactSales[[#This Row],[Sales_Amount]]-FactSales[[#This Row],[Total_Cost]]</f>
        <v>2160</v>
      </c>
      <c r="T662" s="6" t="str">
        <f>_xlfn.XLOOKUP(FactSales[[#This Row],[Customer_ID]],DimCustomer[Customer_ID],DimCustomer[Customer_Name])</f>
        <v>Tania Islam</v>
      </c>
      <c r="U662" s="6" t="str">
        <f>_xlfn.XLOOKUP(FactSales[[#This Row],[Salesperson_ID]],DimSalesman[Salesperson_ID],DimSalesman[Salesperson_Name])</f>
        <v>Fahim Hossain</v>
      </c>
      <c r="V662" s="6" t="str">
        <f>_xlfn.XLOOKUP(FactSales[[#This Row],[Region_ID]],DimRegion[Region_ID],DimRegion[Region_Name])</f>
        <v>Mymensingh</v>
      </c>
      <c r="W662" s="6" t="str">
        <f>_xlfn.XLOOKUP(FactSales[[#This Row],[Store_ID]],DimStore[Store_ID],DimStore[Store_Name])</f>
        <v>Mymensingh Town Hall Store</v>
      </c>
    </row>
    <row r="663" spans="1:23">
      <c r="A663" s="4" t="s">
        <v>1659</v>
      </c>
      <c r="B663" s="5">
        <v>46059</v>
      </c>
      <c r="C663" s="4" t="s">
        <v>346</v>
      </c>
      <c r="D663" s="4" t="s">
        <v>42</v>
      </c>
      <c r="E663" s="4" t="s">
        <v>668</v>
      </c>
      <c r="F663" s="4" t="s">
        <v>944</v>
      </c>
      <c r="G663" s="4" t="s">
        <v>876</v>
      </c>
      <c r="H663" s="4">
        <v>2</v>
      </c>
      <c r="I663" s="7">
        <v>0.02</v>
      </c>
      <c r="J663" s="6">
        <v>1642</v>
      </c>
      <c r="K663" s="4">
        <v>6</v>
      </c>
      <c r="L663" s="8">
        <f t="shared" si="10"/>
        <v>3.2</v>
      </c>
      <c r="M663" s="6" t="str">
        <f>_xlfn.XLOOKUP(FactSales[[#This Row],[Product_ID]],DimProduct[Product_ID],DimProduct[Product_Name])</f>
        <v>Sticky Notes</v>
      </c>
      <c r="N663" s="6" t="str">
        <f>_xlfn.XLOOKUP(FactSales[[#This Row],[Product_ID]],DimProduct[Product_ID],DimProduct[Category])</f>
        <v>Stationery</v>
      </c>
      <c r="O663" s="6">
        <f>_xlfn.XLOOKUP(FactSales[[#This Row],[Product_ID]],DimProduct[Product_ID],DimProduct[Unit_Price])</f>
        <v>760</v>
      </c>
      <c r="P663" s="6">
        <f>_xlfn.XLOOKUP(FactSales[[#This Row],[Product_ID]],DimProduct[Product_ID],DimProduct[Unit_Cost])</f>
        <v>380</v>
      </c>
      <c r="Q663" s="6">
        <f>FactSales[[#This Row],[Unit_Price]]*FactSales[[#This Row],[Quantity_Sold]]</f>
        <v>1520</v>
      </c>
      <c r="R663" s="6">
        <f>FactSales[[#This Row],[Unit_Cost]]*FactSales[[#This Row],[Quantity_Sold]]</f>
        <v>760</v>
      </c>
      <c r="S663" s="6">
        <f>FactSales[[#This Row],[Sales_Amount]]-FactSales[[#This Row],[Total_Cost]]</f>
        <v>760</v>
      </c>
      <c r="T663" s="6" t="str">
        <f>_xlfn.XLOOKUP(FactSales[[#This Row],[Customer_ID]],DimCustomer[Customer_ID],DimCustomer[Customer_Name])</f>
        <v>Hasan Ahmed</v>
      </c>
      <c r="U663" s="6" t="str">
        <f>_xlfn.XLOOKUP(FactSales[[#This Row],[Salesperson_ID]],DimSalesman[Salesperson_ID],DimSalesman[Salesperson_Name])</f>
        <v>Karim Khan</v>
      </c>
      <c r="V663" s="6" t="str">
        <f>_xlfn.XLOOKUP(FactSales[[#This Row],[Region_ID]],DimRegion[Region_ID],DimRegion[Region_Name])</f>
        <v>Rajshahi</v>
      </c>
      <c r="W663" s="6" t="str">
        <f>_xlfn.XLOOKUP(FactSales[[#This Row],[Store_ID]],DimStore[Store_ID],DimStore[Store_Name])</f>
        <v>Rajshahi Shaheb Bazar Store</v>
      </c>
    </row>
    <row r="664" spans="1:23">
      <c r="A664" s="4" t="s">
        <v>1660</v>
      </c>
      <c r="B664" s="5">
        <v>46142</v>
      </c>
      <c r="C664" s="4" t="s">
        <v>124</v>
      </c>
      <c r="D664" s="4" t="s">
        <v>27</v>
      </c>
      <c r="E664" s="4" t="s">
        <v>630</v>
      </c>
      <c r="F664" s="4" t="s">
        <v>916</v>
      </c>
      <c r="G664" s="4" t="s">
        <v>784</v>
      </c>
      <c r="H664" s="4">
        <v>11</v>
      </c>
      <c r="I664" s="7">
        <v>0.1</v>
      </c>
      <c r="J664" s="6">
        <v>21804</v>
      </c>
      <c r="K664" s="4">
        <v>5</v>
      </c>
      <c r="L664" s="8">
        <f t="shared" si="10"/>
        <v>3.4</v>
      </c>
      <c r="M664" s="6" t="str">
        <f>_xlfn.XLOOKUP(FactSales[[#This Row],[Product_ID]],DimProduct[Product_ID],DimProduct[Product_Name])</f>
        <v>Cotton T-Shirt</v>
      </c>
      <c r="N664" s="6" t="str">
        <f>_xlfn.XLOOKUP(FactSales[[#This Row],[Product_ID]],DimProduct[Product_ID],DimProduct[Category])</f>
        <v>Fashion</v>
      </c>
      <c r="O664" s="6">
        <f>_xlfn.XLOOKUP(FactSales[[#This Row],[Product_ID]],DimProduct[Product_ID],DimProduct[Unit_Price])</f>
        <v>1870</v>
      </c>
      <c r="P664" s="6">
        <f>_xlfn.XLOOKUP(FactSales[[#This Row],[Product_ID]],DimProduct[Product_ID],DimProduct[Unit_Cost])</f>
        <v>1030</v>
      </c>
      <c r="Q664" s="6">
        <f>FactSales[[#This Row],[Unit_Price]]*FactSales[[#This Row],[Quantity_Sold]]</f>
        <v>20570</v>
      </c>
      <c r="R664" s="6">
        <f>FactSales[[#This Row],[Unit_Cost]]*FactSales[[#This Row],[Quantity_Sold]]</f>
        <v>11330</v>
      </c>
      <c r="S664" s="6">
        <f>FactSales[[#This Row],[Sales_Amount]]-FactSales[[#This Row],[Total_Cost]]</f>
        <v>9240</v>
      </c>
      <c r="T664" s="6" t="str">
        <f>_xlfn.XLOOKUP(FactSales[[#This Row],[Customer_ID]],DimCustomer[Customer_ID],DimCustomer[Customer_Name])</f>
        <v>Rafi Khan</v>
      </c>
      <c r="U664" s="6" t="str">
        <f>_xlfn.XLOOKUP(FactSales[[#This Row],[Salesperson_ID]],DimSalesman[Salesperson_ID],DimSalesman[Salesperson_Name])</f>
        <v>Rafi Islam</v>
      </c>
      <c r="V664" s="6" t="str">
        <f>_xlfn.XLOOKUP(FactSales[[#This Row],[Region_ID]],DimRegion[Region_ID],DimRegion[Region_Name])</f>
        <v>Dhaka</v>
      </c>
      <c r="W664" s="6" t="str">
        <f>_xlfn.XLOOKUP(FactSales[[#This Row],[Store_ID]],DimStore[Store_ID],DimStore[Store_Name])</f>
        <v>Dhaka Uttara Store</v>
      </c>
    </row>
    <row r="665" spans="1:23">
      <c r="A665" s="4" t="s">
        <v>1661</v>
      </c>
      <c r="B665" s="5">
        <v>46061</v>
      </c>
      <c r="C665" s="4" t="s">
        <v>416</v>
      </c>
      <c r="D665" s="4" t="s">
        <v>47</v>
      </c>
      <c r="E665" s="4" t="s">
        <v>686</v>
      </c>
      <c r="F665" s="4" t="s">
        <v>958</v>
      </c>
      <c r="G665" s="4" t="s">
        <v>876</v>
      </c>
      <c r="H665" s="4">
        <v>1</v>
      </c>
      <c r="I665" s="7">
        <v>0.03</v>
      </c>
      <c r="J665" s="6">
        <v>828</v>
      </c>
      <c r="K665" s="4">
        <v>4</v>
      </c>
      <c r="L665" s="8">
        <f t="shared" si="10"/>
        <v>3.9</v>
      </c>
      <c r="M665" s="6" t="str">
        <f>_xlfn.XLOOKUP(FactSales[[#This Row],[Product_ID]],DimProduct[Product_ID],DimProduct[Product_Name])</f>
        <v>Sticky Notes</v>
      </c>
      <c r="N665" s="6" t="str">
        <f>_xlfn.XLOOKUP(FactSales[[#This Row],[Product_ID]],DimProduct[Product_ID],DimProduct[Category])</f>
        <v>Stationery</v>
      </c>
      <c r="O665" s="6">
        <f>_xlfn.XLOOKUP(FactSales[[#This Row],[Product_ID]],DimProduct[Product_ID],DimProduct[Unit_Price])</f>
        <v>760</v>
      </c>
      <c r="P665" s="6">
        <f>_xlfn.XLOOKUP(FactSales[[#This Row],[Product_ID]],DimProduct[Product_ID],DimProduct[Unit_Cost])</f>
        <v>380</v>
      </c>
      <c r="Q665" s="6">
        <f>FactSales[[#This Row],[Unit_Price]]*FactSales[[#This Row],[Quantity_Sold]]</f>
        <v>760</v>
      </c>
      <c r="R665" s="6">
        <f>FactSales[[#This Row],[Unit_Cost]]*FactSales[[#This Row],[Quantity_Sold]]</f>
        <v>380</v>
      </c>
      <c r="S665" s="6">
        <f>FactSales[[#This Row],[Sales_Amount]]-FactSales[[#This Row],[Total_Cost]]</f>
        <v>380</v>
      </c>
      <c r="T665" s="6" t="str">
        <f>_xlfn.XLOOKUP(FactSales[[#This Row],[Customer_ID]],DimCustomer[Customer_ID],DimCustomer[Customer_Name])</f>
        <v>Ayesha Ahmed</v>
      </c>
      <c r="U665" s="6" t="str">
        <f>_xlfn.XLOOKUP(FactSales[[#This Row],[Salesperson_ID]],DimSalesman[Salesperson_ID],DimSalesman[Salesperson_Name])</f>
        <v>Fahim Uddin</v>
      </c>
      <c r="V665" s="6" t="str">
        <f>_xlfn.XLOOKUP(FactSales[[#This Row],[Region_ID]],DimRegion[Region_ID],DimRegion[Region_Name])</f>
        <v>Khulna</v>
      </c>
      <c r="W665" s="6" t="str">
        <f>_xlfn.XLOOKUP(FactSales[[#This Row],[Store_ID]],DimStore[Store_ID],DimStore[Store_Name])</f>
        <v>Khulna Khalishpur Store</v>
      </c>
    </row>
    <row r="666" spans="1:23">
      <c r="A666" s="4" t="s">
        <v>1662</v>
      </c>
      <c r="B666" s="5">
        <v>45798</v>
      </c>
      <c r="C666" s="4" t="s">
        <v>139</v>
      </c>
      <c r="D666" s="4" t="s">
        <v>27</v>
      </c>
      <c r="E666" s="4" t="s">
        <v>626</v>
      </c>
      <c r="F666" s="4" t="s">
        <v>918</v>
      </c>
      <c r="G666" s="4" t="s">
        <v>834</v>
      </c>
      <c r="H666" s="4">
        <v>2</v>
      </c>
      <c r="I666" s="7">
        <v>0.1</v>
      </c>
      <c r="J666" s="6">
        <v>7441</v>
      </c>
      <c r="K666" s="4">
        <v>2</v>
      </c>
      <c r="L666" s="8">
        <f t="shared" si="10"/>
        <v>4.3</v>
      </c>
      <c r="M666" s="6" t="str">
        <f>_xlfn.XLOOKUP(FactSales[[#This Row],[Product_ID]],DimProduct[Product_ID],DimProduct[Product_Name])</f>
        <v>Running Shoe</v>
      </c>
      <c r="N666" s="6" t="str">
        <f>_xlfn.XLOOKUP(FactSales[[#This Row],[Product_ID]],DimProduct[Product_ID],DimProduct[Category])</f>
        <v>Footwear</v>
      </c>
      <c r="O666" s="6">
        <f>_xlfn.XLOOKUP(FactSales[[#This Row],[Product_ID]],DimProduct[Product_ID],DimProduct[Unit_Price])</f>
        <v>3510</v>
      </c>
      <c r="P666" s="6">
        <f>_xlfn.XLOOKUP(FactSales[[#This Row],[Product_ID]],DimProduct[Product_ID],DimProduct[Unit_Cost])</f>
        <v>2110</v>
      </c>
      <c r="Q666" s="6">
        <f>FactSales[[#This Row],[Unit_Price]]*FactSales[[#This Row],[Quantity_Sold]]</f>
        <v>7020</v>
      </c>
      <c r="R666" s="6">
        <f>FactSales[[#This Row],[Unit_Cost]]*FactSales[[#This Row],[Quantity_Sold]]</f>
        <v>4220</v>
      </c>
      <c r="S666" s="6">
        <f>FactSales[[#This Row],[Sales_Amount]]-FactSales[[#This Row],[Total_Cost]]</f>
        <v>2800</v>
      </c>
      <c r="T666" s="6" t="str">
        <f>_xlfn.XLOOKUP(FactSales[[#This Row],[Customer_ID]],DimCustomer[Customer_ID],DimCustomer[Customer_Name])</f>
        <v>Nayeem Uddin</v>
      </c>
      <c r="U666" s="6" t="str">
        <f>_xlfn.XLOOKUP(FactSales[[#This Row],[Salesperson_ID]],DimSalesman[Salesperson_ID],DimSalesman[Salesperson_Name])</f>
        <v>Tania Sultana</v>
      </c>
      <c r="V666" s="6" t="str">
        <f>_xlfn.XLOOKUP(FactSales[[#This Row],[Region_ID]],DimRegion[Region_ID],DimRegion[Region_Name])</f>
        <v>Dhaka</v>
      </c>
      <c r="W666" s="6" t="str">
        <f>_xlfn.XLOOKUP(FactSales[[#This Row],[Store_ID]],DimStore[Store_ID],DimStore[Store_Name])</f>
        <v>Dhaka Mirpur Store</v>
      </c>
    </row>
    <row r="667" spans="1:23">
      <c r="A667" s="4" t="s">
        <v>1663</v>
      </c>
      <c r="B667" s="5">
        <v>46028</v>
      </c>
      <c r="C667" s="4" t="s">
        <v>349</v>
      </c>
      <c r="D667" s="4" t="s">
        <v>42</v>
      </c>
      <c r="E667" s="4" t="s">
        <v>671</v>
      </c>
      <c r="F667" s="4" t="s">
        <v>950</v>
      </c>
      <c r="G667" s="4" t="s">
        <v>831</v>
      </c>
      <c r="H667" s="4">
        <v>4</v>
      </c>
      <c r="I667" s="7">
        <v>0.12</v>
      </c>
      <c r="J667" s="6">
        <v>5443</v>
      </c>
      <c r="K667" s="4">
        <v>5</v>
      </c>
      <c r="L667" s="8">
        <f t="shared" si="10"/>
        <v>3.3</v>
      </c>
      <c r="M667" s="6" t="str">
        <f>_xlfn.XLOOKUP(FactSales[[#This Row],[Product_ID]],DimProduct[Product_ID],DimProduct[Product_Name])</f>
        <v>Perfume Spray</v>
      </c>
      <c r="N667" s="6" t="str">
        <f>_xlfn.XLOOKUP(FactSales[[#This Row],[Product_ID]],DimProduct[Product_ID],DimProduct[Category])</f>
        <v>Beauty &amp; Personal Care</v>
      </c>
      <c r="O667" s="6">
        <f>_xlfn.XLOOKUP(FactSales[[#This Row],[Product_ID]],DimProduct[Product_ID],DimProduct[Unit_Price])</f>
        <v>1260</v>
      </c>
      <c r="P667" s="6">
        <f>_xlfn.XLOOKUP(FactSales[[#This Row],[Product_ID]],DimProduct[Product_ID],DimProduct[Unit_Cost])</f>
        <v>730</v>
      </c>
      <c r="Q667" s="6">
        <f>FactSales[[#This Row],[Unit_Price]]*FactSales[[#This Row],[Quantity_Sold]]</f>
        <v>5040</v>
      </c>
      <c r="R667" s="6">
        <f>FactSales[[#This Row],[Unit_Cost]]*FactSales[[#This Row],[Quantity_Sold]]</f>
        <v>2920</v>
      </c>
      <c r="S667" s="6">
        <f>FactSales[[#This Row],[Sales_Amount]]-FactSales[[#This Row],[Total_Cost]]</f>
        <v>2120</v>
      </c>
      <c r="T667" s="6" t="str">
        <f>_xlfn.XLOOKUP(FactSales[[#This Row],[Customer_ID]],DimCustomer[Customer_ID],DimCustomer[Customer_Name])</f>
        <v>Mahmud Uddin</v>
      </c>
      <c r="U667" s="6" t="str">
        <f>_xlfn.XLOOKUP(FactSales[[#This Row],[Salesperson_ID]],DimSalesman[Salesperson_ID],DimSalesman[Salesperson_Name])</f>
        <v>Mim Rahman</v>
      </c>
      <c r="V667" s="6" t="str">
        <f>_xlfn.XLOOKUP(FactSales[[#This Row],[Region_ID]],DimRegion[Region_ID],DimRegion[Region_Name])</f>
        <v>Rajshahi</v>
      </c>
      <c r="W667" s="6" t="str">
        <f>_xlfn.XLOOKUP(FactSales[[#This Row],[Store_ID]],DimStore[Store_ID],DimStore[Store_Name])</f>
        <v>Rajshahi Kazla Store</v>
      </c>
    </row>
    <row r="668" spans="1:23">
      <c r="A668" s="4" t="s">
        <v>1664</v>
      </c>
      <c r="B668" s="5">
        <v>46095</v>
      </c>
      <c r="C668" s="4" t="s">
        <v>207</v>
      </c>
      <c r="D668" s="4" t="s">
        <v>32</v>
      </c>
      <c r="E668" s="4" t="s">
        <v>641</v>
      </c>
      <c r="F668" s="4" t="s">
        <v>927</v>
      </c>
      <c r="G668" s="4" t="s">
        <v>897</v>
      </c>
      <c r="H668" s="4">
        <v>3</v>
      </c>
      <c r="I668" s="7">
        <v>0.03</v>
      </c>
      <c r="J668" s="6">
        <v>39946</v>
      </c>
      <c r="K668" s="4">
        <v>11</v>
      </c>
      <c r="L668" s="8">
        <f t="shared" si="10"/>
        <v>1.6</v>
      </c>
      <c r="M668" s="6" t="str">
        <f>_xlfn.XLOOKUP(FactSales[[#This Row],[Product_ID]],DimProduct[Product_ID],DimProduct[Product_Name])</f>
        <v>Study Table</v>
      </c>
      <c r="N668" s="6" t="str">
        <f>_xlfn.XLOOKUP(FactSales[[#This Row],[Product_ID]],DimProduct[Product_ID],DimProduct[Category])</f>
        <v>Furniture</v>
      </c>
      <c r="O668" s="6">
        <f>_xlfn.XLOOKUP(FactSales[[#This Row],[Product_ID]],DimProduct[Product_ID],DimProduct[Unit_Price])</f>
        <v>11680</v>
      </c>
      <c r="P668" s="6">
        <f>_xlfn.XLOOKUP(FactSales[[#This Row],[Product_ID]],DimProduct[Product_ID],DimProduct[Unit_Cost])</f>
        <v>8410</v>
      </c>
      <c r="Q668" s="6">
        <f>FactSales[[#This Row],[Unit_Price]]*FactSales[[#This Row],[Quantity_Sold]]</f>
        <v>35040</v>
      </c>
      <c r="R668" s="6">
        <f>FactSales[[#This Row],[Unit_Cost]]*FactSales[[#This Row],[Quantity_Sold]]</f>
        <v>25230</v>
      </c>
      <c r="S668" s="6">
        <f>FactSales[[#This Row],[Sales_Amount]]-FactSales[[#This Row],[Total_Cost]]</f>
        <v>9810</v>
      </c>
      <c r="T668" s="6" t="str">
        <f>_xlfn.XLOOKUP(FactSales[[#This Row],[Customer_ID]],DimCustomer[Customer_ID],DimCustomer[Customer_Name])</f>
        <v>Sadia Sultana</v>
      </c>
      <c r="U668" s="6" t="str">
        <f>_xlfn.XLOOKUP(FactSales[[#This Row],[Salesperson_ID]],DimSalesman[Salesperson_ID],DimSalesman[Salesperson_Name])</f>
        <v>Shakib Ahmed</v>
      </c>
      <c r="V668" s="6" t="str">
        <f>_xlfn.XLOOKUP(FactSales[[#This Row],[Region_ID]],DimRegion[Region_ID],DimRegion[Region_Name])</f>
        <v>Chattogram</v>
      </c>
      <c r="W668" s="6" t="str">
        <f>_xlfn.XLOOKUP(FactSales[[#This Row],[Store_ID]],DimStore[Store_ID],DimStore[Store_Name])</f>
        <v>Chattogram GEC Store</v>
      </c>
    </row>
    <row r="669" spans="1:23">
      <c r="A669" s="4" t="s">
        <v>1665</v>
      </c>
      <c r="B669" s="5">
        <v>46102</v>
      </c>
      <c r="C669" s="4" t="s">
        <v>220</v>
      </c>
      <c r="D669" s="4" t="s">
        <v>37</v>
      </c>
      <c r="E669" s="4" t="s">
        <v>653</v>
      </c>
      <c r="F669" s="4" t="s">
        <v>939</v>
      </c>
      <c r="G669" s="4" t="s">
        <v>831</v>
      </c>
      <c r="H669" s="4">
        <v>10</v>
      </c>
      <c r="I669" s="7">
        <v>0.1</v>
      </c>
      <c r="J669" s="6">
        <v>13482</v>
      </c>
      <c r="K669" s="4">
        <v>6</v>
      </c>
      <c r="L669" s="8">
        <f t="shared" si="10"/>
        <v>3.1</v>
      </c>
      <c r="M669" s="6" t="str">
        <f>_xlfn.XLOOKUP(FactSales[[#This Row],[Product_ID]],DimProduct[Product_ID],DimProduct[Product_Name])</f>
        <v>Perfume Spray</v>
      </c>
      <c r="N669" s="6" t="str">
        <f>_xlfn.XLOOKUP(FactSales[[#This Row],[Product_ID]],DimProduct[Product_ID],DimProduct[Category])</f>
        <v>Beauty &amp; Personal Care</v>
      </c>
      <c r="O669" s="6">
        <f>_xlfn.XLOOKUP(FactSales[[#This Row],[Product_ID]],DimProduct[Product_ID],DimProduct[Unit_Price])</f>
        <v>1260</v>
      </c>
      <c r="P669" s="6">
        <f>_xlfn.XLOOKUP(FactSales[[#This Row],[Product_ID]],DimProduct[Product_ID],DimProduct[Unit_Cost])</f>
        <v>730</v>
      </c>
      <c r="Q669" s="6">
        <f>FactSales[[#This Row],[Unit_Price]]*FactSales[[#This Row],[Quantity_Sold]]</f>
        <v>12600</v>
      </c>
      <c r="R669" s="6">
        <f>FactSales[[#This Row],[Unit_Cost]]*FactSales[[#This Row],[Quantity_Sold]]</f>
        <v>7300</v>
      </c>
      <c r="S669" s="6">
        <f>FactSales[[#This Row],[Sales_Amount]]-FactSales[[#This Row],[Total_Cost]]</f>
        <v>5300</v>
      </c>
      <c r="T669" s="6" t="str">
        <f>_xlfn.XLOOKUP(FactSales[[#This Row],[Customer_ID]],DimCustomer[Customer_ID],DimCustomer[Customer_Name])</f>
        <v>Rafi Hossain</v>
      </c>
      <c r="U669" s="6" t="str">
        <f>_xlfn.XLOOKUP(FactSales[[#This Row],[Salesperson_ID]],DimSalesman[Salesperson_ID],DimSalesman[Salesperson_Name])</f>
        <v>Fahim Mia</v>
      </c>
      <c r="V669" s="6" t="str">
        <f>_xlfn.XLOOKUP(FactSales[[#This Row],[Region_ID]],DimRegion[Region_ID],DimRegion[Region_Name])</f>
        <v>Sylhet</v>
      </c>
      <c r="W669" s="6" t="str">
        <f>_xlfn.XLOOKUP(FactSales[[#This Row],[Store_ID]],DimStore[Store_ID],DimStore[Store_Name])</f>
        <v>Sylhet Zindabazar Store</v>
      </c>
    </row>
    <row r="670" spans="1:23">
      <c r="A670" s="4" t="s">
        <v>1666</v>
      </c>
      <c r="B670" s="5">
        <v>45967</v>
      </c>
      <c r="C670" s="4" t="s">
        <v>289</v>
      </c>
      <c r="D670" s="4" t="s">
        <v>42</v>
      </c>
      <c r="E670" s="4" t="s">
        <v>668</v>
      </c>
      <c r="F670" s="4" t="s">
        <v>944</v>
      </c>
      <c r="G670" s="4" t="s">
        <v>781</v>
      </c>
      <c r="H670" s="4">
        <v>4</v>
      </c>
      <c r="I670" s="7">
        <v>0.1</v>
      </c>
      <c r="J670" s="6">
        <v>13435</v>
      </c>
      <c r="K670" s="4">
        <v>5</v>
      </c>
      <c r="L670" s="8">
        <f t="shared" si="10"/>
        <v>3.4</v>
      </c>
      <c r="M670" s="6" t="str">
        <f>_xlfn.XLOOKUP(FactSales[[#This Row],[Product_ID]],DimProduct[Product_ID],DimProduct[Product_Name])</f>
        <v>Table Fan</v>
      </c>
      <c r="N670" s="6" t="str">
        <f>_xlfn.XLOOKUP(FactSales[[#This Row],[Product_ID]],DimProduct[Product_ID],DimProduct[Category])</f>
        <v>Home Appliance</v>
      </c>
      <c r="O670" s="6">
        <f>_xlfn.XLOOKUP(FactSales[[#This Row],[Product_ID]],DimProduct[Product_ID],DimProduct[Unit_Price])</f>
        <v>3110</v>
      </c>
      <c r="P670" s="6">
        <f>_xlfn.XLOOKUP(FactSales[[#This Row],[Product_ID]],DimProduct[Product_ID],DimProduct[Unit_Cost])</f>
        <v>2180</v>
      </c>
      <c r="Q670" s="6">
        <f>FactSales[[#This Row],[Unit_Price]]*FactSales[[#This Row],[Quantity_Sold]]</f>
        <v>12440</v>
      </c>
      <c r="R670" s="6">
        <f>FactSales[[#This Row],[Unit_Cost]]*FactSales[[#This Row],[Quantity_Sold]]</f>
        <v>8720</v>
      </c>
      <c r="S670" s="6">
        <f>FactSales[[#This Row],[Sales_Amount]]-FactSales[[#This Row],[Total_Cost]]</f>
        <v>3720</v>
      </c>
      <c r="T670" s="6" t="str">
        <f>_xlfn.XLOOKUP(FactSales[[#This Row],[Customer_ID]],DimCustomer[Customer_ID],DimCustomer[Customer_Name])</f>
        <v>Mehedi Hossain</v>
      </c>
      <c r="U670" s="6" t="str">
        <f>_xlfn.XLOOKUP(FactSales[[#This Row],[Salesperson_ID]],DimSalesman[Salesperson_ID],DimSalesman[Salesperson_Name])</f>
        <v>Karim Khan</v>
      </c>
      <c r="V670" s="6" t="str">
        <f>_xlfn.XLOOKUP(FactSales[[#This Row],[Region_ID]],DimRegion[Region_ID],DimRegion[Region_Name])</f>
        <v>Rajshahi</v>
      </c>
      <c r="W670" s="6" t="str">
        <f>_xlfn.XLOOKUP(FactSales[[#This Row],[Store_ID]],DimStore[Store_ID],DimStore[Store_Name])</f>
        <v>Rajshahi Shaheb Bazar Store</v>
      </c>
    </row>
    <row r="671" spans="1:23">
      <c r="A671" s="4" t="s">
        <v>1667</v>
      </c>
      <c r="B671" s="5">
        <v>46113</v>
      </c>
      <c r="C671" s="4" t="s">
        <v>214</v>
      </c>
      <c r="D671" s="4" t="s">
        <v>32</v>
      </c>
      <c r="E671" s="4" t="s">
        <v>647</v>
      </c>
      <c r="F671" s="4" t="s">
        <v>931</v>
      </c>
      <c r="G671" s="4" t="s">
        <v>778</v>
      </c>
      <c r="H671" s="4">
        <v>2</v>
      </c>
      <c r="I671" s="7">
        <v>0.08</v>
      </c>
      <c r="J671" s="6">
        <v>10397</v>
      </c>
      <c r="K671" s="4">
        <v>6</v>
      </c>
      <c r="L671" s="8">
        <f t="shared" si="10"/>
        <v>3.1</v>
      </c>
      <c r="M671" s="6" t="str">
        <f>_xlfn.XLOOKUP(FactSales[[#This Row],[Product_ID]],DimProduct[Product_ID],DimProduct[Product_Name])</f>
        <v>Steam Iron</v>
      </c>
      <c r="N671" s="6" t="str">
        <f>_xlfn.XLOOKUP(FactSales[[#This Row],[Product_ID]],DimProduct[Product_ID],DimProduct[Category])</f>
        <v>Home Appliance</v>
      </c>
      <c r="O671" s="6">
        <f>_xlfn.XLOOKUP(FactSales[[#This Row],[Product_ID]],DimProduct[Product_ID],DimProduct[Unit_Price])</f>
        <v>4560</v>
      </c>
      <c r="P671" s="6">
        <f>_xlfn.XLOOKUP(FactSales[[#This Row],[Product_ID]],DimProduct[Product_ID],DimProduct[Unit_Cost])</f>
        <v>3190</v>
      </c>
      <c r="Q671" s="6">
        <f>FactSales[[#This Row],[Unit_Price]]*FactSales[[#This Row],[Quantity_Sold]]</f>
        <v>9120</v>
      </c>
      <c r="R671" s="6">
        <f>FactSales[[#This Row],[Unit_Cost]]*FactSales[[#This Row],[Quantity_Sold]]</f>
        <v>6380</v>
      </c>
      <c r="S671" s="6">
        <f>FactSales[[#This Row],[Sales_Amount]]-FactSales[[#This Row],[Total_Cost]]</f>
        <v>2740</v>
      </c>
      <c r="T671" s="6" t="str">
        <f>_xlfn.XLOOKUP(FactSales[[#This Row],[Customer_ID]],DimCustomer[Customer_ID],DimCustomer[Customer_Name])</f>
        <v>Sadia Chowdhury</v>
      </c>
      <c r="U671" s="6" t="str">
        <f>_xlfn.XLOOKUP(FactSales[[#This Row],[Salesperson_ID]],DimSalesman[Salesperson_ID],DimSalesman[Salesperson_Name])</f>
        <v>Sadia Islam</v>
      </c>
      <c r="V671" s="6" t="str">
        <f>_xlfn.XLOOKUP(FactSales[[#This Row],[Region_ID]],DimRegion[Region_ID],DimRegion[Region_Name])</f>
        <v>Chattogram</v>
      </c>
      <c r="W671" s="6" t="str">
        <f>_xlfn.XLOOKUP(FactSales[[#This Row],[Store_ID]],DimStore[Store_ID],DimStore[Store_Name])</f>
        <v>Chattogram Nasirabad Store</v>
      </c>
    </row>
    <row r="672" spans="1:23">
      <c r="A672" s="4" t="s">
        <v>1668</v>
      </c>
      <c r="B672" s="5">
        <v>46179</v>
      </c>
      <c r="C672" s="4" t="s">
        <v>156</v>
      </c>
      <c r="D672" s="4" t="s">
        <v>32</v>
      </c>
      <c r="E672" s="4" t="s">
        <v>647</v>
      </c>
      <c r="F672" s="4" t="s">
        <v>931</v>
      </c>
      <c r="G672" s="4" t="s">
        <v>838</v>
      </c>
      <c r="H672" s="4">
        <v>1</v>
      </c>
      <c r="I672" s="7">
        <v>0.12</v>
      </c>
      <c r="J672" s="6">
        <v>1379</v>
      </c>
      <c r="K672" s="4">
        <v>3</v>
      </c>
      <c r="L672" s="8">
        <f t="shared" si="10"/>
        <v>4</v>
      </c>
      <c r="M672" s="6" t="str">
        <f>_xlfn.XLOOKUP(FactSales[[#This Row],[Product_ID]],DimProduct[Product_ID],DimProduct[Product_Name])</f>
        <v>Formal Shoe</v>
      </c>
      <c r="N672" s="6" t="str">
        <f>_xlfn.XLOOKUP(FactSales[[#This Row],[Product_ID]],DimProduct[Product_ID],DimProduct[Category])</f>
        <v>Footwear</v>
      </c>
      <c r="O672" s="6">
        <f>_xlfn.XLOOKUP(FactSales[[#This Row],[Product_ID]],DimProduct[Product_ID],DimProduct[Unit_Price])</f>
        <v>1210</v>
      </c>
      <c r="P672" s="6">
        <f>_xlfn.XLOOKUP(FactSales[[#This Row],[Product_ID]],DimProduct[Product_ID],DimProduct[Unit_Cost])</f>
        <v>730</v>
      </c>
      <c r="Q672" s="6">
        <f>FactSales[[#This Row],[Unit_Price]]*FactSales[[#This Row],[Quantity_Sold]]</f>
        <v>1210</v>
      </c>
      <c r="R672" s="6">
        <f>FactSales[[#This Row],[Unit_Cost]]*FactSales[[#This Row],[Quantity_Sold]]</f>
        <v>730</v>
      </c>
      <c r="S672" s="6">
        <f>FactSales[[#This Row],[Sales_Amount]]-FactSales[[#This Row],[Total_Cost]]</f>
        <v>480</v>
      </c>
      <c r="T672" s="6" t="str">
        <f>_xlfn.XLOOKUP(FactSales[[#This Row],[Customer_ID]],DimCustomer[Customer_ID],DimCustomer[Customer_Name])</f>
        <v>Shaila Mia</v>
      </c>
      <c r="U672" s="6" t="str">
        <f>_xlfn.XLOOKUP(FactSales[[#This Row],[Salesperson_ID]],DimSalesman[Salesperson_ID],DimSalesman[Salesperson_Name])</f>
        <v>Sadia Islam</v>
      </c>
      <c r="V672" s="6" t="str">
        <f>_xlfn.XLOOKUP(FactSales[[#This Row],[Region_ID]],DimRegion[Region_ID],DimRegion[Region_Name])</f>
        <v>Chattogram</v>
      </c>
      <c r="W672" s="6" t="str">
        <f>_xlfn.XLOOKUP(FactSales[[#This Row],[Store_ID]],DimStore[Store_ID],DimStore[Store_Name])</f>
        <v>Chattogram Nasirabad Store</v>
      </c>
    </row>
    <row r="673" spans="1:23">
      <c r="A673" s="4" t="s">
        <v>1669</v>
      </c>
      <c r="B673" s="5">
        <v>46153</v>
      </c>
      <c r="C673" s="4" t="s">
        <v>416</v>
      </c>
      <c r="D673" s="4" t="s">
        <v>47</v>
      </c>
      <c r="E673" s="4" t="s">
        <v>683</v>
      </c>
      <c r="F673" s="4" t="s">
        <v>956</v>
      </c>
      <c r="G673" s="4" t="s">
        <v>762</v>
      </c>
      <c r="H673" s="4">
        <v>10</v>
      </c>
      <c r="I673" s="7">
        <v>0.15</v>
      </c>
      <c r="J673" s="6">
        <v>42183</v>
      </c>
      <c r="K673" s="4">
        <v>2</v>
      </c>
      <c r="L673" s="8">
        <f t="shared" si="10"/>
        <v>4.2</v>
      </c>
      <c r="M673" s="6" t="str">
        <f>_xlfn.XLOOKUP(FactSales[[#This Row],[Product_ID]],DimProduct[Product_ID],DimProduct[Product_Name])</f>
        <v>Smart Watch</v>
      </c>
      <c r="N673" s="6" t="str">
        <f>_xlfn.XLOOKUP(FactSales[[#This Row],[Product_ID]],DimProduct[Product_ID],DimProduct[Category])</f>
        <v>Electronics</v>
      </c>
      <c r="O673" s="6">
        <f>_xlfn.XLOOKUP(FactSales[[#This Row],[Product_ID]],DimProduct[Product_ID],DimProduct[Unit_Price])</f>
        <v>3870</v>
      </c>
      <c r="P673" s="6">
        <f>_xlfn.XLOOKUP(FactSales[[#This Row],[Product_ID]],DimProduct[Product_ID],DimProduct[Unit_Cost])</f>
        <v>2630</v>
      </c>
      <c r="Q673" s="6">
        <f>FactSales[[#This Row],[Unit_Price]]*FactSales[[#This Row],[Quantity_Sold]]</f>
        <v>38700</v>
      </c>
      <c r="R673" s="6">
        <f>FactSales[[#This Row],[Unit_Cost]]*FactSales[[#This Row],[Quantity_Sold]]</f>
        <v>26300</v>
      </c>
      <c r="S673" s="6">
        <f>FactSales[[#This Row],[Sales_Amount]]-FactSales[[#This Row],[Total_Cost]]</f>
        <v>12400</v>
      </c>
      <c r="T673" s="6" t="str">
        <f>_xlfn.XLOOKUP(FactSales[[#This Row],[Customer_ID]],DimCustomer[Customer_ID],DimCustomer[Customer_Name])</f>
        <v>Ayesha Ahmed</v>
      </c>
      <c r="U673" s="6" t="str">
        <f>_xlfn.XLOOKUP(FactSales[[#This Row],[Salesperson_ID]],DimSalesman[Salesperson_ID],DimSalesman[Salesperson_Name])</f>
        <v>Rafi Ahmed</v>
      </c>
      <c r="V673" s="6" t="str">
        <f>_xlfn.XLOOKUP(FactSales[[#This Row],[Region_ID]],DimRegion[Region_ID],DimRegion[Region_Name])</f>
        <v>Khulna</v>
      </c>
      <c r="W673" s="6" t="str">
        <f>_xlfn.XLOOKUP(FactSales[[#This Row],[Store_ID]],DimStore[Store_ID],DimStore[Store_Name])</f>
        <v>Khulna Sonadanga Store</v>
      </c>
    </row>
    <row r="674" spans="1:23">
      <c r="A674" s="4" t="s">
        <v>1670</v>
      </c>
      <c r="B674" s="5">
        <v>45847</v>
      </c>
      <c r="C674" s="4" t="s">
        <v>406</v>
      </c>
      <c r="D674" s="4" t="s">
        <v>47</v>
      </c>
      <c r="E674" s="4" t="s">
        <v>686</v>
      </c>
      <c r="F674" s="4" t="s">
        <v>952</v>
      </c>
      <c r="G674" s="4" t="s">
        <v>773</v>
      </c>
      <c r="H674" s="4">
        <v>2</v>
      </c>
      <c r="I674" s="7">
        <v>0.08</v>
      </c>
      <c r="J674" s="6">
        <v>16197</v>
      </c>
      <c r="K674" s="4">
        <v>2</v>
      </c>
      <c r="L674" s="8">
        <f t="shared" si="10"/>
        <v>4.4000000000000004</v>
      </c>
      <c r="M674" s="6" t="str">
        <f>_xlfn.XLOOKUP(FactSales[[#This Row],[Product_ID]],DimProduct[Product_ID],DimProduct[Product_Name])</f>
        <v>Rice Cooker</v>
      </c>
      <c r="N674" s="6" t="str">
        <f>_xlfn.XLOOKUP(FactSales[[#This Row],[Product_ID]],DimProduct[Product_ID],DimProduct[Category])</f>
        <v>Home Appliance</v>
      </c>
      <c r="O674" s="6">
        <f>_xlfn.XLOOKUP(FactSales[[#This Row],[Product_ID]],DimProduct[Product_ID],DimProduct[Unit_Price])</f>
        <v>7430</v>
      </c>
      <c r="P674" s="6">
        <f>_xlfn.XLOOKUP(FactSales[[#This Row],[Product_ID]],DimProduct[Product_ID],DimProduct[Unit_Cost])</f>
        <v>5200</v>
      </c>
      <c r="Q674" s="6">
        <f>FactSales[[#This Row],[Unit_Price]]*FactSales[[#This Row],[Quantity_Sold]]</f>
        <v>14860</v>
      </c>
      <c r="R674" s="6">
        <f>FactSales[[#This Row],[Unit_Cost]]*FactSales[[#This Row],[Quantity_Sold]]</f>
        <v>10400</v>
      </c>
      <c r="S674" s="6">
        <f>FactSales[[#This Row],[Sales_Amount]]-FactSales[[#This Row],[Total_Cost]]</f>
        <v>4460</v>
      </c>
      <c r="T674" s="6" t="str">
        <f>_xlfn.XLOOKUP(FactSales[[#This Row],[Customer_ID]],DimCustomer[Customer_ID],DimCustomer[Customer_Name])</f>
        <v>Ayesha Uddin</v>
      </c>
      <c r="U674" s="6" t="str">
        <f>_xlfn.XLOOKUP(FactSales[[#This Row],[Salesperson_ID]],DimSalesman[Salesperson_ID],DimSalesman[Salesperson_Name])</f>
        <v>Samiha Islam</v>
      </c>
      <c r="V674" s="6" t="str">
        <f>_xlfn.XLOOKUP(FactSales[[#This Row],[Region_ID]],DimRegion[Region_ID],DimRegion[Region_Name])</f>
        <v>Khulna</v>
      </c>
      <c r="W674" s="6" t="str">
        <f>_xlfn.XLOOKUP(FactSales[[#This Row],[Store_ID]],DimStore[Store_ID],DimStore[Store_Name])</f>
        <v>Khulna Khalishpur Store</v>
      </c>
    </row>
    <row r="675" spans="1:23">
      <c r="A675" s="4" t="s">
        <v>1671</v>
      </c>
      <c r="B675" s="5">
        <v>45785</v>
      </c>
      <c r="C675" s="4" t="s">
        <v>556</v>
      </c>
      <c r="D675" s="4" t="s">
        <v>62</v>
      </c>
      <c r="E675" s="4" t="s">
        <v>740</v>
      </c>
      <c r="F675" s="4" t="s">
        <v>985</v>
      </c>
      <c r="G675" s="4" t="s">
        <v>804</v>
      </c>
      <c r="H675" s="4">
        <v>4</v>
      </c>
      <c r="I675" s="7">
        <v>0.02</v>
      </c>
      <c r="J675" s="6">
        <v>1598</v>
      </c>
      <c r="K675" s="4">
        <v>6</v>
      </c>
      <c r="L675" s="8">
        <f t="shared" si="10"/>
        <v>3.2</v>
      </c>
      <c r="M675" s="6" t="str">
        <f>_xlfn.XLOOKUP(FactSales[[#This Row],[Product_ID]],DimProduct[Product_ID],DimProduct[Product_Name])</f>
        <v>Soybean Oil 5L</v>
      </c>
      <c r="N675" s="6" t="str">
        <f>_xlfn.XLOOKUP(FactSales[[#This Row],[Product_ID]],DimProduct[Product_ID],DimProduct[Category])</f>
        <v>Grocery</v>
      </c>
      <c r="O675" s="6">
        <f>_xlfn.XLOOKUP(FactSales[[#This Row],[Product_ID]],DimProduct[Product_ID],DimProduct[Unit_Price])</f>
        <v>370</v>
      </c>
      <c r="P675" s="6">
        <f>_xlfn.XLOOKUP(FactSales[[#This Row],[Product_ID]],DimProduct[Product_ID],DimProduct[Unit_Cost])</f>
        <v>290</v>
      </c>
      <c r="Q675" s="6">
        <f>FactSales[[#This Row],[Unit_Price]]*FactSales[[#This Row],[Quantity_Sold]]</f>
        <v>1480</v>
      </c>
      <c r="R675" s="6">
        <f>FactSales[[#This Row],[Unit_Cost]]*FactSales[[#This Row],[Quantity_Sold]]</f>
        <v>1160</v>
      </c>
      <c r="S675" s="6">
        <f>FactSales[[#This Row],[Sales_Amount]]-FactSales[[#This Row],[Total_Cost]]</f>
        <v>320</v>
      </c>
      <c r="T675" s="6" t="str">
        <f>_xlfn.XLOOKUP(FactSales[[#This Row],[Customer_ID]],DimCustomer[Customer_ID],DimCustomer[Customer_Name])</f>
        <v>Rahim Khan</v>
      </c>
      <c r="U675" s="6" t="str">
        <f>_xlfn.XLOOKUP(FactSales[[#This Row],[Salesperson_ID]],DimSalesman[Salesperson_ID],DimSalesman[Salesperson_Name])</f>
        <v>Tamanna Sultana</v>
      </c>
      <c r="V675" s="6" t="str">
        <f>_xlfn.XLOOKUP(FactSales[[#This Row],[Region_ID]],DimRegion[Region_ID],DimRegion[Region_Name])</f>
        <v>Mymensingh</v>
      </c>
      <c r="W675" s="6" t="str">
        <f>_xlfn.XLOOKUP(FactSales[[#This Row],[Store_ID]],DimStore[Store_ID],DimStore[Store_Name])</f>
        <v>Mymensingh Maskanda Store</v>
      </c>
    </row>
    <row r="676" spans="1:23">
      <c r="A676" s="4" t="s">
        <v>1672</v>
      </c>
      <c r="B676" s="5">
        <v>46115</v>
      </c>
      <c r="C676" s="4" t="s">
        <v>162</v>
      </c>
      <c r="D676" s="4" t="s">
        <v>32</v>
      </c>
      <c r="E676" s="4" t="s">
        <v>650</v>
      </c>
      <c r="F676" s="4" t="s">
        <v>931</v>
      </c>
      <c r="G676" s="4" t="s">
        <v>762</v>
      </c>
      <c r="H676" s="4">
        <v>5</v>
      </c>
      <c r="I676" s="7">
        <v>0.08</v>
      </c>
      <c r="J676" s="6">
        <v>22059</v>
      </c>
      <c r="K676" s="4">
        <v>6</v>
      </c>
      <c r="L676" s="8">
        <f t="shared" si="10"/>
        <v>3.1</v>
      </c>
      <c r="M676" s="6" t="str">
        <f>_xlfn.XLOOKUP(FactSales[[#This Row],[Product_ID]],DimProduct[Product_ID],DimProduct[Product_Name])</f>
        <v>Smart Watch</v>
      </c>
      <c r="N676" s="6" t="str">
        <f>_xlfn.XLOOKUP(FactSales[[#This Row],[Product_ID]],DimProduct[Product_ID],DimProduct[Category])</f>
        <v>Electronics</v>
      </c>
      <c r="O676" s="6">
        <f>_xlfn.XLOOKUP(FactSales[[#This Row],[Product_ID]],DimProduct[Product_ID],DimProduct[Unit_Price])</f>
        <v>3870</v>
      </c>
      <c r="P676" s="6">
        <f>_xlfn.XLOOKUP(FactSales[[#This Row],[Product_ID]],DimProduct[Product_ID],DimProduct[Unit_Cost])</f>
        <v>2630</v>
      </c>
      <c r="Q676" s="6">
        <f>FactSales[[#This Row],[Unit_Price]]*FactSales[[#This Row],[Quantity_Sold]]</f>
        <v>19350</v>
      </c>
      <c r="R676" s="6">
        <f>FactSales[[#This Row],[Unit_Cost]]*FactSales[[#This Row],[Quantity_Sold]]</f>
        <v>13150</v>
      </c>
      <c r="S676" s="6">
        <f>FactSales[[#This Row],[Sales_Amount]]-FactSales[[#This Row],[Total_Cost]]</f>
        <v>6200</v>
      </c>
      <c r="T676" s="6" t="str">
        <f>_xlfn.XLOOKUP(FactSales[[#This Row],[Customer_ID]],DimCustomer[Customer_ID],DimCustomer[Customer_Name])</f>
        <v>Karim Rahman</v>
      </c>
      <c r="U676" s="6" t="str">
        <f>_xlfn.XLOOKUP(FactSales[[#This Row],[Salesperson_ID]],DimSalesman[Salesperson_ID],DimSalesman[Salesperson_Name])</f>
        <v>Sadia Islam</v>
      </c>
      <c r="V676" s="6" t="str">
        <f>_xlfn.XLOOKUP(FactSales[[#This Row],[Region_ID]],DimRegion[Region_ID],DimRegion[Region_Name])</f>
        <v>Chattogram</v>
      </c>
      <c r="W676" s="6" t="str">
        <f>_xlfn.XLOOKUP(FactSales[[#This Row],[Store_ID]],DimStore[Store_ID],DimStore[Store_Name])</f>
        <v>Chattogram Halishahar Store</v>
      </c>
    </row>
    <row r="677" spans="1:23">
      <c r="A677" s="4" t="s">
        <v>1673</v>
      </c>
      <c r="B677" s="5">
        <v>45693</v>
      </c>
      <c r="C677" s="4" t="s">
        <v>222</v>
      </c>
      <c r="D677" s="4" t="s">
        <v>37</v>
      </c>
      <c r="E677" s="4" t="s">
        <v>665</v>
      </c>
      <c r="F677" s="4" t="s">
        <v>936</v>
      </c>
      <c r="G677" s="4" t="s">
        <v>876</v>
      </c>
      <c r="H677" s="4">
        <v>1</v>
      </c>
      <c r="I677" s="7">
        <v>0</v>
      </c>
      <c r="J677" s="6">
        <v>813</v>
      </c>
      <c r="K677" s="4">
        <v>4</v>
      </c>
      <c r="L677" s="8">
        <f t="shared" si="10"/>
        <v>3.9</v>
      </c>
      <c r="M677" s="6" t="str">
        <f>_xlfn.XLOOKUP(FactSales[[#This Row],[Product_ID]],DimProduct[Product_ID],DimProduct[Product_Name])</f>
        <v>Sticky Notes</v>
      </c>
      <c r="N677" s="6" t="str">
        <f>_xlfn.XLOOKUP(FactSales[[#This Row],[Product_ID]],DimProduct[Product_ID],DimProduct[Category])</f>
        <v>Stationery</v>
      </c>
      <c r="O677" s="6">
        <f>_xlfn.XLOOKUP(FactSales[[#This Row],[Product_ID]],DimProduct[Product_ID],DimProduct[Unit_Price])</f>
        <v>760</v>
      </c>
      <c r="P677" s="6">
        <f>_xlfn.XLOOKUP(FactSales[[#This Row],[Product_ID]],DimProduct[Product_ID],DimProduct[Unit_Cost])</f>
        <v>380</v>
      </c>
      <c r="Q677" s="6">
        <f>FactSales[[#This Row],[Unit_Price]]*FactSales[[#This Row],[Quantity_Sold]]</f>
        <v>760</v>
      </c>
      <c r="R677" s="6">
        <f>FactSales[[#This Row],[Unit_Cost]]*FactSales[[#This Row],[Quantity_Sold]]</f>
        <v>380</v>
      </c>
      <c r="S677" s="6">
        <f>FactSales[[#This Row],[Sales_Amount]]-FactSales[[#This Row],[Total_Cost]]</f>
        <v>380</v>
      </c>
      <c r="T677" s="6" t="str">
        <f>_xlfn.XLOOKUP(FactSales[[#This Row],[Customer_ID]],DimCustomer[Customer_ID],DimCustomer[Customer_Name])</f>
        <v>Farhana Khan</v>
      </c>
      <c r="U677" s="6" t="str">
        <f>_xlfn.XLOOKUP(FactSales[[#This Row],[Salesperson_ID]],DimSalesman[Salesperson_ID],DimSalesman[Salesperson_Name])</f>
        <v>Mehedi Chowdhury</v>
      </c>
      <c r="V677" s="6" t="str">
        <f>_xlfn.XLOOKUP(FactSales[[#This Row],[Region_ID]],DimRegion[Region_ID],DimRegion[Region_Name])</f>
        <v>Sylhet</v>
      </c>
      <c r="W677" s="6" t="str">
        <f>_xlfn.XLOOKUP(FactSales[[#This Row],[Store_ID]],DimStore[Store_ID],DimStore[Store_Name])</f>
        <v>Sylhet Upashahar Store</v>
      </c>
    </row>
    <row r="678" spans="1:23">
      <c r="A678" s="4" t="s">
        <v>1674</v>
      </c>
      <c r="B678" s="5">
        <v>45658</v>
      </c>
      <c r="C678" s="4" t="s">
        <v>387</v>
      </c>
      <c r="D678" s="4" t="s">
        <v>47</v>
      </c>
      <c r="E678" s="4" t="s">
        <v>695</v>
      </c>
      <c r="F678" s="4" t="s">
        <v>953</v>
      </c>
      <c r="G678" s="4" t="s">
        <v>784</v>
      </c>
      <c r="H678" s="4">
        <v>1</v>
      </c>
      <c r="I678" s="7">
        <v>0.03</v>
      </c>
      <c r="J678" s="6">
        <v>2038</v>
      </c>
      <c r="K678" s="4">
        <v>5</v>
      </c>
      <c r="L678" s="8">
        <f t="shared" si="10"/>
        <v>3.5</v>
      </c>
      <c r="M678" s="6" t="str">
        <f>_xlfn.XLOOKUP(FactSales[[#This Row],[Product_ID]],DimProduct[Product_ID],DimProduct[Product_Name])</f>
        <v>Cotton T-Shirt</v>
      </c>
      <c r="N678" s="6" t="str">
        <f>_xlfn.XLOOKUP(FactSales[[#This Row],[Product_ID]],DimProduct[Product_ID],DimProduct[Category])</f>
        <v>Fashion</v>
      </c>
      <c r="O678" s="6">
        <f>_xlfn.XLOOKUP(FactSales[[#This Row],[Product_ID]],DimProduct[Product_ID],DimProduct[Unit_Price])</f>
        <v>1870</v>
      </c>
      <c r="P678" s="6">
        <f>_xlfn.XLOOKUP(FactSales[[#This Row],[Product_ID]],DimProduct[Product_ID],DimProduct[Unit_Cost])</f>
        <v>1030</v>
      </c>
      <c r="Q678" s="6">
        <f>FactSales[[#This Row],[Unit_Price]]*FactSales[[#This Row],[Quantity_Sold]]</f>
        <v>1870</v>
      </c>
      <c r="R678" s="6">
        <f>FactSales[[#This Row],[Unit_Cost]]*FactSales[[#This Row],[Quantity_Sold]]</f>
        <v>1030</v>
      </c>
      <c r="S678" s="6">
        <f>FactSales[[#This Row],[Sales_Amount]]-FactSales[[#This Row],[Total_Cost]]</f>
        <v>840</v>
      </c>
      <c r="T678" s="6" t="str">
        <f>_xlfn.XLOOKUP(FactSales[[#This Row],[Customer_ID]],DimCustomer[Customer_ID],DimCustomer[Customer_Name])</f>
        <v>Nayeem Chowdhury</v>
      </c>
      <c r="U678" s="6" t="str">
        <f>_xlfn.XLOOKUP(FactSales[[#This Row],[Salesperson_ID]],DimSalesman[Salesperson_ID],DimSalesman[Salesperson_Name])</f>
        <v>Nusrat Akter</v>
      </c>
      <c r="V678" s="6" t="str">
        <f>_xlfn.XLOOKUP(FactSales[[#This Row],[Region_ID]],DimRegion[Region_ID],DimRegion[Region_Name])</f>
        <v>Khulna</v>
      </c>
      <c r="W678" s="6" t="str">
        <f>_xlfn.XLOOKUP(FactSales[[#This Row],[Store_ID]],DimStore[Store_ID],DimStore[Store_Name])</f>
        <v>Khulna Shibbari Store</v>
      </c>
    </row>
    <row r="679" spans="1:23">
      <c r="A679" s="4" t="s">
        <v>1675</v>
      </c>
      <c r="B679" s="5">
        <v>46160</v>
      </c>
      <c r="C679" s="4" t="s">
        <v>413</v>
      </c>
      <c r="D679" s="4" t="s">
        <v>47</v>
      </c>
      <c r="E679" s="4" t="s">
        <v>695</v>
      </c>
      <c r="F679" s="4" t="s">
        <v>955</v>
      </c>
      <c r="G679" s="4" t="s">
        <v>758</v>
      </c>
      <c r="H679" s="4">
        <v>4</v>
      </c>
      <c r="I679" s="7">
        <v>0.18</v>
      </c>
      <c r="J679" s="6">
        <v>12382</v>
      </c>
      <c r="K679" s="4">
        <v>2</v>
      </c>
      <c r="L679" s="8">
        <f t="shared" si="10"/>
        <v>4.2</v>
      </c>
      <c r="M679" s="6" t="str">
        <f>_xlfn.XLOOKUP(FactSales[[#This Row],[Product_ID]],DimProduct[Product_ID],DimProduct[Product_Name])</f>
        <v>Power Bank</v>
      </c>
      <c r="N679" s="6" t="str">
        <f>_xlfn.XLOOKUP(FactSales[[#This Row],[Product_ID]],DimProduct[Product_ID],DimProduct[Category])</f>
        <v>Electronics</v>
      </c>
      <c r="O679" s="6">
        <f>_xlfn.XLOOKUP(FactSales[[#This Row],[Product_ID]],DimProduct[Product_ID],DimProduct[Unit_Price])</f>
        <v>2840</v>
      </c>
      <c r="P679" s="6">
        <f>_xlfn.XLOOKUP(FactSales[[#This Row],[Product_ID]],DimProduct[Product_ID],DimProduct[Unit_Cost])</f>
        <v>1930</v>
      </c>
      <c r="Q679" s="6">
        <f>FactSales[[#This Row],[Unit_Price]]*FactSales[[#This Row],[Quantity_Sold]]</f>
        <v>11360</v>
      </c>
      <c r="R679" s="6">
        <f>FactSales[[#This Row],[Unit_Cost]]*FactSales[[#This Row],[Quantity_Sold]]</f>
        <v>7720</v>
      </c>
      <c r="S679" s="6">
        <f>FactSales[[#This Row],[Sales_Amount]]-FactSales[[#This Row],[Total_Cost]]</f>
        <v>3640</v>
      </c>
      <c r="T679" s="6" t="str">
        <f>_xlfn.XLOOKUP(FactSales[[#This Row],[Customer_ID]],DimCustomer[Customer_ID],DimCustomer[Customer_Name])</f>
        <v>Samiha Sultana</v>
      </c>
      <c r="U679" s="6" t="str">
        <f>_xlfn.XLOOKUP(FactSales[[#This Row],[Salesperson_ID]],DimSalesman[Salesperson_ID],DimSalesman[Salesperson_Name])</f>
        <v>Tania Chowdhury</v>
      </c>
      <c r="V679" s="6" t="str">
        <f>_xlfn.XLOOKUP(FactSales[[#This Row],[Region_ID]],DimRegion[Region_ID],DimRegion[Region_Name])</f>
        <v>Khulna</v>
      </c>
      <c r="W679" s="6" t="str">
        <f>_xlfn.XLOOKUP(FactSales[[#This Row],[Store_ID]],DimStore[Store_ID],DimStore[Store_Name])</f>
        <v>Khulna Shibbari Store</v>
      </c>
    </row>
    <row r="680" spans="1:23">
      <c r="A680" s="4" t="s">
        <v>1676</v>
      </c>
      <c r="B680" s="5">
        <v>45759</v>
      </c>
      <c r="C680" s="4" t="s">
        <v>472</v>
      </c>
      <c r="D680" s="4" t="s">
        <v>52</v>
      </c>
      <c r="E680" s="4" t="s">
        <v>710</v>
      </c>
      <c r="F680" s="4" t="s">
        <v>965</v>
      </c>
      <c r="G680" s="4" t="s">
        <v>762</v>
      </c>
      <c r="H680" s="4">
        <v>3</v>
      </c>
      <c r="I680" s="7">
        <v>0.1</v>
      </c>
      <c r="J680" s="6">
        <v>13003</v>
      </c>
      <c r="K680" s="4">
        <v>6</v>
      </c>
      <c r="L680" s="8">
        <f t="shared" si="10"/>
        <v>3.1</v>
      </c>
      <c r="M680" s="6" t="str">
        <f>_xlfn.XLOOKUP(FactSales[[#This Row],[Product_ID]],DimProduct[Product_ID],DimProduct[Product_Name])</f>
        <v>Smart Watch</v>
      </c>
      <c r="N680" s="6" t="str">
        <f>_xlfn.XLOOKUP(FactSales[[#This Row],[Product_ID]],DimProduct[Product_ID],DimProduct[Category])</f>
        <v>Electronics</v>
      </c>
      <c r="O680" s="6">
        <f>_xlfn.XLOOKUP(FactSales[[#This Row],[Product_ID]],DimProduct[Product_ID],DimProduct[Unit_Price])</f>
        <v>3870</v>
      </c>
      <c r="P680" s="6">
        <f>_xlfn.XLOOKUP(FactSales[[#This Row],[Product_ID]],DimProduct[Product_ID],DimProduct[Unit_Cost])</f>
        <v>2630</v>
      </c>
      <c r="Q680" s="6">
        <f>FactSales[[#This Row],[Unit_Price]]*FactSales[[#This Row],[Quantity_Sold]]</f>
        <v>11610</v>
      </c>
      <c r="R680" s="6">
        <f>FactSales[[#This Row],[Unit_Cost]]*FactSales[[#This Row],[Quantity_Sold]]</f>
        <v>7890</v>
      </c>
      <c r="S680" s="6">
        <f>FactSales[[#This Row],[Sales_Amount]]-FactSales[[#This Row],[Total_Cost]]</f>
        <v>3720</v>
      </c>
      <c r="T680" s="6" t="str">
        <f>_xlfn.XLOOKUP(FactSales[[#This Row],[Customer_ID]],DimCustomer[Customer_ID],DimCustomer[Customer_Name])</f>
        <v>Rumana Akter</v>
      </c>
      <c r="U680" s="6" t="str">
        <f>_xlfn.XLOOKUP(FactSales[[#This Row],[Salesperson_ID]],DimSalesman[Salesperson_ID],DimSalesman[Salesperson_Name])</f>
        <v>Mehedi Khan</v>
      </c>
      <c r="V680" s="6" t="str">
        <f>_xlfn.XLOOKUP(FactSales[[#This Row],[Region_ID]],DimRegion[Region_ID],DimRegion[Region_Name])</f>
        <v>Barishal</v>
      </c>
      <c r="W680" s="6" t="str">
        <f>_xlfn.XLOOKUP(FactSales[[#This Row],[Store_ID]],DimStore[Store_ID],DimStore[Store_Name])</f>
        <v>Barishal Kawnia Store</v>
      </c>
    </row>
    <row r="681" spans="1:23">
      <c r="A681" s="4" t="s">
        <v>1677</v>
      </c>
      <c r="B681" s="5">
        <v>46025</v>
      </c>
      <c r="C681" s="4" t="s">
        <v>297</v>
      </c>
      <c r="D681" s="4" t="s">
        <v>42</v>
      </c>
      <c r="E681" s="4" t="s">
        <v>680</v>
      </c>
      <c r="F681" s="4" t="s">
        <v>949</v>
      </c>
      <c r="G681" s="4" t="s">
        <v>762</v>
      </c>
      <c r="H681" s="4">
        <v>2</v>
      </c>
      <c r="I681" s="7">
        <v>0.18</v>
      </c>
      <c r="J681" s="6">
        <v>8359</v>
      </c>
      <c r="K681" s="4">
        <v>4</v>
      </c>
      <c r="L681" s="8">
        <f t="shared" si="10"/>
        <v>3.5</v>
      </c>
      <c r="M681" s="6" t="str">
        <f>_xlfn.XLOOKUP(FactSales[[#This Row],[Product_ID]],DimProduct[Product_ID],DimProduct[Product_Name])</f>
        <v>Smart Watch</v>
      </c>
      <c r="N681" s="6" t="str">
        <f>_xlfn.XLOOKUP(FactSales[[#This Row],[Product_ID]],DimProduct[Product_ID],DimProduct[Category])</f>
        <v>Electronics</v>
      </c>
      <c r="O681" s="6">
        <f>_xlfn.XLOOKUP(FactSales[[#This Row],[Product_ID]],DimProduct[Product_ID],DimProduct[Unit_Price])</f>
        <v>3870</v>
      </c>
      <c r="P681" s="6">
        <f>_xlfn.XLOOKUP(FactSales[[#This Row],[Product_ID]],DimProduct[Product_ID],DimProduct[Unit_Cost])</f>
        <v>2630</v>
      </c>
      <c r="Q681" s="6">
        <f>FactSales[[#This Row],[Unit_Price]]*FactSales[[#This Row],[Quantity_Sold]]</f>
        <v>7740</v>
      </c>
      <c r="R681" s="6">
        <f>FactSales[[#This Row],[Unit_Cost]]*FactSales[[#This Row],[Quantity_Sold]]</f>
        <v>5260</v>
      </c>
      <c r="S681" s="6">
        <f>FactSales[[#This Row],[Sales_Amount]]-FactSales[[#This Row],[Total_Cost]]</f>
        <v>2480</v>
      </c>
      <c r="T681" s="6" t="str">
        <f>_xlfn.XLOOKUP(FactSales[[#This Row],[Customer_ID]],DimCustomer[Customer_ID],DimCustomer[Customer_Name])</f>
        <v>Tanjim Akter</v>
      </c>
      <c r="U681" s="6" t="str">
        <f>_xlfn.XLOOKUP(FactSales[[#This Row],[Salesperson_ID]],DimSalesman[Salesperson_ID],DimSalesman[Salesperson_Name])</f>
        <v>Mahmud Chowdhury</v>
      </c>
      <c r="V681" s="6" t="str">
        <f>_xlfn.XLOOKUP(FactSales[[#This Row],[Region_ID]],DimRegion[Region_ID],DimRegion[Region_Name])</f>
        <v>Rajshahi</v>
      </c>
      <c r="W681" s="6" t="str">
        <f>_xlfn.XLOOKUP(FactSales[[#This Row],[Store_ID]],DimStore[Store_ID],DimStore[Store_Name])</f>
        <v>Rajshahi Lakshmipur Store</v>
      </c>
    </row>
    <row r="682" spans="1:23">
      <c r="A682" s="4" t="s">
        <v>1678</v>
      </c>
      <c r="B682" s="5">
        <v>45825</v>
      </c>
      <c r="C682" s="4" t="s">
        <v>493</v>
      </c>
      <c r="D682" s="4" t="s">
        <v>57</v>
      </c>
      <c r="E682" s="4" t="s">
        <v>725</v>
      </c>
      <c r="F682" s="4" t="s">
        <v>972</v>
      </c>
      <c r="G682" s="4" t="s">
        <v>765</v>
      </c>
      <c r="H682" s="4">
        <v>2</v>
      </c>
      <c r="I682" s="7">
        <v>0.08</v>
      </c>
      <c r="J682" s="6">
        <v>11247</v>
      </c>
      <c r="K682" s="4">
        <v>9</v>
      </c>
      <c r="L682" s="8">
        <f t="shared" si="10"/>
        <v>2.1</v>
      </c>
      <c r="M682" s="6" t="str">
        <f>_xlfn.XLOOKUP(FactSales[[#This Row],[Product_ID]],DimProduct[Product_ID],DimProduct[Product_Name])</f>
        <v>USB-C Hub</v>
      </c>
      <c r="N682" s="6" t="str">
        <f>_xlfn.XLOOKUP(FactSales[[#This Row],[Product_ID]],DimProduct[Product_ID],DimProduct[Category])</f>
        <v>Electronics</v>
      </c>
      <c r="O682" s="6">
        <f>_xlfn.XLOOKUP(FactSales[[#This Row],[Product_ID]],DimProduct[Product_ID],DimProduct[Unit_Price])</f>
        <v>4890</v>
      </c>
      <c r="P682" s="6">
        <f>_xlfn.XLOOKUP(FactSales[[#This Row],[Product_ID]],DimProduct[Product_ID],DimProduct[Unit_Cost])</f>
        <v>3330</v>
      </c>
      <c r="Q682" s="6">
        <f>FactSales[[#This Row],[Unit_Price]]*FactSales[[#This Row],[Quantity_Sold]]</f>
        <v>9780</v>
      </c>
      <c r="R682" s="6">
        <f>FactSales[[#This Row],[Unit_Cost]]*FactSales[[#This Row],[Quantity_Sold]]</f>
        <v>6660</v>
      </c>
      <c r="S682" s="6">
        <f>FactSales[[#This Row],[Sales_Amount]]-FactSales[[#This Row],[Total_Cost]]</f>
        <v>3120</v>
      </c>
      <c r="T682" s="6" t="str">
        <f>_xlfn.XLOOKUP(FactSales[[#This Row],[Customer_ID]],DimCustomer[Customer_ID],DimCustomer[Customer_Name])</f>
        <v>Mim Sultana</v>
      </c>
      <c r="U682" s="6" t="str">
        <f>_xlfn.XLOOKUP(FactSales[[#This Row],[Salesperson_ID]],DimSalesman[Salesperson_ID],DimSalesman[Salesperson_Name])</f>
        <v>Samiha Hossain</v>
      </c>
      <c r="V682" s="6" t="str">
        <f>_xlfn.XLOOKUP(FactSales[[#This Row],[Region_ID]],DimRegion[Region_ID],DimRegion[Region_Name])</f>
        <v>Rangpur</v>
      </c>
      <c r="W682" s="6" t="str">
        <f>_xlfn.XLOOKUP(FactSales[[#This Row],[Store_ID]],DimStore[Store_ID],DimStore[Store_Name])</f>
        <v>Rangpur Central Road Store</v>
      </c>
    </row>
    <row r="683" spans="1:23">
      <c r="A683" s="4" t="s">
        <v>1679</v>
      </c>
      <c r="B683" s="5">
        <v>45933</v>
      </c>
      <c r="C683" s="4" t="s">
        <v>264</v>
      </c>
      <c r="D683" s="4" t="s">
        <v>37</v>
      </c>
      <c r="E683" s="4" t="s">
        <v>656</v>
      </c>
      <c r="F683" s="4" t="s">
        <v>932</v>
      </c>
      <c r="G683" s="4" t="s">
        <v>828</v>
      </c>
      <c r="H683" s="4">
        <v>10</v>
      </c>
      <c r="I683" s="7">
        <v>0.05</v>
      </c>
      <c r="J683" s="6">
        <v>15087</v>
      </c>
      <c r="K683" s="4">
        <v>2</v>
      </c>
      <c r="L683" s="8">
        <f t="shared" si="10"/>
        <v>4.5</v>
      </c>
      <c r="M683" s="6" t="str">
        <f>_xlfn.XLOOKUP(FactSales[[#This Row],[Product_ID]],DimProduct[Product_ID],DimProduct[Product_Name])</f>
        <v>Toothpaste Twin Pack</v>
      </c>
      <c r="N683" s="6" t="str">
        <f>_xlfn.XLOOKUP(FactSales[[#This Row],[Product_ID]],DimProduct[Product_ID],DimProduct[Category])</f>
        <v>Beauty &amp; Personal Care</v>
      </c>
      <c r="O683" s="6">
        <f>_xlfn.XLOOKUP(FactSales[[#This Row],[Product_ID]],DimProduct[Product_ID],DimProduct[Unit_Price])</f>
        <v>1410</v>
      </c>
      <c r="P683" s="6">
        <f>_xlfn.XLOOKUP(FactSales[[#This Row],[Product_ID]],DimProduct[Product_ID],DimProduct[Unit_Cost])</f>
        <v>820</v>
      </c>
      <c r="Q683" s="6">
        <f>FactSales[[#This Row],[Unit_Price]]*FactSales[[#This Row],[Quantity_Sold]]</f>
        <v>14100</v>
      </c>
      <c r="R683" s="6">
        <f>FactSales[[#This Row],[Unit_Cost]]*FactSales[[#This Row],[Quantity_Sold]]</f>
        <v>8200</v>
      </c>
      <c r="S683" s="6">
        <f>FactSales[[#This Row],[Sales_Amount]]-FactSales[[#This Row],[Total_Cost]]</f>
        <v>5900</v>
      </c>
      <c r="T683" s="6" t="str">
        <f>_xlfn.XLOOKUP(FactSales[[#This Row],[Customer_ID]],DimCustomer[Customer_ID],DimCustomer[Customer_Name])</f>
        <v>Rafi Chowdhury</v>
      </c>
      <c r="U683" s="6" t="str">
        <f>_xlfn.XLOOKUP(FactSales[[#This Row],[Salesperson_ID]],DimSalesman[Salesperson_ID],DimSalesman[Salesperson_Name])</f>
        <v>Morshed Chowdhury</v>
      </c>
      <c r="V683" s="6" t="str">
        <f>_xlfn.XLOOKUP(FactSales[[#This Row],[Region_ID]],DimRegion[Region_ID],DimRegion[Region_Name])</f>
        <v>Sylhet</v>
      </c>
      <c r="W683" s="6" t="str">
        <f>_xlfn.XLOOKUP(FactSales[[#This Row],[Store_ID]],DimStore[Store_ID],DimStore[Store_Name])</f>
        <v>Sylhet Ambarkhana Store</v>
      </c>
    </row>
    <row r="684" spans="1:23">
      <c r="A684" s="4" t="s">
        <v>1680</v>
      </c>
      <c r="B684" s="5">
        <v>45815</v>
      </c>
      <c r="C684" s="4" t="s">
        <v>470</v>
      </c>
      <c r="D684" s="4" t="s">
        <v>52</v>
      </c>
      <c r="E684" s="4" t="s">
        <v>710</v>
      </c>
      <c r="F684" s="4" t="s">
        <v>965</v>
      </c>
      <c r="G684" s="4" t="s">
        <v>758</v>
      </c>
      <c r="H684" s="4">
        <v>2</v>
      </c>
      <c r="I684" s="7">
        <v>0.15</v>
      </c>
      <c r="J684" s="6">
        <v>6362</v>
      </c>
      <c r="K684" s="4">
        <v>2</v>
      </c>
      <c r="L684" s="8">
        <f t="shared" si="10"/>
        <v>4.2</v>
      </c>
      <c r="M684" s="6" t="str">
        <f>_xlfn.XLOOKUP(FactSales[[#This Row],[Product_ID]],DimProduct[Product_ID],DimProduct[Product_Name])</f>
        <v>Power Bank</v>
      </c>
      <c r="N684" s="6" t="str">
        <f>_xlfn.XLOOKUP(FactSales[[#This Row],[Product_ID]],DimProduct[Product_ID],DimProduct[Category])</f>
        <v>Electronics</v>
      </c>
      <c r="O684" s="6">
        <f>_xlfn.XLOOKUP(FactSales[[#This Row],[Product_ID]],DimProduct[Product_ID],DimProduct[Unit_Price])</f>
        <v>2840</v>
      </c>
      <c r="P684" s="6">
        <f>_xlfn.XLOOKUP(FactSales[[#This Row],[Product_ID]],DimProduct[Product_ID],DimProduct[Unit_Cost])</f>
        <v>1930</v>
      </c>
      <c r="Q684" s="6">
        <f>FactSales[[#This Row],[Unit_Price]]*FactSales[[#This Row],[Quantity_Sold]]</f>
        <v>5680</v>
      </c>
      <c r="R684" s="6">
        <f>FactSales[[#This Row],[Unit_Cost]]*FactSales[[#This Row],[Quantity_Sold]]</f>
        <v>3860</v>
      </c>
      <c r="S684" s="6">
        <f>FactSales[[#This Row],[Sales_Amount]]-FactSales[[#This Row],[Total_Cost]]</f>
        <v>1820</v>
      </c>
      <c r="T684" s="6" t="str">
        <f>_xlfn.XLOOKUP(FactSales[[#This Row],[Customer_ID]],DimCustomer[Customer_ID],DimCustomer[Customer_Name])</f>
        <v>Imran Chowdhury</v>
      </c>
      <c r="U684" s="6" t="str">
        <f>_xlfn.XLOOKUP(FactSales[[#This Row],[Salesperson_ID]],DimSalesman[Salesperson_ID],DimSalesman[Salesperson_Name])</f>
        <v>Mehedi Khan</v>
      </c>
      <c r="V684" s="6" t="str">
        <f>_xlfn.XLOOKUP(FactSales[[#This Row],[Region_ID]],DimRegion[Region_ID],DimRegion[Region_Name])</f>
        <v>Barishal</v>
      </c>
      <c r="W684" s="6" t="str">
        <f>_xlfn.XLOOKUP(FactSales[[#This Row],[Store_ID]],DimStore[Store_ID],DimStore[Store_Name])</f>
        <v>Barishal Kawnia Store</v>
      </c>
    </row>
    <row r="685" spans="1:23">
      <c r="A685" s="4" t="s">
        <v>1681</v>
      </c>
      <c r="B685" s="5">
        <v>46074</v>
      </c>
      <c r="C685" s="4" t="s">
        <v>292</v>
      </c>
      <c r="D685" s="4" t="s">
        <v>42</v>
      </c>
      <c r="E685" s="4" t="s">
        <v>674</v>
      </c>
      <c r="F685" s="4" t="s">
        <v>943</v>
      </c>
      <c r="G685" s="4" t="s">
        <v>804</v>
      </c>
      <c r="H685" s="4">
        <v>1</v>
      </c>
      <c r="I685" s="7">
        <v>0</v>
      </c>
      <c r="J685" s="6">
        <v>400</v>
      </c>
      <c r="K685" s="4">
        <v>7</v>
      </c>
      <c r="L685" s="8">
        <f t="shared" si="10"/>
        <v>3</v>
      </c>
      <c r="M685" s="6" t="str">
        <f>_xlfn.XLOOKUP(FactSales[[#This Row],[Product_ID]],DimProduct[Product_ID],DimProduct[Product_Name])</f>
        <v>Soybean Oil 5L</v>
      </c>
      <c r="N685" s="6" t="str">
        <f>_xlfn.XLOOKUP(FactSales[[#This Row],[Product_ID]],DimProduct[Product_ID],DimProduct[Category])</f>
        <v>Grocery</v>
      </c>
      <c r="O685" s="6">
        <f>_xlfn.XLOOKUP(FactSales[[#This Row],[Product_ID]],DimProduct[Product_ID],DimProduct[Unit_Price])</f>
        <v>370</v>
      </c>
      <c r="P685" s="6">
        <f>_xlfn.XLOOKUP(FactSales[[#This Row],[Product_ID]],DimProduct[Product_ID],DimProduct[Unit_Cost])</f>
        <v>290</v>
      </c>
      <c r="Q685" s="6">
        <f>FactSales[[#This Row],[Unit_Price]]*FactSales[[#This Row],[Quantity_Sold]]</f>
        <v>370</v>
      </c>
      <c r="R685" s="6">
        <f>FactSales[[#This Row],[Unit_Cost]]*FactSales[[#This Row],[Quantity_Sold]]</f>
        <v>290</v>
      </c>
      <c r="S685" s="6">
        <f>FactSales[[#This Row],[Sales_Amount]]-FactSales[[#This Row],[Total_Cost]]</f>
        <v>80</v>
      </c>
      <c r="T685" s="6" t="str">
        <f>_xlfn.XLOOKUP(FactSales[[#This Row],[Customer_ID]],DimCustomer[Customer_ID],DimCustomer[Customer_Name])</f>
        <v>Morshed Rahman</v>
      </c>
      <c r="U685" s="6" t="str">
        <f>_xlfn.XLOOKUP(FactSales[[#This Row],[Salesperson_ID]],DimSalesman[Salesperson_ID],DimSalesman[Salesperson_Name])</f>
        <v>Imran Khan</v>
      </c>
      <c r="V685" s="6" t="str">
        <f>_xlfn.XLOOKUP(FactSales[[#This Row],[Region_ID]],DimRegion[Region_ID],DimRegion[Region_Name])</f>
        <v>Rajshahi</v>
      </c>
      <c r="W685" s="6" t="str">
        <f>_xlfn.XLOOKUP(FactSales[[#This Row],[Store_ID]],DimStore[Store_ID],DimStore[Store_Name])</f>
        <v>Rajshahi Uposhohor Store</v>
      </c>
    </row>
    <row r="686" spans="1:23">
      <c r="A686" s="4" t="s">
        <v>1682</v>
      </c>
      <c r="B686" s="5">
        <v>45889</v>
      </c>
      <c r="C686" s="4" t="s">
        <v>449</v>
      </c>
      <c r="D686" s="4" t="s">
        <v>52</v>
      </c>
      <c r="E686" s="4" t="s">
        <v>704</v>
      </c>
      <c r="F686" s="4" t="s">
        <v>961</v>
      </c>
      <c r="G686" s="4" t="s">
        <v>878</v>
      </c>
      <c r="H686" s="4">
        <v>2</v>
      </c>
      <c r="I686" s="7">
        <v>0.03</v>
      </c>
      <c r="J686" s="6">
        <v>1882</v>
      </c>
      <c r="K686" s="4">
        <v>2</v>
      </c>
      <c r="L686" s="8">
        <f t="shared" si="10"/>
        <v>4.5</v>
      </c>
      <c r="M686" s="6" t="str">
        <f>_xlfn.XLOOKUP(FactSales[[#This Row],[Product_ID]],DimProduct[Product_ID],DimProduct[Product_Name])</f>
        <v>Building Blocks</v>
      </c>
      <c r="N686" s="6" t="str">
        <f>_xlfn.XLOOKUP(FactSales[[#This Row],[Product_ID]],DimProduct[Product_ID],DimProduct[Category])</f>
        <v>Kids &amp; Toys</v>
      </c>
      <c r="O686" s="6">
        <f>_xlfn.XLOOKUP(FactSales[[#This Row],[Product_ID]],DimProduct[Product_ID],DimProduct[Unit_Price])</f>
        <v>840</v>
      </c>
      <c r="P686" s="6">
        <f>_xlfn.XLOOKUP(FactSales[[#This Row],[Product_ID]],DimProduct[Product_ID],DimProduct[Unit_Cost])</f>
        <v>460</v>
      </c>
      <c r="Q686" s="6">
        <f>FactSales[[#This Row],[Unit_Price]]*FactSales[[#This Row],[Quantity_Sold]]</f>
        <v>1680</v>
      </c>
      <c r="R686" s="6">
        <f>FactSales[[#This Row],[Unit_Cost]]*FactSales[[#This Row],[Quantity_Sold]]</f>
        <v>920</v>
      </c>
      <c r="S686" s="6">
        <f>FactSales[[#This Row],[Sales_Amount]]-FactSales[[#This Row],[Total_Cost]]</f>
        <v>760</v>
      </c>
      <c r="T686" s="6" t="str">
        <f>_xlfn.XLOOKUP(FactSales[[#This Row],[Customer_ID]],DimCustomer[Customer_ID],DimCustomer[Customer_Name])</f>
        <v>Ayesha Islam</v>
      </c>
      <c r="U686" s="6" t="str">
        <f>_xlfn.XLOOKUP(FactSales[[#This Row],[Salesperson_ID]],DimSalesman[Salesperson_ID],DimSalesman[Salesperson_Name])</f>
        <v>Shaila Akter</v>
      </c>
      <c r="V686" s="6" t="str">
        <f>_xlfn.XLOOKUP(FactSales[[#This Row],[Region_ID]],DimRegion[Region_ID],DimRegion[Region_Name])</f>
        <v>Barishal</v>
      </c>
      <c r="W686" s="6" t="str">
        <f>_xlfn.XLOOKUP(FactSales[[#This Row],[Store_ID]],DimStore[Store_ID],DimStore[Store_Name])</f>
        <v>Barishal Rupatali Store</v>
      </c>
    </row>
    <row r="687" spans="1:23">
      <c r="A687" s="4" t="s">
        <v>1683</v>
      </c>
      <c r="B687" s="5">
        <v>45971</v>
      </c>
      <c r="C687" s="4" t="s">
        <v>496</v>
      </c>
      <c r="D687" s="4" t="s">
        <v>57</v>
      </c>
      <c r="E687" s="4" t="s">
        <v>713</v>
      </c>
      <c r="F687" s="4" t="s">
        <v>970</v>
      </c>
      <c r="G687" s="4" t="s">
        <v>800</v>
      </c>
      <c r="H687" s="4">
        <v>3</v>
      </c>
      <c r="I687" s="7">
        <v>0.05</v>
      </c>
      <c r="J687" s="6">
        <v>3829</v>
      </c>
      <c r="K687" s="4">
        <v>9</v>
      </c>
      <c r="L687" s="8">
        <f t="shared" si="10"/>
        <v>2.2000000000000002</v>
      </c>
      <c r="M687" s="6" t="str">
        <f>_xlfn.XLOOKUP(FactSales[[#This Row],[Product_ID]],DimProduct[Product_ID],DimProduct[Product_Name])</f>
        <v>Premium Rice 5kg</v>
      </c>
      <c r="N687" s="6" t="str">
        <f>_xlfn.XLOOKUP(FactSales[[#This Row],[Product_ID]],DimProduct[Product_ID],DimProduct[Category])</f>
        <v>Grocery</v>
      </c>
      <c r="O687" s="6">
        <f>_xlfn.XLOOKUP(FactSales[[#This Row],[Product_ID]],DimProduct[Product_ID],DimProduct[Unit_Price])</f>
        <v>1110</v>
      </c>
      <c r="P687" s="6">
        <f>_xlfn.XLOOKUP(FactSales[[#This Row],[Product_ID]],DimProduct[Product_ID],DimProduct[Unit_Cost])</f>
        <v>870</v>
      </c>
      <c r="Q687" s="6">
        <f>FactSales[[#This Row],[Unit_Price]]*FactSales[[#This Row],[Quantity_Sold]]</f>
        <v>3330</v>
      </c>
      <c r="R687" s="6">
        <f>FactSales[[#This Row],[Unit_Cost]]*FactSales[[#This Row],[Quantity_Sold]]</f>
        <v>2610</v>
      </c>
      <c r="S687" s="6">
        <f>FactSales[[#This Row],[Sales_Amount]]-FactSales[[#This Row],[Total_Cost]]</f>
        <v>720</v>
      </c>
      <c r="T687" s="6" t="str">
        <f>_xlfn.XLOOKUP(FactSales[[#This Row],[Customer_ID]],DimCustomer[Customer_ID],DimCustomer[Customer_Name])</f>
        <v>Sadia Sultana</v>
      </c>
      <c r="U687" s="6" t="str">
        <f>_xlfn.XLOOKUP(FactSales[[#This Row],[Salesperson_ID]],DimSalesman[Salesperson_ID],DimSalesman[Salesperson_Name])</f>
        <v>Tanvir Islam</v>
      </c>
      <c r="V687" s="6" t="str">
        <f>_xlfn.XLOOKUP(FactSales[[#This Row],[Region_ID]],DimRegion[Region_ID],DimRegion[Region_Name])</f>
        <v>Rangpur</v>
      </c>
      <c r="W687" s="6" t="str">
        <f>_xlfn.XLOOKUP(FactSales[[#This Row],[Store_ID]],DimStore[Store_ID],DimStore[Store_Name])</f>
        <v>Rangpur Jahaj Company Store</v>
      </c>
    </row>
    <row r="688" spans="1:23">
      <c r="A688" s="4" t="s">
        <v>1684</v>
      </c>
      <c r="B688" s="5">
        <v>45946</v>
      </c>
      <c r="C688" s="4" t="s">
        <v>195</v>
      </c>
      <c r="D688" s="4" t="s">
        <v>32</v>
      </c>
      <c r="E688" s="4" t="s">
        <v>644</v>
      </c>
      <c r="F688" s="4" t="s">
        <v>931</v>
      </c>
      <c r="G688" s="4" t="s">
        <v>813</v>
      </c>
      <c r="H688" s="4">
        <v>3</v>
      </c>
      <c r="I688" s="7">
        <v>0</v>
      </c>
      <c r="J688" s="6">
        <v>7319</v>
      </c>
      <c r="K688" s="4">
        <v>6</v>
      </c>
      <c r="L688" s="8">
        <f t="shared" si="10"/>
        <v>3.3</v>
      </c>
      <c r="M688" s="6" t="str">
        <f>_xlfn.XLOOKUP(FactSales[[#This Row],[Product_ID]],DimProduct[Product_ID],DimProduct[Product_Name])</f>
        <v>Tea Pack 500g</v>
      </c>
      <c r="N688" s="6" t="str">
        <f>_xlfn.XLOOKUP(FactSales[[#This Row],[Product_ID]],DimProduct[Product_ID],DimProduct[Category])</f>
        <v>Grocery</v>
      </c>
      <c r="O688" s="6">
        <f>_xlfn.XLOOKUP(FactSales[[#This Row],[Product_ID]],DimProduct[Product_ID],DimProduct[Unit_Price])</f>
        <v>2140</v>
      </c>
      <c r="P688" s="6">
        <f>_xlfn.XLOOKUP(FactSales[[#This Row],[Product_ID]],DimProduct[Product_ID],DimProduct[Unit_Cost])</f>
        <v>1670</v>
      </c>
      <c r="Q688" s="6">
        <f>FactSales[[#This Row],[Unit_Price]]*FactSales[[#This Row],[Quantity_Sold]]</f>
        <v>6420</v>
      </c>
      <c r="R688" s="6">
        <f>FactSales[[#This Row],[Unit_Cost]]*FactSales[[#This Row],[Quantity_Sold]]</f>
        <v>5010</v>
      </c>
      <c r="S688" s="6">
        <f>FactSales[[#This Row],[Sales_Amount]]-FactSales[[#This Row],[Total_Cost]]</f>
        <v>1410</v>
      </c>
      <c r="T688" s="6" t="str">
        <f>_xlfn.XLOOKUP(FactSales[[#This Row],[Customer_ID]],DimCustomer[Customer_ID],DimCustomer[Customer_Name])</f>
        <v>Jannat Islam</v>
      </c>
      <c r="U688" s="6" t="str">
        <f>_xlfn.XLOOKUP(FactSales[[#This Row],[Salesperson_ID]],DimSalesman[Salesperson_ID],DimSalesman[Salesperson_Name])</f>
        <v>Sadia Islam</v>
      </c>
      <c r="V688" s="6" t="str">
        <f>_xlfn.XLOOKUP(FactSales[[#This Row],[Region_ID]],DimRegion[Region_ID],DimRegion[Region_Name])</f>
        <v>Chattogram</v>
      </c>
      <c r="W688" s="6" t="str">
        <f>_xlfn.XLOOKUP(FactSales[[#This Row],[Store_ID]],DimStore[Store_ID],DimStore[Store_Name])</f>
        <v>Chattogram Panchlaish Store</v>
      </c>
    </row>
    <row r="689" spans="1:23">
      <c r="A689" s="4" t="s">
        <v>1685</v>
      </c>
      <c r="B689" s="5">
        <v>46070</v>
      </c>
      <c r="C689" s="4" t="s">
        <v>500</v>
      </c>
      <c r="D689" s="4" t="s">
        <v>57</v>
      </c>
      <c r="E689" s="4" t="s">
        <v>719</v>
      </c>
      <c r="F689" s="4" t="s">
        <v>977</v>
      </c>
      <c r="G689" s="4" t="s">
        <v>838</v>
      </c>
      <c r="H689" s="4">
        <v>2</v>
      </c>
      <c r="I689" s="7">
        <v>0.05</v>
      </c>
      <c r="J689" s="6">
        <v>2783</v>
      </c>
      <c r="K689" s="4">
        <v>5</v>
      </c>
      <c r="L689" s="8">
        <f t="shared" si="10"/>
        <v>3.5</v>
      </c>
      <c r="M689" s="6" t="str">
        <f>_xlfn.XLOOKUP(FactSales[[#This Row],[Product_ID]],DimProduct[Product_ID],DimProduct[Product_Name])</f>
        <v>Formal Shoe</v>
      </c>
      <c r="N689" s="6" t="str">
        <f>_xlfn.XLOOKUP(FactSales[[#This Row],[Product_ID]],DimProduct[Product_ID],DimProduct[Category])</f>
        <v>Footwear</v>
      </c>
      <c r="O689" s="6">
        <f>_xlfn.XLOOKUP(FactSales[[#This Row],[Product_ID]],DimProduct[Product_ID],DimProduct[Unit_Price])</f>
        <v>1210</v>
      </c>
      <c r="P689" s="6">
        <f>_xlfn.XLOOKUP(FactSales[[#This Row],[Product_ID]],DimProduct[Product_ID],DimProduct[Unit_Cost])</f>
        <v>730</v>
      </c>
      <c r="Q689" s="6">
        <f>FactSales[[#This Row],[Unit_Price]]*FactSales[[#This Row],[Quantity_Sold]]</f>
        <v>2420</v>
      </c>
      <c r="R689" s="6">
        <f>FactSales[[#This Row],[Unit_Cost]]*FactSales[[#This Row],[Quantity_Sold]]</f>
        <v>1460</v>
      </c>
      <c r="S689" s="6">
        <f>FactSales[[#This Row],[Sales_Amount]]-FactSales[[#This Row],[Total_Cost]]</f>
        <v>960</v>
      </c>
      <c r="T689" s="6" t="str">
        <f>_xlfn.XLOOKUP(FactSales[[#This Row],[Customer_ID]],DimCustomer[Customer_ID],DimCustomer[Customer_Name])</f>
        <v>Karim Ahmed</v>
      </c>
      <c r="U689" s="6" t="str">
        <f>_xlfn.XLOOKUP(FactSales[[#This Row],[Salesperson_ID]],DimSalesman[Salesperson_ID],DimSalesman[Salesperson_Name])</f>
        <v>Tania Hossain</v>
      </c>
      <c r="V689" s="6" t="str">
        <f>_xlfn.XLOOKUP(FactSales[[#This Row],[Region_ID]],DimRegion[Region_ID],DimRegion[Region_Name])</f>
        <v>Rangpur</v>
      </c>
      <c r="W689" s="6" t="str">
        <f>_xlfn.XLOOKUP(FactSales[[#This Row],[Store_ID]],DimStore[Store_ID],DimStore[Store_Name])</f>
        <v>Rangpur Modern More Store</v>
      </c>
    </row>
    <row r="690" spans="1:23">
      <c r="A690" s="4" t="s">
        <v>1686</v>
      </c>
      <c r="B690" s="5">
        <v>45787</v>
      </c>
      <c r="C690" s="4" t="s">
        <v>354</v>
      </c>
      <c r="D690" s="4" t="s">
        <v>47</v>
      </c>
      <c r="E690" s="4" t="s">
        <v>695</v>
      </c>
      <c r="F690" s="4" t="s">
        <v>958</v>
      </c>
      <c r="G690" s="4" t="s">
        <v>758</v>
      </c>
      <c r="H690" s="4">
        <v>1</v>
      </c>
      <c r="I690" s="7">
        <v>0.18</v>
      </c>
      <c r="J690" s="6">
        <v>3096</v>
      </c>
      <c r="K690" s="4">
        <v>3</v>
      </c>
      <c r="L690" s="8">
        <f t="shared" si="10"/>
        <v>3.8</v>
      </c>
      <c r="M690" s="6" t="str">
        <f>_xlfn.XLOOKUP(FactSales[[#This Row],[Product_ID]],DimProduct[Product_ID],DimProduct[Product_Name])</f>
        <v>Power Bank</v>
      </c>
      <c r="N690" s="6" t="str">
        <f>_xlfn.XLOOKUP(FactSales[[#This Row],[Product_ID]],DimProduct[Product_ID],DimProduct[Category])</f>
        <v>Electronics</v>
      </c>
      <c r="O690" s="6">
        <f>_xlfn.XLOOKUP(FactSales[[#This Row],[Product_ID]],DimProduct[Product_ID],DimProduct[Unit_Price])</f>
        <v>2840</v>
      </c>
      <c r="P690" s="6">
        <f>_xlfn.XLOOKUP(FactSales[[#This Row],[Product_ID]],DimProduct[Product_ID],DimProduct[Unit_Cost])</f>
        <v>1930</v>
      </c>
      <c r="Q690" s="6">
        <f>FactSales[[#This Row],[Unit_Price]]*FactSales[[#This Row],[Quantity_Sold]]</f>
        <v>2840</v>
      </c>
      <c r="R690" s="6">
        <f>FactSales[[#This Row],[Unit_Cost]]*FactSales[[#This Row],[Quantity_Sold]]</f>
        <v>1930</v>
      </c>
      <c r="S690" s="6">
        <f>FactSales[[#This Row],[Sales_Amount]]-FactSales[[#This Row],[Total_Cost]]</f>
        <v>910</v>
      </c>
      <c r="T690" s="6" t="str">
        <f>_xlfn.XLOOKUP(FactSales[[#This Row],[Customer_ID]],DimCustomer[Customer_ID],DimCustomer[Customer_Name])</f>
        <v>Karim Mia</v>
      </c>
      <c r="U690" s="6" t="str">
        <f>_xlfn.XLOOKUP(FactSales[[#This Row],[Salesperson_ID]],DimSalesman[Salesperson_ID],DimSalesman[Salesperson_Name])</f>
        <v>Fahim Uddin</v>
      </c>
      <c r="V690" s="6" t="str">
        <f>_xlfn.XLOOKUP(FactSales[[#This Row],[Region_ID]],DimRegion[Region_ID],DimRegion[Region_Name])</f>
        <v>Khulna</v>
      </c>
      <c r="W690" s="6" t="str">
        <f>_xlfn.XLOOKUP(FactSales[[#This Row],[Store_ID]],DimStore[Store_ID],DimStore[Store_Name])</f>
        <v>Khulna Shibbari Store</v>
      </c>
    </row>
    <row r="691" spans="1:23">
      <c r="A691" s="4" t="s">
        <v>1687</v>
      </c>
      <c r="B691" s="5">
        <v>46126</v>
      </c>
      <c r="C691" s="4" t="s">
        <v>480</v>
      </c>
      <c r="D691" s="4" t="s">
        <v>52</v>
      </c>
      <c r="E691" s="4" t="s">
        <v>701</v>
      </c>
      <c r="F691" s="4" t="s">
        <v>966</v>
      </c>
      <c r="G691" s="4" t="s">
        <v>821</v>
      </c>
      <c r="H691" s="4">
        <v>2</v>
      </c>
      <c r="I691" s="7">
        <v>0.1</v>
      </c>
      <c r="J691" s="6">
        <v>3718</v>
      </c>
      <c r="K691" s="4">
        <v>4</v>
      </c>
      <c r="L691" s="8">
        <f t="shared" si="10"/>
        <v>3.7</v>
      </c>
      <c r="M691" s="6" t="str">
        <f>_xlfn.XLOOKUP(FactSales[[#This Row],[Product_ID]],DimProduct[Product_ID],DimProduct[Product_Name])</f>
        <v>Shampoo 375ml</v>
      </c>
      <c r="N691" s="6" t="str">
        <f>_xlfn.XLOOKUP(FactSales[[#This Row],[Product_ID]],DimProduct[Product_ID],DimProduct[Category])</f>
        <v>Beauty &amp; Personal Care</v>
      </c>
      <c r="O691" s="6">
        <f>_xlfn.XLOOKUP(FactSales[[#This Row],[Product_ID]],DimProduct[Product_ID],DimProduct[Unit_Price])</f>
        <v>1660</v>
      </c>
      <c r="P691" s="6">
        <f>_xlfn.XLOOKUP(FactSales[[#This Row],[Product_ID]],DimProduct[Product_ID],DimProduct[Unit_Cost])</f>
        <v>960</v>
      </c>
      <c r="Q691" s="6">
        <f>FactSales[[#This Row],[Unit_Price]]*FactSales[[#This Row],[Quantity_Sold]]</f>
        <v>3320</v>
      </c>
      <c r="R691" s="6">
        <f>FactSales[[#This Row],[Unit_Cost]]*FactSales[[#This Row],[Quantity_Sold]]</f>
        <v>1920</v>
      </c>
      <c r="S691" s="6">
        <f>FactSales[[#This Row],[Sales_Amount]]-FactSales[[#This Row],[Total_Cost]]</f>
        <v>1400</v>
      </c>
      <c r="T691" s="6" t="str">
        <f>_xlfn.XLOOKUP(FactSales[[#This Row],[Customer_ID]],DimCustomer[Customer_ID],DimCustomer[Customer_Name])</f>
        <v>Rasel Sultana</v>
      </c>
      <c r="U691" s="6" t="str">
        <f>_xlfn.XLOOKUP(FactSales[[#This Row],[Salesperson_ID]],DimSalesman[Salesperson_ID],DimSalesman[Salesperson_Name])</f>
        <v>Nayeem Akter</v>
      </c>
      <c r="V691" s="6" t="str">
        <f>_xlfn.XLOOKUP(FactSales[[#This Row],[Region_ID]],DimRegion[Region_ID],DimRegion[Region_Name])</f>
        <v>Barishal</v>
      </c>
      <c r="W691" s="6" t="str">
        <f>_xlfn.XLOOKUP(FactSales[[#This Row],[Store_ID]],DimStore[Store_ID],DimStore[Store_Name])</f>
        <v>Barishal Sadar Road Store</v>
      </c>
    </row>
    <row r="692" spans="1:23">
      <c r="A692" s="4" t="s">
        <v>1688</v>
      </c>
      <c r="B692" s="5">
        <v>45892</v>
      </c>
      <c r="C692" s="4" t="s">
        <v>378</v>
      </c>
      <c r="D692" s="4" t="s">
        <v>47</v>
      </c>
      <c r="E692" s="4" t="s">
        <v>692</v>
      </c>
      <c r="F692" s="4" t="s">
        <v>956</v>
      </c>
      <c r="G692" s="4" t="s">
        <v>893</v>
      </c>
      <c r="H692" s="4">
        <v>2</v>
      </c>
      <c r="I692" s="7">
        <v>0.03</v>
      </c>
      <c r="J692" s="6">
        <v>9548</v>
      </c>
      <c r="K692" s="4">
        <v>7</v>
      </c>
      <c r="L692" s="8">
        <f t="shared" si="10"/>
        <v>2.9</v>
      </c>
      <c r="M692" s="6" t="str">
        <f>_xlfn.XLOOKUP(FactSales[[#This Row],[Product_ID]],DimProduct[Product_ID],DimProduct[Product_Name])</f>
        <v>Office Chair</v>
      </c>
      <c r="N692" s="6" t="str">
        <f>_xlfn.XLOOKUP(FactSales[[#This Row],[Product_ID]],DimProduct[Product_ID],DimProduct[Category])</f>
        <v>Furniture</v>
      </c>
      <c r="O692" s="6">
        <f>_xlfn.XLOOKUP(FactSales[[#This Row],[Product_ID]],DimProduct[Product_ID],DimProduct[Unit_Price])</f>
        <v>4380</v>
      </c>
      <c r="P692" s="6">
        <f>_xlfn.XLOOKUP(FactSales[[#This Row],[Product_ID]],DimProduct[Product_ID],DimProduct[Unit_Cost])</f>
        <v>3150</v>
      </c>
      <c r="Q692" s="6">
        <f>FactSales[[#This Row],[Unit_Price]]*FactSales[[#This Row],[Quantity_Sold]]</f>
        <v>8760</v>
      </c>
      <c r="R692" s="6">
        <f>FactSales[[#This Row],[Unit_Cost]]*FactSales[[#This Row],[Quantity_Sold]]</f>
        <v>6300</v>
      </c>
      <c r="S692" s="6">
        <f>FactSales[[#This Row],[Sales_Amount]]-FactSales[[#This Row],[Total_Cost]]</f>
        <v>2460</v>
      </c>
      <c r="T692" s="6" t="str">
        <f>_xlfn.XLOOKUP(FactSales[[#This Row],[Customer_ID]],DimCustomer[Customer_ID],DimCustomer[Customer_Name])</f>
        <v>Arif Akter</v>
      </c>
      <c r="U692" s="6" t="str">
        <f>_xlfn.XLOOKUP(FactSales[[#This Row],[Salesperson_ID]],DimSalesman[Salesperson_ID],DimSalesman[Salesperson_Name])</f>
        <v>Rafi Ahmed</v>
      </c>
      <c r="V692" s="6" t="str">
        <f>_xlfn.XLOOKUP(FactSales[[#This Row],[Region_ID]],DimRegion[Region_ID],DimRegion[Region_Name])</f>
        <v>Khulna</v>
      </c>
      <c r="W692" s="6" t="str">
        <f>_xlfn.XLOOKUP(FactSales[[#This Row],[Store_ID]],DimStore[Store_ID],DimStore[Store_Name])</f>
        <v>Khulna Boyra Store</v>
      </c>
    </row>
    <row r="693" spans="1:23">
      <c r="A693" s="4" t="s">
        <v>1689</v>
      </c>
      <c r="B693" s="5">
        <v>45753</v>
      </c>
      <c r="C693" s="4" t="s">
        <v>429</v>
      </c>
      <c r="D693" s="4" t="s">
        <v>52</v>
      </c>
      <c r="E693" s="4" t="s">
        <v>698</v>
      </c>
      <c r="F693" s="4" t="s">
        <v>960</v>
      </c>
      <c r="G693" s="4" t="s">
        <v>850</v>
      </c>
      <c r="H693" s="4">
        <v>1</v>
      </c>
      <c r="I693" s="7">
        <v>0.03</v>
      </c>
      <c r="J693" s="6">
        <v>2957</v>
      </c>
      <c r="K693" s="4">
        <v>4</v>
      </c>
      <c r="L693" s="8">
        <f t="shared" si="10"/>
        <v>3.9</v>
      </c>
      <c r="M693" s="6" t="str">
        <f>_xlfn.XLOOKUP(FactSales[[#This Row],[Product_ID]],DimProduct[Product_ID],DimProduct[Product_Name])</f>
        <v>Cricket Bat</v>
      </c>
      <c r="N693" s="6" t="str">
        <f>_xlfn.XLOOKUP(FactSales[[#This Row],[Product_ID]],DimProduct[Product_ID],DimProduct[Category])</f>
        <v>Sports</v>
      </c>
      <c r="O693" s="6">
        <f>_xlfn.XLOOKUP(FactSales[[#This Row],[Product_ID]],DimProduct[Product_ID],DimProduct[Unit_Price])</f>
        <v>2640</v>
      </c>
      <c r="P693" s="6">
        <f>_xlfn.XLOOKUP(FactSales[[#This Row],[Product_ID]],DimProduct[Product_ID],DimProduct[Unit_Cost])</f>
        <v>1640</v>
      </c>
      <c r="Q693" s="6">
        <f>FactSales[[#This Row],[Unit_Price]]*FactSales[[#This Row],[Quantity_Sold]]</f>
        <v>2640</v>
      </c>
      <c r="R693" s="6">
        <f>FactSales[[#This Row],[Unit_Cost]]*FactSales[[#This Row],[Quantity_Sold]]</f>
        <v>1640</v>
      </c>
      <c r="S693" s="6">
        <f>FactSales[[#This Row],[Sales_Amount]]-FactSales[[#This Row],[Total_Cost]]</f>
        <v>1000</v>
      </c>
      <c r="T693" s="6" t="str">
        <f>_xlfn.XLOOKUP(FactSales[[#This Row],[Customer_ID]],DimCustomer[Customer_ID],DimCustomer[Customer_Name])</f>
        <v>Arif Ahmed</v>
      </c>
      <c r="U693" s="6" t="str">
        <f>_xlfn.XLOOKUP(FactSales[[#This Row],[Salesperson_ID]],DimSalesman[Salesperson_ID],DimSalesman[Salesperson_Name])</f>
        <v>Mim Akter</v>
      </c>
      <c r="V693" s="6" t="str">
        <f>_xlfn.XLOOKUP(FactSales[[#This Row],[Region_ID]],DimRegion[Region_ID],DimRegion[Region_Name])</f>
        <v>Barishal</v>
      </c>
      <c r="W693" s="6" t="str">
        <f>_xlfn.XLOOKUP(FactSales[[#This Row],[Store_ID]],DimStore[Store_ID],DimStore[Store_Name])</f>
        <v>Barishal Nathullabad Store</v>
      </c>
    </row>
    <row r="694" spans="1:23">
      <c r="A694" s="4" t="s">
        <v>1690</v>
      </c>
      <c r="B694" s="5">
        <v>46092</v>
      </c>
      <c r="C694" s="4" t="s">
        <v>404</v>
      </c>
      <c r="D694" s="4" t="s">
        <v>47</v>
      </c>
      <c r="E694" s="4" t="s">
        <v>692</v>
      </c>
      <c r="F694" s="4" t="s">
        <v>952</v>
      </c>
      <c r="G694" s="4" t="s">
        <v>900</v>
      </c>
      <c r="H694" s="4">
        <v>5</v>
      </c>
      <c r="I694" s="7">
        <v>0.05</v>
      </c>
      <c r="J694" s="6">
        <v>28994</v>
      </c>
      <c r="K694" s="4">
        <v>3</v>
      </c>
      <c r="L694" s="8">
        <f t="shared" si="10"/>
        <v>4.0999999999999996</v>
      </c>
      <c r="M694" s="6" t="str">
        <f>_xlfn.XLOOKUP(FactSales[[#This Row],[Product_ID]],DimProduct[Product_ID],DimProduct[Product_Name])</f>
        <v>Shoe Rack</v>
      </c>
      <c r="N694" s="6" t="str">
        <f>_xlfn.XLOOKUP(FactSales[[#This Row],[Product_ID]],DimProduct[Product_ID],DimProduct[Category])</f>
        <v>Furniture</v>
      </c>
      <c r="O694" s="6">
        <f>_xlfn.XLOOKUP(FactSales[[#This Row],[Product_ID]],DimProduct[Product_ID],DimProduct[Unit_Price])</f>
        <v>5320</v>
      </c>
      <c r="P694" s="6">
        <f>_xlfn.XLOOKUP(FactSales[[#This Row],[Product_ID]],DimProduct[Product_ID],DimProduct[Unit_Cost])</f>
        <v>3830</v>
      </c>
      <c r="Q694" s="6">
        <f>FactSales[[#This Row],[Unit_Price]]*FactSales[[#This Row],[Quantity_Sold]]</f>
        <v>26600</v>
      </c>
      <c r="R694" s="6">
        <f>FactSales[[#This Row],[Unit_Cost]]*FactSales[[#This Row],[Quantity_Sold]]</f>
        <v>19150</v>
      </c>
      <c r="S694" s="6">
        <f>FactSales[[#This Row],[Sales_Amount]]-FactSales[[#This Row],[Total_Cost]]</f>
        <v>7450</v>
      </c>
      <c r="T694" s="6" t="str">
        <f>_xlfn.XLOOKUP(FactSales[[#This Row],[Customer_ID]],DimCustomer[Customer_ID],DimCustomer[Customer_Name])</f>
        <v>Ayesha Sultana</v>
      </c>
      <c r="U694" s="6" t="str">
        <f>_xlfn.XLOOKUP(FactSales[[#This Row],[Salesperson_ID]],DimSalesman[Salesperson_ID],DimSalesman[Salesperson_Name])</f>
        <v>Samiha Islam</v>
      </c>
      <c r="V694" s="6" t="str">
        <f>_xlfn.XLOOKUP(FactSales[[#This Row],[Region_ID]],DimRegion[Region_ID],DimRegion[Region_Name])</f>
        <v>Khulna</v>
      </c>
      <c r="W694" s="6" t="str">
        <f>_xlfn.XLOOKUP(FactSales[[#This Row],[Store_ID]],DimStore[Store_ID],DimStore[Store_Name])</f>
        <v>Khulna Boyra Store</v>
      </c>
    </row>
    <row r="695" spans="1:23">
      <c r="A695" s="4" t="s">
        <v>1691</v>
      </c>
      <c r="B695" s="5">
        <v>45665</v>
      </c>
      <c r="C695" s="4" t="s">
        <v>183</v>
      </c>
      <c r="D695" s="4" t="s">
        <v>32</v>
      </c>
      <c r="E695" s="4" t="s">
        <v>638</v>
      </c>
      <c r="F695" s="4" t="s">
        <v>929</v>
      </c>
      <c r="G695" s="4" t="s">
        <v>762</v>
      </c>
      <c r="H695" s="4">
        <v>4</v>
      </c>
      <c r="I695" s="7">
        <v>0.18</v>
      </c>
      <c r="J695" s="6">
        <v>17647</v>
      </c>
      <c r="K695" s="4">
        <v>5</v>
      </c>
      <c r="L695" s="8">
        <f t="shared" si="10"/>
        <v>3.2</v>
      </c>
      <c r="M695" s="6" t="str">
        <f>_xlfn.XLOOKUP(FactSales[[#This Row],[Product_ID]],DimProduct[Product_ID],DimProduct[Product_Name])</f>
        <v>Smart Watch</v>
      </c>
      <c r="N695" s="6" t="str">
        <f>_xlfn.XLOOKUP(FactSales[[#This Row],[Product_ID]],DimProduct[Product_ID],DimProduct[Category])</f>
        <v>Electronics</v>
      </c>
      <c r="O695" s="6">
        <f>_xlfn.XLOOKUP(FactSales[[#This Row],[Product_ID]],DimProduct[Product_ID],DimProduct[Unit_Price])</f>
        <v>3870</v>
      </c>
      <c r="P695" s="6">
        <f>_xlfn.XLOOKUP(FactSales[[#This Row],[Product_ID]],DimProduct[Product_ID],DimProduct[Unit_Cost])</f>
        <v>2630</v>
      </c>
      <c r="Q695" s="6">
        <f>FactSales[[#This Row],[Unit_Price]]*FactSales[[#This Row],[Quantity_Sold]]</f>
        <v>15480</v>
      </c>
      <c r="R695" s="6">
        <f>FactSales[[#This Row],[Unit_Cost]]*FactSales[[#This Row],[Quantity_Sold]]</f>
        <v>10520</v>
      </c>
      <c r="S695" s="6">
        <f>FactSales[[#This Row],[Sales_Amount]]-FactSales[[#This Row],[Total_Cost]]</f>
        <v>4960</v>
      </c>
      <c r="T695" s="6" t="str">
        <f>_xlfn.XLOOKUP(FactSales[[#This Row],[Customer_ID]],DimCustomer[Customer_ID],DimCustomer[Customer_Name])</f>
        <v>Tanjim Akter</v>
      </c>
      <c r="U695" s="6" t="str">
        <f>_xlfn.XLOOKUP(FactSales[[#This Row],[Salesperson_ID]],DimSalesman[Salesperson_ID],DimSalesman[Salesperson_Name])</f>
        <v>Nabila Mia</v>
      </c>
      <c r="V695" s="6" t="str">
        <f>_xlfn.XLOOKUP(FactSales[[#This Row],[Region_ID]],DimRegion[Region_ID],DimRegion[Region_Name])</f>
        <v>Chattogram</v>
      </c>
      <c r="W695" s="6" t="str">
        <f>_xlfn.XLOOKUP(FactSales[[#This Row],[Store_ID]],DimStore[Store_ID],DimStore[Store_Name])</f>
        <v>Chattogram Agrabad Store</v>
      </c>
    </row>
    <row r="696" spans="1:23">
      <c r="A696" s="4" t="s">
        <v>1692</v>
      </c>
      <c r="B696" s="5">
        <v>46117</v>
      </c>
      <c r="C696" s="4" t="s">
        <v>442</v>
      </c>
      <c r="D696" s="4" t="s">
        <v>52</v>
      </c>
      <c r="E696" s="4" t="s">
        <v>710</v>
      </c>
      <c r="F696" s="4" t="s">
        <v>966</v>
      </c>
      <c r="G696" s="4" t="s">
        <v>821</v>
      </c>
      <c r="H696" s="4">
        <v>10</v>
      </c>
      <c r="I696" s="7">
        <v>0.12</v>
      </c>
      <c r="J696" s="6">
        <v>18592</v>
      </c>
      <c r="K696" s="4">
        <v>6</v>
      </c>
      <c r="L696" s="8">
        <f t="shared" si="10"/>
        <v>3</v>
      </c>
      <c r="M696" s="6" t="str">
        <f>_xlfn.XLOOKUP(FactSales[[#This Row],[Product_ID]],DimProduct[Product_ID],DimProduct[Product_Name])</f>
        <v>Shampoo 375ml</v>
      </c>
      <c r="N696" s="6" t="str">
        <f>_xlfn.XLOOKUP(FactSales[[#This Row],[Product_ID]],DimProduct[Product_ID],DimProduct[Category])</f>
        <v>Beauty &amp; Personal Care</v>
      </c>
      <c r="O696" s="6">
        <f>_xlfn.XLOOKUP(FactSales[[#This Row],[Product_ID]],DimProduct[Product_ID],DimProduct[Unit_Price])</f>
        <v>1660</v>
      </c>
      <c r="P696" s="6">
        <f>_xlfn.XLOOKUP(FactSales[[#This Row],[Product_ID]],DimProduct[Product_ID],DimProduct[Unit_Cost])</f>
        <v>960</v>
      </c>
      <c r="Q696" s="6">
        <f>FactSales[[#This Row],[Unit_Price]]*FactSales[[#This Row],[Quantity_Sold]]</f>
        <v>16600</v>
      </c>
      <c r="R696" s="6">
        <f>FactSales[[#This Row],[Unit_Cost]]*FactSales[[#This Row],[Quantity_Sold]]</f>
        <v>9600</v>
      </c>
      <c r="S696" s="6">
        <f>FactSales[[#This Row],[Sales_Amount]]-FactSales[[#This Row],[Total_Cost]]</f>
        <v>7000</v>
      </c>
      <c r="T696" s="6" t="str">
        <f>_xlfn.XLOOKUP(FactSales[[#This Row],[Customer_ID]],DimCustomer[Customer_ID],DimCustomer[Customer_Name])</f>
        <v>Rasel Chowdhury</v>
      </c>
      <c r="U696" s="6" t="str">
        <f>_xlfn.XLOOKUP(FactSales[[#This Row],[Salesperson_ID]],DimSalesman[Salesperson_ID],DimSalesman[Salesperson_Name])</f>
        <v>Nayeem Akter</v>
      </c>
      <c r="V696" s="6" t="str">
        <f>_xlfn.XLOOKUP(FactSales[[#This Row],[Region_ID]],DimRegion[Region_ID],DimRegion[Region_Name])</f>
        <v>Barishal</v>
      </c>
      <c r="W696" s="6" t="str">
        <f>_xlfn.XLOOKUP(FactSales[[#This Row],[Store_ID]],DimStore[Store_ID],DimStore[Store_Name])</f>
        <v>Barishal Kawnia Store</v>
      </c>
    </row>
    <row r="697" spans="1:23">
      <c r="A697" s="4" t="s">
        <v>1693</v>
      </c>
      <c r="B697" s="5">
        <v>46090</v>
      </c>
      <c r="C697" s="4" t="s">
        <v>433</v>
      </c>
      <c r="D697" s="4" t="s">
        <v>52</v>
      </c>
      <c r="E697" s="4" t="s">
        <v>710</v>
      </c>
      <c r="F697" s="4" t="s">
        <v>963</v>
      </c>
      <c r="G697" s="4" t="s">
        <v>897</v>
      </c>
      <c r="H697" s="4">
        <v>2</v>
      </c>
      <c r="I697" s="7">
        <v>7.0000000000000007E-2</v>
      </c>
      <c r="J697" s="6">
        <v>26163</v>
      </c>
      <c r="K697" s="4">
        <v>6</v>
      </c>
      <c r="L697" s="8">
        <f t="shared" si="10"/>
        <v>3.1</v>
      </c>
      <c r="M697" s="6" t="str">
        <f>_xlfn.XLOOKUP(FactSales[[#This Row],[Product_ID]],DimProduct[Product_ID],DimProduct[Product_Name])</f>
        <v>Study Table</v>
      </c>
      <c r="N697" s="6" t="str">
        <f>_xlfn.XLOOKUP(FactSales[[#This Row],[Product_ID]],DimProduct[Product_ID],DimProduct[Category])</f>
        <v>Furniture</v>
      </c>
      <c r="O697" s="6">
        <f>_xlfn.XLOOKUP(FactSales[[#This Row],[Product_ID]],DimProduct[Product_ID],DimProduct[Unit_Price])</f>
        <v>11680</v>
      </c>
      <c r="P697" s="6">
        <f>_xlfn.XLOOKUP(FactSales[[#This Row],[Product_ID]],DimProduct[Product_ID],DimProduct[Unit_Cost])</f>
        <v>8410</v>
      </c>
      <c r="Q697" s="6">
        <f>FactSales[[#This Row],[Unit_Price]]*FactSales[[#This Row],[Quantity_Sold]]</f>
        <v>23360</v>
      </c>
      <c r="R697" s="6">
        <f>FactSales[[#This Row],[Unit_Cost]]*FactSales[[#This Row],[Quantity_Sold]]</f>
        <v>16820</v>
      </c>
      <c r="S697" s="6">
        <f>FactSales[[#This Row],[Sales_Amount]]-FactSales[[#This Row],[Total_Cost]]</f>
        <v>6540</v>
      </c>
      <c r="T697" s="6" t="str">
        <f>_xlfn.XLOOKUP(FactSales[[#This Row],[Customer_ID]],DimCustomer[Customer_ID],DimCustomer[Customer_Name])</f>
        <v>Rahim Sultana</v>
      </c>
      <c r="U697" s="6" t="str">
        <f>_xlfn.XLOOKUP(FactSales[[#This Row],[Salesperson_ID]],DimSalesman[Salesperson_ID],DimSalesman[Salesperson_Name])</f>
        <v>Rasel Uddin</v>
      </c>
      <c r="V697" s="6" t="str">
        <f>_xlfn.XLOOKUP(FactSales[[#This Row],[Region_ID]],DimRegion[Region_ID],DimRegion[Region_Name])</f>
        <v>Barishal</v>
      </c>
      <c r="W697" s="6" t="str">
        <f>_xlfn.XLOOKUP(FactSales[[#This Row],[Store_ID]],DimStore[Store_ID],DimStore[Store_Name])</f>
        <v>Barishal Kawnia Store</v>
      </c>
    </row>
    <row r="698" spans="1:23">
      <c r="A698" s="4" t="s">
        <v>1694</v>
      </c>
      <c r="B698" s="5">
        <v>45778</v>
      </c>
      <c r="C698" s="4" t="s">
        <v>177</v>
      </c>
      <c r="D698" s="4" t="s">
        <v>32</v>
      </c>
      <c r="E698" s="4" t="s">
        <v>641</v>
      </c>
      <c r="F698" s="4" t="s">
        <v>929</v>
      </c>
      <c r="G698" s="4" t="s">
        <v>876</v>
      </c>
      <c r="H698" s="4">
        <v>2</v>
      </c>
      <c r="I698" s="7">
        <v>0.05</v>
      </c>
      <c r="J698" s="6">
        <v>1733</v>
      </c>
      <c r="K698" s="4">
        <v>5</v>
      </c>
      <c r="L698" s="8">
        <f t="shared" si="10"/>
        <v>3.5</v>
      </c>
      <c r="M698" s="6" t="str">
        <f>_xlfn.XLOOKUP(FactSales[[#This Row],[Product_ID]],DimProduct[Product_ID],DimProduct[Product_Name])</f>
        <v>Sticky Notes</v>
      </c>
      <c r="N698" s="6" t="str">
        <f>_xlfn.XLOOKUP(FactSales[[#This Row],[Product_ID]],DimProduct[Product_ID],DimProduct[Category])</f>
        <v>Stationery</v>
      </c>
      <c r="O698" s="6">
        <f>_xlfn.XLOOKUP(FactSales[[#This Row],[Product_ID]],DimProduct[Product_ID],DimProduct[Unit_Price])</f>
        <v>760</v>
      </c>
      <c r="P698" s="6">
        <f>_xlfn.XLOOKUP(FactSales[[#This Row],[Product_ID]],DimProduct[Product_ID],DimProduct[Unit_Cost])</f>
        <v>380</v>
      </c>
      <c r="Q698" s="6">
        <f>FactSales[[#This Row],[Unit_Price]]*FactSales[[#This Row],[Quantity_Sold]]</f>
        <v>1520</v>
      </c>
      <c r="R698" s="6">
        <f>FactSales[[#This Row],[Unit_Cost]]*FactSales[[#This Row],[Quantity_Sold]]</f>
        <v>760</v>
      </c>
      <c r="S698" s="6">
        <f>FactSales[[#This Row],[Sales_Amount]]-FactSales[[#This Row],[Total_Cost]]</f>
        <v>760</v>
      </c>
      <c r="T698" s="6" t="str">
        <f>_xlfn.XLOOKUP(FactSales[[#This Row],[Customer_ID]],DimCustomer[Customer_ID],DimCustomer[Customer_Name])</f>
        <v>Rasel Uddin</v>
      </c>
      <c r="U698" s="6" t="str">
        <f>_xlfn.XLOOKUP(FactSales[[#This Row],[Salesperson_ID]],DimSalesman[Salesperson_ID],DimSalesman[Salesperson_Name])</f>
        <v>Nabila Mia</v>
      </c>
      <c r="V698" s="6" t="str">
        <f>_xlfn.XLOOKUP(FactSales[[#This Row],[Region_ID]],DimRegion[Region_ID],DimRegion[Region_Name])</f>
        <v>Chattogram</v>
      </c>
      <c r="W698" s="6" t="str">
        <f>_xlfn.XLOOKUP(FactSales[[#This Row],[Store_ID]],DimStore[Store_ID],DimStore[Store_Name])</f>
        <v>Chattogram GEC Store</v>
      </c>
    </row>
    <row r="699" spans="1:23">
      <c r="A699" s="4" t="s">
        <v>1695</v>
      </c>
      <c r="B699" s="5">
        <v>45694</v>
      </c>
      <c r="C699" s="4" t="s">
        <v>503</v>
      </c>
      <c r="D699" s="4" t="s">
        <v>57</v>
      </c>
      <c r="E699" s="4" t="s">
        <v>719</v>
      </c>
      <c r="F699" s="4" t="s">
        <v>977</v>
      </c>
      <c r="G699" s="4" t="s">
        <v>800</v>
      </c>
      <c r="H699" s="4">
        <v>6</v>
      </c>
      <c r="I699" s="7">
        <v>0.05</v>
      </c>
      <c r="J699" s="6">
        <v>7659</v>
      </c>
      <c r="K699" s="4">
        <v>7</v>
      </c>
      <c r="L699" s="8">
        <f t="shared" si="10"/>
        <v>2.9</v>
      </c>
      <c r="M699" s="6" t="str">
        <f>_xlfn.XLOOKUP(FactSales[[#This Row],[Product_ID]],DimProduct[Product_ID],DimProduct[Product_Name])</f>
        <v>Premium Rice 5kg</v>
      </c>
      <c r="N699" s="6" t="str">
        <f>_xlfn.XLOOKUP(FactSales[[#This Row],[Product_ID]],DimProduct[Product_ID],DimProduct[Category])</f>
        <v>Grocery</v>
      </c>
      <c r="O699" s="6">
        <f>_xlfn.XLOOKUP(FactSales[[#This Row],[Product_ID]],DimProduct[Product_ID],DimProduct[Unit_Price])</f>
        <v>1110</v>
      </c>
      <c r="P699" s="6">
        <f>_xlfn.XLOOKUP(FactSales[[#This Row],[Product_ID]],DimProduct[Product_ID],DimProduct[Unit_Cost])</f>
        <v>870</v>
      </c>
      <c r="Q699" s="6">
        <f>FactSales[[#This Row],[Unit_Price]]*FactSales[[#This Row],[Quantity_Sold]]</f>
        <v>6660</v>
      </c>
      <c r="R699" s="6">
        <f>FactSales[[#This Row],[Unit_Cost]]*FactSales[[#This Row],[Quantity_Sold]]</f>
        <v>5220</v>
      </c>
      <c r="S699" s="6">
        <f>FactSales[[#This Row],[Sales_Amount]]-FactSales[[#This Row],[Total_Cost]]</f>
        <v>1440</v>
      </c>
      <c r="T699" s="6" t="str">
        <f>_xlfn.XLOOKUP(FactSales[[#This Row],[Customer_ID]],DimCustomer[Customer_ID],DimCustomer[Customer_Name])</f>
        <v>Hasan Rahman</v>
      </c>
      <c r="U699" s="6" t="str">
        <f>_xlfn.XLOOKUP(FactSales[[#This Row],[Salesperson_ID]],DimSalesman[Salesperson_ID],DimSalesman[Salesperson_Name])</f>
        <v>Tania Hossain</v>
      </c>
      <c r="V699" s="6" t="str">
        <f>_xlfn.XLOOKUP(FactSales[[#This Row],[Region_ID]],DimRegion[Region_ID],DimRegion[Region_Name])</f>
        <v>Rangpur</v>
      </c>
      <c r="W699" s="6" t="str">
        <f>_xlfn.XLOOKUP(FactSales[[#This Row],[Store_ID]],DimStore[Store_ID],DimStore[Store_Name])</f>
        <v>Rangpur Modern More Store</v>
      </c>
    </row>
    <row r="700" spans="1:23">
      <c r="A700" s="4" t="s">
        <v>1696</v>
      </c>
      <c r="B700" s="5">
        <v>45963</v>
      </c>
      <c r="C700" s="4" t="s">
        <v>107</v>
      </c>
      <c r="D700" s="4" t="s">
        <v>27</v>
      </c>
      <c r="E700" s="4" t="s">
        <v>618</v>
      </c>
      <c r="F700" s="4" t="s">
        <v>919</v>
      </c>
      <c r="G700" s="4" t="s">
        <v>788</v>
      </c>
      <c r="H700" s="4">
        <v>2</v>
      </c>
      <c r="I700" s="7">
        <v>0.03</v>
      </c>
      <c r="J700" s="6">
        <v>3858</v>
      </c>
      <c r="K700" s="4">
        <v>1</v>
      </c>
      <c r="L700" s="8">
        <f t="shared" si="10"/>
        <v>4.8</v>
      </c>
      <c r="M700" s="6" t="str">
        <f>_xlfn.XLOOKUP(FactSales[[#This Row],[Product_ID]],DimProduct[Product_ID],DimProduct[Product_Name])</f>
        <v>Formal Shirt</v>
      </c>
      <c r="N700" s="6" t="str">
        <f>_xlfn.XLOOKUP(FactSales[[#This Row],[Product_ID]],DimProduct[Product_ID],DimProduct[Category])</f>
        <v>Fashion</v>
      </c>
      <c r="O700" s="6">
        <f>_xlfn.XLOOKUP(FactSales[[#This Row],[Product_ID]],DimProduct[Product_ID],DimProduct[Unit_Price])</f>
        <v>1820</v>
      </c>
      <c r="P700" s="6">
        <f>_xlfn.XLOOKUP(FactSales[[#This Row],[Product_ID]],DimProduct[Product_ID],DimProduct[Unit_Cost])</f>
        <v>1000</v>
      </c>
      <c r="Q700" s="6">
        <f>FactSales[[#This Row],[Unit_Price]]*FactSales[[#This Row],[Quantity_Sold]]</f>
        <v>3640</v>
      </c>
      <c r="R700" s="6">
        <f>FactSales[[#This Row],[Unit_Cost]]*FactSales[[#This Row],[Quantity_Sold]]</f>
        <v>2000</v>
      </c>
      <c r="S700" s="6">
        <f>FactSales[[#This Row],[Sales_Amount]]-FactSales[[#This Row],[Total_Cost]]</f>
        <v>1640</v>
      </c>
      <c r="T700" s="6" t="str">
        <f>_xlfn.XLOOKUP(FactSales[[#This Row],[Customer_ID]],DimCustomer[Customer_ID],DimCustomer[Customer_Name])</f>
        <v>Nayeem Rahman</v>
      </c>
      <c r="U700" s="6" t="str">
        <f>_xlfn.XLOOKUP(FactSales[[#This Row],[Salesperson_ID]],DimSalesman[Salesperson_ID],DimSalesman[Salesperson_Name])</f>
        <v>Imran Mia</v>
      </c>
      <c r="V700" s="6" t="str">
        <f>_xlfn.XLOOKUP(FactSales[[#This Row],[Region_ID]],DimRegion[Region_ID],DimRegion[Region_Name])</f>
        <v>Dhaka</v>
      </c>
      <c r="W700" s="6" t="str">
        <f>_xlfn.XLOOKUP(FactSales[[#This Row],[Store_ID]],DimStore[Store_ID],DimStore[Store_Name])</f>
        <v>Dhaka Gulshan Store</v>
      </c>
    </row>
    <row r="701" spans="1:23">
      <c r="A701" s="4" t="s">
        <v>1697</v>
      </c>
      <c r="B701" s="5">
        <v>45860</v>
      </c>
      <c r="C701" s="4" t="s">
        <v>515</v>
      </c>
      <c r="D701" s="4" t="s">
        <v>57</v>
      </c>
      <c r="E701" s="4" t="s">
        <v>713</v>
      </c>
      <c r="F701" s="4" t="s">
        <v>968</v>
      </c>
      <c r="G701" s="4" t="s">
        <v>784</v>
      </c>
      <c r="H701" s="4">
        <v>1</v>
      </c>
      <c r="I701" s="7">
        <v>0.12</v>
      </c>
      <c r="J701" s="6">
        <v>2150</v>
      </c>
      <c r="K701" s="4">
        <v>8</v>
      </c>
      <c r="L701" s="8">
        <f t="shared" si="10"/>
        <v>2.4</v>
      </c>
      <c r="M701" s="6" t="str">
        <f>_xlfn.XLOOKUP(FactSales[[#This Row],[Product_ID]],DimProduct[Product_ID],DimProduct[Product_Name])</f>
        <v>Cotton T-Shirt</v>
      </c>
      <c r="N701" s="6" t="str">
        <f>_xlfn.XLOOKUP(FactSales[[#This Row],[Product_ID]],DimProduct[Product_ID],DimProduct[Category])</f>
        <v>Fashion</v>
      </c>
      <c r="O701" s="6">
        <f>_xlfn.XLOOKUP(FactSales[[#This Row],[Product_ID]],DimProduct[Product_ID],DimProduct[Unit_Price])</f>
        <v>1870</v>
      </c>
      <c r="P701" s="6">
        <f>_xlfn.XLOOKUP(FactSales[[#This Row],[Product_ID]],DimProduct[Product_ID],DimProduct[Unit_Cost])</f>
        <v>1030</v>
      </c>
      <c r="Q701" s="6">
        <f>FactSales[[#This Row],[Unit_Price]]*FactSales[[#This Row],[Quantity_Sold]]</f>
        <v>1870</v>
      </c>
      <c r="R701" s="6">
        <f>FactSales[[#This Row],[Unit_Cost]]*FactSales[[#This Row],[Quantity_Sold]]</f>
        <v>1030</v>
      </c>
      <c r="S701" s="6">
        <f>FactSales[[#This Row],[Sales_Amount]]-FactSales[[#This Row],[Total_Cost]]</f>
        <v>840</v>
      </c>
      <c r="T701" s="6" t="str">
        <f>_xlfn.XLOOKUP(FactSales[[#This Row],[Customer_ID]],DimCustomer[Customer_ID],DimCustomer[Customer_Name])</f>
        <v>Rumana Hossain</v>
      </c>
      <c r="U701" s="6" t="str">
        <f>_xlfn.XLOOKUP(FactSales[[#This Row],[Salesperson_ID]],DimSalesman[Salesperson_ID],DimSalesman[Salesperson_Name])</f>
        <v>Morshed Ahmed</v>
      </c>
      <c r="V701" s="6" t="str">
        <f>_xlfn.XLOOKUP(FactSales[[#This Row],[Region_ID]],DimRegion[Region_ID],DimRegion[Region_Name])</f>
        <v>Rangpur</v>
      </c>
      <c r="W701" s="6" t="str">
        <f>_xlfn.XLOOKUP(FactSales[[#This Row],[Store_ID]],DimStore[Store_ID],DimStore[Store_Name])</f>
        <v>Rangpur Jahaj Company Store</v>
      </c>
    </row>
    <row r="702" spans="1:23">
      <c r="A702" s="4" t="s">
        <v>1698</v>
      </c>
      <c r="B702" s="5">
        <v>45914</v>
      </c>
      <c r="C702" s="4" t="s">
        <v>254</v>
      </c>
      <c r="D702" s="4" t="s">
        <v>37</v>
      </c>
      <c r="E702" s="4" t="s">
        <v>653</v>
      </c>
      <c r="F702" s="4" t="s">
        <v>938</v>
      </c>
      <c r="G702" s="4" t="s">
        <v>750</v>
      </c>
      <c r="H702" s="4">
        <v>1</v>
      </c>
      <c r="I702" s="7">
        <v>0.15</v>
      </c>
      <c r="J702" s="6">
        <v>3467</v>
      </c>
      <c r="K702" s="4">
        <v>2</v>
      </c>
      <c r="L702" s="8">
        <f t="shared" si="10"/>
        <v>4.2</v>
      </c>
      <c r="M702" s="6" t="str">
        <f>_xlfn.XLOOKUP(FactSales[[#This Row],[Product_ID]],DimProduct[Product_ID],DimProduct[Product_Name])</f>
        <v>Bluetooth Speaker</v>
      </c>
      <c r="N702" s="6" t="str">
        <f>_xlfn.XLOOKUP(FactSales[[#This Row],[Product_ID]],DimProduct[Product_ID],DimProduct[Category])</f>
        <v>Electronics</v>
      </c>
      <c r="O702" s="6">
        <f>_xlfn.XLOOKUP(FactSales[[#This Row],[Product_ID]],DimProduct[Product_ID],DimProduct[Unit_Price])</f>
        <v>3240</v>
      </c>
      <c r="P702" s="6">
        <f>_xlfn.XLOOKUP(FactSales[[#This Row],[Product_ID]],DimProduct[Product_ID],DimProduct[Unit_Cost])</f>
        <v>2200</v>
      </c>
      <c r="Q702" s="6">
        <f>FactSales[[#This Row],[Unit_Price]]*FactSales[[#This Row],[Quantity_Sold]]</f>
        <v>3240</v>
      </c>
      <c r="R702" s="6">
        <f>FactSales[[#This Row],[Unit_Cost]]*FactSales[[#This Row],[Quantity_Sold]]</f>
        <v>2200</v>
      </c>
      <c r="S702" s="6">
        <f>FactSales[[#This Row],[Sales_Amount]]-FactSales[[#This Row],[Total_Cost]]</f>
        <v>1040</v>
      </c>
      <c r="T702" s="6" t="str">
        <f>_xlfn.XLOOKUP(FactSales[[#This Row],[Customer_ID]],DimCustomer[Customer_ID],DimCustomer[Customer_Name])</f>
        <v>Fahim Akter</v>
      </c>
      <c r="U702" s="6" t="str">
        <f>_xlfn.XLOOKUP(FactSales[[#This Row],[Salesperson_ID]],DimSalesman[Salesperson_ID],DimSalesman[Salesperson_Name])</f>
        <v>Rasel Akter</v>
      </c>
      <c r="V702" s="6" t="str">
        <f>_xlfn.XLOOKUP(FactSales[[#This Row],[Region_ID]],DimRegion[Region_ID],DimRegion[Region_Name])</f>
        <v>Sylhet</v>
      </c>
      <c r="W702" s="6" t="str">
        <f>_xlfn.XLOOKUP(FactSales[[#This Row],[Store_ID]],DimStore[Store_ID],DimStore[Store_Name])</f>
        <v>Sylhet Zindabazar Store</v>
      </c>
    </row>
    <row r="703" spans="1:23">
      <c r="A703" s="4" t="s">
        <v>1699</v>
      </c>
      <c r="B703" s="5">
        <v>46107</v>
      </c>
      <c r="C703" s="4" t="s">
        <v>264</v>
      </c>
      <c r="D703" s="4" t="s">
        <v>37</v>
      </c>
      <c r="E703" s="4" t="s">
        <v>659</v>
      </c>
      <c r="F703" s="4" t="s">
        <v>932</v>
      </c>
      <c r="G703" s="4" t="s">
        <v>905</v>
      </c>
      <c r="H703" s="4">
        <v>2</v>
      </c>
      <c r="I703" s="7">
        <v>0.1</v>
      </c>
      <c r="J703" s="6">
        <v>12562</v>
      </c>
      <c r="K703" s="4">
        <v>6</v>
      </c>
      <c r="L703" s="8">
        <f t="shared" si="10"/>
        <v>3.1</v>
      </c>
      <c r="M703" s="6" t="str">
        <f>_xlfn.XLOOKUP(FactSales[[#This Row],[Product_ID]],DimProduct[Product_ID],DimProduct[Product_Name])</f>
        <v>Bedside Table</v>
      </c>
      <c r="N703" s="6" t="str">
        <f>_xlfn.XLOOKUP(FactSales[[#This Row],[Product_ID]],DimProduct[Product_ID],DimProduct[Category])</f>
        <v>Furniture</v>
      </c>
      <c r="O703" s="6">
        <f>_xlfn.XLOOKUP(FactSales[[#This Row],[Product_ID]],DimProduct[Product_ID],DimProduct[Unit_Price])</f>
        <v>5870</v>
      </c>
      <c r="P703" s="6">
        <f>_xlfn.XLOOKUP(FactSales[[#This Row],[Product_ID]],DimProduct[Product_ID],DimProduct[Unit_Cost])</f>
        <v>4230</v>
      </c>
      <c r="Q703" s="6">
        <f>FactSales[[#This Row],[Unit_Price]]*FactSales[[#This Row],[Quantity_Sold]]</f>
        <v>11740</v>
      </c>
      <c r="R703" s="6">
        <f>FactSales[[#This Row],[Unit_Cost]]*FactSales[[#This Row],[Quantity_Sold]]</f>
        <v>8460</v>
      </c>
      <c r="S703" s="6">
        <f>FactSales[[#This Row],[Sales_Amount]]-FactSales[[#This Row],[Total_Cost]]</f>
        <v>3280</v>
      </c>
      <c r="T703" s="6" t="str">
        <f>_xlfn.XLOOKUP(FactSales[[#This Row],[Customer_ID]],DimCustomer[Customer_ID],DimCustomer[Customer_Name])</f>
        <v>Rafi Chowdhury</v>
      </c>
      <c r="U703" s="6" t="str">
        <f>_xlfn.XLOOKUP(FactSales[[#This Row],[Salesperson_ID]],DimSalesman[Salesperson_ID],DimSalesman[Salesperson_Name])</f>
        <v>Morshed Chowdhury</v>
      </c>
      <c r="V703" s="6" t="str">
        <f>_xlfn.XLOOKUP(FactSales[[#This Row],[Region_ID]],DimRegion[Region_ID],DimRegion[Region_Name])</f>
        <v>Sylhet</v>
      </c>
      <c r="W703" s="6" t="str">
        <f>_xlfn.XLOOKUP(FactSales[[#This Row],[Store_ID]],DimStore[Store_ID],DimStore[Store_Name])</f>
        <v>Sylhet South Surma Store</v>
      </c>
    </row>
    <row r="704" spans="1:23">
      <c r="A704" s="4" t="s">
        <v>1700</v>
      </c>
      <c r="B704" s="5">
        <v>45699</v>
      </c>
      <c r="C704" s="4" t="s">
        <v>107</v>
      </c>
      <c r="D704" s="4" t="s">
        <v>27</v>
      </c>
      <c r="E704" s="4" t="s">
        <v>622</v>
      </c>
      <c r="F704" s="4" t="s">
        <v>912</v>
      </c>
      <c r="G704" s="4" t="s">
        <v>762</v>
      </c>
      <c r="H704" s="4">
        <v>1</v>
      </c>
      <c r="I704" s="7">
        <v>0.15</v>
      </c>
      <c r="J704" s="6">
        <v>4102</v>
      </c>
      <c r="K704" s="4">
        <v>2</v>
      </c>
      <c r="L704" s="8">
        <f t="shared" si="10"/>
        <v>4.2</v>
      </c>
      <c r="M704" s="6" t="str">
        <f>_xlfn.XLOOKUP(FactSales[[#This Row],[Product_ID]],DimProduct[Product_ID],DimProduct[Product_Name])</f>
        <v>Smart Watch</v>
      </c>
      <c r="N704" s="6" t="str">
        <f>_xlfn.XLOOKUP(FactSales[[#This Row],[Product_ID]],DimProduct[Product_ID],DimProduct[Category])</f>
        <v>Electronics</v>
      </c>
      <c r="O704" s="6">
        <f>_xlfn.XLOOKUP(FactSales[[#This Row],[Product_ID]],DimProduct[Product_ID],DimProduct[Unit_Price])</f>
        <v>3870</v>
      </c>
      <c r="P704" s="6">
        <f>_xlfn.XLOOKUP(FactSales[[#This Row],[Product_ID]],DimProduct[Product_ID],DimProduct[Unit_Cost])</f>
        <v>2630</v>
      </c>
      <c r="Q704" s="6">
        <f>FactSales[[#This Row],[Unit_Price]]*FactSales[[#This Row],[Quantity_Sold]]</f>
        <v>3870</v>
      </c>
      <c r="R704" s="6">
        <f>FactSales[[#This Row],[Unit_Cost]]*FactSales[[#This Row],[Quantity_Sold]]</f>
        <v>2630</v>
      </c>
      <c r="S704" s="6">
        <f>FactSales[[#This Row],[Sales_Amount]]-FactSales[[#This Row],[Total_Cost]]</f>
        <v>1240</v>
      </c>
      <c r="T704" s="6" t="str">
        <f>_xlfn.XLOOKUP(FactSales[[#This Row],[Customer_ID]],DimCustomer[Customer_ID],DimCustomer[Customer_Name])</f>
        <v>Nayeem Rahman</v>
      </c>
      <c r="U704" s="6" t="str">
        <f>_xlfn.XLOOKUP(FactSales[[#This Row],[Salesperson_ID]],DimSalesman[Salesperson_ID],DimSalesman[Salesperson_Name])</f>
        <v>Mahmud Hossain</v>
      </c>
      <c r="V704" s="6" t="str">
        <f>_xlfn.XLOOKUP(FactSales[[#This Row],[Region_ID]],DimRegion[Region_ID],DimRegion[Region_Name])</f>
        <v>Dhaka</v>
      </c>
      <c r="W704" s="6" t="str">
        <f>_xlfn.XLOOKUP(FactSales[[#This Row],[Store_ID]],DimStore[Store_ID],DimStore[Store_Name])</f>
        <v>Dhaka Dhanmondi Store</v>
      </c>
    </row>
    <row r="705" spans="1:23">
      <c r="A705" s="4" t="s">
        <v>1701</v>
      </c>
      <c r="B705" s="5">
        <v>45930</v>
      </c>
      <c r="C705" s="4" t="s">
        <v>276</v>
      </c>
      <c r="D705" s="4" t="s">
        <v>37</v>
      </c>
      <c r="E705" s="4" t="s">
        <v>656</v>
      </c>
      <c r="F705" s="4" t="s">
        <v>938</v>
      </c>
      <c r="G705" s="4" t="s">
        <v>900</v>
      </c>
      <c r="H705" s="4">
        <v>1</v>
      </c>
      <c r="I705" s="7">
        <v>0.1</v>
      </c>
      <c r="J705" s="6">
        <v>5692</v>
      </c>
      <c r="K705" s="4">
        <v>1</v>
      </c>
      <c r="L705" s="8">
        <f t="shared" si="10"/>
        <v>4.7</v>
      </c>
      <c r="M705" s="6" t="str">
        <f>_xlfn.XLOOKUP(FactSales[[#This Row],[Product_ID]],DimProduct[Product_ID],DimProduct[Product_Name])</f>
        <v>Shoe Rack</v>
      </c>
      <c r="N705" s="6" t="str">
        <f>_xlfn.XLOOKUP(FactSales[[#This Row],[Product_ID]],DimProduct[Product_ID],DimProduct[Category])</f>
        <v>Furniture</v>
      </c>
      <c r="O705" s="6">
        <f>_xlfn.XLOOKUP(FactSales[[#This Row],[Product_ID]],DimProduct[Product_ID],DimProduct[Unit_Price])</f>
        <v>5320</v>
      </c>
      <c r="P705" s="6">
        <f>_xlfn.XLOOKUP(FactSales[[#This Row],[Product_ID]],DimProduct[Product_ID],DimProduct[Unit_Cost])</f>
        <v>3830</v>
      </c>
      <c r="Q705" s="6">
        <f>FactSales[[#This Row],[Unit_Price]]*FactSales[[#This Row],[Quantity_Sold]]</f>
        <v>5320</v>
      </c>
      <c r="R705" s="6">
        <f>FactSales[[#This Row],[Unit_Cost]]*FactSales[[#This Row],[Quantity_Sold]]</f>
        <v>3830</v>
      </c>
      <c r="S705" s="6">
        <f>FactSales[[#This Row],[Sales_Amount]]-FactSales[[#This Row],[Total_Cost]]</f>
        <v>1490</v>
      </c>
      <c r="T705" s="6" t="str">
        <f>_xlfn.XLOOKUP(FactSales[[#This Row],[Customer_ID]],DimCustomer[Customer_ID],DimCustomer[Customer_Name])</f>
        <v>Samiha Ahmed</v>
      </c>
      <c r="U705" s="6" t="str">
        <f>_xlfn.XLOOKUP(FactSales[[#This Row],[Salesperson_ID]],DimSalesman[Salesperson_ID],DimSalesman[Salesperson_Name])</f>
        <v>Rasel Akter</v>
      </c>
      <c r="V705" s="6" t="str">
        <f>_xlfn.XLOOKUP(FactSales[[#This Row],[Region_ID]],DimRegion[Region_ID],DimRegion[Region_Name])</f>
        <v>Sylhet</v>
      </c>
      <c r="W705" s="6" t="str">
        <f>_xlfn.XLOOKUP(FactSales[[#This Row],[Store_ID]],DimStore[Store_ID],DimStore[Store_Name])</f>
        <v>Sylhet Ambarkhana Store</v>
      </c>
    </row>
    <row r="706" spans="1:23">
      <c r="A706" s="4" t="s">
        <v>1702</v>
      </c>
      <c r="B706" s="5">
        <v>46067</v>
      </c>
      <c r="C706" s="4" t="s">
        <v>604</v>
      </c>
      <c r="D706" s="4" t="s">
        <v>62</v>
      </c>
      <c r="E706" s="4" t="s">
        <v>731</v>
      </c>
      <c r="F706" s="4" t="s">
        <v>981</v>
      </c>
      <c r="G706" s="4" t="s">
        <v>856</v>
      </c>
      <c r="H706" s="4">
        <v>3</v>
      </c>
      <c r="I706" s="7">
        <v>0.1</v>
      </c>
      <c r="J706" s="6">
        <v>10044</v>
      </c>
      <c r="K706" s="4">
        <v>7</v>
      </c>
      <c r="L706" s="8">
        <f t="shared" ref="L706:L769" si="11">MAX(1,MIN(5,ROUND(5.2-(K706*0.32)-(I706*2.2),1)))</f>
        <v>2.7</v>
      </c>
      <c r="M706" s="6" t="str">
        <f>_xlfn.XLOOKUP(FactSales[[#This Row],[Product_ID]],DimProduct[Product_ID],DimProduct[Product_Name])</f>
        <v>Badminton Racket</v>
      </c>
      <c r="N706" s="6" t="str">
        <f>_xlfn.XLOOKUP(FactSales[[#This Row],[Product_ID]],DimProduct[Product_ID],DimProduct[Category])</f>
        <v>Sports</v>
      </c>
      <c r="O706" s="6">
        <f>_xlfn.XLOOKUP(FactSales[[#This Row],[Product_ID]],DimProduct[Product_ID],DimProduct[Unit_Price])</f>
        <v>3100</v>
      </c>
      <c r="P706" s="6">
        <f>_xlfn.XLOOKUP(FactSales[[#This Row],[Product_ID]],DimProduct[Product_ID],DimProduct[Unit_Cost])</f>
        <v>1920</v>
      </c>
      <c r="Q706" s="6">
        <f>FactSales[[#This Row],[Unit_Price]]*FactSales[[#This Row],[Quantity_Sold]]</f>
        <v>9300</v>
      </c>
      <c r="R706" s="6">
        <f>FactSales[[#This Row],[Unit_Cost]]*FactSales[[#This Row],[Quantity_Sold]]</f>
        <v>5760</v>
      </c>
      <c r="S706" s="6">
        <f>FactSales[[#This Row],[Sales_Amount]]-FactSales[[#This Row],[Total_Cost]]</f>
        <v>3540</v>
      </c>
      <c r="T706" s="6" t="str">
        <f>_xlfn.XLOOKUP(FactSales[[#This Row],[Customer_ID]],DimCustomer[Customer_ID],DimCustomer[Customer_Name])</f>
        <v>Shamim Rahman</v>
      </c>
      <c r="U706" s="6" t="str">
        <f>_xlfn.XLOOKUP(FactSales[[#This Row],[Salesperson_ID]],DimSalesman[Salesperson_ID],DimSalesman[Salesperson_Name])</f>
        <v>Morshed Islam</v>
      </c>
      <c r="V706" s="6" t="str">
        <f>_xlfn.XLOOKUP(FactSales[[#This Row],[Region_ID]],DimRegion[Region_ID],DimRegion[Region_Name])</f>
        <v>Mymensingh</v>
      </c>
      <c r="W706" s="6" t="str">
        <f>_xlfn.XLOOKUP(FactSales[[#This Row],[Store_ID]],DimStore[Store_ID],DimStore[Store_Name])</f>
        <v>Mymensingh Town Hall Store</v>
      </c>
    </row>
    <row r="707" spans="1:23">
      <c r="A707" s="4" t="s">
        <v>1703</v>
      </c>
      <c r="B707" s="5">
        <v>45900</v>
      </c>
      <c r="C707" s="4" t="s">
        <v>85</v>
      </c>
      <c r="D707" s="4" t="s">
        <v>27</v>
      </c>
      <c r="E707" s="4" t="s">
        <v>622</v>
      </c>
      <c r="F707" s="4" t="s">
        <v>916</v>
      </c>
      <c r="G707" s="4" t="s">
        <v>797</v>
      </c>
      <c r="H707" s="4">
        <v>1</v>
      </c>
      <c r="I707" s="7">
        <v>7.0000000000000007E-2</v>
      </c>
      <c r="J707" s="6">
        <v>2777</v>
      </c>
      <c r="K707" s="4">
        <v>5</v>
      </c>
      <c r="L707" s="8">
        <f t="shared" si="11"/>
        <v>3.4</v>
      </c>
      <c r="M707" s="6" t="str">
        <f>_xlfn.XLOOKUP(FactSales[[#This Row],[Product_ID]],DimProduct[Product_ID],DimProduct[Product_Name])</f>
        <v>Leather Belt</v>
      </c>
      <c r="N707" s="6" t="str">
        <f>_xlfn.XLOOKUP(FactSales[[#This Row],[Product_ID]],DimProduct[Product_ID],DimProduct[Category])</f>
        <v>Fashion</v>
      </c>
      <c r="O707" s="6">
        <f>_xlfn.XLOOKUP(FactSales[[#This Row],[Product_ID]],DimProduct[Product_ID],DimProduct[Unit_Price])</f>
        <v>2620</v>
      </c>
      <c r="P707" s="6">
        <f>_xlfn.XLOOKUP(FactSales[[#This Row],[Product_ID]],DimProduct[Product_ID],DimProduct[Unit_Cost])</f>
        <v>1440</v>
      </c>
      <c r="Q707" s="6">
        <f>FactSales[[#This Row],[Unit_Price]]*FactSales[[#This Row],[Quantity_Sold]]</f>
        <v>2620</v>
      </c>
      <c r="R707" s="6">
        <f>FactSales[[#This Row],[Unit_Cost]]*FactSales[[#This Row],[Quantity_Sold]]</f>
        <v>1440</v>
      </c>
      <c r="S707" s="6">
        <f>FactSales[[#This Row],[Sales_Amount]]-FactSales[[#This Row],[Total_Cost]]</f>
        <v>1180</v>
      </c>
      <c r="T707" s="6" t="str">
        <f>_xlfn.XLOOKUP(FactSales[[#This Row],[Customer_ID]],DimCustomer[Customer_ID],DimCustomer[Customer_Name])</f>
        <v>Imran Uddin</v>
      </c>
      <c r="U707" s="6" t="str">
        <f>_xlfn.XLOOKUP(FactSales[[#This Row],[Salesperson_ID]],DimSalesman[Salesperson_ID],DimSalesman[Salesperson_Name])</f>
        <v>Rafi Islam</v>
      </c>
      <c r="V707" s="6" t="str">
        <f>_xlfn.XLOOKUP(FactSales[[#This Row],[Region_ID]],DimRegion[Region_ID],DimRegion[Region_Name])</f>
        <v>Dhaka</v>
      </c>
      <c r="W707" s="6" t="str">
        <f>_xlfn.XLOOKUP(FactSales[[#This Row],[Store_ID]],DimStore[Store_ID],DimStore[Store_Name])</f>
        <v>Dhaka Dhanmondi Store</v>
      </c>
    </row>
    <row r="708" spans="1:23">
      <c r="A708" s="4" t="s">
        <v>1704</v>
      </c>
      <c r="B708" s="5">
        <v>45946</v>
      </c>
      <c r="C708" s="4" t="s">
        <v>535</v>
      </c>
      <c r="D708" s="4" t="s">
        <v>57</v>
      </c>
      <c r="E708" s="4" t="s">
        <v>713</v>
      </c>
      <c r="F708" s="4" t="s">
        <v>974</v>
      </c>
      <c r="G708" s="4" t="s">
        <v>790</v>
      </c>
      <c r="H708" s="4">
        <v>2</v>
      </c>
      <c r="I708" s="7">
        <v>0.1</v>
      </c>
      <c r="J708" s="6">
        <v>4577</v>
      </c>
      <c r="K708" s="4">
        <v>6</v>
      </c>
      <c r="L708" s="8">
        <f t="shared" si="11"/>
        <v>3.1</v>
      </c>
      <c r="M708" s="6" t="str">
        <f>_xlfn.XLOOKUP(FactSales[[#This Row],[Product_ID]],DimProduct[Product_ID],DimProduct[Product_Name])</f>
        <v>Women Kurti</v>
      </c>
      <c r="N708" s="6" t="str">
        <f>_xlfn.XLOOKUP(FactSales[[#This Row],[Product_ID]],DimProduct[Product_ID],DimProduct[Category])</f>
        <v>Fashion</v>
      </c>
      <c r="O708" s="6">
        <f>_xlfn.XLOOKUP(FactSales[[#This Row],[Product_ID]],DimProduct[Product_ID],DimProduct[Unit_Price])</f>
        <v>1990</v>
      </c>
      <c r="P708" s="6">
        <f>_xlfn.XLOOKUP(FactSales[[#This Row],[Product_ID]],DimProduct[Product_ID],DimProduct[Unit_Cost])</f>
        <v>1090</v>
      </c>
      <c r="Q708" s="6">
        <f>FactSales[[#This Row],[Unit_Price]]*FactSales[[#This Row],[Quantity_Sold]]</f>
        <v>3980</v>
      </c>
      <c r="R708" s="6">
        <f>FactSales[[#This Row],[Unit_Cost]]*FactSales[[#This Row],[Quantity_Sold]]</f>
        <v>2180</v>
      </c>
      <c r="S708" s="6">
        <f>FactSales[[#This Row],[Sales_Amount]]-FactSales[[#This Row],[Total_Cost]]</f>
        <v>1800</v>
      </c>
      <c r="T708" s="6" t="str">
        <f>_xlfn.XLOOKUP(FactSales[[#This Row],[Customer_ID]],DimCustomer[Customer_ID],DimCustomer[Customer_Name])</f>
        <v>Shuvo Uddin</v>
      </c>
      <c r="U708" s="6" t="str">
        <f>_xlfn.XLOOKUP(FactSales[[#This Row],[Salesperson_ID]],DimSalesman[Salesperson_ID],DimSalesman[Salesperson_Name])</f>
        <v>Farhana Uddin</v>
      </c>
      <c r="V708" s="6" t="str">
        <f>_xlfn.XLOOKUP(FactSales[[#This Row],[Region_ID]],DimRegion[Region_ID],DimRegion[Region_Name])</f>
        <v>Rangpur</v>
      </c>
      <c r="W708" s="6" t="str">
        <f>_xlfn.XLOOKUP(FactSales[[#This Row],[Store_ID]],DimStore[Store_ID],DimStore[Store_Name])</f>
        <v>Rangpur Jahaj Company Store</v>
      </c>
    </row>
    <row r="709" spans="1:23">
      <c r="A709" s="4" t="s">
        <v>1705</v>
      </c>
      <c r="B709" s="5">
        <v>45911</v>
      </c>
      <c r="C709" s="4" t="s">
        <v>237</v>
      </c>
      <c r="D709" s="4" t="s">
        <v>37</v>
      </c>
      <c r="E709" s="4" t="s">
        <v>659</v>
      </c>
      <c r="F709" s="4" t="s">
        <v>932</v>
      </c>
      <c r="G709" s="4" t="s">
        <v>878</v>
      </c>
      <c r="H709" s="4">
        <v>3</v>
      </c>
      <c r="I709" s="7">
        <v>0.1</v>
      </c>
      <c r="J709" s="6">
        <v>2696</v>
      </c>
      <c r="K709" s="4">
        <v>4</v>
      </c>
      <c r="L709" s="8">
        <f t="shared" si="11"/>
        <v>3.7</v>
      </c>
      <c r="M709" s="6" t="str">
        <f>_xlfn.XLOOKUP(FactSales[[#This Row],[Product_ID]],DimProduct[Product_ID],DimProduct[Product_Name])</f>
        <v>Building Blocks</v>
      </c>
      <c r="N709" s="6" t="str">
        <f>_xlfn.XLOOKUP(FactSales[[#This Row],[Product_ID]],DimProduct[Product_ID],DimProduct[Category])</f>
        <v>Kids &amp; Toys</v>
      </c>
      <c r="O709" s="6">
        <f>_xlfn.XLOOKUP(FactSales[[#This Row],[Product_ID]],DimProduct[Product_ID],DimProduct[Unit_Price])</f>
        <v>840</v>
      </c>
      <c r="P709" s="6">
        <f>_xlfn.XLOOKUP(FactSales[[#This Row],[Product_ID]],DimProduct[Product_ID],DimProduct[Unit_Cost])</f>
        <v>460</v>
      </c>
      <c r="Q709" s="6">
        <f>FactSales[[#This Row],[Unit_Price]]*FactSales[[#This Row],[Quantity_Sold]]</f>
        <v>2520</v>
      </c>
      <c r="R709" s="6">
        <f>FactSales[[#This Row],[Unit_Cost]]*FactSales[[#This Row],[Quantity_Sold]]</f>
        <v>1380</v>
      </c>
      <c r="S709" s="6">
        <f>FactSales[[#This Row],[Sales_Amount]]-FactSales[[#This Row],[Total_Cost]]</f>
        <v>1140</v>
      </c>
      <c r="T709" s="6" t="str">
        <f>_xlfn.XLOOKUP(FactSales[[#This Row],[Customer_ID]],DimCustomer[Customer_ID],DimCustomer[Customer_Name])</f>
        <v>Morshed Hossain</v>
      </c>
      <c r="U709" s="6" t="str">
        <f>_xlfn.XLOOKUP(FactSales[[#This Row],[Salesperson_ID]],DimSalesman[Salesperson_ID],DimSalesman[Salesperson_Name])</f>
        <v>Morshed Chowdhury</v>
      </c>
      <c r="V709" s="6" t="str">
        <f>_xlfn.XLOOKUP(FactSales[[#This Row],[Region_ID]],DimRegion[Region_ID],DimRegion[Region_Name])</f>
        <v>Sylhet</v>
      </c>
      <c r="W709" s="6" t="str">
        <f>_xlfn.XLOOKUP(FactSales[[#This Row],[Store_ID]],DimStore[Store_ID],DimStore[Store_Name])</f>
        <v>Sylhet South Surma Store</v>
      </c>
    </row>
    <row r="710" spans="1:23">
      <c r="A710" s="4" t="s">
        <v>1706</v>
      </c>
      <c r="B710" s="5">
        <v>45843</v>
      </c>
      <c r="C710" s="4" t="s">
        <v>326</v>
      </c>
      <c r="D710" s="4" t="s">
        <v>42</v>
      </c>
      <c r="E710" s="4" t="s">
        <v>668</v>
      </c>
      <c r="F710" s="4" t="s">
        <v>950</v>
      </c>
      <c r="G710" s="4" t="s">
        <v>850</v>
      </c>
      <c r="H710" s="4">
        <v>1</v>
      </c>
      <c r="I710" s="7">
        <v>0.12</v>
      </c>
      <c r="J710" s="6">
        <v>2851</v>
      </c>
      <c r="K710" s="4">
        <v>3</v>
      </c>
      <c r="L710" s="8">
        <f t="shared" si="11"/>
        <v>4</v>
      </c>
      <c r="M710" s="6" t="str">
        <f>_xlfn.XLOOKUP(FactSales[[#This Row],[Product_ID]],DimProduct[Product_ID],DimProduct[Product_Name])</f>
        <v>Cricket Bat</v>
      </c>
      <c r="N710" s="6" t="str">
        <f>_xlfn.XLOOKUP(FactSales[[#This Row],[Product_ID]],DimProduct[Product_ID],DimProduct[Category])</f>
        <v>Sports</v>
      </c>
      <c r="O710" s="6">
        <f>_xlfn.XLOOKUP(FactSales[[#This Row],[Product_ID]],DimProduct[Product_ID],DimProduct[Unit_Price])</f>
        <v>2640</v>
      </c>
      <c r="P710" s="6">
        <f>_xlfn.XLOOKUP(FactSales[[#This Row],[Product_ID]],DimProduct[Product_ID],DimProduct[Unit_Cost])</f>
        <v>1640</v>
      </c>
      <c r="Q710" s="6">
        <f>FactSales[[#This Row],[Unit_Price]]*FactSales[[#This Row],[Quantity_Sold]]</f>
        <v>2640</v>
      </c>
      <c r="R710" s="6">
        <f>FactSales[[#This Row],[Unit_Cost]]*FactSales[[#This Row],[Quantity_Sold]]</f>
        <v>1640</v>
      </c>
      <c r="S710" s="6">
        <f>FactSales[[#This Row],[Sales_Amount]]-FactSales[[#This Row],[Total_Cost]]</f>
        <v>1000</v>
      </c>
      <c r="T710" s="6" t="str">
        <f>_xlfn.XLOOKUP(FactSales[[#This Row],[Customer_ID]],DimCustomer[Customer_ID],DimCustomer[Customer_Name])</f>
        <v>Hasan Rahman</v>
      </c>
      <c r="U710" s="6" t="str">
        <f>_xlfn.XLOOKUP(FactSales[[#This Row],[Salesperson_ID]],DimSalesman[Salesperson_ID],DimSalesman[Salesperson_Name])</f>
        <v>Mim Rahman</v>
      </c>
      <c r="V710" s="6" t="str">
        <f>_xlfn.XLOOKUP(FactSales[[#This Row],[Region_ID]],DimRegion[Region_ID],DimRegion[Region_Name])</f>
        <v>Rajshahi</v>
      </c>
      <c r="W710" s="6" t="str">
        <f>_xlfn.XLOOKUP(FactSales[[#This Row],[Store_ID]],DimStore[Store_ID],DimStore[Store_Name])</f>
        <v>Rajshahi Shaheb Bazar Store</v>
      </c>
    </row>
    <row r="711" spans="1:23">
      <c r="A711" s="4" t="s">
        <v>1707</v>
      </c>
      <c r="B711" s="5">
        <v>45854</v>
      </c>
      <c r="C711" s="4" t="s">
        <v>159</v>
      </c>
      <c r="D711" s="4" t="s">
        <v>32</v>
      </c>
      <c r="E711" s="4" t="s">
        <v>647</v>
      </c>
      <c r="F711" s="4" t="s">
        <v>922</v>
      </c>
      <c r="G711" s="4" t="s">
        <v>765</v>
      </c>
      <c r="H711" s="4">
        <v>6</v>
      </c>
      <c r="I711" s="7">
        <v>0.15</v>
      </c>
      <c r="J711" s="6">
        <v>33448</v>
      </c>
      <c r="K711" s="4">
        <v>4</v>
      </c>
      <c r="L711" s="8">
        <f t="shared" si="11"/>
        <v>3.6</v>
      </c>
      <c r="M711" s="6" t="str">
        <f>_xlfn.XLOOKUP(FactSales[[#This Row],[Product_ID]],DimProduct[Product_ID],DimProduct[Product_Name])</f>
        <v>USB-C Hub</v>
      </c>
      <c r="N711" s="6" t="str">
        <f>_xlfn.XLOOKUP(FactSales[[#This Row],[Product_ID]],DimProduct[Product_ID],DimProduct[Category])</f>
        <v>Electronics</v>
      </c>
      <c r="O711" s="6">
        <f>_xlfn.XLOOKUP(FactSales[[#This Row],[Product_ID]],DimProduct[Product_ID],DimProduct[Unit_Price])</f>
        <v>4890</v>
      </c>
      <c r="P711" s="6">
        <f>_xlfn.XLOOKUP(FactSales[[#This Row],[Product_ID]],DimProduct[Product_ID],DimProduct[Unit_Cost])</f>
        <v>3330</v>
      </c>
      <c r="Q711" s="6">
        <f>FactSales[[#This Row],[Unit_Price]]*FactSales[[#This Row],[Quantity_Sold]]</f>
        <v>29340</v>
      </c>
      <c r="R711" s="6">
        <f>FactSales[[#This Row],[Unit_Cost]]*FactSales[[#This Row],[Quantity_Sold]]</f>
        <v>19980</v>
      </c>
      <c r="S711" s="6">
        <f>FactSales[[#This Row],[Sales_Amount]]-FactSales[[#This Row],[Total_Cost]]</f>
        <v>9360</v>
      </c>
      <c r="T711" s="6" t="str">
        <f>_xlfn.XLOOKUP(FactSales[[#This Row],[Customer_ID]],DimCustomer[Customer_ID],DimCustomer[Customer_Name])</f>
        <v>Shakib Mia</v>
      </c>
      <c r="U711" s="6" t="str">
        <f>_xlfn.XLOOKUP(FactSales[[#This Row],[Salesperson_ID]],DimSalesman[Salesperson_ID],DimSalesman[Salesperson_Name])</f>
        <v>Rafi Sultana</v>
      </c>
      <c r="V711" s="6" t="str">
        <f>_xlfn.XLOOKUP(FactSales[[#This Row],[Region_ID]],DimRegion[Region_ID],DimRegion[Region_Name])</f>
        <v>Chattogram</v>
      </c>
      <c r="W711" s="6" t="str">
        <f>_xlfn.XLOOKUP(FactSales[[#This Row],[Store_ID]],DimStore[Store_ID],DimStore[Store_Name])</f>
        <v>Chattogram Nasirabad Store</v>
      </c>
    </row>
    <row r="712" spans="1:23">
      <c r="A712" s="4" t="s">
        <v>1708</v>
      </c>
      <c r="B712" s="5">
        <v>46047</v>
      </c>
      <c r="C712" s="4" t="s">
        <v>130</v>
      </c>
      <c r="D712" s="4" t="s">
        <v>27</v>
      </c>
      <c r="E712" s="4" t="s">
        <v>622</v>
      </c>
      <c r="F712" s="4" t="s">
        <v>912</v>
      </c>
      <c r="G712" s="4" t="s">
        <v>878</v>
      </c>
      <c r="H712" s="4">
        <v>2</v>
      </c>
      <c r="I712" s="7">
        <v>7.0000000000000007E-2</v>
      </c>
      <c r="J712" s="6">
        <v>1781</v>
      </c>
      <c r="K712" s="4">
        <v>1</v>
      </c>
      <c r="L712" s="8">
        <f t="shared" si="11"/>
        <v>4.7</v>
      </c>
      <c r="M712" s="6" t="str">
        <f>_xlfn.XLOOKUP(FactSales[[#This Row],[Product_ID]],DimProduct[Product_ID],DimProduct[Product_Name])</f>
        <v>Building Blocks</v>
      </c>
      <c r="N712" s="6" t="str">
        <f>_xlfn.XLOOKUP(FactSales[[#This Row],[Product_ID]],DimProduct[Product_ID],DimProduct[Category])</f>
        <v>Kids &amp; Toys</v>
      </c>
      <c r="O712" s="6">
        <f>_xlfn.XLOOKUP(FactSales[[#This Row],[Product_ID]],DimProduct[Product_ID],DimProduct[Unit_Price])</f>
        <v>840</v>
      </c>
      <c r="P712" s="6">
        <f>_xlfn.XLOOKUP(FactSales[[#This Row],[Product_ID]],DimProduct[Product_ID],DimProduct[Unit_Cost])</f>
        <v>460</v>
      </c>
      <c r="Q712" s="6">
        <f>FactSales[[#This Row],[Unit_Price]]*FactSales[[#This Row],[Quantity_Sold]]</f>
        <v>1680</v>
      </c>
      <c r="R712" s="6">
        <f>FactSales[[#This Row],[Unit_Cost]]*FactSales[[#This Row],[Quantity_Sold]]</f>
        <v>920</v>
      </c>
      <c r="S712" s="6">
        <f>FactSales[[#This Row],[Sales_Amount]]-FactSales[[#This Row],[Total_Cost]]</f>
        <v>760</v>
      </c>
      <c r="T712" s="6" t="str">
        <f>_xlfn.XLOOKUP(FactSales[[#This Row],[Customer_ID]],DimCustomer[Customer_ID],DimCustomer[Customer_Name])</f>
        <v>Tanjim Ahmed</v>
      </c>
      <c r="U712" s="6" t="str">
        <f>_xlfn.XLOOKUP(FactSales[[#This Row],[Salesperson_ID]],DimSalesman[Salesperson_ID],DimSalesman[Salesperson_Name])</f>
        <v>Mahmud Hossain</v>
      </c>
      <c r="V712" s="6" t="str">
        <f>_xlfn.XLOOKUP(FactSales[[#This Row],[Region_ID]],DimRegion[Region_ID],DimRegion[Region_Name])</f>
        <v>Dhaka</v>
      </c>
      <c r="W712" s="6" t="str">
        <f>_xlfn.XLOOKUP(FactSales[[#This Row],[Store_ID]],DimStore[Store_ID],DimStore[Store_Name])</f>
        <v>Dhaka Dhanmondi Store</v>
      </c>
    </row>
    <row r="713" spans="1:23">
      <c r="A713" s="4" t="s">
        <v>1709</v>
      </c>
      <c r="B713" s="5">
        <v>46095</v>
      </c>
      <c r="C713" s="4" t="s">
        <v>312</v>
      </c>
      <c r="D713" s="4" t="s">
        <v>42</v>
      </c>
      <c r="E713" s="4" t="s">
        <v>677</v>
      </c>
      <c r="F713" s="4" t="s">
        <v>947</v>
      </c>
      <c r="G713" s="4" t="s">
        <v>755</v>
      </c>
      <c r="H713" s="4">
        <v>4</v>
      </c>
      <c r="I713" s="7">
        <v>0.08</v>
      </c>
      <c r="J713" s="6">
        <v>14429</v>
      </c>
      <c r="K713" s="4">
        <v>1</v>
      </c>
      <c r="L713" s="8">
        <f t="shared" si="11"/>
        <v>4.7</v>
      </c>
      <c r="M713" s="6" t="str">
        <f>_xlfn.XLOOKUP(FactSales[[#This Row],[Product_ID]],DimProduct[Product_ID],DimProduct[Product_Name])</f>
        <v>Wireless Mouse</v>
      </c>
      <c r="N713" s="6" t="str">
        <f>_xlfn.XLOOKUP(FactSales[[#This Row],[Product_ID]],DimProduct[Product_ID],DimProduct[Category])</f>
        <v>Electronics</v>
      </c>
      <c r="O713" s="6">
        <f>_xlfn.XLOOKUP(FactSales[[#This Row],[Product_ID]],DimProduct[Product_ID],DimProduct[Unit_Price])</f>
        <v>3340</v>
      </c>
      <c r="P713" s="6">
        <f>_xlfn.XLOOKUP(FactSales[[#This Row],[Product_ID]],DimProduct[Product_ID],DimProduct[Unit_Cost])</f>
        <v>2270</v>
      </c>
      <c r="Q713" s="6">
        <f>FactSales[[#This Row],[Unit_Price]]*FactSales[[#This Row],[Quantity_Sold]]</f>
        <v>13360</v>
      </c>
      <c r="R713" s="6">
        <f>FactSales[[#This Row],[Unit_Cost]]*FactSales[[#This Row],[Quantity_Sold]]</f>
        <v>9080</v>
      </c>
      <c r="S713" s="6">
        <f>FactSales[[#This Row],[Sales_Amount]]-FactSales[[#This Row],[Total_Cost]]</f>
        <v>4280</v>
      </c>
      <c r="T713" s="6" t="str">
        <f>_xlfn.XLOOKUP(FactSales[[#This Row],[Customer_ID]],DimCustomer[Customer_ID],DimCustomer[Customer_Name])</f>
        <v>Imran Uddin</v>
      </c>
      <c r="U713" s="6" t="str">
        <f>_xlfn.XLOOKUP(FactSales[[#This Row],[Salesperson_ID]],DimSalesman[Salesperson_ID],DimSalesman[Salesperson_Name])</f>
        <v>Farhana Rahman</v>
      </c>
      <c r="V713" s="6" t="str">
        <f>_xlfn.XLOOKUP(FactSales[[#This Row],[Region_ID]],DimRegion[Region_ID],DimRegion[Region_Name])</f>
        <v>Rajshahi</v>
      </c>
      <c r="W713" s="6" t="str">
        <f>_xlfn.XLOOKUP(FactSales[[#This Row],[Store_ID]],DimStore[Store_ID],DimStore[Store_Name])</f>
        <v>Rajshahi Railgate Store</v>
      </c>
    </row>
    <row r="714" spans="1:23">
      <c r="A714" s="4" t="s">
        <v>1710</v>
      </c>
      <c r="B714" s="5">
        <v>45910</v>
      </c>
      <c r="C714" s="4" t="s">
        <v>387</v>
      </c>
      <c r="D714" s="4" t="s">
        <v>47</v>
      </c>
      <c r="E714" s="4" t="s">
        <v>689</v>
      </c>
      <c r="F714" s="4" t="s">
        <v>954</v>
      </c>
      <c r="G714" s="4" t="s">
        <v>847</v>
      </c>
      <c r="H714" s="4">
        <v>2</v>
      </c>
      <c r="I714" s="7">
        <v>0.03</v>
      </c>
      <c r="J714" s="6">
        <v>4077</v>
      </c>
      <c r="K714" s="4">
        <v>3</v>
      </c>
      <c r="L714" s="8">
        <f t="shared" si="11"/>
        <v>4.2</v>
      </c>
      <c r="M714" s="6" t="str">
        <f>_xlfn.XLOOKUP(FactSales[[#This Row],[Product_ID]],DimProduct[Product_ID],DimProduct[Product_Name])</f>
        <v>Casual Loafer</v>
      </c>
      <c r="N714" s="6" t="str">
        <f>_xlfn.XLOOKUP(FactSales[[#This Row],[Product_ID]],DimProduct[Product_ID],DimProduct[Category])</f>
        <v>Footwear</v>
      </c>
      <c r="O714" s="6">
        <f>_xlfn.XLOOKUP(FactSales[[#This Row],[Product_ID]],DimProduct[Product_ID],DimProduct[Unit_Price])</f>
        <v>1870</v>
      </c>
      <c r="P714" s="6">
        <f>_xlfn.XLOOKUP(FactSales[[#This Row],[Product_ID]],DimProduct[Product_ID],DimProduct[Unit_Cost])</f>
        <v>1120</v>
      </c>
      <c r="Q714" s="6">
        <f>FactSales[[#This Row],[Unit_Price]]*FactSales[[#This Row],[Quantity_Sold]]</f>
        <v>3740</v>
      </c>
      <c r="R714" s="6">
        <f>FactSales[[#This Row],[Unit_Cost]]*FactSales[[#This Row],[Quantity_Sold]]</f>
        <v>2240</v>
      </c>
      <c r="S714" s="6">
        <f>FactSales[[#This Row],[Sales_Amount]]-FactSales[[#This Row],[Total_Cost]]</f>
        <v>1500</v>
      </c>
      <c r="T714" s="6" t="str">
        <f>_xlfn.XLOOKUP(FactSales[[#This Row],[Customer_ID]],DimCustomer[Customer_ID],DimCustomer[Customer_Name])</f>
        <v>Nayeem Chowdhury</v>
      </c>
      <c r="U714" s="6" t="str">
        <f>_xlfn.XLOOKUP(FactSales[[#This Row],[Salesperson_ID]],DimSalesman[Salesperson_ID],DimSalesman[Salesperson_Name])</f>
        <v>Sadia Sultana</v>
      </c>
      <c r="V714" s="6" t="str">
        <f>_xlfn.XLOOKUP(FactSales[[#This Row],[Region_ID]],DimRegion[Region_ID],DimRegion[Region_Name])</f>
        <v>Khulna</v>
      </c>
      <c r="W714" s="6" t="str">
        <f>_xlfn.XLOOKUP(FactSales[[#This Row],[Store_ID]],DimStore[Store_ID],DimStore[Store_Name])</f>
        <v>Khulna Daulatpur Store</v>
      </c>
    </row>
    <row r="715" spans="1:23">
      <c r="A715" s="4" t="s">
        <v>1711</v>
      </c>
      <c r="B715" s="5">
        <v>45761</v>
      </c>
      <c r="C715" s="4" t="s">
        <v>439</v>
      </c>
      <c r="D715" s="4" t="s">
        <v>52</v>
      </c>
      <c r="E715" s="4" t="s">
        <v>704</v>
      </c>
      <c r="F715" s="4" t="s">
        <v>964</v>
      </c>
      <c r="G715" s="4" t="s">
        <v>768</v>
      </c>
      <c r="H715" s="4">
        <v>3</v>
      </c>
      <c r="I715" s="7">
        <v>0.15</v>
      </c>
      <c r="J715" s="6">
        <v>24192</v>
      </c>
      <c r="K715" s="4">
        <v>7</v>
      </c>
      <c r="L715" s="8">
        <f t="shared" si="11"/>
        <v>2.6</v>
      </c>
      <c r="M715" s="6" t="str">
        <f>_xlfn.XLOOKUP(FactSales[[#This Row],[Product_ID]],DimProduct[Product_ID],DimProduct[Product_Name])</f>
        <v>Electric Kettle</v>
      </c>
      <c r="N715" s="6" t="str">
        <f>_xlfn.XLOOKUP(FactSales[[#This Row],[Product_ID]],DimProduct[Product_ID],DimProduct[Category])</f>
        <v>Home Appliance</v>
      </c>
      <c r="O715" s="6">
        <f>_xlfn.XLOOKUP(FactSales[[#This Row],[Product_ID]],DimProduct[Product_ID],DimProduct[Unit_Price])</f>
        <v>7200</v>
      </c>
      <c r="P715" s="6">
        <f>_xlfn.XLOOKUP(FactSales[[#This Row],[Product_ID]],DimProduct[Product_ID],DimProduct[Unit_Cost])</f>
        <v>5040</v>
      </c>
      <c r="Q715" s="6">
        <f>FactSales[[#This Row],[Unit_Price]]*FactSales[[#This Row],[Quantity_Sold]]</f>
        <v>21600</v>
      </c>
      <c r="R715" s="6">
        <f>FactSales[[#This Row],[Unit_Cost]]*FactSales[[#This Row],[Quantity_Sold]]</f>
        <v>15120</v>
      </c>
      <c r="S715" s="6">
        <f>FactSales[[#This Row],[Sales_Amount]]-FactSales[[#This Row],[Total_Cost]]</f>
        <v>6480</v>
      </c>
      <c r="T715" s="6" t="str">
        <f>_xlfn.XLOOKUP(FactSales[[#This Row],[Customer_ID]],DimCustomer[Customer_ID],DimCustomer[Customer_Name])</f>
        <v>Mahmud Sultana</v>
      </c>
      <c r="U715" s="6" t="str">
        <f>_xlfn.XLOOKUP(FactSales[[#This Row],[Salesperson_ID]],DimSalesman[Salesperson_ID],DimSalesman[Salesperson_Name])</f>
        <v>Shaila Uddin</v>
      </c>
      <c r="V715" s="6" t="str">
        <f>_xlfn.XLOOKUP(FactSales[[#This Row],[Region_ID]],DimRegion[Region_ID],DimRegion[Region_Name])</f>
        <v>Barishal</v>
      </c>
      <c r="W715" s="6" t="str">
        <f>_xlfn.XLOOKUP(FactSales[[#This Row],[Store_ID]],DimStore[Store_ID],DimStore[Store_Name])</f>
        <v>Barishal Rupatali Store</v>
      </c>
    </row>
    <row r="716" spans="1:23">
      <c r="A716" s="4" t="s">
        <v>1712</v>
      </c>
      <c r="B716" s="5">
        <v>45671</v>
      </c>
      <c r="C716" s="4" t="s">
        <v>449</v>
      </c>
      <c r="D716" s="4" t="s">
        <v>52</v>
      </c>
      <c r="E716" s="4" t="s">
        <v>704</v>
      </c>
      <c r="F716" s="4" t="s">
        <v>960</v>
      </c>
      <c r="G716" s="4" t="s">
        <v>755</v>
      </c>
      <c r="H716" s="4">
        <v>4</v>
      </c>
      <c r="I716" s="7">
        <v>0.1</v>
      </c>
      <c r="J716" s="6">
        <v>14963</v>
      </c>
      <c r="K716" s="4">
        <v>4</v>
      </c>
      <c r="L716" s="8">
        <f t="shared" si="11"/>
        <v>3.7</v>
      </c>
      <c r="M716" s="6" t="str">
        <f>_xlfn.XLOOKUP(FactSales[[#This Row],[Product_ID]],DimProduct[Product_ID],DimProduct[Product_Name])</f>
        <v>Wireless Mouse</v>
      </c>
      <c r="N716" s="6" t="str">
        <f>_xlfn.XLOOKUP(FactSales[[#This Row],[Product_ID]],DimProduct[Product_ID],DimProduct[Category])</f>
        <v>Electronics</v>
      </c>
      <c r="O716" s="6">
        <f>_xlfn.XLOOKUP(FactSales[[#This Row],[Product_ID]],DimProduct[Product_ID],DimProduct[Unit_Price])</f>
        <v>3340</v>
      </c>
      <c r="P716" s="6">
        <f>_xlfn.XLOOKUP(FactSales[[#This Row],[Product_ID]],DimProduct[Product_ID],DimProduct[Unit_Cost])</f>
        <v>2270</v>
      </c>
      <c r="Q716" s="6">
        <f>FactSales[[#This Row],[Unit_Price]]*FactSales[[#This Row],[Quantity_Sold]]</f>
        <v>13360</v>
      </c>
      <c r="R716" s="6">
        <f>FactSales[[#This Row],[Unit_Cost]]*FactSales[[#This Row],[Quantity_Sold]]</f>
        <v>9080</v>
      </c>
      <c r="S716" s="6">
        <f>FactSales[[#This Row],[Sales_Amount]]-FactSales[[#This Row],[Total_Cost]]</f>
        <v>4280</v>
      </c>
      <c r="T716" s="6" t="str">
        <f>_xlfn.XLOOKUP(FactSales[[#This Row],[Customer_ID]],DimCustomer[Customer_ID],DimCustomer[Customer_Name])</f>
        <v>Ayesha Islam</v>
      </c>
      <c r="U716" s="6" t="str">
        <f>_xlfn.XLOOKUP(FactSales[[#This Row],[Salesperson_ID]],DimSalesman[Salesperson_ID],DimSalesman[Salesperson_Name])</f>
        <v>Mim Akter</v>
      </c>
      <c r="V716" s="6" t="str">
        <f>_xlfn.XLOOKUP(FactSales[[#This Row],[Region_ID]],DimRegion[Region_ID],DimRegion[Region_Name])</f>
        <v>Barishal</v>
      </c>
      <c r="W716" s="6" t="str">
        <f>_xlfn.XLOOKUP(FactSales[[#This Row],[Store_ID]],DimStore[Store_ID],DimStore[Store_Name])</f>
        <v>Barishal Rupatali Store</v>
      </c>
    </row>
    <row r="717" spans="1:23">
      <c r="A717" s="4" t="s">
        <v>1713</v>
      </c>
      <c r="B717" s="5">
        <v>45901</v>
      </c>
      <c r="C717" s="4" t="s">
        <v>483</v>
      </c>
      <c r="D717" s="4" t="s">
        <v>52</v>
      </c>
      <c r="E717" s="4" t="s">
        <v>710</v>
      </c>
      <c r="F717" s="4" t="s">
        <v>965</v>
      </c>
      <c r="G717" s="4" t="s">
        <v>821</v>
      </c>
      <c r="H717" s="4">
        <v>3</v>
      </c>
      <c r="I717" s="7">
        <v>0.05</v>
      </c>
      <c r="J717" s="6">
        <v>5578</v>
      </c>
      <c r="K717" s="4">
        <v>8</v>
      </c>
      <c r="L717" s="8">
        <f t="shared" si="11"/>
        <v>2.5</v>
      </c>
      <c r="M717" s="6" t="str">
        <f>_xlfn.XLOOKUP(FactSales[[#This Row],[Product_ID]],DimProduct[Product_ID],DimProduct[Product_Name])</f>
        <v>Shampoo 375ml</v>
      </c>
      <c r="N717" s="6" t="str">
        <f>_xlfn.XLOOKUP(FactSales[[#This Row],[Product_ID]],DimProduct[Product_ID],DimProduct[Category])</f>
        <v>Beauty &amp; Personal Care</v>
      </c>
      <c r="O717" s="6">
        <f>_xlfn.XLOOKUP(FactSales[[#This Row],[Product_ID]],DimProduct[Product_ID],DimProduct[Unit_Price])</f>
        <v>1660</v>
      </c>
      <c r="P717" s="6">
        <f>_xlfn.XLOOKUP(FactSales[[#This Row],[Product_ID]],DimProduct[Product_ID],DimProduct[Unit_Cost])</f>
        <v>960</v>
      </c>
      <c r="Q717" s="6">
        <f>FactSales[[#This Row],[Unit_Price]]*FactSales[[#This Row],[Quantity_Sold]]</f>
        <v>4980</v>
      </c>
      <c r="R717" s="6">
        <f>FactSales[[#This Row],[Unit_Cost]]*FactSales[[#This Row],[Quantity_Sold]]</f>
        <v>2880</v>
      </c>
      <c r="S717" s="6">
        <f>FactSales[[#This Row],[Sales_Amount]]-FactSales[[#This Row],[Total_Cost]]</f>
        <v>2100</v>
      </c>
      <c r="T717" s="6" t="str">
        <f>_xlfn.XLOOKUP(FactSales[[#This Row],[Customer_ID]],DimCustomer[Customer_ID],DimCustomer[Customer_Name])</f>
        <v>Rumana Chowdhury</v>
      </c>
      <c r="U717" s="6" t="str">
        <f>_xlfn.XLOOKUP(FactSales[[#This Row],[Salesperson_ID]],DimSalesman[Salesperson_ID],DimSalesman[Salesperson_Name])</f>
        <v>Mehedi Khan</v>
      </c>
      <c r="V717" s="6" t="str">
        <f>_xlfn.XLOOKUP(FactSales[[#This Row],[Region_ID]],DimRegion[Region_ID],DimRegion[Region_Name])</f>
        <v>Barishal</v>
      </c>
      <c r="W717" s="6" t="str">
        <f>_xlfn.XLOOKUP(FactSales[[#This Row],[Store_ID]],DimStore[Store_ID],DimStore[Store_Name])</f>
        <v>Barishal Kawnia Store</v>
      </c>
    </row>
    <row r="718" spans="1:23">
      <c r="A718" s="4" t="s">
        <v>1714</v>
      </c>
      <c r="B718" s="5">
        <v>45781</v>
      </c>
      <c r="C718" s="4" t="s">
        <v>493</v>
      </c>
      <c r="D718" s="4" t="s">
        <v>57</v>
      </c>
      <c r="E718" s="4" t="s">
        <v>713</v>
      </c>
      <c r="F718" s="4" t="s">
        <v>970</v>
      </c>
      <c r="G718" s="4" t="s">
        <v>828</v>
      </c>
      <c r="H718" s="4">
        <v>1</v>
      </c>
      <c r="I718" s="7">
        <v>0.05</v>
      </c>
      <c r="J718" s="6">
        <v>1621</v>
      </c>
      <c r="K718" s="4">
        <v>7</v>
      </c>
      <c r="L718" s="8">
        <f t="shared" si="11"/>
        <v>2.9</v>
      </c>
      <c r="M718" s="6" t="str">
        <f>_xlfn.XLOOKUP(FactSales[[#This Row],[Product_ID]],DimProduct[Product_ID],DimProduct[Product_Name])</f>
        <v>Toothpaste Twin Pack</v>
      </c>
      <c r="N718" s="6" t="str">
        <f>_xlfn.XLOOKUP(FactSales[[#This Row],[Product_ID]],DimProduct[Product_ID],DimProduct[Category])</f>
        <v>Beauty &amp; Personal Care</v>
      </c>
      <c r="O718" s="6">
        <f>_xlfn.XLOOKUP(FactSales[[#This Row],[Product_ID]],DimProduct[Product_ID],DimProduct[Unit_Price])</f>
        <v>1410</v>
      </c>
      <c r="P718" s="6">
        <f>_xlfn.XLOOKUP(FactSales[[#This Row],[Product_ID]],DimProduct[Product_ID],DimProduct[Unit_Cost])</f>
        <v>820</v>
      </c>
      <c r="Q718" s="6">
        <f>FactSales[[#This Row],[Unit_Price]]*FactSales[[#This Row],[Quantity_Sold]]</f>
        <v>1410</v>
      </c>
      <c r="R718" s="6">
        <f>FactSales[[#This Row],[Unit_Cost]]*FactSales[[#This Row],[Quantity_Sold]]</f>
        <v>820</v>
      </c>
      <c r="S718" s="6">
        <f>FactSales[[#This Row],[Sales_Amount]]-FactSales[[#This Row],[Total_Cost]]</f>
        <v>590</v>
      </c>
      <c r="T718" s="6" t="str">
        <f>_xlfn.XLOOKUP(FactSales[[#This Row],[Customer_ID]],DimCustomer[Customer_ID],DimCustomer[Customer_Name])</f>
        <v>Mim Sultana</v>
      </c>
      <c r="U718" s="6" t="str">
        <f>_xlfn.XLOOKUP(FactSales[[#This Row],[Salesperson_ID]],DimSalesman[Salesperson_ID],DimSalesman[Salesperson_Name])</f>
        <v>Tanvir Islam</v>
      </c>
      <c r="V718" s="6" t="str">
        <f>_xlfn.XLOOKUP(FactSales[[#This Row],[Region_ID]],DimRegion[Region_ID],DimRegion[Region_Name])</f>
        <v>Rangpur</v>
      </c>
      <c r="W718" s="6" t="str">
        <f>_xlfn.XLOOKUP(FactSales[[#This Row],[Store_ID]],DimStore[Store_ID],DimStore[Store_Name])</f>
        <v>Rangpur Jahaj Company Store</v>
      </c>
    </row>
    <row r="719" spans="1:23">
      <c r="A719" s="4" t="s">
        <v>1715</v>
      </c>
      <c r="B719" s="5">
        <v>46143</v>
      </c>
      <c r="C719" s="4" t="s">
        <v>153</v>
      </c>
      <c r="D719" s="4" t="s">
        <v>32</v>
      </c>
      <c r="E719" s="4" t="s">
        <v>650</v>
      </c>
      <c r="F719" s="4" t="s">
        <v>929</v>
      </c>
      <c r="G719" s="4" t="s">
        <v>775</v>
      </c>
      <c r="H719" s="4">
        <v>10</v>
      </c>
      <c r="I719" s="7">
        <v>0.1</v>
      </c>
      <c r="J719" s="6">
        <v>27702</v>
      </c>
      <c r="K719" s="4">
        <v>9</v>
      </c>
      <c r="L719" s="8">
        <f t="shared" si="11"/>
        <v>2.1</v>
      </c>
      <c r="M719" s="6" t="str">
        <f>_xlfn.XLOOKUP(FactSales[[#This Row],[Product_ID]],DimProduct[Product_ID],DimProduct[Product_Name])</f>
        <v>Blender Machine</v>
      </c>
      <c r="N719" s="6" t="str">
        <f>_xlfn.XLOOKUP(FactSales[[#This Row],[Product_ID]],DimProduct[Product_ID],DimProduct[Category])</f>
        <v>Home Appliance</v>
      </c>
      <c r="O719" s="6">
        <f>_xlfn.XLOOKUP(FactSales[[#This Row],[Product_ID]],DimProduct[Product_ID],DimProduct[Unit_Price])</f>
        <v>2430</v>
      </c>
      <c r="P719" s="6">
        <f>_xlfn.XLOOKUP(FactSales[[#This Row],[Product_ID]],DimProduct[Product_ID],DimProduct[Unit_Cost])</f>
        <v>1700</v>
      </c>
      <c r="Q719" s="6">
        <f>FactSales[[#This Row],[Unit_Price]]*FactSales[[#This Row],[Quantity_Sold]]</f>
        <v>24300</v>
      </c>
      <c r="R719" s="6">
        <f>FactSales[[#This Row],[Unit_Cost]]*FactSales[[#This Row],[Quantity_Sold]]</f>
        <v>17000</v>
      </c>
      <c r="S719" s="6">
        <f>FactSales[[#This Row],[Sales_Amount]]-FactSales[[#This Row],[Total_Cost]]</f>
        <v>7300</v>
      </c>
      <c r="T719" s="6" t="str">
        <f>_xlfn.XLOOKUP(FactSales[[#This Row],[Customer_ID]],DimCustomer[Customer_ID],DimCustomer[Customer_Name])</f>
        <v>Shuvo Mia</v>
      </c>
      <c r="U719" s="6" t="str">
        <f>_xlfn.XLOOKUP(FactSales[[#This Row],[Salesperson_ID]],DimSalesman[Salesperson_ID],DimSalesman[Salesperson_Name])</f>
        <v>Nabila Mia</v>
      </c>
      <c r="V719" s="6" t="str">
        <f>_xlfn.XLOOKUP(FactSales[[#This Row],[Region_ID]],DimRegion[Region_ID],DimRegion[Region_Name])</f>
        <v>Chattogram</v>
      </c>
      <c r="W719" s="6" t="str">
        <f>_xlfn.XLOOKUP(FactSales[[#This Row],[Store_ID]],DimStore[Store_ID],DimStore[Store_Name])</f>
        <v>Chattogram Halishahar Store</v>
      </c>
    </row>
    <row r="720" spans="1:23">
      <c r="A720" s="4" t="s">
        <v>1716</v>
      </c>
      <c r="B720" s="5">
        <v>45916</v>
      </c>
      <c r="C720" s="4" t="s">
        <v>220</v>
      </c>
      <c r="D720" s="4" t="s">
        <v>37</v>
      </c>
      <c r="E720" s="4" t="s">
        <v>656</v>
      </c>
      <c r="F720" s="4" t="s">
        <v>934</v>
      </c>
      <c r="G720" s="4" t="s">
        <v>784</v>
      </c>
      <c r="H720" s="4">
        <v>6</v>
      </c>
      <c r="I720" s="7">
        <v>0.12</v>
      </c>
      <c r="J720" s="6">
        <v>12005</v>
      </c>
      <c r="K720" s="4">
        <v>7</v>
      </c>
      <c r="L720" s="8">
        <f t="shared" si="11"/>
        <v>2.7</v>
      </c>
      <c r="M720" s="6" t="str">
        <f>_xlfn.XLOOKUP(FactSales[[#This Row],[Product_ID]],DimProduct[Product_ID],DimProduct[Product_Name])</f>
        <v>Cotton T-Shirt</v>
      </c>
      <c r="N720" s="6" t="str">
        <f>_xlfn.XLOOKUP(FactSales[[#This Row],[Product_ID]],DimProduct[Product_ID],DimProduct[Category])</f>
        <v>Fashion</v>
      </c>
      <c r="O720" s="6">
        <f>_xlfn.XLOOKUP(FactSales[[#This Row],[Product_ID]],DimProduct[Product_ID],DimProduct[Unit_Price])</f>
        <v>1870</v>
      </c>
      <c r="P720" s="6">
        <f>_xlfn.XLOOKUP(FactSales[[#This Row],[Product_ID]],DimProduct[Product_ID],DimProduct[Unit_Cost])</f>
        <v>1030</v>
      </c>
      <c r="Q720" s="6">
        <f>FactSales[[#This Row],[Unit_Price]]*FactSales[[#This Row],[Quantity_Sold]]</f>
        <v>11220</v>
      </c>
      <c r="R720" s="6">
        <f>FactSales[[#This Row],[Unit_Cost]]*FactSales[[#This Row],[Quantity_Sold]]</f>
        <v>6180</v>
      </c>
      <c r="S720" s="6">
        <f>FactSales[[#This Row],[Sales_Amount]]-FactSales[[#This Row],[Total_Cost]]</f>
        <v>5040</v>
      </c>
      <c r="T720" s="6" t="str">
        <f>_xlfn.XLOOKUP(FactSales[[#This Row],[Customer_ID]],DimCustomer[Customer_ID],DimCustomer[Customer_Name])</f>
        <v>Rafi Hossain</v>
      </c>
      <c r="U720" s="6" t="str">
        <f>_xlfn.XLOOKUP(FactSales[[#This Row],[Salesperson_ID]],DimSalesman[Salesperson_ID],DimSalesman[Salesperson_Name])</f>
        <v>Hasan Mia</v>
      </c>
      <c r="V720" s="6" t="str">
        <f>_xlfn.XLOOKUP(FactSales[[#This Row],[Region_ID]],DimRegion[Region_ID],DimRegion[Region_Name])</f>
        <v>Sylhet</v>
      </c>
      <c r="W720" s="6" t="str">
        <f>_xlfn.XLOOKUP(FactSales[[#This Row],[Store_ID]],DimStore[Store_ID],DimStore[Store_Name])</f>
        <v>Sylhet Ambarkhana Store</v>
      </c>
    </row>
    <row r="721" spans="1:23">
      <c r="A721" s="4" t="s">
        <v>1717</v>
      </c>
      <c r="B721" s="5">
        <v>46087</v>
      </c>
      <c r="C721" s="4" t="s">
        <v>601</v>
      </c>
      <c r="D721" s="4" t="s">
        <v>62</v>
      </c>
      <c r="E721" s="4" t="s">
        <v>728</v>
      </c>
      <c r="F721" s="4" t="s">
        <v>983</v>
      </c>
      <c r="G721" s="4" t="s">
        <v>755</v>
      </c>
      <c r="H721" s="4">
        <v>5</v>
      </c>
      <c r="I721" s="7">
        <v>0.08</v>
      </c>
      <c r="J721" s="6">
        <v>18036</v>
      </c>
      <c r="K721" s="4">
        <v>3</v>
      </c>
      <c r="L721" s="8">
        <f t="shared" si="11"/>
        <v>4.0999999999999996</v>
      </c>
      <c r="M721" s="6" t="str">
        <f>_xlfn.XLOOKUP(FactSales[[#This Row],[Product_ID]],DimProduct[Product_ID],DimProduct[Product_Name])</f>
        <v>Wireless Mouse</v>
      </c>
      <c r="N721" s="6" t="str">
        <f>_xlfn.XLOOKUP(FactSales[[#This Row],[Product_ID]],DimProduct[Product_ID],DimProduct[Category])</f>
        <v>Electronics</v>
      </c>
      <c r="O721" s="6">
        <f>_xlfn.XLOOKUP(FactSales[[#This Row],[Product_ID]],DimProduct[Product_ID],DimProduct[Unit_Price])</f>
        <v>3340</v>
      </c>
      <c r="P721" s="6">
        <f>_xlfn.XLOOKUP(FactSales[[#This Row],[Product_ID]],DimProduct[Product_ID],DimProduct[Unit_Cost])</f>
        <v>2270</v>
      </c>
      <c r="Q721" s="6">
        <f>FactSales[[#This Row],[Unit_Price]]*FactSales[[#This Row],[Quantity_Sold]]</f>
        <v>16700</v>
      </c>
      <c r="R721" s="6">
        <f>FactSales[[#This Row],[Unit_Cost]]*FactSales[[#This Row],[Quantity_Sold]]</f>
        <v>11350</v>
      </c>
      <c r="S721" s="6">
        <f>FactSales[[#This Row],[Sales_Amount]]-FactSales[[#This Row],[Total_Cost]]</f>
        <v>5350</v>
      </c>
      <c r="T721" s="6" t="str">
        <f>_xlfn.XLOOKUP(FactSales[[#This Row],[Customer_ID]],DimCustomer[Customer_ID],DimCustomer[Customer_Name])</f>
        <v>Tania Islam</v>
      </c>
      <c r="U721" s="6" t="str">
        <f>_xlfn.XLOOKUP(FactSales[[#This Row],[Salesperson_ID]],DimSalesman[Salesperson_ID],DimSalesman[Salesperson_Name])</f>
        <v>Fahim Hossain</v>
      </c>
      <c r="V721" s="6" t="str">
        <f>_xlfn.XLOOKUP(FactSales[[#This Row],[Region_ID]],DimRegion[Region_ID],DimRegion[Region_Name])</f>
        <v>Mymensingh</v>
      </c>
      <c r="W721" s="6" t="str">
        <f>_xlfn.XLOOKUP(FactSales[[#This Row],[Store_ID]],DimStore[Store_ID],DimStore[Store_Name])</f>
        <v>Mymensingh Ganginarpar Store</v>
      </c>
    </row>
    <row r="722" spans="1:23">
      <c r="A722" s="4" t="s">
        <v>1718</v>
      </c>
      <c r="B722" s="5">
        <v>45954</v>
      </c>
      <c r="C722" s="4" t="s">
        <v>270</v>
      </c>
      <c r="D722" s="4" t="s">
        <v>37</v>
      </c>
      <c r="E722" s="4" t="s">
        <v>659</v>
      </c>
      <c r="F722" s="4" t="s">
        <v>941</v>
      </c>
      <c r="G722" s="4" t="s">
        <v>900</v>
      </c>
      <c r="H722" s="4">
        <v>1</v>
      </c>
      <c r="I722" s="7">
        <v>0.12</v>
      </c>
      <c r="J722" s="6">
        <v>5692</v>
      </c>
      <c r="K722" s="4">
        <v>9</v>
      </c>
      <c r="L722" s="8">
        <f t="shared" si="11"/>
        <v>2.1</v>
      </c>
      <c r="M722" s="6" t="str">
        <f>_xlfn.XLOOKUP(FactSales[[#This Row],[Product_ID]],DimProduct[Product_ID],DimProduct[Product_Name])</f>
        <v>Shoe Rack</v>
      </c>
      <c r="N722" s="6" t="str">
        <f>_xlfn.XLOOKUP(FactSales[[#This Row],[Product_ID]],DimProduct[Product_ID],DimProduct[Category])</f>
        <v>Furniture</v>
      </c>
      <c r="O722" s="6">
        <f>_xlfn.XLOOKUP(FactSales[[#This Row],[Product_ID]],DimProduct[Product_ID],DimProduct[Unit_Price])</f>
        <v>5320</v>
      </c>
      <c r="P722" s="6">
        <f>_xlfn.XLOOKUP(FactSales[[#This Row],[Product_ID]],DimProduct[Product_ID],DimProduct[Unit_Cost])</f>
        <v>3830</v>
      </c>
      <c r="Q722" s="6">
        <f>FactSales[[#This Row],[Unit_Price]]*FactSales[[#This Row],[Quantity_Sold]]</f>
        <v>5320</v>
      </c>
      <c r="R722" s="6">
        <f>FactSales[[#This Row],[Unit_Cost]]*FactSales[[#This Row],[Quantity_Sold]]</f>
        <v>3830</v>
      </c>
      <c r="S722" s="6">
        <f>FactSales[[#This Row],[Sales_Amount]]-FactSales[[#This Row],[Total_Cost]]</f>
        <v>1490</v>
      </c>
      <c r="T722" s="6" t="str">
        <f>_xlfn.XLOOKUP(FactSales[[#This Row],[Customer_ID]],DimCustomer[Customer_ID],DimCustomer[Customer_Name])</f>
        <v>Shaila Uddin</v>
      </c>
      <c r="U722" s="6" t="str">
        <f>_xlfn.XLOOKUP(FactSales[[#This Row],[Salesperson_ID]],DimSalesman[Salesperson_ID],DimSalesman[Salesperson_Name])</f>
        <v>Rumana Rahman</v>
      </c>
      <c r="V722" s="6" t="str">
        <f>_xlfn.XLOOKUP(FactSales[[#This Row],[Region_ID]],DimRegion[Region_ID],DimRegion[Region_Name])</f>
        <v>Sylhet</v>
      </c>
      <c r="W722" s="6" t="str">
        <f>_xlfn.XLOOKUP(FactSales[[#This Row],[Store_ID]],DimStore[Store_ID],DimStore[Store_Name])</f>
        <v>Sylhet South Surma Store</v>
      </c>
    </row>
    <row r="723" spans="1:23">
      <c r="A723" s="4" t="s">
        <v>1719</v>
      </c>
      <c r="B723" s="5">
        <v>46183</v>
      </c>
      <c r="C723" s="4" t="s">
        <v>349</v>
      </c>
      <c r="D723" s="4" t="s">
        <v>42</v>
      </c>
      <c r="E723" s="4" t="s">
        <v>677</v>
      </c>
      <c r="F723" s="4" t="s">
        <v>947</v>
      </c>
      <c r="G723" s="4" t="s">
        <v>841</v>
      </c>
      <c r="H723" s="4">
        <v>8</v>
      </c>
      <c r="I723" s="7">
        <v>0.05</v>
      </c>
      <c r="J723" s="6">
        <v>27821</v>
      </c>
      <c r="K723" s="4">
        <v>6</v>
      </c>
      <c r="L723" s="8">
        <f t="shared" si="11"/>
        <v>3.2</v>
      </c>
      <c r="M723" s="6" t="str">
        <f>_xlfn.XLOOKUP(FactSales[[#This Row],[Product_ID]],DimProduct[Product_ID],DimProduct[Product_Name])</f>
        <v>Ladies Sandal</v>
      </c>
      <c r="N723" s="6" t="str">
        <f>_xlfn.XLOOKUP(FactSales[[#This Row],[Product_ID]],DimProduct[Product_ID],DimProduct[Category])</f>
        <v>Footwear</v>
      </c>
      <c r="O723" s="6">
        <f>_xlfn.XLOOKUP(FactSales[[#This Row],[Product_ID]],DimProduct[Product_ID],DimProduct[Unit_Price])</f>
        <v>3220</v>
      </c>
      <c r="P723" s="6">
        <f>_xlfn.XLOOKUP(FactSales[[#This Row],[Product_ID]],DimProduct[Product_ID],DimProduct[Unit_Cost])</f>
        <v>1930</v>
      </c>
      <c r="Q723" s="6">
        <f>FactSales[[#This Row],[Unit_Price]]*FactSales[[#This Row],[Quantity_Sold]]</f>
        <v>25760</v>
      </c>
      <c r="R723" s="6">
        <f>FactSales[[#This Row],[Unit_Cost]]*FactSales[[#This Row],[Quantity_Sold]]</f>
        <v>15440</v>
      </c>
      <c r="S723" s="6">
        <f>FactSales[[#This Row],[Sales_Amount]]-FactSales[[#This Row],[Total_Cost]]</f>
        <v>10320</v>
      </c>
      <c r="T723" s="6" t="str">
        <f>_xlfn.XLOOKUP(FactSales[[#This Row],[Customer_ID]],DimCustomer[Customer_ID],DimCustomer[Customer_Name])</f>
        <v>Mahmud Uddin</v>
      </c>
      <c r="U723" s="6" t="str">
        <f>_xlfn.XLOOKUP(FactSales[[#This Row],[Salesperson_ID]],DimSalesman[Salesperson_ID],DimSalesman[Salesperson_Name])</f>
        <v>Farhana Rahman</v>
      </c>
      <c r="V723" s="6" t="str">
        <f>_xlfn.XLOOKUP(FactSales[[#This Row],[Region_ID]],DimRegion[Region_ID],DimRegion[Region_Name])</f>
        <v>Rajshahi</v>
      </c>
      <c r="W723" s="6" t="str">
        <f>_xlfn.XLOOKUP(FactSales[[#This Row],[Store_ID]],DimStore[Store_ID],DimStore[Store_Name])</f>
        <v>Rajshahi Railgate Store</v>
      </c>
    </row>
    <row r="724" spans="1:23">
      <c r="A724" s="4" t="s">
        <v>1720</v>
      </c>
      <c r="B724" s="5">
        <v>46057</v>
      </c>
      <c r="C724" s="4" t="s">
        <v>612</v>
      </c>
      <c r="D724" s="4" t="s">
        <v>62</v>
      </c>
      <c r="E724" s="4" t="s">
        <v>740</v>
      </c>
      <c r="F724" s="4" t="s">
        <v>983</v>
      </c>
      <c r="G724" s="4" t="s">
        <v>810</v>
      </c>
      <c r="H724" s="4">
        <v>2</v>
      </c>
      <c r="I724" s="7">
        <v>0.03</v>
      </c>
      <c r="J724" s="6">
        <v>950</v>
      </c>
      <c r="K724" s="4">
        <v>4</v>
      </c>
      <c r="L724" s="8">
        <f t="shared" si="11"/>
        <v>3.9</v>
      </c>
      <c r="M724" s="6" t="str">
        <f>_xlfn.XLOOKUP(FactSales[[#This Row],[Product_ID]],DimProduct[Product_ID],DimProduct[Product_Name])</f>
        <v>Flour 2kg</v>
      </c>
      <c r="N724" s="6" t="str">
        <f>_xlfn.XLOOKUP(FactSales[[#This Row],[Product_ID]],DimProduct[Product_ID],DimProduct[Category])</f>
        <v>Grocery</v>
      </c>
      <c r="O724" s="6">
        <f>_xlfn.XLOOKUP(FactSales[[#This Row],[Product_ID]],DimProduct[Product_ID],DimProduct[Unit_Price])</f>
        <v>440</v>
      </c>
      <c r="P724" s="6">
        <f>_xlfn.XLOOKUP(FactSales[[#This Row],[Product_ID]],DimProduct[Product_ID],DimProduct[Unit_Cost])</f>
        <v>340</v>
      </c>
      <c r="Q724" s="6">
        <f>FactSales[[#This Row],[Unit_Price]]*FactSales[[#This Row],[Quantity_Sold]]</f>
        <v>880</v>
      </c>
      <c r="R724" s="6">
        <f>FactSales[[#This Row],[Unit_Cost]]*FactSales[[#This Row],[Quantity_Sold]]</f>
        <v>680</v>
      </c>
      <c r="S724" s="6">
        <f>FactSales[[#This Row],[Sales_Amount]]-FactSales[[#This Row],[Total_Cost]]</f>
        <v>200</v>
      </c>
      <c r="T724" s="6" t="str">
        <f>_xlfn.XLOOKUP(FactSales[[#This Row],[Customer_ID]],DimCustomer[Customer_ID],DimCustomer[Customer_Name])</f>
        <v>Shaila Ahmed</v>
      </c>
      <c r="U724" s="6" t="str">
        <f>_xlfn.XLOOKUP(FactSales[[#This Row],[Salesperson_ID]],DimSalesman[Salesperson_ID],DimSalesman[Salesperson_Name])</f>
        <v>Fahim Hossain</v>
      </c>
      <c r="V724" s="6" t="str">
        <f>_xlfn.XLOOKUP(FactSales[[#This Row],[Region_ID]],DimRegion[Region_ID],DimRegion[Region_Name])</f>
        <v>Mymensingh</v>
      </c>
      <c r="W724" s="6" t="str">
        <f>_xlfn.XLOOKUP(FactSales[[#This Row],[Store_ID]],DimStore[Store_ID],DimStore[Store_Name])</f>
        <v>Mymensingh Maskanda Store</v>
      </c>
    </row>
    <row r="725" spans="1:23">
      <c r="A725" s="4" t="s">
        <v>1721</v>
      </c>
      <c r="B725" s="5">
        <v>45923</v>
      </c>
      <c r="C725" s="4" t="s">
        <v>335</v>
      </c>
      <c r="D725" s="4" t="s">
        <v>42</v>
      </c>
      <c r="E725" s="4" t="s">
        <v>668</v>
      </c>
      <c r="F725" s="4" t="s">
        <v>949</v>
      </c>
      <c r="G725" s="4" t="s">
        <v>788</v>
      </c>
      <c r="H725" s="4">
        <v>2</v>
      </c>
      <c r="I725" s="7">
        <v>0.05</v>
      </c>
      <c r="J725" s="6">
        <v>3931</v>
      </c>
      <c r="K725" s="4">
        <v>4</v>
      </c>
      <c r="L725" s="8">
        <f t="shared" si="11"/>
        <v>3.8</v>
      </c>
      <c r="M725" s="6" t="str">
        <f>_xlfn.XLOOKUP(FactSales[[#This Row],[Product_ID]],DimProduct[Product_ID],DimProduct[Product_Name])</f>
        <v>Formal Shirt</v>
      </c>
      <c r="N725" s="6" t="str">
        <f>_xlfn.XLOOKUP(FactSales[[#This Row],[Product_ID]],DimProduct[Product_ID],DimProduct[Category])</f>
        <v>Fashion</v>
      </c>
      <c r="O725" s="6">
        <f>_xlfn.XLOOKUP(FactSales[[#This Row],[Product_ID]],DimProduct[Product_ID],DimProduct[Unit_Price])</f>
        <v>1820</v>
      </c>
      <c r="P725" s="6">
        <f>_xlfn.XLOOKUP(FactSales[[#This Row],[Product_ID]],DimProduct[Product_ID],DimProduct[Unit_Cost])</f>
        <v>1000</v>
      </c>
      <c r="Q725" s="6">
        <f>FactSales[[#This Row],[Unit_Price]]*FactSales[[#This Row],[Quantity_Sold]]</f>
        <v>3640</v>
      </c>
      <c r="R725" s="6">
        <f>FactSales[[#This Row],[Unit_Cost]]*FactSales[[#This Row],[Quantity_Sold]]</f>
        <v>2000</v>
      </c>
      <c r="S725" s="6">
        <f>FactSales[[#This Row],[Sales_Amount]]-FactSales[[#This Row],[Total_Cost]]</f>
        <v>1640</v>
      </c>
      <c r="T725" s="6" t="str">
        <f>_xlfn.XLOOKUP(FactSales[[#This Row],[Customer_ID]],DimCustomer[Customer_ID],DimCustomer[Customer_Name])</f>
        <v>Shuvo Khan</v>
      </c>
      <c r="U725" s="6" t="str">
        <f>_xlfn.XLOOKUP(FactSales[[#This Row],[Salesperson_ID]],DimSalesman[Salesperson_ID],DimSalesman[Salesperson_Name])</f>
        <v>Mahmud Chowdhury</v>
      </c>
      <c r="V725" s="6" t="str">
        <f>_xlfn.XLOOKUP(FactSales[[#This Row],[Region_ID]],DimRegion[Region_ID],DimRegion[Region_Name])</f>
        <v>Rajshahi</v>
      </c>
      <c r="W725" s="6" t="str">
        <f>_xlfn.XLOOKUP(FactSales[[#This Row],[Store_ID]],DimStore[Store_ID],DimStore[Store_Name])</f>
        <v>Rajshahi Shaheb Bazar Store</v>
      </c>
    </row>
    <row r="726" spans="1:23">
      <c r="A726" s="4" t="s">
        <v>1722</v>
      </c>
      <c r="B726" s="5">
        <v>45887</v>
      </c>
      <c r="C726" s="4" t="s">
        <v>416</v>
      </c>
      <c r="D726" s="4" t="s">
        <v>47</v>
      </c>
      <c r="E726" s="4" t="s">
        <v>689</v>
      </c>
      <c r="F726" s="4" t="s">
        <v>956</v>
      </c>
      <c r="G726" s="4" t="s">
        <v>758</v>
      </c>
      <c r="H726" s="4">
        <v>1</v>
      </c>
      <c r="I726" s="7">
        <v>0.1</v>
      </c>
      <c r="J726" s="6">
        <v>3096</v>
      </c>
      <c r="K726" s="4">
        <v>2</v>
      </c>
      <c r="L726" s="8">
        <f t="shared" si="11"/>
        <v>4.3</v>
      </c>
      <c r="M726" s="6" t="str">
        <f>_xlfn.XLOOKUP(FactSales[[#This Row],[Product_ID]],DimProduct[Product_ID],DimProduct[Product_Name])</f>
        <v>Power Bank</v>
      </c>
      <c r="N726" s="6" t="str">
        <f>_xlfn.XLOOKUP(FactSales[[#This Row],[Product_ID]],DimProduct[Product_ID],DimProduct[Category])</f>
        <v>Electronics</v>
      </c>
      <c r="O726" s="6">
        <f>_xlfn.XLOOKUP(FactSales[[#This Row],[Product_ID]],DimProduct[Product_ID],DimProduct[Unit_Price])</f>
        <v>2840</v>
      </c>
      <c r="P726" s="6">
        <f>_xlfn.XLOOKUP(FactSales[[#This Row],[Product_ID]],DimProduct[Product_ID],DimProduct[Unit_Cost])</f>
        <v>1930</v>
      </c>
      <c r="Q726" s="6">
        <f>FactSales[[#This Row],[Unit_Price]]*FactSales[[#This Row],[Quantity_Sold]]</f>
        <v>2840</v>
      </c>
      <c r="R726" s="6">
        <f>FactSales[[#This Row],[Unit_Cost]]*FactSales[[#This Row],[Quantity_Sold]]</f>
        <v>1930</v>
      </c>
      <c r="S726" s="6">
        <f>FactSales[[#This Row],[Sales_Amount]]-FactSales[[#This Row],[Total_Cost]]</f>
        <v>910</v>
      </c>
      <c r="T726" s="6" t="str">
        <f>_xlfn.XLOOKUP(FactSales[[#This Row],[Customer_ID]],DimCustomer[Customer_ID],DimCustomer[Customer_Name])</f>
        <v>Ayesha Ahmed</v>
      </c>
      <c r="U726" s="6" t="str">
        <f>_xlfn.XLOOKUP(FactSales[[#This Row],[Salesperson_ID]],DimSalesman[Salesperson_ID],DimSalesman[Salesperson_Name])</f>
        <v>Rafi Ahmed</v>
      </c>
      <c r="V726" s="6" t="str">
        <f>_xlfn.XLOOKUP(FactSales[[#This Row],[Region_ID]],DimRegion[Region_ID],DimRegion[Region_Name])</f>
        <v>Khulna</v>
      </c>
      <c r="W726" s="6" t="str">
        <f>_xlfn.XLOOKUP(FactSales[[#This Row],[Store_ID]],DimStore[Store_ID],DimStore[Store_Name])</f>
        <v>Khulna Daulatpur Store</v>
      </c>
    </row>
    <row r="727" spans="1:23">
      <c r="A727" s="4" t="s">
        <v>1723</v>
      </c>
      <c r="B727" s="5">
        <v>45912</v>
      </c>
      <c r="C727" s="4" t="s">
        <v>366</v>
      </c>
      <c r="D727" s="4" t="s">
        <v>47</v>
      </c>
      <c r="E727" s="4" t="s">
        <v>689</v>
      </c>
      <c r="F727" s="4" t="s">
        <v>952</v>
      </c>
      <c r="G727" s="4" t="s">
        <v>831</v>
      </c>
      <c r="H727" s="4">
        <v>10</v>
      </c>
      <c r="I727" s="7">
        <v>0.05</v>
      </c>
      <c r="J727" s="6">
        <v>13734</v>
      </c>
      <c r="K727" s="4">
        <v>5</v>
      </c>
      <c r="L727" s="8">
        <f t="shared" si="11"/>
        <v>3.5</v>
      </c>
      <c r="M727" s="6" t="str">
        <f>_xlfn.XLOOKUP(FactSales[[#This Row],[Product_ID]],DimProduct[Product_ID],DimProduct[Product_Name])</f>
        <v>Perfume Spray</v>
      </c>
      <c r="N727" s="6" t="str">
        <f>_xlfn.XLOOKUP(FactSales[[#This Row],[Product_ID]],DimProduct[Product_ID],DimProduct[Category])</f>
        <v>Beauty &amp; Personal Care</v>
      </c>
      <c r="O727" s="6">
        <f>_xlfn.XLOOKUP(FactSales[[#This Row],[Product_ID]],DimProduct[Product_ID],DimProduct[Unit_Price])</f>
        <v>1260</v>
      </c>
      <c r="P727" s="6">
        <f>_xlfn.XLOOKUP(FactSales[[#This Row],[Product_ID]],DimProduct[Product_ID],DimProduct[Unit_Cost])</f>
        <v>730</v>
      </c>
      <c r="Q727" s="6">
        <f>FactSales[[#This Row],[Unit_Price]]*FactSales[[#This Row],[Quantity_Sold]]</f>
        <v>12600</v>
      </c>
      <c r="R727" s="6">
        <f>FactSales[[#This Row],[Unit_Cost]]*FactSales[[#This Row],[Quantity_Sold]]</f>
        <v>7300</v>
      </c>
      <c r="S727" s="6">
        <f>FactSales[[#This Row],[Sales_Amount]]-FactSales[[#This Row],[Total_Cost]]</f>
        <v>5300</v>
      </c>
      <c r="T727" s="6" t="str">
        <f>_xlfn.XLOOKUP(FactSales[[#This Row],[Customer_ID]],DimCustomer[Customer_ID],DimCustomer[Customer_Name])</f>
        <v>Sajib Hossain</v>
      </c>
      <c r="U727" s="6" t="str">
        <f>_xlfn.XLOOKUP(FactSales[[#This Row],[Salesperson_ID]],DimSalesman[Salesperson_ID],DimSalesman[Salesperson_Name])</f>
        <v>Samiha Islam</v>
      </c>
      <c r="V727" s="6" t="str">
        <f>_xlfn.XLOOKUP(FactSales[[#This Row],[Region_ID]],DimRegion[Region_ID],DimRegion[Region_Name])</f>
        <v>Khulna</v>
      </c>
      <c r="W727" s="6" t="str">
        <f>_xlfn.XLOOKUP(FactSales[[#This Row],[Store_ID]],DimStore[Store_ID],DimStore[Store_Name])</f>
        <v>Khulna Daulatpur Store</v>
      </c>
    </row>
    <row r="728" spans="1:23">
      <c r="A728" s="4" t="s">
        <v>1724</v>
      </c>
      <c r="B728" s="5">
        <v>46035</v>
      </c>
      <c r="C728" s="4" t="s">
        <v>148</v>
      </c>
      <c r="D728" s="4" t="s">
        <v>32</v>
      </c>
      <c r="E728" s="4" t="s">
        <v>644</v>
      </c>
      <c r="F728" s="4" t="s">
        <v>931</v>
      </c>
      <c r="G728" s="4" t="s">
        <v>821</v>
      </c>
      <c r="H728" s="4">
        <v>2</v>
      </c>
      <c r="I728" s="7">
        <v>0.12</v>
      </c>
      <c r="J728" s="6">
        <v>3785</v>
      </c>
      <c r="K728" s="4">
        <v>5</v>
      </c>
      <c r="L728" s="8">
        <f t="shared" si="11"/>
        <v>3.3</v>
      </c>
      <c r="M728" s="6" t="str">
        <f>_xlfn.XLOOKUP(FactSales[[#This Row],[Product_ID]],DimProduct[Product_ID],DimProduct[Product_Name])</f>
        <v>Shampoo 375ml</v>
      </c>
      <c r="N728" s="6" t="str">
        <f>_xlfn.XLOOKUP(FactSales[[#This Row],[Product_ID]],DimProduct[Product_ID],DimProduct[Category])</f>
        <v>Beauty &amp; Personal Care</v>
      </c>
      <c r="O728" s="6">
        <f>_xlfn.XLOOKUP(FactSales[[#This Row],[Product_ID]],DimProduct[Product_ID],DimProduct[Unit_Price])</f>
        <v>1660</v>
      </c>
      <c r="P728" s="6">
        <f>_xlfn.XLOOKUP(FactSales[[#This Row],[Product_ID]],DimProduct[Product_ID],DimProduct[Unit_Cost])</f>
        <v>960</v>
      </c>
      <c r="Q728" s="6">
        <f>FactSales[[#This Row],[Unit_Price]]*FactSales[[#This Row],[Quantity_Sold]]</f>
        <v>3320</v>
      </c>
      <c r="R728" s="6">
        <f>FactSales[[#This Row],[Unit_Cost]]*FactSales[[#This Row],[Quantity_Sold]]</f>
        <v>1920</v>
      </c>
      <c r="S728" s="6">
        <f>FactSales[[#This Row],[Sales_Amount]]-FactSales[[#This Row],[Total_Cost]]</f>
        <v>1400</v>
      </c>
      <c r="T728" s="6" t="str">
        <f>_xlfn.XLOOKUP(FactSales[[#This Row],[Customer_ID]],DimCustomer[Customer_ID],DimCustomer[Customer_Name])</f>
        <v>Shaila Sultana</v>
      </c>
      <c r="U728" s="6" t="str">
        <f>_xlfn.XLOOKUP(FactSales[[#This Row],[Salesperson_ID]],DimSalesman[Salesperson_ID],DimSalesman[Salesperson_Name])</f>
        <v>Sadia Islam</v>
      </c>
      <c r="V728" s="6" t="str">
        <f>_xlfn.XLOOKUP(FactSales[[#This Row],[Region_ID]],DimRegion[Region_ID],DimRegion[Region_Name])</f>
        <v>Chattogram</v>
      </c>
      <c r="W728" s="6" t="str">
        <f>_xlfn.XLOOKUP(FactSales[[#This Row],[Store_ID]],DimStore[Store_ID],DimStore[Store_Name])</f>
        <v>Chattogram Panchlaish Store</v>
      </c>
    </row>
    <row r="729" spans="1:23">
      <c r="A729" s="4" t="s">
        <v>1725</v>
      </c>
      <c r="B729" s="5">
        <v>46022</v>
      </c>
      <c r="C729" s="4" t="s">
        <v>384</v>
      </c>
      <c r="D729" s="4" t="s">
        <v>47</v>
      </c>
      <c r="E729" s="4" t="s">
        <v>683</v>
      </c>
      <c r="F729" s="4" t="s">
        <v>958</v>
      </c>
      <c r="G729" s="4" t="s">
        <v>868</v>
      </c>
      <c r="H729" s="4">
        <v>2</v>
      </c>
      <c r="I729" s="7">
        <v>0.02</v>
      </c>
      <c r="J729" s="6">
        <v>741</v>
      </c>
      <c r="K729" s="4">
        <v>4</v>
      </c>
      <c r="L729" s="8">
        <f t="shared" si="11"/>
        <v>3.9</v>
      </c>
      <c r="M729" s="6" t="str">
        <f>_xlfn.XLOOKUP(FactSales[[#This Row],[Product_ID]],DimProduct[Product_ID],DimProduct[Product_Name])</f>
        <v>Ball Pen Box</v>
      </c>
      <c r="N729" s="6" t="str">
        <f>_xlfn.XLOOKUP(FactSales[[#This Row],[Product_ID]],DimProduct[Product_ID],DimProduct[Category])</f>
        <v>Stationery</v>
      </c>
      <c r="O729" s="6">
        <f>_xlfn.XLOOKUP(FactSales[[#This Row],[Product_ID]],DimProduct[Product_ID],DimProduct[Unit_Price])</f>
        <v>340</v>
      </c>
      <c r="P729" s="6">
        <f>_xlfn.XLOOKUP(FactSales[[#This Row],[Product_ID]],DimProduct[Product_ID],DimProduct[Unit_Cost])</f>
        <v>170</v>
      </c>
      <c r="Q729" s="6">
        <f>FactSales[[#This Row],[Unit_Price]]*FactSales[[#This Row],[Quantity_Sold]]</f>
        <v>680</v>
      </c>
      <c r="R729" s="6">
        <f>FactSales[[#This Row],[Unit_Cost]]*FactSales[[#This Row],[Quantity_Sold]]</f>
        <v>340</v>
      </c>
      <c r="S729" s="6">
        <f>FactSales[[#This Row],[Sales_Amount]]-FactSales[[#This Row],[Total_Cost]]</f>
        <v>340</v>
      </c>
      <c r="T729" s="6" t="str">
        <f>_xlfn.XLOOKUP(FactSales[[#This Row],[Customer_ID]],DimCustomer[Customer_ID],DimCustomer[Customer_Name])</f>
        <v>Rumana Islam</v>
      </c>
      <c r="U729" s="6" t="str">
        <f>_xlfn.XLOOKUP(FactSales[[#This Row],[Salesperson_ID]],DimSalesman[Salesperson_ID],DimSalesman[Salesperson_Name])</f>
        <v>Fahim Uddin</v>
      </c>
      <c r="V729" s="6" t="str">
        <f>_xlfn.XLOOKUP(FactSales[[#This Row],[Region_ID]],DimRegion[Region_ID],DimRegion[Region_Name])</f>
        <v>Khulna</v>
      </c>
      <c r="W729" s="6" t="str">
        <f>_xlfn.XLOOKUP(FactSales[[#This Row],[Store_ID]],DimStore[Store_ID],DimStore[Store_Name])</f>
        <v>Khulna Sonadanga Store</v>
      </c>
    </row>
    <row r="730" spans="1:23">
      <c r="A730" s="4" t="s">
        <v>1726</v>
      </c>
      <c r="B730" s="5">
        <v>45766</v>
      </c>
      <c r="C730" s="4" t="s">
        <v>354</v>
      </c>
      <c r="D730" s="4" t="s">
        <v>47</v>
      </c>
      <c r="E730" s="4" t="s">
        <v>695</v>
      </c>
      <c r="F730" s="4" t="s">
        <v>958</v>
      </c>
      <c r="G730" s="4" t="s">
        <v>903</v>
      </c>
      <c r="H730" s="4">
        <v>6</v>
      </c>
      <c r="I730" s="7">
        <v>0.1</v>
      </c>
      <c r="J730" s="6">
        <v>27664</v>
      </c>
      <c r="K730" s="4">
        <v>6</v>
      </c>
      <c r="L730" s="8">
        <f t="shared" si="11"/>
        <v>3.1</v>
      </c>
      <c r="M730" s="6" t="str">
        <f>_xlfn.XLOOKUP(FactSales[[#This Row],[Product_ID]],DimProduct[Product_ID],DimProduct[Product_Name])</f>
        <v>Bookshelf</v>
      </c>
      <c r="N730" s="6" t="str">
        <f>_xlfn.XLOOKUP(FactSales[[#This Row],[Product_ID]],DimProduct[Product_ID],DimProduct[Category])</f>
        <v>Furniture</v>
      </c>
      <c r="O730" s="6">
        <f>_xlfn.XLOOKUP(FactSales[[#This Row],[Product_ID]],DimProduct[Product_ID],DimProduct[Unit_Price])</f>
        <v>4230</v>
      </c>
      <c r="P730" s="6">
        <f>_xlfn.XLOOKUP(FactSales[[#This Row],[Product_ID]],DimProduct[Product_ID],DimProduct[Unit_Cost])</f>
        <v>3050</v>
      </c>
      <c r="Q730" s="6">
        <f>FactSales[[#This Row],[Unit_Price]]*FactSales[[#This Row],[Quantity_Sold]]</f>
        <v>25380</v>
      </c>
      <c r="R730" s="6">
        <f>FactSales[[#This Row],[Unit_Cost]]*FactSales[[#This Row],[Quantity_Sold]]</f>
        <v>18300</v>
      </c>
      <c r="S730" s="6">
        <f>FactSales[[#This Row],[Sales_Amount]]-FactSales[[#This Row],[Total_Cost]]</f>
        <v>7080</v>
      </c>
      <c r="T730" s="6" t="str">
        <f>_xlfn.XLOOKUP(FactSales[[#This Row],[Customer_ID]],DimCustomer[Customer_ID],DimCustomer[Customer_Name])</f>
        <v>Karim Mia</v>
      </c>
      <c r="U730" s="6" t="str">
        <f>_xlfn.XLOOKUP(FactSales[[#This Row],[Salesperson_ID]],DimSalesman[Salesperson_ID],DimSalesman[Salesperson_Name])</f>
        <v>Fahim Uddin</v>
      </c>
      <c r="V730" s="6" t="str">
        <f>_xlfn.XLOOKUP(FactSales[[#This Row],[Region_ID]],DimRegion[Region_ID],DimRegion[Region_Name])</f>
        <v>Khulna</v>
      </c>
      <c r="W730" s="6" t="str">
        <f>_xlfn.XLOOKUP(FactSales[[#This Row],[Store_ID]],DimStore[Store_ID],DimStore[Store_Name])</f>
        <v>Khulna Shibbari Store</v>
      </c>
    </row>
    <row r="731" spans="1:23">
      <c r="A731" s="4" t="s">
        <v>1727</v>
      </c>
      <c r="B731" s="5">
        <v>46062</v>
      </c>
      <c r="C731" s="4" t="s">
        <v>323</v>
      </c>
      <c r="D731" s="4" t="s">
        <v>42</v>
      </c>
      <c r="E731" s="4" t="s">
        <v>671</v>
      </c>
      <c r="F731" s="4" t="s">
        <v>945</v>
      </c>
      <c r="G731" s="4" t="s">
        <v>765</v>
      </c>
      <c r="H731" s="4">
        <v>1</v>
      </c>
      <c r="I731" s="7">
        <v>0.1</v>
      </c>
      <c r="J731" s="6">
        <v>5281</v>
      </c>
      <c r="K731" s="4">
        <v>4</v>
      </c>
      <c r="L731" s="8">
        <f t="shared" si="11"/>
        <v>3.7</v>
      </c>
      <c r="M731" s="6" t="str">
        <f>_xlfn.XLOOKUP(FactSales[[#This Row],[Product_ID]],DimProduct[Product_ID],DimProduct[Product_Name])</f>
        <v>USB-C Hub</v>
      </c>
      <c r="N731" s="6" t="str">
        <f>_xlfn.XLOOKUP(FactSales[[#This Row],[Product_ID]],DimProduct[Product_ID],DimProduct[Category])</f>
        <v>Electronics</v>
      </c>
      <c r="O731" s="6">
        <f>_xlfn.XLOOKUP(FactSales[[#This Row],[Product_ID]],DimProduct[Product_ID],DimProduct[Unit_Price])</f>
        <v>4890</v>
      </c>
      <c r="P731" s="6">
        <f>_xlfn.XLOOKUP(FactSales[[#This Row],[Product_ID]],DimProduct[Product_ID],DimProduct[Unit_Cost])</f>
        <v>3330</v>
      </c>
      <c r="Q731" s="6">
        <f>FactSales[[#This Row],[Unit_Price]]*FactSales[[#This Row],[Quantity_Sold]]</f>
        <v>4890</v>
      </c>
      <c r="R731" s="6">
        <f>FactSales[[#This Row],[Unit_Cost]]*FactSales[[#This Row],[Quantity_Sold]]</f>
        <v>3330</v>
      </c>
      <c r="S731" s="6">
        <f>FactSales[[#This Row],[Sales_Amount]]-FactSales[[#This Row],[Total_Cost]]</f>
        <v>1560</v>
      </c>
      <c r="T731" s="6" t="str">
        <f>_xlfn.XLOOKUP(FactSales[[#This Row],[Customer_ID]],DimCustomer[Customer_ID],DimCustomer[Customer_Name])</f>
        <v>Tania Mia</v>
      </c>
      <c r="U731" s="6" t="str">
        <f>_xlfn.XLOOKUP(FactSales[[#This Row],[Salesperson_ID]],DimSalesman[Salesperson_ID],DimSalesman[Salesperson_Name])</f>
        <v>Hasan Khan</v>
      </c>
      <c r="V731" s="6" t="str">
        <f>_xlfn.XLOOKUP(FactSales[[#This Row],[Region_ID]],DimRegion[Region_ID],DimRegion[Region_Name])</f>
        <v>Rajshahi</v>
      </c>
      <c r="W731" s="6" t="str">
        <f>_xlfn.XLOOKUP(FactSales[[#This Row],[Store_ID]],DimStore[Store_ID],DimStore[Store_Name])</f>
        <v>Rajshahi Kazla Store</v>
      </c>
    </row>
    <row r="732" spans="1:23">
      <c r="A732" s="4" t="s">
        <v>1728</v>
      </c>
      <c r="B732" s="5">
        <v>45843</v>
      </c>
      <c r="C732" s="4" t="s">
        <v>515</v>
      </c>
      <c r="D732" s="4" t="s">
        <v>57</v>
      </c>
      <c r="E732" s="4" t="s">
        <v>716</v>
      </c>
      <c r="F732" s="4" t="s">
        <v>974</v>
      </c>
      <c r="G732" s="4" t="s">
        <v>755</v>
      </c>
      <c r="H732" s="4">
        <v>2</v>
      </c>
      <c r="I732" s="7">
        <v>0.1</v>
      </c>
      <c r="J732" s="6">
        <v>7682</v>
      </c>
      <c r="K732" s="4">
        <v>7</v>
      </c>
      <c r="L732" s="8">
        <f t="shared" si="11"/>
        <v>2.7</v>
      </c>
      <c r="M732" s="6" t="str">
        <f>_xlfn.XLOOKUP(FactSales[[#This Row],[Product_ID]],DimProduct[Product_ID],DimProduct[Product_Name])</f>
        <v>Wireless Mouse</v>
      </c>
      <c r="N732" s="6" t="str">
        <f>_xlfn.XLOOKUP(FactSales[[#This Row],[Product_ID]],DimProduct[Product_ID],DimProduct[Category])</f>
        <v>Electronics</v>
      </c>
      <c r="O732" s="6">
        <f>_xlfn.XLOOKUP(FactSales[[#This Row],[Product_ID]],DimProduct[Product_ID],DimProduct[Unit_Price])</f>
        <v>3340</v>
      </c>
      <c r="P732" s="6">
        <f>_xlfn.XLOOKUP(FactSales[[#This Row],[Product_ID]],DimProduct[Product_ID],DimProduct[Unit_Cost])</f>
        <v>2270</v>
      </c>
      <c r="Q732" s="6">
        <f>FactSales[[#This Row],[Unit_Price]]*FactSales[[#This Row],[Quantity_Sold]]</f>
        <v>6680</v>
      </c>
      <c r="R732" s="6">
        <f>FactSales[[#This Row],[Unit_Cost]]*FactSales[[#This Row],[Quantity_Sold]]</f>
        <v>4540</v>
      </c>
      <c r="S732" s="6">
        <f>FactSales[[#This Row],[Sales_Amount]]-FactSales[[#This Row],[Total_Cost]]</f>
        <v>2140</v>
      </c>
      <c r="T732" s="6" t="str">
        <f>_xlfn.XLOOKUP(FactSales[[#This Row],[Customer_ID]],DimCustomer[Customer_ID],DimCustomer[Customer_Name])</f>
        <v>Rumana Hossain</v>
      </c>
      <c r="U732" s="6" t="str">
        <f>_xlfn.XLOOKUP(FactSales[[#This Row],[Salesperson_ID]],DimSalesman[Salesperson_ID],DimSalesman[Salesperson_Name])</f>
        <v>Farhana Uddin</v>
      </c>
      <c r="V732" s="6" t="str">
        <f>_xlfn.XLOOKUP(FactSales[[#This Row],[Region_ID]],DimRegion[Region_ID],DimRegion[Region_Name])</f>
        <v>Rangpur</v>
      </c>
      <c r="W732" s="6" t="str">
        <f>_xlfn.XLOOKUP(FactSales[[#This Row],[Store_ID]],DimStore[Store_ID],DimStore[Store_Name])</f>
        <v>Rangpur Shapla Chattar Store</v>
      </c>
    </row>
    <row r="733" spans="1:23">
      <c r="A733" s="4" t="s">
        <v>1729</v>
      </c>
      <c r="B733" s="5">
        <v>45839</v>
      </c>
      <c r="C733" s="4" t="s">
        <v>273</v>
      </c>
      <c r="D733" s="4" t="s">
        <v>37</v>
      </c>
      <c r="E733" s="4" t="s">
        <v>659</v>
      </c>
      <c r="F733" s="4" t="s">
        <v>932</v>
      </c>
      <c r="G733" s="4" t="s">
        <v>773</v>
      </c>
      <c r="H733" s="4">
        <v>5</v>
      </c>
      <c r="I733" s="7">
        <v>0.18</v>
      </c>
      <c r="J733" s="6">
        <v>39750</v>
      </c>
      <c r="K733" s="4">
        <v>7</v>
      </c>
      <c r="L733" s="8">
        <f t="shared" si="11"/>
        <v>2.6</v>
      </c>
      <c r="M733" s="6" t="str">
        <f>_xlfn.XLOOKUP(FactSales[[#This Row],[Product_ID]],DimProduct[Product_ID],DimProduct[Product_Name])</f>
        <v>Rice Cooker</v>
      </c>
      <c r="N733" s="6" t="str">
        <f>_xlfn.XLOOKUP(FactSales[[#This Row],[Product_ID]],DimProduct[Product_ID],DimProduct[Category])</f>
        <v>Home Appliance</v>
      </c>
      <c r="O733" s="6">
        <f>_xlfn.XLOOKUP(FactSales[[#This Row],[Product_ID]],DimProduct[Product_ID],DimProduct[Unit_Price])</f>
        <v>7430</v>
      </c>
      <c r="P733" s="6">
        <f>_xlfn.XLOOKUP(FactSales[[#This Row],[Product_ID]],DimProduct[Product_ID],DimProduct[Unit_Cost])</f>
        <v>5200</v>
      </c>
      <c r="Q733" s="6">
        <f>FactSales[[#This Row],[Unit_Price]]*FactSales[[#This Row],[Quantity_Sold]]</f>
        <v>37150</v>
      </c>
      <c r="R733" s="6">
        <f>FactSales[[#This Row],[Unit_Cost]]*FactSales[[#This Row],[Quantity_Sold]]</f>
        <v>26000</v>
      </c>
      <c r="S733" s="6">
        <f>FactSales[[#This Row],[Sales_Amount]]-FactSales[[#This Row],[Total_Cost]]</f>
        <v>11150</v>
      </c>
      <c r="T733" s="6" t="str">
        <f>_xlfn.XLOOKUP(FactSales[[#This Row],[Customer_ID]],DimCustomer[Customer_ID],DimCustomer[Customer_Name])</f>
        <v>Imran Chowdhury</v>
      </c>
      <c r="U733" s="6" t="str">
        <f>_xlfn.XLOOKUP(FactSales[[#This Row],[Salesperson_ID]],DimSalesman[Salesperson_ID],DimSalesman[Salesperson_Name])</f>
        <v>Morshed Chowdhury</v>
      </c>
      <c r="V733" s="6" t="str">
        <f>_xlfn.XLOOKUP(FactSales[[#This Row],[Region_ID]],DimRegion[Region_ID],DimRegion[Region_Name])</f>
        <v>Sylhet</v>
      </c>
      <c r="W733" s="6" t="str">
        <f>_xlfn.XLOOKUP(FactSales[[#This Row],[Store_ID]],DimStore[Store_ID],DimStore[Store_Name])</f>
        <v>Sylhet South Surma Store</v>
      </c>
    </row>
    <row r="734" spans="1:23">
      <c r="A734" s="4" t="s">
        <v>1730</v>
      </c>
      <c r="B734" s="5">
        <v>46123</v>
      </c>
      <c r="C734" s="4" t="s">
        <v>292</v>
      </c>
      <c r="D734" s="4" t="s">
        <v>42</v>
      </c>
      <c r="E734" s="4" t="s">
        <v>671</v>
      </c>
      <c r="F734" s="4" t="s">
        <v>943</v>
      </c>
      <c r="G734" s="4" t="s">
        <v>784</v>
      </c>
      <c r="H734" s="4">
        <v>7</v>
      </c>
      <c r="I734" s="7">
        <v>0.03</v>
      </c>
      <c r="J734" s="6">
        <v>14137</v>
      </c>
      <c r="K734" s="4">
        <v>4</v>
      </c>
      <c r="L734" s="8">
        <f t="shared" si="11"/>
        <v>3.9</v>
      </c>
      <c r="M734" s="6" t="str">
        <f>_xlfn.XLOOKUP(FactSales[[#This Row],[Product_ID]],DimProduct[Product_ID],DimProduct[Product_Name])</f>
        <v>Cotton T-Shirt</v>
      </c>
      <c r="N734" s="6" t="str">
        <f>_xlfn.XLOOKUP(FactSales[[#This Row],[Product_ID]],DimProduct[Product_ID],DimProduct[Category])</f>
        <v>Fashion</v>
      </c>
      <c r="O734" s="6">
        <f>_xlfn.XLOOKUP(FactSales[[#This Row],[Product_ID]],DimProduct[Product_ID],DimProduct[Unit_Price])</f>
        <v>1870</v>
      </c>
      <c r="P734" s="6">
        <f>_xlfn.XLOOKUP(FactSales[[#This Row],[Product_ID]],DimProduct[Product_ID],DimProduct[Unit_Cost])</f>
        <v>1030</v>
      </c>
      <c r="Q734" s="6">
        <f>FactSales[[#This Row],[Unit_Price]]*FactSales[[#This Row],[Quantity_Sold]]</f>
        <v>13090</v>
      </c>
      <c r="R734" s="6">
        <f>FactSales[[#This Row],[Unit_Cost]]*FactSales[[#This Row],[Quantity_Sold]]</f>
        <v>7210</v>
      </c>
      <c r="S734" s="6">
        <f>FactSales[[#This Row],[Sales_Amount]]-FactSales[[#This Row],[Total_Cost]]</f>
        <v>5880</v>
      </c>
      <c r="T734" s="6" t="str">
        <f>_xlfn.XLOOKUP(FactSales[[#This Row],[Customer_ID]],DimCustomer[Customer_ID],DimCustomer[Customer_Name])</f>
        <v>Morshed Rahman</v>
      </c>
      <c r="U734" s="6" t="str">
        <f>_xlfn.XLOOKUP(FactSales[[#This Row],[Salesperson_ID]],DimSalesman[Salesperson_ID],DimSalesman[Salesperson_Name])</f>
        <v>Imran Khan</v>
      </c>
      <c r="V734" s="6" t="str">
        <f>_xlfn.XLOOKUP(FactSales[[#This Row],[Region_ID]],DimRegion[Region_ID],DimRegion[Region_Name])</f>
        <v>Rajshahi</v>
      </c>
      <c r="W734" s="6" t="str">
        <f>_xlfn.XLOOKUP(FactSales[[#This Row],[Store_ID]],DimStore[Store_ID],DimStore[Store_Name])</f>
        <v>Rajshahi Kazla Store</v>
      </c>
    </row>
    <row r="735" spans="1:23">
      <c r="A735" s="4" t="s">
        <v>1731</v>
      </c>
      <c r="B735" s="5">
        <v>45770</v>
      </c>
      <c r="C735" s="4" t="s">
        <v>130</v>
      </c>
      <c r="D735" s="4" t="s">
        <v>27</v>
      </c>
      <c r="E735" s="4" t="s">
        <v>618</v>
      </c>
      <c r="F735" s="4" t="s">
        <v>918</v>
      </c>
      <c r="G735" s="4" t="s">
        <v>778</v>
      </c>
      <c r="H735" s="4">
        <v>7</v>
      </c>
      <c r="I735" s="7">
        <v>0.08</v>
      </c>
      <c r="J735" s="6">
        <v>33835</v>
      </c>
      <c r="K735" s="4">
        <v>3</v>
      </c>
      <c r="L735" s="8">
        <f t="shared" si="11"/>
        <v>4.0999999999999996</v>
      </c>
      <c r="M735" s="6" t="str">
        <f>_xlfn.XLOOKUP(FactSales[[#This Row],[Product_ID]],DimProduct[Product_ID],DimProduct[Product_Name])</f>
        <v>Steam Iron</v>
      </c>
      <c r="N735" s="6" t="str">
        <f>_xlfn.XLOOKUP(FactSales[[#This Row],[Product_ID]],DimProduct[Product_ID],DimProduct[Category])</f>
        <v>Home Appliance</v>
      </c>
      <c r="O735" s="6">
        <f>_xlfn.XLOOKUP(FactSales[[#This Row],[Product_ID]],DimProduct[Product_ID],DimProduct[Unit_Price])</f>
        <v>4560</v>
      </c>
      <c r="P735" s="6">
        <f>_xlfn.XLOOKUP(FactSales[[#This Row],[Product_ID]],DimProduct[Product_ID],DimProduct[Unit_Cost])</f>
        <v>3190</v>
      </c>
      <c r="Q735" s="6">
        <f>FactSales[[#This Row],[Unit_Price]]*FactSales[[#This Row],[Quantity_Sold]]</f>
        <v>31920</v>
      </c>
      <c r="R735" s="6">
        <f>FactSales[[#This Row],[Unit_Cost]]*FactSales[[#This Row],[Quantity_Sold]]</f>
        <v>22330</v>
      </c>
      <c r="S735" s="6">
        <f>FactSales[[#This Row],[Sales_Amount]]-FactSales[[#This Row],[Total_Cost]]</f>
        <v>9590</v>
      </c>
      <c r="T735" s="6" t="str">
        <f>_xlfn.XLOOKUP(FactSales[[#This Row],[Customer_ID]],DimCustomer[Customer_ID],DimCustomer[Customer_Name])</f>
        <v>Tanjim Ahmed</v>
      </c>
      <c r="U735" s="6" t="str">
        <f>_xlfn.XLOOKUP(FactSales[[#This Row],[Salesperson_ID]],DimSalesman[Salesperson_ID],DimSalesman[Salesperson_Name])</f>
        <v>Tania Sultana</v>
      </c>
      <c r="V735" s="6" t="str">
        <f>_xlfn.XLOOKUP(FactSales[[#This Row],[Region_ID]],DimRegion[Region_ID],DimRegion[Region_Name])</f>
        <v>Dhaka</v>
      </c>
      <c r="W735" s="6" t="str">
        <f>_xlfn.XLOOKUP(FactSales[[#This Row],[Store_ID]],DimStore[Store_ID],DimStore[Store_Name])</f>
        <v>Dhaka Gulshan Store</v>
      </c>
    </row>
    <row r="736" spans="1:23">
      <c r="A736" s="4" t="s">
        <v>1732</v>
      </c>
      <c r="B736" s="5">
        <v>45671</v>
      </c>
      <c r="C736" s="4" t="s">
        <v>237</v>
      </c>
      <c r="D736" s="4" t="s">
        <v>37</v>
      </c>
      <c r="E736" s="4" t="s">
        <v>653</v>
      </c>
      <c r="F736" s="4" t="s">
        <v>936</v>
      </c>
      <c r="G736" s="4" t="s">
        <v>758</v>
      </c>
      <c r="H736" s="4">
        <v>4</v>
      </c>
      <c r="I736" s="7">
        <v>0.08</v>
      </c>
      <c r="J736" s="6">
        <v>12155</v>
      </c>
      <c r="K736" s="4">
        <v>4</v>
      </c>
      <c r="L736" s="8">
        <f t="shared" si="11"/>
        <v>3.7</v>
      </c>
      <c r="M736" s="6" t="str">
        <f>_xlfn.XLOOKUP(FactSales[[#This Row],[Product_ID]],DimProduct[Product_ID],DimProduct[Product_Name])</f>
        <v>Power Bank</v>
      </c>
      <c r="N736" s="6" t="str">
        <f>_xlfn.XLOOKUP(FactSales[[#This Row],[Product_ID]],DimProduct[Product_ID],DimProduct[Category])</f>
        <v>Electronics</v>
      </c>
      <c r="O736" s="6">
        <f>_xlfn.XLOOKUP(FactSales[[#This Row],[Product_ID]],DimProduct[Product_ID],DimProduct[Unit_Price])</f>
        <v>2840</v>
      </c>
      <c r="P736" s="6">
        <f>_xlfn.XLOOKUP(FactSales[[#This Row],[Product_ID]],DimProduct[Product_ID],DimProduct[Unit_Cost])</f>
        <v>1930</v>
      </c>
      <c r="Q736" s="6">
        <f>FactSales[[#This Row],[Unit_Price]]*FactSales[[#This Row],[Quantity_Sold]]</f>
        <v>11360</v>
      </c>
      <c r="R736" s="6">
        <f>FactSales[[#This Row],[Unit_Cost]]*FactSales[[#This Row],[Quantity_Sold]]</f>
        <v>7720</v>
      </c>
      <c r="S736" s="6">
        <f>FactSales[[#This Row],[Sales_Amount]]-FactSales[[#This Row],[Total_Cost]]</f>
        <v>3640</v>
      </c>
      <c r="T736" s="6" t="str">
        <f>_xlfn.XLOOKUP(FactSales[[#This Row],[Customer_ID]],DimCustomer[Customer_ID],DimCustomer[Customer_Name])</f>
        <v>Morshed Hossain</v>
      </c>
      <c r="U736" s="6" t="str">
        <f>_xlfn.XLOOKUP(FactSales[[#This Row],[Salesperson_ID]],DimSalesman[Salesperson_ID],DimSalesman[Salesperson_Name])</f>
        <v>Mehedi Chowdhury</v>
      </c>
      <c r="V736" s="6" t="str">
        <f>_xlfn.XLOOKUP(FactSales[[#This Row],[Region_ID]],DimRegion[Region_ID],DimRegion[Region_Name])</f>
        <v>Sylhet</v>
      </c>
      <c r="W736" s="6" t="str">
        <f>_xlfn.XLOOKUP(FactSales[[#This Row],[Store_ID]],DimStore[Store_ID],DimStore[Store_Name])</f>
        <v>Sylhet Zindabazar Store</v>
      </c>
    </row>
    <row r="737" spans="1:23">
      <c r="A737" s="4" t="s">
        <v>1733</v>
      </c>
      <c r="B737" s="5">
        <v>46112</v>
      </c>
      <c r="C737" s="4" t="s">
        <v>480</v>
      </c>
      <c r="D737" s="4" t="s">
        <v>52</v>
      </c>
      <c r="E737" s="4" t="s">
        <v>698</v>
      </c>
      <c r="F737" s="4" t="s">
        <v>961</v>
      </c>
      <c r="G737" s="4" t="s">
        <v>758</v>
      </c>
      <c r="H737" s="4">
        <v>6</v>
      </c>
      <c r="I737" s="7">
        <v>0.12</v>
      </c>
      <c r="J737" s="6">
        <v>19085</v>
      </c>
      <c r="K737" s="4">
        <v>5</v>
      </c>
      <c r="L737" s="8">
        <f t="shared" si="11"/>
        <v>3.3</v>
      </c>
      <c r="M737" s="6" t="str">
        <f>_xlfn.XLOOKUP(FactSales[[#This Row],[Product_ID]],DimProduct[Product_ID],DimProduct[Product_Name])</f>
        <v>Power Bank</v>
      </c>
      <c r="N737" s="6" t="str">
        <f>_xlfn.XLOOKUP(FactSales[[#This Row],[Product_ID]],DimProduct[Product_ID],DimProduct[Category])</f>
        <v>Electronics</v>
      </c>
      <c r="O737" s="6">
        <f>_xlfn.XLOOKUP(FactSales[[#This Row],[Product_ID]],DimProduct[Product_ID],DimProduct[Unit_Price])</f>
        <v>2840</v>
      </c>
      <c r="P737" s="6">
        <f>_xlfn.XLOOKUP(FactSales[[#This Row],[Product_ID]],DimProduct[Product_ID],DimProduct[Unit_Cost])</f>
        <v>1930</v>
      </c>
      <c r="Q737" s="6">
        <f>FactSales[[#This Row],[Unit_Price]]*FactSales[[#This Row],[Quantity_Sold]]</f>
        <v>17040</v>
      </c>
      <c r="R737" s="6">
        <f>FactSales[[#This Row],[Unit_Cost]]*FactSales[[#This Row],[Quantity_Sold]]</f>
        <v>11580</v>
      </c>
      <c r="S737" s="6">
        <f>FactSales[[#This Row],[Sales_Amount]]-FactSales[[#This Row],[Total_Cost]]</f>
        <v>5460</v>
      </c>
      <c r="T737" s="6" t="str">
        <f>_xlfn.XLOOKUP(FactSales[[#This Row],[Customer_ID]],DimCustomer[Customer_ID],DimCustomer[Customer_Name])</f>
        <v>Rasel Sultana</v>
      </c>
      <c r="U737" s="6" t="str">
        <f>_xlfn.XLOOKUP(FactSales[[#This Row],[Salesperson_ID]],DimSalesman[Salesperson_ID],DimSalesman[Salesperson_Name])</f>
        <v>Shaila Akter</v>
      </c>
      <c r="V737" s="6" t="str">
        <f>_xlfn.XLOOKUP(FactSales[[#This Row],[Region_ID]],DimRegion[Region_ID],DimRegion[Region_Name])</f>
        <v>Barishal</v>
      </c>
      <c r="W737" s="6" t="str">
        <f>_xlfn.XLOOKUP(FactSales[[#This Row],[Store_ID]],DimStore[Store_ID],DimStore[Store_Name])</f>
        <v>Barishal Nathullabad Store</v>
      </c>
    </row>
    <row r="738" spans="1:23">
      <c r="A738" s="4" t="s">
        <v>1734</v>
      </c>
      <c r="B738" s="5">
        <v>45931</v>
      </c>
      <c r="C738" s="4" t="s">
        <v>562</v>
      </c>
      <c r="D738" s="4" t="s">
        <v>62</v>
      </c>
      <c r="E738" s="4" t="s">
        <v>731</v>
      </c>
      <c r="F738" s="4" t="s">
        <v>978</v>
      </c>
      <c r="G738" s="4" t="s">
        <v>808</v>
      </c>
      <c r="H738" s="4">
        <v>3</v>
      </c>
      <c r="I738" s="7">
        <v>0</v>
      </c>
      <c r="J738" s="6">
        <v>5540</v>
      </c>
      <c r="K738" s="4">
        <v>5</v>
      </c>
      <c r="L738" s="8">
        <f t="shared" si="11"/>
        <v>3.6</v>
      </c>
      <c r="M738" s="6" t="str">
        <f>_xlfn.XLOOKUP(FactSales[[#This Row],[Product_ID]],DimProduct[Product_ID],DimProduct[Product_Name])</f>
        <v>Lentil 1kg</v>
      </c>
      <c r="N738" s="6" t="str">
        <f>_xlfn.XLOOKUP(FactSales[[#This Row],[Product_ID]],DimProduct[Product_ID],DimProduct[Category])</f>
        <v>Grocery</v>
      </c>
      <c r="O738" s="6">
        <f>_xlfn.XLOOKUP(FactSales[[#This Row],[Product_ID]],DimProduct[Product_ID],DimProduct[Unit_Price])</f>
        <v>1710</v>
      </c>
      <c r="P738" s="6">
        <f>_xlfn.XLOOKUP(FactSales[[#This Row],[Product_ID]],DimProduct[Product_ID],DimProduct[Unit_Cost])</f>
        <v>1330</v>
      </c>
      <c r="Q738" s="6">
        <f>FactSales[[#This Row],[Unit_Price]]*FactSales[[#This Row],[Quantity_Sold]]</f>
        <v>5130</v>
      </c>
      <c r="R738" s="6">
        <f>FactSales[[#This Row],[Unit_Cost]]*FactSales[[#This Row],[Quantity_Sold]]</f>
        <v>3990</v>
      </c>
      <c r="S738" s="6">
        <f>FactSales[[#This Row],[Sales_Amount]]-FactSales[[#This Row],[Total_Cost]]</f>
        <v>1140</v>
      </c>
      <c r="T738" s="6" t="str">
        <f>_xlfn.XLOOKUP(FactSales[[#This Row],[Customer_ID]],DimCustomer[Customer_ID],DimCustomer[Customer_Name])</f>
        <v>Shamim Hossain</v>
      </c>
      <c r="U738" s="6" t="str">
        <f>_xlfn.XLOOKUP(FactSales[[#This Row],[Salesperson_ID]],DimSalesman[Salesperson_ID],DimSalesman[Salesperson_Name])</f>
        <v>Sajib Rahman</v>
      </c>
      <c r="V738" s="6" t="str">
        <f>_xlfn.XLOOKUP(FactSales[[#This Row],[Region_ID]],DimRegion[Region_ID],DimRegion[Region_Name])</f>
        <v>Mymensingh</v>
      </c>
      <c r="W738" s="6" t="str">
        <f>_xlfn.XLOOKUP(FactSales[[#This Row],[Store_ID]],DimStore[Store_ID],DimStore[Store_Name])</f>
        <v>Mymensingh Town Hall Store</v>
      </c>
    </row>
    <row r="739" spans="1:23">
      <c r="A739" s="4" t="s">
        <v>1735</v>
      </c>
      <c r="B739" s="5">
        <v>45887</v>
      </c>
      <c r="C739" s="4" t="s">
        <v>363</v>
      </c>
      <c r="D739" s="4" t="s">
        <v>47</v>
      </c>
      <c r="E739" s="4" t="s">
        <v>695</v>
      </c>
      <c r="F739" s="4" t="s">
        <v>955</v>
      </c>
      <c r="G739" s="4" t="s">
        <v>758</v>
      </c>
      <c r="H739" s="4">
        <v>1</v>
      </c>
      <c r="I739" s="7">
        <v>0.15</v>
      </c>
      <c r="J739" s="6">
        <v>3096</v>
      </c>
      <c r="K739" s="4">
        <v>3</v>
      </c>
      <c r="L739" s="8">
        <f t="shared" si="11"/>
        <v>3.9</v>
      </c>
      <c r="M739" s="6" t="str">
        <f>_xlfn.XLOOKUP(FactSales[[#This Row],[Product_ID]],DimProduct[Product_ID],DimProduct[Product_Name])</f>
        <v>Power Bank</v>
      </c>
      <c r="N739" s="6" t="str">
        <f>_xlfn.XLOOKUP(FactSales[[#This Row],[Product_ID]],DimProduct[Product_ID],DimProduct[Category])</f>
        <v>Electronics</v>
      </c>
      <c r="O739" s="6">
        <f>_xlfn.XLOOKUP(FactSales[[#This Row],[Product_ID]],DimProduct[Product_ID],DimProduct[Unit_Price])</f>
        <v>2840</v>
      </c>
      <c r="P739" s="6">
        <f>_xlfn.XLOOKUP(FactSales[[#This Row],[Product_ID]],DimProduct[Product_ID],DimProduct[Unit_Cost])</f>
        <v>1930</v>
      </c>
      <c r="Q739" s="6">
        <f>FactSales[[#This Row],[Unit_Price]]*FactSales[[#This Row],[Quantity_Sold]]</f>
        <v>2840</v>
      </c>
      <c r="R739" s="6">
        <f>FactSales[[#This Row],[Unit_Cost]]*FactSales[[#This Row],[Quantity_Sold]]</f>
        <v>1930</v>
      </c>
      <c r="S739" s="6">
        <f>FactSales[[#This Row],[Sales_Amount]]-FactSales[[#This Row],[Total_Cost]]</f>
        <v>910</v>
      </c>
      <c r="T739" s="6" t="str">
        <f>_xlfn.XLOOKUP(FactSales[[#This Row],[Customer_ID]],DimCustomer[Customer_ID],DimCustomer[Customer_Name])</f>
        <v>Rasel Akter</v>
      </c>
      <c r="U739" s="6" t="str">
        <f>_xlfn.XLOOKUP(FactSales[[#This Row],[Salesperson_ID]],DimSalesman[Salesperson_ID],DimSalesman[Salesperson_Name])</f>
        <v>Tania Chowdhury</v>
      </c>
      <c r="V739" s="6" t="str">
        <f>_xlfn.XLOOKUP(FactSales[[#This Row],[Region_ID]],DimRegion[Region_ID],DimRegion[Region_Name])</f>
        <v>Khulna</v>
      </c>
      <c r="W739" s="6" t="str">
        <f>_xlfn.XLOOKUP(FactSales[[#This Row],[Store_ID]],DimStore[Store_ID],DimStore[Store_Name])</f>
        <v>Khulna Shibbari Store</v>
      </c>
    </row>
    <row r="740" spans="1:23">
      <c r="A740" s="4" t="s">
        <v>1736</v>
      </c>
      <c r="B740" s="5">
        <v>46051</v>
      </c>
      <c r="C740" s="4" t="s">
        <v>498</v>
      </c>
      <c r="D740" s="4" t="s">
        <v>57</v>
      </c>
      <c r="E740" s="4" t="s">
        <v>719</v>
      </c>
      <c r="F740" s="4" t="s">
        <v>977</v>
      </c>
      <c r="G740" s="4" t="s">
        <v>768</v>
      </c>
      <c r="H740" s="4">
        <v>4</v>
      </c>
      <c r="I740" s="7">
        <v>0.08</v>
      </c>
      <c r="J740" s="6">
        <v>33120</v>
      </c>
      <c r="K740" s="4">
        <v>2</v>
      </c>
      <c r="L740" s="8">
        <f t="shared" si="11"/>
        <v>4.4000000000000004</v>
      </c>
      <c r="M740" s="6" t="str">
        <f>_xlfn.XLOOKUP(FactSales[[#This Row],[Product_ID]],DimProduct[Product_ID],DimProduct[Product_Name])</f>
        <v>Electric Kettle</v>
      </c>
      <c r="N740" s="6" t="str">
        <f>_xlfn.XLOOKUP(FactSales[[#This Row],[Product_ID]],DimProduct[Product_ID],DimProduct[Category])</f>
        <v>Home Appliance</v>
      </c>
      <c r="O740" s="6">
        <f>_xlfn.XLOOKUP(FactSales[[#This Row],[Product_ID]],DimProduct[Product_ID],DimProduct[Unit_Price])</f>
        <v>7200</v>
      </c>
      <c r="P740" s="6">
        <f>_xlfn.XLOOKUP(FactSales[[#This Row],[Product_ID]],DimProduct[Product_ID],DimProduct[Unit_Cost])</f>
        <v>5040</v>
      </c>
      <c r="Q740" s="6">
        <f>FactSales[[#This Row],[Unit_Price]]*FactSales[[#This Row],[Quantity_Sold]]</f>
        <v>28800</v>
      </c>
      <c r="R740" s="6">
        <f>FactSales[[#This Row],[Unit_Cost]]*FactSales[[#This Row],[Quantity_Sold]]</f>
        <v>20160</v>
      </c>
      <c r="S740" s="6">
        <f>FactSales[[#This Row],[Sales_Amount]]-FactSales[[#This Row],[Total_Cost]]</f>
        <v>8640</v>
      </c>
      <c r="T740" s="6" t="str">
        <f>_xlfn.XLOOKUP(FactSales[[#This Row],[Customer_ID]],DimCustomer[Customer_ID],DimCustomer[Customer_Name])</f>
        <v>Shakib Mia</v>
      </c>
      <c r="U740" s="6" t="str">
        <f>_xlfn.XLOOKUP(FactSales[[#This Row],[Salesperson_ID]],DimSalesman[Salesperson_ID],DimSalesman[Salesperson_Name])</f>
        <v>Tania Hossain</v>
      </c>
      <c r="V740" s="6" t="str">
        <f>_xlfn.XLOOKUP(FactSales[[#This Row],[Region_ID]],DimRegion[Region_ID],DimRegion[Region_Name])</f>
        <v>Rangpur</v>
      </c>
      <c r="W740" s="6" t="str">
        <f>_xlfn.XLOOKUP(FactSales[[#This Row],[Store_ID]],DimStore[Store_ID],DimStore[Store_Name])</f>
        <v>Rangpur Modern More Store</v>
      </c>
    </row>
    <row r="741" spans="1:23">
      <c r="A741" s="4" t="s">
        <v>1737</v>
      </c>
      <c r="B741" s="5">
        <v>45999</v>
      </c>
      <c r="C741" s="4" t="s">
        <v>295</v>
      </c>
      <c r="D741" s="4" t="s">
        <v>42</v>
      </c>
      <c r="E741" s="4" t="s">
        <v>674</v>
      </c>
      <c r="F741" s="4" t="s">
        <v>945</v>
      </c>
      <c r="G741" s="4" t="s">
        <v>755</v>
      </c>
      <c r="H741" s="4">
        <v>1</v>
      </c>
      <c r="I741" s="7">
        <v>0.08</v>
      </c>
      <c r="J741" s="6">
        <v>3607</v>
      </c>
      <c r="K741" s="4">
        <v>4</v>
      </c>
      <c r="L741" s="8">
        <f t="shared" si="11"/>
        <v>3.7</v>
      </c>
      <c r="M741" s="6" t="str">
        <f>_xlfn.XLOOKUP(FactSales[[#This Row],[Product_ID]],DimProduct[Product_ID],DimProduct[Product_Name])</f>
        <v>Wireless Mouse</v>
      </c>
      <c r="N741" s="6" t="str">
        <f>_xlfn.XLOOKUP(FactSales[[#This Row],[Product_ID]],DimProduct[Product_ID],DimProduct[Category])</f>
        <v>Electronics</v>
      </c>
      <c r="O741" s="6">
        <f>_xlfn.XLOOKUP(FactSales[[#This Row],[Product_ID]],DimProduct[Product_ID],DimProduct[Unit_Price])</f>
        <v>3340</v>
      </c>
      <c r="P741" s="6">
        <f>_xlfn.XLOOKUP(FactSales[[#This Row],[Product_ID]],DimProduct[Product_ID],DimProduct[Unit_Cost])</f>
        <v>2270</v>
      </c>
      <c r="Q741" s="6">
        <f>FactSales[[#This Row],[Unit_Price]]*FactSales[[#This Row],[Quantity_Sold]]</f>
        <v>3340</v>
      </c>
      <c r="R741" s="6">
        <f>FactSales[[#This Row],[Unit_Cost]]*FactSales[[#This Row],[Quantity_Sold]]</f>
        <v>2270</v>
      </c>
      <c r="S741" s="6">
        <f>FactSales[[#This Row],[Sales_Amount]]-FactSales[[#This Row],[Total_Cost]]</f>
        <v>1070</v>
      </c>
      <c r="T741" s="6" t="str">
        <f>_xlfn.XLOOKUP(FactSales[[#This Row],[Customer_ID]],DimCustomer[Customer_ID],DimCustomer[Customer_Name])</f>
        <v>Jannat Islam</v>
      </c>
      <c r="U741" s="6" t="str">
        <f>_xlfn.XLOOKUP(FactSales[[#This Row],[Salesperson_ID]],DimSalesman[Salesperson_ID],DimSalesman[Salesperson_Name])</f>
        <v>Hasan Khan</v>
      </c>
      <c r="V741" s="6" t="str">
        <f>_xlfn.XLOOKUP(FactSales[[#This Row],[Region_ID]],DimRegion[Region_ID],DimRegion[Region_Name])</f>
        <v>Rajshahi</v>
      </c>
      <c r="W741" s="6" t="str">
        <f>_xlfn.XLOOKUP(FactSales[[#This Row],[Store_ID]],DimStore[Store_ID],DimStore[Store_Name])</f>
        <v>Rajshahi Uposhohor Store</v>
      </c>
    </row>
    <row r="742" spans="1:23">
      <c r="A742" s="4" t="s">
        <v>1738</v>
      </c>
      <c r="B742" s="5">
        <v>45843</v>
      </c>
      <c r="C742" s="4" t="s">
        <v>231</v>
      </c>
      <c r="D742" s="4" t="s">
        <v>37</v>
      </c>
      <c r="E742" s="4" t="s">
        <v>662</v>
      </c>
      <c r="F742" s="4" t="s">
        <v>939</v>
      </c>
      <c r="G742" s="4" t="s">
        <v>775</v>
      </c>
      <c r="H742" s="4">
        <v>3</v>
      </c>
      <c r="I742" s="7">
        <v>0.1</v>
      </c>
      <c r="J742" s="6">
        <v>7800</v>
      </c>
      <c r="K742" s="4">
        <v>7</v>
      </c>
      <c r="L742" s="8">
        <f t="shared" si="11"/>
        <v>2.7</v>
      </c>
      <c r="M742" s="6" t="str">
        <f>_xlfn.XLOOKUP(FactSales[[#This Row],[Product_ID]],DimProduct[Product_ID],DimProduct[Product_Name])</f>
        <v>Blender Machine</v>
      </c>
      <c r="N742" s="6" t="str">
        <f>_xlfn.XLOOKUP(FactSales[[#This Row],[Product_ID]],DimProduct[Product_ID],DimProduct[Category])</f>
        <v>Home Appliance</v>
      </c>
      <c r="O742" s="6">
        <f>_xlfn.XLOOKUP(FactSales[[#This Row],[Product_ID]],DimProduct[Product_ID],DimProduct[Unit_Price])</f>
        <v>2430</v>
      </c>
      <c r="P742" s="6">
        <f>_xlfn.XLOOKUP(FactSales[[#This Row],[Product_ID]],DimProduct[Product_ID],DimProduct[Unit_Cost])</f>
        <v>1700</v>
      </c>
      <c r="Q742" s="6">
        <f>FactSales[[#This Row],[Unit_Price]]*FactSales[[#This Row],[Quantity_Sold]]</f>
        <v>7290</v>
      </c>
      <c r="R742" s="6">
        <f>FactSales[[#This Row],[Unit_Cost]]*FactSales[[#This Row],[Quantity_Sold]]</f>
        <v>5100</v>
      </c>
      <c r="S742" s="6">
        <f>FactSales[[#This Row],[Sales_Amount]]-FactSales[[#This Row],[Total_Cost]]</f>
        <v>2190</v>
      </c>
      <c r="T742" s="6" t="str">
        <f>_xlfn.XLOOKUP(FactSales[[#This Row],[Customer_ID]],DimCustomer[Customer_ID],DimCustomer[Customer_Name])</f>
        <v>Shamim Akter</v>
      </c>
      <c r="U742" s="6" t="str">
        <f>_xlfn.XLOOKUP(FactSales[[#This Row],[Salesperson_ID]],DimSalesman[Salesperson_ID],DimSalesman[Salesperson_Name])</f>
        <v>Fahim Mia</v>
      </c>
      <c r="V742" s="6" t="str">
        <f>_xlfn.XLOOKUP(FactSales[[#This Row],[Region_ID]],DimRegion[Region_ID],DimRegion[Region_Name])</f>
        <v>Sylhet</v>
      </c>
      <c r="W742" s="6" t="str">
        <f>_xlfn.XLOOKUP(FactSales[[#This Row],[Store_ID]],DimStore[Store_ID],DimStore[Store_Name])</f>
        <v>Sylhet Subidbazar Store</v>
      </c>
    </row>
    <row r="743" spans="1:23">
      <c r="A743" s="4" t="s">
        <v>1739</v>
      </c>
      <c r="B743" s="5">
        <v>46035</v>
      </c>
      <c r="C743" s="4" t="s">
        <v>387</v>
      </c>
      <c r="D743" s="4" t="s">
        <v>47</v>
      </c>
      <c r="E743" s="4" t="s">
        <v>683</v>
      </c>
      <c r="F743" s="4" t="s">
        <v>954</v>
      </c>
      <c r="G743" s="4" t="s">
        <v>887</v>
      </c>
      <c r="H743" s="4">
        <v>6</v>
      </c>
      <c r="I743" s="7">
        <v>0.03</v>
      </c>
      <c r="J743" s="6">
        <v>14715</v>
      </c>
      <c r="K743" s="4">
        <v>1</v>
      </c>
      <c r="L743" s="8">
        <f t="shared" si="11"/>
        <v>4.8</v>
      </c>
      <c r="M743" s="6" t="str">
        <f>_xlfn.XLOOKUP(FactSales[[#This Row],[Product_ID]],DimProduct[Product_ID],DimProduct[Product_Name])</f>
        <v>Color Pencil Set</v>
      </c>
      <c r="N743" s="6" t="str">
        <f>_xlfn.XLOOKUP(FactSales[[#This Row],[Product_ID]],DimProduct[Product_ID],DimProduct[Category])</f>
        <v>Kids &amp; Toys</v>
      </c>
      <c r="O743" s="6">
        <f>_xlfn.XLOOKUP(FactSales[[#This Row],[Product_ID]],DimProduct[Product_ID],DimProduct[Unit_Price])</f>
        <v>2250</v>
      </c>
      <c r="P743" s="6">
        <f>_xlfn.XLOOKUP(FactSales[[#This Row],[Product_ID]],DimProduct[Product_ID],DimProduct[Unit_Cost])</f>
        <v>1240</v>
      </c>
      <c r="Q743" s="6">
        <f>FactSales[[#This Row],[Unit_Price]]*FactSales[[#This Row],[Quantity_Sold]]</f>
        <v>13500</v>
      </c>
      <c r="R743" s="6">
        <f>FactSales[[#This Row],[Unit_Cost]]*FactSales[[#This Row],[Quantity_Sold]]</f>
        <v>7440</v>
      </c>
      <c r="S743" s="6">
        <f>FactSales[[#This Row],[Sales_Amount]]-FactSales[[#This Row],[Total_Cost]]</f>
        <v>6060</v>
      </c>
      <c r="T743" s="6" t="str">
        <f>_xlfn.XLOOKUP(FactSales[[#This Row],[Customer_ID]],DimCustomer[Customer_ID],DimCustomer[Customer_Name])</f>
        <v>Nayeem Chowdhury</v>
      </c>
      <c r="U743" s="6" t="str">
        <f>_xlfn.XLOOKUP(FactSales[[#This Row],[Salesperson_ID]],DimSalesman[Salesperson_ID],DimSalesman[Salesperson_Name])</f>
        <v>Sadia Sultana</v>
      </c>
      <c r="V743" s="6" t="str">
        <f>_xlfn.XLOOKUP(FactSales[[#This Row],[Region_ID]],DimRegion[Region_ID],DimRegion[Region_Name])</f>
        <v>Khulna</v>
      </c>
      <c r="W743" s="6" t="str">
        <f>_xlfn.XLOOKUP(FactSales[[#This Row],[Store_ID]],DimStore[Store_ID],DimStore[Store_Name])</f>
        <v>Khulna Sonadanga Store</v>
      </c>
    </row>
    <row r="744" spans="1:23">
      <c r="A744" s="4" t="s">
        <v>1740</v>
      </c>
      <c r="B744" s="5">
        <v>46115</v>
      </c>
      <c r="C744" s="4" t="s">
        <v>85</v>
      </c>
      <c r="D744" s="4" t="s">
        <v>27</v>
      </c>
      <c r="E744" s="4" t="s">
        <v>622</v>
      </c>
      <c r="F744" s="4" t="s">
        <v>916</v>
      </c>
      <c r="G744" s="4" t="s">
        <v>758</v>
      </c>
      <c r="H744" s="4">
        <v>5</v>
      </c>
      <c r="I744" s="7">
        <v>0.08</v>
      </c>
      <c r="J744" s="6">
        <v>15052</v>
      </c>
      <c r="K744" s="4">
        <v>3</v>
      </c>
      <c r="L744" s="8">
        <f t="shared" si="11"/>
        <v>4.0999999999999996</v>
      </c>
      <c r="M744" s="6" t="str">
        <f>_xlfn.XLOOKUP(FactSales[[#This Row],[Product_ID]],DimProduct[Product_ID],DimProduct[Product_Name])</f>
        <v>Power Bank</v>
      </c>
      <c r="N744" s="6" t="str">
        <f>_xlfn.XLOOKUP(FactSales[[#This Row],[Product_ID]],DimProduct[Product_ID],DimProduct[Category])</f>
        <v>Electronics</v>
      </c>
      <c r="O744" s="6">
        <f>_xlfn.XLOOKUP(FactSales[[#This Row],[Product_ID]],DimProduct[Product_ID],DimProduct[Unit_Price])</f>
        <v>2840</v>
      </c>
      <c r="P744" s="6">
        <f>_xlfn.XLOOKUP(FactSales[[#This Row],[Product_ID]],DimProduct[Product_ID],DimProduct[Unit_Cost])</f>
        <v>1930</v>
      </c>
      <c r="Q744" s="6">
        <f>FactSales[[#This Row],[Unit_Price]]*FactSales[[#This Row],[Quantity_Sold]]</f>
        <v>14200</v>
      </c>
      <c r="R744" s="6">
        <f>FactSales[[#This Row],[Unit_Cost]]*FactSales[[#This Row],[Quantity_Sold]]</f>
        <v>9650</v>
      </c>
      <c r="S744" s="6">
        <f>FactSales[[#This Row],[Sales_Amount]]-FactSales[[#This Row],[Total_Cost]]</f>
        <v>4550</v>
      </c>
      <c r="T744" s="6" t="str">
        <f>_xlfn.XLOOKUP(FactSales[[#This Row],[Customer_ID]],DimCustomer[Customer_ID],DimCustomer[Customer_Name])</f>
        <v>Imran Uddin</v>
      </c>
      <c r="U744" s="6" t="str">
        <f>_xlfn.XLOOKUP(FactSales[[#This Row],[Salesperson_ID]],DimSalesman[Salesperson_ID],DimSalesman[Salesperson_Name])</f>
        <v>Rafi Islam</v>
      </c>
      <c r="V744" s="6" t="str">
        <f>_xlfn.XLOOKUP(FactSales[[#This Row],[Region_ID]],DimRegion[Region_ID],DimRegion[Region_Name])</f>
        <v>Dhaka</v>
      </c>
      <c r="W744" s="6" t="str">
        <f>_xlfn.XLOOKUP(FactSales[[#This Row],[Store_ID]],DimStore[Store_ID],DimStore[Store_Name])</f>
        <v>Dhaka Dhanmondi Store</v>
      </c>
    </row>
    <row r="745" spans="1:23">
      <c r="A745" s="4" t="s">
        <v>1741</v>
      </c>
      <c r="B745" s="5">
        <v>45844</v>
      </c>
      <c r="C745" s="4" t="s">
        <v>366</v>
      </c>
      <c r="D745" s="4" t="s">
        <v>47</v>
      </c>
      <c r="E745" s="4" t="s">
        <v>683</v>
      </c>
      <c r="F745" s="4" t="s">
        <v>954</v>
      </c>
      <c r="G745" s="4" t="s">
        <v>905</v>
      </c>
      <c r="H745" s="4">
        <v>4</v>
      </c>
      <c r="I745" s="7">
        <v>7.0000000000000007E-2</v>
      </c>
      <c r="J745" s="6">
        <v>25593</v>
      </c>
      <c r="K745" s="4">
        <v>6</v>
      </c>
      <c r="L745" s="8">
        <f t="shared" si="11"/>
        <v>3.1</v>
      </c>
      <c r="M745" s="6" t="str">
        <f>_xlfn.XLOOKUP(FactSales[[#This Row],[Product_ID]],DimProduct[Product_ID],DimProduct[Product_Name])</f>
        <v>Bedside Table</v>
      </c>
      <c r="N745" s="6" t="str">
        <f>_xlfn.XLOOKUP(FactSales[[#This Row],[Product_ID]],DimProduct[Product_ID],DimProduct[Category])</f>
        <v>Furniture</v>
      </c>
      <c r="O745" s="6">
        <f>_xlfn.XLOOKUP(FactSales[[#This Row],[Product_ID]],DimProduct[Product_ID],DimProduct[Unit_Price])</f>
        <v>5870</v>
      </c>
      <c r="P745" s="6">
        <f>_xlfn.XLOOKUP(FactSales[[#This Row],[Product_ID]],DimProduct[Product_ID],DimProduct[Unit_Cost])</f>
        <v>4230</v>
      </c>
      <c r="Q745" s="6">
        <f>FactSales[[#This Row],[Unit_Price]]*FactSales[[#This Row],[Quantity_Sold]]</f>
        <v>23480</v>
      </c>
      <c r="R745" s="6">
        <f>FactSales[[#This Row],[Unit_Cost]]*FactSales[[#This Row],[Quantity_Sold]]</f>
        <v>16920</v>
      </c>
      <c r="S745" s="6">
        <f>FactSales[[#This Row],[Sales_Amount]]-FactSales[[#This Row],[Total_Cost]]</f>
        <v>6560</v>
      </c>
      <c r="T745" s="6" t="str">
        <f>_xlfn.XLOOKUP(FactSales[[#This Row],[Customer_ID]],DimCustomer[Customer_ID],DimCustomer[Customer_Name])</f>
        <v>Sajib Hossain</v>
      </c>
      <c r="U745" s="6" t="str">
        <f>_xlfn.XLOOKUP(FactSales[[#This Row],[Salesperson_ID]],DimSalesman[Salesperson_ID],DimSalesman[Salesperson_Name])</f>
        <v>Sadia Sultana</v>
      </c>
      <c r="V745" s="6" t="str">
        <f>_xlfn.XLOOKUP(FactSales[[#This Row],[Region_ID]],DimRegion[Region_ID],DimRegion[Region_Name])</f>
        <v>Khulna</v>
      </c>
      <c r="W745" s="6" t="str">
        <f>_xlfn.XLOOKUP(FactSales[[#This Row],[Store_ID]],DimStore[Store_ID],DimStore[Store_Name])</f>
        <v>Khulna Sonadanga Store</v>
      </c>
    </row>
    <row r="746" spans="1:23">
      <c r="A746" s="4" t="s">
        <v>1742</v>
      </c>
      <c r="B746" s="5">
        <v>46081</v>
      </c>
      <c r="C746" s="4" t="s">
        <v>462</v>
      </c>
      <c r="D746" s="4" t="s">
        <v>52</v>
      </c>
      <c r="E746" s="4" t="s">
        <v>707</v>
      </c>
      <c r="F746" s="4" t="s">
        <v>964</v>
      </c>
      <c r="G746" s="4" t="s">
        <v>841</v>
      </c>
      <c r="H746" s="4">
        <v>3</v>
      </c>
      <c r="I746" s="7">
        <v>7.0000000000000007E-2</v>
      </c>
      <c r="J746" s="6">
        <v>10819</v>
      </c>
      <c r="K746" s="4">
        <v>8</v>
      </c>
      <c r="L746" s="8">
        <f t="shared" si="11"/>
        <v>2.5</v>
      </c>
      <c r="M746" s="6" t="str">
        <f>_xlfn.XLOOKUP(FactSales[[#This Row],[Product_ID]],DimProduct[Product_ID],DimProduct[Product_Name])</f>
        <v>Ladies Sandal</v>
      </c>
      <c r="N746" s="6" t="str">
        <f>_xlfn.XLOOKUP(FactSales[[#This Row],[Product_ID]],DimProduct[Product_ID],DimProduct[Category])</f>
        <v>Footwear</v>
      </c>
      <c r="O746" s="6">
        <f>_xlfn.XLOOKUP(FactSales[[#This Row],[Product_ID]],DimProduct[Product_ID],DimProduct[Unit_Price])</f>
        <v>3220</v>
      </c>
      <c r="P746" s="6">
        <f>_xlfn.XLOOKUP(FactSales[[#This Row],[Product_ID]],DimProduct[Product_ID],DimProduct[Unit_Cost])</f>
        <v>1930</v>
      </c>
      <c r="Q746" s="6">
        <f>FactSales[[#This Row],[Unit_Price]]*FactSales[[#This Row],[Quantity_Sold]]</f>
        <v>9660</v>
      </c>
      <c r="R746" s="6">
        <f>FactSales[[#This Row],[Unit_Cost]]*FactSales[[#This Row],[Quantity_Sold]]</f>
        <v>5790</v>
      </c>
      <c r="S746" s="6">
        <f>FactSales[[#This Row],[Sales_Amount]]-FactSales[[#This Row],[Total_Cost]]</f>
        <v>3870</v>
      </c>
      <c r="T746" s="6" t="str">
        <f>_xlfn.XLOOKUP(FactSales[[#This Row],[Customer_ID]],DimCustomer[Customer_ID],DimCustomer[Customer_Name])</f>
        <v>Sajib Islam</v>
      </c>
      <c r="U746" s="6" t="str">
        <f>_xlfn.XLOOKUP(FactSales[[#This Row],[Salesperson_ID]],DimSalesman[Salesperson_ID],DimSalesman[Salesperson_Name])</f>
        <v>Shaila Uddin</v>
      </c>
      <c r="V746" s="6" t="str">
        <f>_xlfn.XLOOKUP(FactSales[[#This Row],[Region_ID]],DimRegion[Region_ID],DimRegion[Region_Name])</f>
        <v>Barishal</v>
      </c>
      <c r="W746" s="6" t="str">
        <f>_xlfn.XLOOKUP(FactSales[[#This Row],[Store_ID]],DimStore[Store_ID],DimStore[Store_Name])</f>
        <v>Barishal Chowmatha Store</v>
      </c>
    </row>
    <row r="747" spans="1:23">
      <c r="A747" s="4" t="s">
        <v>1743</v>
      </c>
      <c r="B747" s="5">
        <v>46162</v>
      </c>
      <c r="C747" s="4" t="s">
        <v>317</v>
      </c>
      <c r="D747" s="4" t="s">
        <v>42</v>
      </c>
      <c r="E747" s="4" t="s">
        <v>677</v>
      </c>
      <c r="F747" s="4" t="s">
        <v>949</v>
      </c>
      <c r="G747" s="4" t="s">
        <v>794</v>
      </c>
      <c r="H747" s="4">
        <v>3</v>
      </c>
      <c r="I747" s="7">
        <v>0.05</v>
      </c>
      <c r="J747" s="6">
        <v>2851</v>
      </c>
      <c r="K747" s="4">
        <v>7</v>
      </c>
      <c r="L747" s="8">
        <f t="shared" si="11"/>
        <v>2.9</v>
      </c>
      <c r="M747" s="6" t="str">
        <f>_xlfn.XLOOKUP(FactSales[[#This Row],[Product_ID]],DimProduct[Product_ID],DimProduct[Product_Name])</f>
        <v>Denim Jeans</v>
      </c>
      <c r="N747" s="6" t="str">
        <f>_xlfn.XLOOKUP(FactSales[[#This Row],[Product_ID]],DimProduct[Product_ID],DimProduct[Category])</f>
        <v>Fashion</v>
      </c>
      <c r="O747" s="6">
        <f>_xlfn.XLOOKUP(FactSales[[#This Row],[Product_ID]],DimProduct[Product_ID],DimProduct[Unit_Price])</f>
        <v>880</v>
      </c>
      <c r="P747" s="6">
        <f>_xlfn.XLOOKUP(FactSales[[#This Row],[Product_ID]],DimProduct[Product_ID],DimProduct[Unit_Cost])</f>
        <v>480</v>
      </c>
      <c r="Q747" s="6">
        <f>FactSales[[#This Row],[Unit_Price]]*FactSales[[#This Row],[Quantity_Sold]]</f>
        <v>2640</v>
      </c>
      <c r="R747" s="6">
        <f>FactSales[[#This Row],[Unit_Cost]]*FactSales[[#This Row],[Quantity_Sold]]</f>
        <v>1440</v>
      </c>
      <c r="S747" s="6">
        <f>FactSales[[#This Row],[Sales_Amount]]-FactSales[[#This Row],[Total_Cost]]</f>
        <v>1200</v>
      </c>
      <c r="T747" s="6" t="str">
        <f>_xlfn.XLOOKUP(FactSales[[#This Row],[Customer_ID]],DimCustomer[Customer_ID],DimCustomer[Customer_Name])</f>
        <v>Imran Khan</v>
      </c>
      <c r="U747" s="6" t="str">
        <f>_xlfn.XLOOKUP(FactSales[[#This Row],[Salesperson_ID]],DimSalesman[Salesperson_ID],DimSalesman[Salesperson_Name])</f>
        <v>Mahmud Chowdhury</v>
      </c>
      <c r="V747" s="6" t="str">
        <f>_xlfn.XLOOKUP(FactSales[[#This Row],[Region_ID]],DimRegion[Region_ID],DimRegion[Region_Name])</f>
        <v>Rajshahi</v>
      </c>
      <c r="W747" s="6" t="str">
        <f>_xlfn.XLOOKUP(FactSales[[#This Row],[Store_ID]],DimStore[Store_ID],DimStore[Store_Name])</f>
        <v>Rajshahi Railgate Store</v>
      </c>
    </row>
    <row r="748" spans="1:23">
      <c r="A748" s="4" t="s">
        <v>1744</v>
      </c>
      <c r="B748" s="5">
        <v>45882</v>
      </c>
      <c r="C748" s="4" t="s">
        <v>493</v>
      </c>
      <c r="D748" s="4" t="s">
        <v>57</v>
      </c>
      <c r="E748" s="4" t="s">
        <v>725</v>
      </c>
      <c r="F748" s="4" t="s">
        <v>977</v>
      </c>
      <c r="G748" s="4" t="s">
        <v>784</v>
      </c>
      <c r="H748" s="4">
        <v>4</v>
      </c>
      <c r="I748" s="7">
        <v>0.05</v>
      </c>
      <c r="J748" s="6">
        <v>8602</v>
      </c>
      <c r="K748" s="4">
        <v>5</v>
      </c>
      <c r="L748" s="8">
        <f t="shared" si="11"/>
        <v>3.5</v>
      </c>
      <c r="M748" s="6" t="str">
        <f>_xlfn.XLOOKUP(FactSales[[#This Row],[Product_ID]],DimProduct[Product_ID],DimProduct[Product_Name])</f>
        <v>Cotton T-Shirt</v>
      </c>
      <c r="N748" s="6" t="str">
        <f>_xlfn.XLOOKUP(FactSales[[#This Row],[Product_ID]],DimProduct[Product_ID],DimProduct[Category])</f>
        <v>Fashion</v>
      </c>
      <c r="O748" s="6">
        <f>_xlfn.XLOOKUP(FactSales[[#This Row],[Product_ID]],DimProduct[Product_ID],DimProduct[Unit_Price])</f>
        <v>1870</v>
      </c>
      <c r="P748" s="6">
        <f>_xlfn.XLOOKUP(FactSales[[#This Row],[Product_ID]],DimProduct[Product_ID],DimProduct[Unit_Cost])</f>
        <v>1030</v>
      </c>
      <c r="Q748" s="6">
        <f>FactSales[[#This Row],[Unit_Price]]*FactSales[[#This Row],[Quantity_Sold]]</f>
        <v>7480</v>
      </c>
      <c r="R748" s="6">
        <f>FactSales[[#This Row],[Unit_Cost]]*FactSales[[#This Row],[Quantity_Sold]]</f>
        <v>4120</v>
      </c>
      <c r="S748" s="6">
        <f>FactSales[[#This Row],[Sales_Amount]]-FactSales[[#This Row],[Total_Cost]]</f>
        <v>3360</v>
      </c>
      <c r="T748" s="6" t="str">
        <f>_xlfn.XLOOKUP(FactSales[[#This Row],[Customer_ID]],DimCustomer[Customer_ID],DimCustomer[Customer_Name])</f>
        <v>Mim Sultana</v>
      </c>
      <c r="U748" s="6" t="str">
        <f>_xlfn.XLOOKUP(FactSales[[#This Row],[Salesperson_ID]],DimSalesman[Salesperson_ID],DimSalesman[Salesperson_Name])</f>
        <v>Tania Hossain</v>
      </c>
      <c r="V748" s="6" t="str">
        <f>_xlfn.XLOOKUP(FactSales[[#This Row],[Region_ID]],DimRegion[Region_ID],DimRegion[Region_Name])</f>
        <v>Rangpur</v>
      </c>
      <c r="W748" s="6" t="str">
        <f>_xlfn.XLOOKUP(FactSales[[#This Row],[Store_ID]],DimStore[Store_ID],DimStore[Store_Name])</f>
        <v>Rangpur Central Road Store</v>
      </c>
    </row>
    <row r="749" spans="1:23">
      <c r="A749" s="4" t="s">
        <v>1745</v>
      </c>
      <c r="B749" s="5">
        <v>45770</v>
      </c>
      <c r="C749" s="4" t="s">
        <v>107</v>
      </c>
      <c r="D749" s="4" t="s">
        <v>27</v>
      </c>
      <c r="E749" s="4" t="s">
        <v>634</v>
      </c>
      <c r="F749" s="4" t="s">
        <v>918</v>
      </c>
      <c r="G749" s="4" t="s">
        <v>897</v>
      </c>
      <c r="H749" s="4">
        <v>2</v>
      </c>
      <c r="I749" s="7">
        <v>7.0000000000000007E-2</v>
      </c>
      <c r="J749" s="6">
        <v>24762</v>
      </c>
      <c r="K749" s="4">
        <v>5</v>
      </c>
      <c r="L749" s="8">
        <f t="shared" si="11"/>
        <v>3.4</v>
      </c>
      <c r="M749" s="6" t="str">
        <f>_xlfn.XLOOKUP(FactSales[[#This Row],[Product_ID]],DimProduct[Product_ID],DimProduct[Product_Name])</f>
        <v>Study Table</v>
      </c>
      <c r="N749" s="6" t="str">
        <f>_xlfn.XLOOKUP(FactSales[[#This Row],[Product_ID]],DimProduct[Product_ID],DimProduct[Category])</f>
        <v>Furniture</v>
      </c>
      <c r="O749" s="6">
        <f>_xlfn.XLOOKUP(FactSales[[#This Row],[Product_ID]],DimProduct[Product_ID],DimProduct[Unit_Price])</f>
        <v>11680</v>
      </c>
      <c r="P749" s="6">
        <f>_xlfn.XLOOKUP(FactSales[[#This Row],[Product_ID]],DimProduct[Product_ID],DimProduct[Unit_Cost])</f>
        <v>8410</v>
      </c>
      <c r="Q749" s="6">
        <f>FactSales[[#This Row],[Unit_Price]]*FactSales[[#This Row],[Quantity_Sold]]</f>
        <v>23360</v>
      </c>
      <c r="R749" s="6">
        <f>FactSales[[#This Row],[Unit_Cost]]*FactSales[[#This Row],[Quantity_Sold]]</f>
        <v>16820</v>
      </c>
      <c r="S749" s="6">
        <f>FactSales[[#This Row],[Sales_Amount]]-FactSales[[#This Row],[Total_Cost]]</f>
        <v>6540</v>
      </c>
      <c r="T749" s="6" t="str">
        <f>_xlfn.XLOOKUP(FactSales[[#This Row],[Customer_ID]],DimCustomer[Customer_ID],DimCustomer[Customer_Name])</f>
        <v>Nayeem Rahman</v>
      </c>
      <c r="U749" s="6" t="str">
        <f>_xlfn.XLOOKUP(FactSales[[#This Row],[Salesperson_ID]],DimSalesman[Salesperson_ID],DimSalesman[Salesperson_Name])</f>
        <v>Tania Sultana</v>
      </c>
      <c r="V749" s="6" t="str">
        <f>_xlfn.XLOOKUP(FactSales[[#This Row],[Region_ID]],DimRegion[Region_ID],DimRegion[Region_Name])</f>
        <v>Dhaka</v>
      </c>
      <c r="W749" s="6" t="str">
        <f>_xlfn.XLOOKUP(FactSales[[#This Row],[Store_ID]],DimStore[Store_ID],DimStore[Store_Name])</f>
        <v>Dhaka Motijheel Store</v>
      </c>
    </row>
    <row r="750" spans="1:23">
      <c r="A750" s="4" t="s">
        <v>1746</v>
      </c>
      <c r="B750" s="5">
        <v>46089</v>
      </c>
      <c r="C750" s="4" t="s">
        <v>243</v>
      </c>
      <c r="D750" s="4" t="s">
        <v>37</v>
      </c>
      <c r="E750" s="4" t="s">
        <v>662</v>
      </c>
      <c r="F750" s="4" t="s">
        <v>934</v>
      </c>
      <c r="G750" s="4" t="s">
        <v>874</v>
      </c>
      <c r="H750" s="4">
        <v>1</v>
      </c>
      <c r="I750" s="7">
        <v>0</v>
      </c>
      <c r="J750" s="6">
        <v>1113</v>
      </c>
      <c r="K750" s="4">
        <v>3</v>
      </c>
      <c r="L750" s="8">
        <f t="shared" si="11"/>
        <v>4.2</v>
      </c>
      <c r="M750" s="6" t="str">
        <f>_xlfn.XLOOKUP(FactSales[[#This Row],[Product_ID]],DimProduct[Product_ID],DimProduct[Product_Name])</f>
        <v>Marker Set</v>
      </c>
      <c r="N750" s="6" t="str">
        <f>_xlfn.XLOOKUP(FactSales[[#This Row],[Product_ID]],DimProduct[Product_ID],DimProduct[Category])</f>
        <v>Stationery</v>
      </c>
      <c r="O750" s="6">
        <f>_xlfn.XLOOKUP(FactSales[[#This Row],[Product_ID]],DimProduct[Product_ID],DimProduct[Unit_Price])</f>
        <v>1040</v>
      </c>
      <c r="P750" s="6">
        <f>_xlfn.XLOOKUP(FactSales[[#This Row],[Product_ID]],DimProduct[Product_ID],DimProduct[Unit_Cost])</f>
        <v>520</v>
      </c>
      <c r="Q750" s="6">
        <f>FactSales[[#This Row],[Unit_Price]]*FactSales[[#This Row],[Quantity_Sold]]</f>
        <v>1040</v>
      </c>
      <c r="R750" s="6">
        <f>FactSales[[#This Row],[Unit_Cost]]*FactSales[[#This Row],[Quantity_Sold]]</f>
        <v>520</v>
      </c>
      <c r="S750" s="6">
        <f>FactSales[[#This Row],[Sales_Amount]]-FactSales[[#This Row],[Total_Cost]]</f>
        <v>520</v>
      </c>
      <c r="T750" s="6" t="str">
        <f>_xlfn.XLOOKUP(FactSales[[#This Row],[Customer_ID]],DimCustomer[Customer_ID],DimCustomer[Customer_Name])</f>
        <v>Rahim Akter</v>
      </c>
      <c r="U750" s="6" t="str">
        <f>_xlfn.XLOOKUP(FactSales[[#This Row],[Salesperson_ID]],DimSalesman[Salesperson_ID],DimSalesman[Salesperson_Name])</f>
        <v>Hasan Mia</v>
      </c>
      <c r="V750" s="6" t="str">
        <f>_xlfn.XLOOKUP(FactSales[[#This Row],[Region_ID]],DimRegion[Region_ID],DimRegion[Region_Name])</f>
        <v>Sylhet</v>
      </c>
      <c r="W750" s="6" t="str">
        <f>_xlfn.XLOOKUP(FactSales[[#This Row],[Store_ID]],DimStore[Store_ID],DimStore[Store_Name])</f>
        <v>Sylhet Subidbazar Store</v>
      </c>
    </row>
    <row r="751" spans="1:23">
      <c r="A751" s="4" t="s">
        <v>1747</v>
      </c>
      <c r="B751" s="5">
        <v>46038</v>
      </c>
      <c r="C751" s="4" t="s">
        <v>251</v>
      </c>
      <c r="D751" s="4" t="s">
        <v>37</v>
      </c>
      <c r="E751" s="4" t="s">
        <v>653</v>
      </c>
      <c r="F751" s="4" t="s">
        <v>941</v>
      </c>
      <c r="G751" s="4" t="s">
        <v>900</v>
      </c>
      <c r="H751" s="4">
        <v>1</v>
      </c>
      <c r="I751" s="7">
        <v>0.03</v>
      </c>
      <c r="J751" s="6">
        <v>5692</v>
      </c>
      <c r="K751" s="4">
        <v>4</v>
      </c>
      <c r="L751" s="8">
        <f t="shared" si="11"/>
        <v>3.9</v>
      </c>
      <c r="M751" s="6" t="str">
        <f>_xlfn.XLOOKUP(FactSales[[#This Row],[Product_ID]],DimProduct[Product_ID],DimProduct[Product_Name])</f>
        <v>Shoe Rack</v>
      </c>
      <c r="N751" s="6" t="str">
        <f>_xlfn.XLOOKUP(FactSales[[#This Row],[Product_ID]],DimProduct[Product_ID],DimProduct[Category])</f>
        <v>Furniture</v>
      </c>
      <c r="O751" s="6">
        <f>_xlfn.XLOOKUP(FactSales[[#This Row],[Product_ID]],DimProduct[Product_ID],DimProduct[Unit_Price])</f>
        <v>5320</v>
      </c>
      <c r="P751" s="6">
        <f>_xlfn.XLOOKUP(FactSales[[#This Row],[Product_ID]],DimProduct[Product_ID],DimProduct[Unit_Cost])</f>
        <v>3830</v>
      </c>
      <c r="Q751" s="6">
        <f>FactSales[[#This Row],[Unit_Price]]*FactSales[[#This Row],[Quantity_Sold]]</f>
        <v>5320</v>
      </c>
      <c r="R751" s="6">
        <f>FactSales[[#This Row],[Unit_Cost]]*FactSales[[#This Row],[Quantity_Sold]]</f>
        <v>3830</v>
      </c>
      <c r="S751" s="6">
        <f>FactSales[[#This Row],[Sales_Amount]]-FactSales[[#This Row],[Total_Cost]]</f>
        <v>1490</v>
      </c>
      <c r="T751" s="6" t="str">
        <f>_xlfn.XLOOKUP(FactSales[[#This Row],[Customer_ID]],DimCustomer[Customer_ID],DimCustomer[Customer_Name])</f>
        <v>Rasel Islam</v>
      </c>
      <c r="U751" s="6" t="str">
        <f>_xlfn.XLOOKUP(FactSales[[#This Row],[Salesperson_ID]],DimSalesman[Salesperson_ID],DimSalesman[Salesperson_Name])</f>
        <v>Rumana Rahman</v>
      </c>
      <c r="V751" s="6" t="str">
        <f>_xlfn.XLOOKUP(FactSales[[#This Row],[Region_ID]],DimRegion[Region_ID],DimRegion[Region_Name])</f>
        <v>Sylhet</v>
      </c>
      <c r="W751" s="6" t="str">
        <f>_xlfn.XLOOKUP(FactSales[[#This Row],[Store_ID]],DimStore[Store_ID],DimStore[Store_Name])</f>
        <v>Sylhet Zindabazar Store</v>
      </c>
    </row>
    <row r="752" spans="1:23">
      <c r="A752" s="4" t="s">
        <v>1748</v>
      </c>
      <c r="B752" s="5">
        <v>46032</v>
      </c>
      <c r="C752" s="4" t="s">
        <v>192</v>
      </c>
      <c r="D752" s="4" t="s">
        <v>32</v>
      </c>
      <c r="E752" s="4" t="s">
        <v>650</v>
      </c>
      <c r="F752" s="4" t="s">
        <v>924</v>
      </c>
      <c r="G752" s="4" t="s">
        <v>750</v>
      </c>
      <c r="H752" s="4">
        <v>1</v>
      </c>
      <c r="I752" s="7">
        <v>0.1</v>
      </c>
      <c r="J752" s="6">
        <v>3694</v>
      </c>
      <c r="K752" s="4">
        <v>7</v>
      </c>
      <c r="L752" s="8">
        <f t="shared" si="11"/>
        <v>2.7</v>
      </c>
      <c r="M752" s="6" t="str">
        <f>_xlfn.XLOOKUP(FactSales[[#This Row],[Product_ID]],DimProduct[Product_ID],DimProduct[Product_Name])</f>
        <v>Bluetooth Speaker</v>
      </c>
      <c r="N752" s="6" t="str">
        <f>_xlfn.XLOOKUP(FactSales[[#This Row],[Product_ID]],DimProduct[Product_ID],DimProduct[Category])</f>
        <v>Electronics</v>
      </c>
      <c r="O752" s="6">
        <f>_xlfn.XLOOKUP(FactSales[[#This Row],[Product_ID]],DimProduct[Product_ID],DimProduct[Unit_Price])</f>
        <v>3240</v>
      </c>
      <c r="P752" s="6">
        <f>_xlfn.XLOOKUP(FactSales[[#This Row],[Product_ID]],DimProduct[Product_ID],DimProduct[Unit_Cost])</f>
        <v>2200</v>
      </c>
      <c r="Q752" s="6">
        <f>FactSales[[#This Row],[Unit_Price]]*FactSales[[#This Row],[Quantity_Sold]]</f>
        <v>3240</v>
      </c>
      <c r="R752" s="6">
        <f>FactSales[[#This Row],[Unit_Cost]]*FactSales[[#This Row],[Quantity_Sold]]</f>
        <v>2200</v>
      </c>
      <c r="S752" s="6">
        <f>FactSales[[#This Row],[Sales_Amount]]-FactSales[[#This Row],[Total_Cost]]</f>
        <v>1040</v>
      </c>
      <c r="T752" s="6" t="str">
        <f>_xlfn.XLOOKUP(FactSales[[#This Row],[Customer_ID]],DimCustomer[Customer_ID],DimCustomer[Customer_Name])</f>
        <v>Arif Ahmed</v>
      </c>
      <c r="U752" s="6" t="str">
        <f>_xlfn.XLOOKUP(FactSales[[#This Row],[Salesperson_ID]],DimSalesman[Salesperson_ID],DimSalesman[Salesperson_Name])</f>
        <v>Rumana Khan</v>
      </c>
      <c r="V752" s="6" t="str">
        <f>_xlfn.XLOOKUP(FactSales[[#This Row],[Region_ID]],DimRegion[Region_ID],DimRegion[Region_Name])</f>
        <v>Chattogram</v>
      </c>
      <c r="W752" s="6" t="str">
        <f>_xlfn.XLOOKUP(FactSales[[#This Row],[Store_ID]],DimStore[Store_ID],DimStore[Store_Name])</f>
        <v>Chattogram Halishahar Store</v>
      </c>
    </row>
    <row r="753" spans="1:23">
      <c r="A753" s="4" t="s">
        <v>1749</v>
      </c>
      <c r="B753" s="5">
        <v>45964</v>
      </c>
      <c r="C753" s="4" t="s">
        <v>498</v>
      </c>
      <c r="D753" s="4" t="s">
        <v>57</v>
      </c>
      <c r="E753" s="4" t="s">
        <v>716</v>
      </c>
      <c r="F753" s="4" t="s">
        <v>974</v>
      </c>
      <c r="G753" s="4" t="s">
        <v>854</v>
      </c>
      <c r="H753" s="4">
        <v>2</v>
      </c>
      <c r="I753" s="7">
        <v>7.0000000000000007E-2</v>
      </c>
      <c r="J753" s="6">
        <v>8556</v>
      </c>
      <c r="K753" s="4">
        <v>7</v>
      </c>
      <c r="L753" s="8">
        <f t="shared" si="11"/>
        <v>2.8</v>
      </c>
      <c r="M753" s="6" t="str">
        <f>_xlfn.XLOOKUP(FactSales[[#This Row],[Product_ID]],DimProduct[Product_ID],DimProduct[Product_Name])</f>
        <v>Football</v>
      </c>
      <c r="N753" s="6" t="str">
        <f>_xlfn.XLOOKUP(FactSales[[#This Row],[Product_ID]],DimProduct[Product_ID],DimProduct[Category])</f>
        <v>Sports</v>
      </c>
      <c r="O753" s="6">
        <f>_xlfn.XLOOKUP(FactSales[[#This Row],[Product_ID]],DimProduct[Product_ID],DimProduct[Unit_Price])</f>
        <v>3720</v>
      </c>
      <c r="P753" s="6">
        <f>_xlfn.XLOOKUP(FactSales[[#This Row],[Product_ID]],DimProduct[Product_ID],DimProduct[Unit_Cost])</f>
        <v>2310</v>
      </c>
      <c r="Q753" s="6">
        <f>FactSales[[#This Row],[Unit_Price]]*FactSales[[#This Row],[Quantity_Sold]]</f>
        <v>7440</v>
      </c>
      <c r="R753" s="6">
        <f>FactSales[[#This Row],[Unit_Cost]]*FactSales[[#This Row],[Quantity_Sold]]</f>
        <v>4620</v>
      </c>
      <c r="S753" s="6">
        <f>FactSales[[#This Row],[Sales_Amount]]-FactSales[[#This Row],[Total_Cost]]</f>
        <v>2820</v>
      </c>
      <c r="T753" s="6" t="str">
        <f>_xlfn.XLOOKUP(FactSales[[#This Row],[Customer_ID]],DimCustomer[Customer_ID],DimCustomer[Customer_Name])</f>
        <v>Shakib Mia</v>
      </c>
      <c r="U753" s="6" t="str">
        <f>_xlfn.XLOOKUP(FactSales[[#This Row],[Salesperson_ID]],DimSalesman[Salesperson_ID],DimSalesman[Salesperson_Name])</f>
        <v>Farhana Uddin</v>
      </c>
      <c r="V753" s="6" t="str">
        <f>_xlfn.XLOOKUP(FactSales[[#This Row],[Region_ID]],DimRegion[Region_ID],DimRegion[Region_Name])</f>
        <v>Rangpur</v>
      </c>
      <c r="W753" s="6" t="str">
        <f>_xlfn.XLOOKUP(FactSales[[#This Row],[Store_ID]],DimStore[Store_ID],DimStore[Store_Name])</f>
        <v>Rangpur Shapla Chattar Store</v>
      </c>
    </row>
    <row r="754" spans="1:23">
      <c r="A754" s="4" t="s">
        <v>1750</v>
      </c>
      <c r="B754" s="5">
        <v>45719</v>
      </c>
      <c r="C754" s="4" t="s">
        <v>601</v>
      </c>
      <c r="D754" s="4" t="s">
        <v>62</v>
      </c>
      <c r="E754" s="4" t="s">
        <v>728</v>
      </c>
      <c r="F754" s="4" t="s">
        <v>981</v>
      </c>
      <c r="G754" s="4" t="s">
        <v>758</v>
      </c>
      <c r="H754" s="4">
        <v>6</v>
      </c>
      <c r="I754" s="7">
        <v>0.18</v>
      </c>
      <c r="J754" s="6">
        <v>18403</v>
      </c>
      <c r="K754" s="4">
        <v>4</v>
      </c>
      <c r="L754" s="8">
        <f t="shared" si="11"/>
        <v>3.5</v>
      </c>
      <c r="M754" s="6" t="str">
        <f>_xlfn.XLOOKUP(FactSales[[#This Row],[Product_ID]],DimProduct[Product_ID],DimProduct[Product_Name])</f>
        <v>Power Bank</v>
      </c>
      <c r="N754" s="6" t="str">
        <f>_xlfn.XLOOKUP(FactSales[[#This Row],[Product_ID]],DimProduct[Product_ID],DimProduct[Category])</f>
        <v>Electronics</v>
      </c>
      <c r="O754" s="6">
        <f>_xlfn.XLOOKUP(FactSales[[#This Row],[Product_ID]],DimProduct[Product_ID],DimProduct[Unit_Price])</f>
        <v>2840</v>
      </c>
      <c r="P754" s="6">
        <f>_xlfn.XLOOKUP(FactSales[[#This Row],[Product_ID]],DimProduct[Product_ID],DimProduct[Unit_Cost])</f>
        <v>1930</v>
      </c>
      <c r="Q754" s="6">
        <f>FactSales[[#This Row],[Unit_Price]]*FactSales[[#This Row],[Quantity_Sold]]</f>
        <v>17040</v>
      </c>
      <c r="R754" s="6">
        <f>FactSales[[#This Row],[Unit_Cost]]*FactSales[[#This Row],[Quantity_Sold]]</f>
        <v>11580</v>
      </c>
      <c r="S754" s="6">
        <f>FactSales[[#This Row],[Sales_Amount]]-FactSales[[#This Row],[Total_Cost]]</f>
        <v>5460</v>
      </c>
      <c r="T754" s="6" t="str">
        <f>_xlfn.XLOOKUP(FactSales[[#This Row],[Customer_ID]],DimCustomer[Customer_ID],DimCustomer[Customer_Name])</f>
        <v>Tania Islam</v>
      </c>
      <c r="U754" s="6" t="str">
        <f>_xlfn.XLOOKUP(FactSales[[#This Row],[Salesperson_ID]],DimSalesman[Salesperson_ID],DimSalesman[Salesperson_Name])</f>
        <v>Morshed Islam</v>
      </c>
      <c r="V754" s="6" t="str">
        <f>_xlfn.XLOOKUP(FactSales[[#This Row],[Region_ID]],DimRegion[Region_ID],DimRegion[Region_Name])</f>
        <v>Mymensingh</v>
      </c>
      <c r="W754" s="6" t="str">
        <f>_xlfn.XLOOKUP(FactSales[[#This Row],[Store_ID]],DimStore[Store_ID],DimStore[Store_Name])</f>
        <v>Mymensingh Ganginarpar Store</v>
      </c>
    </row>
    <row r="755" spans="1:23">
      <c r="A755" s="4" t="s">
        <v>1751</v>
      </c>
      <c r="B755" s="5">
        <v>46123</v>
      </c>
      <c r="C755" s="4" t="s">
        <v>109</v>
      </c>
      <c r="D755" s="4" t="s">
        <v>27</v>
      </c>
      <c r="E755" s="4" t="s">
        <v>630</v>
      </c>
      <c r="F755" s="4" t="s">
        <v>920</v>
      </c>
      <c r="G755" s="4" t="s">
        <v>897</v>
      </c>
      <c r="H755" s="4">
        <v>4</v>
      </c>
      <c r="I755" s="7">
        <v>0.12</v>
      </c>
      <c r="J755" s="6">
        <v>49523</v>
      </c>
      <c r="K755" s="4">
        <v>2</v>
      </c>
      <c r="L755" s="8">
        <f t="shared" si="11"/>
        <v>4.3</v>
      </c>
      <c r="M755" s="6" t="str">
        <f>_xlfn.XLOOKUP(FactSales[[#This Row],[Product_ID]],DimProduct[Product_ID],DimProduct[Product_Name])</f>
        <v>Study Table</v>
      </c>
      <c r="N755" s="6" t="str">
        <f>_xlfn.XLOOKUP(FactSales[[#This Row],[Product_ID]],DimProduct[Product_ID],DimProduct[Category])</f>
        <v>Furniture</v>
      </c>
      <c r="O755" s="6">
        <f>_xlfn.XLOOKUP(FactSales[[#This Row],[Product_ID]],DimProduct[Product_ID],DimProduct[Unit_Price])</f>
        <v>11680</v>
      </c>
      <c r="P755" s="6">
        <f>_xlfn.XLOOKUP(FactSales[[#This Row],[Product_ID]],DimProduct[Product_ID],DimProduct[Unit_Cost])</f>
        <v>8410</v>
      </c>
      <c r="Q755" s="6">
        <f>FactSales[[#This Row],[Unit_Price]]*FactSales[[#This Row],[Quantity_Sold]]</f>
        <v>46720</v>
      </c>
      <c r="R755" s="6">
        <f>FactSales[[#This Row],[Unit_Cost]]*FactSales[[#This Row],[Quantity_Sold]]</f>
        <v>33640</v>
      </c>
      <c r="S755" s="6">
        <f>FactSales[[#This Row],[Sales_Amount]]-FactSales[[#This Row],[Total_Cost]]</f>
        <v>13080</v>
      </c>
      <c r="T755" s="6" t="str">
        <f>_xlfn.XLOOKUP(FactSales[[#This Row],[Customer_ID]],DimCustomer[Customer_ID],DimCustomer[Customer_Name])</f>
        <v>Arif Hossain</v>
      </c>
      <c r="U755" s="6" t="str">
        <f>_xlfn.XLOOKUP(FactSales[[#This Row],[Salesperson_ID]],DimSalesman[Salesperson_ID],DimSalesman[Salesperson_Name])</f>
        <v>Rahim Hossain</v>
      </c>
      <c r="V755" s="6" t="str">
        <f>_xlfn.XLOOKUP(FactSales[[#This Row],[Region_ID]],DimRegion[Region_ID],DimRegion[Region_Name])</f>
        <v>Dhaka</v>
      </c>
      <c r="W755" s="6" t="str">
        <f>_xlfn.XLOOKUP(FactSales[[#This Row],[Store_ID]],DimStore[Store_ID],DimStore[Store_Name])</f>
        <v>Dhaka Uttara Store</v>
      </c>
    </row>
    <row r="756" spans="1:23">
      <c r="A756" s="4" t="s">
        <v>1752</v>
      </c>
      <c r="B756" s="5">
        <v>45936</v>
      </c>
      <c r="C756" s="4" t="s">
        <v>416</v>
      </c>
      <c r="D756" s="4" t="s">
        <v>47</v>
      </c>
      <c r="E756" s="4" t="s">
        <v>686</v>
      </c>
      <c r="F756" s="4" t="s">
        <v>955</v>
      </c>
      <c r="G756" s="4" t="s">
        <v>893</v>
      </c>
      <c r="H756" s="4">
        <v>8</v>
      </c>
      <c r="I756" s="7">
        <v>0.12</v>
      </c>
      <c r="J756" s="6">
        <v>38194</v>
      </c>
      <c r="K756" s="4">
        <v>2</v>
      </c>
      <c r="L756" s="8">
        <f t="shared" si="11"/>
        <v>4.3</v>
      </c>
      <c r="M756" s="6" t="str">
        <f>_xlfn.XLOOKUP(FactSales[[#This Row],[Product_ID]],DimProduct[Product_ID],DimProduct[Product_Name])</f>
        <v>Office Chair</v>
      </c>
      <c r="N756" s="6" t="str">
        <f>_xlfn.XLOOKUP(FactSales[[#This Row],[Product_ID]],DimProduct[Product_ID],DimProduct[Category])</f>
        <v>Furniture</v>
      </c>
      <c r="O756" s="6">
        <f>_xlfn.XLOOKUP(FactSales[[#This Row],[Product_ID]],DimProduct[Product_ID],DimProduct[Unit_Price])</f>
        <v>4380</v>
      </c>
      <c r="P756" s="6">
        <f>_xlfn.XLOOKUP(FactSales[[#This Row],[Product_ID]],DimProduct[Product_ID],DimProduct[Unit_Cost])</f>
        <v>3150</v>
      </c>
      <c r="Q756" s="6">
        <f>FactSales[[#This Row],[Unit_Price]]*FactSales[[#This Row],[Quantity_Sold]]</f>
        <v>35040</v>
      </c>
      <c r="R756" s="6">
        <f>FactSales[[#This Row],[Unit_Cost]]*FactSales[[#This Row],[Quantity_Sold]]</f>
        <v>25200</v>
      </c>
      <c r="S756" s="6">
        <f>FactSales[[#This Row],[Sales_Amount]]-FactSales[[#This Row],[Total_Cost]]</f>
        <v>9840</v>
      </c>
      <c r="T756" s="6" t="str">
        <f>_xlfn.XLOOKUP(FactSales[[#This Row],[Customer_ID]],DimCustomer[Customer_ID],DimCustomer[Customer_Name])</f>
        <v>Ayesha Ahmed</v>
      </c>
      <c r="U756" s="6" t="str">
        <f>_xlfn.XLOOKUP(FactSales[[#This Row],[Salesperson_ID]],DimSalesman[Salesperson_ID],DimSalesman[Salesperson_Name])</f>
        <v>Tania Chowdhury</v>
      </c>
      <c r="V756" s="6" t="str">
        <f>_xlfn.XLOOKUP(FactSales[[#This Row],[Region_ID]],DimRegion[Region_ID],DimRegion[Region_Name])</f>
        <v>Khulna</v>
      </c>
      <c r="W756" s="6" t="str">
        <f>_xlfn.XLOOKUP(FactSales[[#This Row],[Store_ID]],DimStore[Store_ID],DimStore[Store_Name])</f>
        <v>Khulna Khalishpur Store</v>
      </c>
    </row>
    <row r="757" spans="1:23">
      <c r="A757" s="4" t="s">
        <v>1753</v>
      </c>
      <c r="B757" s="5">
        <v>45846</v>
      </c>
      <c r="C757" s="4" t="s">
        <v>317</v>
      </c>
      <c r="D757" s="4" t="s">
        <v>42</v>
      </c>
      <c r="E757" s="4" t="s">
        <v>680</v>
      </c>
      <c r="F757" s="4" t="s">
        <v>943</v>
      </c>
      <c r="G757" s="4" t="s">
        <v>762</v>
      </c>
      <c r="H757" s="4">
        <v>5</v>
      </c>
      <c r="I757" s="7">
        <v>0.18</v>
      </c>
      <c r="J757" s="6">
        <v>20898</v>
      </c>
      <c r="K757" s="4">
        <v>7</v>
      </c>
      <c r="L757" s="8">
        <f t="shared" si="11"/>
        <v>2.6</v>
      </c>
      <c r="M757" s="6" t="str">
        <f>_xlfn.XLOOKUP(FactSales[[#This Row],[Product_ID]],DimProduct[Product_ID],DimProduct[Product_Name])</f>
        <v>Smart Watch</v>
      </c>
      <c r="N757" s="6" t="str">
        <f>_xlfn.XLOOKUP(FactSales[[#This Row],[Product_ID]],DimProduct[Product_ID],DimProduct[Category])</f>
        <v>Electronics</v>
      </c>
      <c r="O757" s="6">
        <f>_xlfn.XLOOKUP(FactSales[[#This Row],[Product_ID]],DimProduct[Product_ID],DimProduct[Unit_Price])</f>
        <v>3870</v>
      </c>
      <c r="P757" s="6">
        <f>_xlfn.XLOOKUP(FactSales[[#This Row],[Product_ID]],DimProduct[Product_ID],DimProduct[Unit_Cost])</f>
        <v>2630</v>
      </c>
      <c r="Q757" s="6">
        <f>FactSales[[#This Row],[Unit_Price]]*FactSales[[#This Row],[Quantity_Sold]]</f>
        <v>19350</v>
      </c>
      <c r="R757" s="6">
        <f>FactSales[[#This Row],[Unit_Cost]]*FactSales[[#This Row],[Quantity_Sold]]</f>
        <v>13150</v>
      </c>
      <c r="S757" s="6">
        <f>FactSales[[#This Row],[Sales_Amount]]-FactSales[[#This Row],[Total_Cost]]</f>
        <v>6200</v>
      </c>
      <c r="T757" s="6" t="str">
        <f>_xlfn.XLOOKUP(FactSales[[#This Row],[Customer_ID]],DimCustomer[Customer_ID],DimCustomer[Customer_Name])</f>
        <v>Imran Khan</v>
      </c>
      <c r="U757" s="6" t="str">
        <f>_xlfn.XLOOKUP(FactSales[[#This Row],[Salesperson_ID]],DimSalesman[Salesperson_ID],DimSalesman[Salesperson_Name])</f>
        <v>Imran Khan</v>
      </c>
      <c r="V757" s="6" t="str">
        <f>_xlfn.XLOOKUP(FactSales[[#This Row],[Region_ID]],DimRegion[Region_ID],DimRegion[Region_Name])</f>
        <v>Rajshahi</v>
      </c>
      <c r="W757" s="6" t="str">
        <f>_xlfn.XLOOKUP(FactSales[[#This Row],[Store_ID]],DimStore[Store_ID],DimStore[Store_Name])</f>
        <v>Rajshahi Lakshmipur Store</v>
      </c>
    </row>
    <row r="758" spans="1:23">
      <c r="A758" s="4" t="s">
        <v>1754</v>
      </c>
      <c r="B758" s="5">
        <v>46072</v>
      </c>
      <c r="C758" s="4" t="s">
        <v>210</v>
      </c>
      <c r="D758" s="4" t="s">
        <v>32</v>
      </c>
      <c r="E758" s="4" t="s">
        <v>647</v>
      </c>
      <c r="F758" s="4" t="s">
        <v>927</v>
      </c>
      <c r="G758" s="4" t="s">
        <v>773</v>
      </c>
      <c r="H758" s="4">
        <v>5</v>
      </c>
      <c r="I758" s="7">
        <v>0.1</v>
      </c>
      <c r="J758" s="6">
        <v>42351</v>
      </c>
      <c r="K758" s="4">
        <v>9</v>
      </c>
      <c r="L758" s="8">
        <f t="shared" si="11"/>
        <v>2.1</v>
      </c>
      <c r="M758" s="6" t="str">
        <f>_xlfn.XLOOKUP(FactSales[[#This Row],[Product_ID]],DimProduct[Product_ID],DimProduct[Product_Name])</f>
        <v>Rice Cooker</v>
      </c>
      <c r="N758" s="6" t="str">
        <f>_xlfn.XLOOKUP(FactSales[[#This Row],[Product_ID]],DimProduct[Product_ID],DimProduct[Category])</f>
        <v>Home Appliance</v>
      </c>
      <c r="O758" s="6">
        <f>_xlfn.XLOOKUP(FactSales[[#This Row],[Product_ID]],DimProduct[Product_ID],DimProduct[Unit_Price])</f>
        <v>7430</v>
      </c>
      <c r="P758" s="6">
        <f>_xlfn.XLOOKUP(FactSales[[#This Row],[Product_ID]],DimProduct[Product_ID],DimProduct[Unit_Cost])</f>
        <v>5200</v>
      </c>
      <c r="Q758" s="6">
        <f>FactSales[[#This Row],[Unit_Price]]*FactSales[[#This Row],[Quantity_Sold]]</f>
        <v>37150</v>
      </c>
      <c r="R758" s="6">
        <f>FactSales[[#This Row],[Unit_Cost]]*FactSales[[#This Row],[Quantity_Sold]]</f>
        <v>26000</v>
      </c>
      <c r="S758" s="6">
        <f>FactSales[[#This Row],[Sales_Amount]]-FactSales[[#This Row],[Total_Cost]]</f>
        <v>11150</v>
      </c>
      <c r="T758" s="6" t="str">
        <f>_xlfn.XLOOKUP(FactSales[[#This Row],[Customer_ID]],DimCustomer[Customer_ID],DimCustomer[Customer_Name])</f>
        <v>Imran Uddin</v>
      </c>
      <c r="U758" s="6" t="str">
        <f>_xlfn.XLOOKUP(FactSales[[#This Row],[Salesperson_ID]],DimSalesman[Salesperson_ID],DimSalesman[Salesperson_Name])</f>
        <v>Shakib Ahmed</v>
      </c>
      <c r="V758" s="6" t="str">
        <f>_xlfn.XLOOKUP(FactSales[[#This Row],[Region_ID]],DimRegion[Region_ID],DimRegion[Region_Name])</f>
        <v>Chattogram</v>
      </c>
      <c r="W758" s="6" t="str">
        <f>_xlfn.XLOOKUP(FactSales[[#This Row],[Store_ID]],DimStore[Store_ID],DimStore[Store_Name])</f>
        <v>Chattogram Nasirabad Store</v>
      </c>
    </row>
    <row r="759" spans="1:23">
      <c r="A759" s="4" t="s">
        <v>1755</v>
      </c>
      <c r="B759" s="5">
        <v>46029</v>
      </c>
      <c r="C759" s="4" t="s">
        <v>503</v>
      </c>
      <c r="D759" s="4" t="s">
        <v>57</v>
      </c>
      <c r="E759" s="4" t="s">
        <v>719</v>
      </c>
      <c r="F759" s="4" t="s">
        <v>968</v>
      </c>
      <c r="G759" s="4" t="s">
        <v>755</v>
      </c>
      <c r="H759" s="4">
        <v>3</v>
      </c>
      <c r="I759" s="7">
        <v>0.12</v>
      </c>
      <c r="J759" s="6">
        <v>11523</v>
      </c>
      <c r="K759" s="4">
        <v>7</v>
      </c>
      <c r="L759" s="8">
        <f t="shared" si="11"/>
        <v>2.7</v>
      </c>
      <c r="M759" s="6" t="str">
        <f>_xlfn.XLOOKUP(FactSales[[#This Row],[Product_ID]],DimProduct[Product_ID],DimProduct[Product_Name])</f>
        <v>Wireless Mouse</v>
      </c>
      <c r="N759" s="6" t="str">
        <f>_xlfn.XLOOKUP(FactSales[[#This Row],[Product_ID]],DimProduct[Product_ID],DimProduct[Category])</f>
        <v>Electronics</v>
      </c>
      <c r="O759" s="6">
        <f>_xlfn.XLOOKUP(FactSales[[#This Row],[Product_ID]],DimProduct[Product_ID],DimProduct[Unit_Price])</f>
        <v>3340</v>
      </c>
      <c r="P759" s="6">
        <f>_xlfn.XLOOKUP(FactSales[[#This Row],[Product_ID]],DimProduct[Product_ID],DimProduct[Unit_Cost])</f>
        <v>2270</v>
      </c>
      <c r="Q759" s="6">
        <f>FactSales[[#This Row],[Unit_Price]]*FactSales[[#This Row],[Quantity_Sold]]</f>
        <v>10020</v>
      </c>
      <c r="R759" s="6">
        <f>FactSales[[#This Row],[Unit_Cost]]*FactSales[[#This Row],[Quantity_Sold]]</f>
        <v>6810</v>
      </c>
      <c r="S759" s="6">
        <f>FactSales[[#This Row],[Sales_Amount]]-FactSales[[#This Row],[Total_Cost]]</f>
        <v>3210</v>
      </c>
      <c r="T759" s="6" t="str">
        <f>_xlfn.XLOOKUP(FactSales[[#This Row],[Customer_ID]],DimCustomer[Customer_ID],DimCustomer[Customer_Name])</f>
        <v>Hasan Rahman</v>
      </c>
      <c r="U759" s="6" t="str">
        <f>_xlfn.XLOOKUP(FactSales[[#This Row],[Salesperson_ID]],DimSalesman[Salesperson_ID],DimSalesman[Salesperson_Name])</f>
        <v>Morshed Ahmed</v>
      </c>
      <c r="V759" s="6" t="str">
        <f>_xlfn.XLOOKUP(FactSales[[#This Row],[Region_ID]],DimRegion[Region_ID],DimRegion[Region_Name])</f>
        <v>Rangpur</v>
      </c>
      <c r="W759" s="6" t="str">
        <f>_xlfn.XLOOKUP(FactSales[[#This Row],[Store_ID]],DimStore[Store_ID],DimStore[Store_Name])</f>
        <v>Rangpur Modern More Store</v>
      </c>
    </row>
    <row r="760" spans="1:23">
      <c r="A760" s="4" t="s">
        <v>1756</v>
      </c>
      <c r="B760" s="5">
        <v>45724</v>
      </c>
      <c r="C760" s="4" t="s">
        <v>95</v>
      </c>
      <c r="D760" s="4" t="s">
        <v>27</v>
      </c>
      <c r="E760" s="4" t="s">
        <v>626</v>
      </c>
      <c r="F760" s="4" t="s">
        <v>914</v>
      </c>
      <c r="G760" s="4" t="s">
        <v>804</v>
      </c>
      <c r="H760" s="4">
        <v>1</v>
      </c>
      <c r="I760" s="7">
        <v>0.03</v>
      </c>
      <c r="J760" s="6">
        <v>392</v>
      </c>
      <c r="K760" s="4">
        <v>2</v>
      </c>
      <c r="L760" s="8">
        <f t="shared" si="11"/>
        <v>4.5</v>
      </c>
      <c r="M760" s="6" t="str">
        <f>_xlfn.XLOOKUP(FactSales[[#This Row],[Product_ID]],DimProduct[Product_ID],DimProduct[Product_Name])</f>
        <v>Soybean Oil 5L</v>
      </c>
      <c r="N760" s="6" t="str">
        <f>_xlfn.XLOOKUP(FactSales[[#This Row],[Product_ID]],DimProduct[Product_ID],DimProduct[Category])</f>
        <v>Grocery</v>
      </c>
      <c r="O760" s="6">
        <f>_xlfn.XLOOKUP(FactSales[[#This Row],[Product_ID]],DimProduct[Product_ID],DimProduct[Unit_Price])</f>
        <v>370</v>
      </c>
      <c r="P760" s="6">
        <f>_xlfn.XLOOKUP(FactSales[[#This Row],[Product_ID]],DimProduct[Product_ID],DimProduct[Unit_Cost])</f>
        <v>290</v>
      </c>
      <c r="Q760" s="6">
        <f>FactSales[[#This Row],[Unit_Price]]*FactSales[[#This Row],[Quantity_Sold]]</f>
        <v>370</v>
      </c>
      <c r="R760" s="6">
        <f>FactSales[[#This Row],[Unit_Cost]]*FactSales[[#This Row],[Quantity_Sold]]</f>
        <v>290</v>
      </c>
      <c r="S760" s="6">
        <f>FactSales[[#This Row],[Sales_Amount]]-FactSales[[#This Row],[Total_Cost]]</f>
        <v>80</v>
      </c>
      <c r="T760" s="6" t="str">
        <f>_xlfn.XLOOKUP(FactSales[[#This Row],[Customer_ID]],DimCustomer[Customer_ID],DimCustomer[Customer_Name])</f>
        <v>Karim Islam</v>
      </c>
      <c r="U760" s="6" t="str">
        <f>_xlfn.XLOOKUP(FactSales[[#This Row],[Salesperson_ID]],DimSalesman[Salesperson_ID],DimSalesman[Salesperson_Name])</f>
        <v>Rasel Rahman</v>
      </c>
      <c r="V760" s="6" t="str">
        <f>_xlfn.XLOOKUP(FactSales[[#This Row],[Region_ID]],DimRegion[Region_ID],DimRegion[Region_Name])</f>
        <v>Dhaka</v>
      </c>
      <c r="W760" s="6" t="str">
        <f>_xlfn.XLOOKUP(FactSales[[#This Row],[Store_ID]],DimStore[Store_ID],DimStore[Store_Name])</f>
        <v>Dhaka Mirpur Store</v>
      </c>
    </row>
    <row r="761" spans="1:23">
      <c r="A761" s="4" t="s">
        <v>1757</v>
      </c>
      <c r="B761" s="5">
        <v>45703</v>
      </c>
      <c r="C761" s="4" t="s">
        <v>95</v>
      </c>
      <c r="D761" s="4" t="s">
        <v>27</v>
      </c>
      <c r="E761" s="4" t="s">
        <v>626</v>
      </c>
      <c r="F761" s="4" t="s">
        <v>912</v>
      </c>
      <c r="G761" s="4" t="s">
        <v>903</v>
      </c>
      <c r="H761" s="4">
        <v>3</v>
      </c>
      <c r="I761" s="7">
        <v>0.1</v>
      </c>
      <c r="J761" s="6">
        <v>13451</v>
      </c>
      <c r="K761" s="4">
        <v>5</v>
      </c>
      <c r="L761" s="8">
        <f t="shared" si="11"/>
        <v>3.4</v>
      </c>
      <c r="M761" s="6" t="str">
        <f>_xlfn.XLOOKUP(FactSales[[#This Row],[Product_ID]],DimProduct[Product_ID],DimProduct[Product_Name])</f>
        <v>Bookshelf</v>
      </c>
      <c r="N761" s="6" t="str">
        <f>_xlfn.XLOOKUP(FactSales[[#This Row],[Product_ID]],DimProduct[Product_ID],DimProduct[Category])</f>
        <v>Furniture</v>
      </c>
      <c r="O761" s="6">
        <f>_xlfn.XLOOKUP(FactSales[[#This Row],[Product_ID]],DimProduct[Product_ID],DimProduct[Unit_Price])</f>
        <v>4230</v>
      </c>
      <c r="P761" s="6">
        <f>_xlfn.XLOOKUP(FactSales[[#This Row],[Product_ID]],DimProduct[Product_ID],DimProduct[Unit_Cost])</f>
        <v>3050</v>
      </c>
      <c r="Q761" s="6">
        <f>FactSales[[#This Row],[Unit_Price]]*FactSales[[#This Row],[Quantity_Sold]]</f>
        <v>12690</v>
      </c>
      <c r="R761" s="6">
        <f>FactSales[[#This Row],[Unit_Cost]]*FactSales[[#This Row],[Quantity_Sold]]</f>
        <v>9150</v>
      </c>
      <c r="S761" s="6">
        <f>FactSales[[#This Row],[Sales_Amount]]-FactSales[[#This Row],[Total_Cost]]</f>
        <v>3540</v>
      </c>
      <c r="T761" s="6" t="str">
        <f>_xlfn.XLOOKUP(FactSales[[#This Row],[Customer_ID]],DimCustomer[Customer_ID],DimCustomer[Customer_Name])</f>
        <v>Karim Islam</v>
      </c>
      <c r="U761" s="6" t="str">
        <f>_xlfn.XLOOKUP(FactSales[[#This Row],[Salesperson_ID]],DimSalesman[Salesperson_ID],DimSalesman[Salesperson_Name])</f>
        <v>Mahmud Hossain</v>
      </c>
      <c r="V761" s="6" t="str">
        <f>_xlfn.XLOOKUP(FactSales[[#This Row],[Region_ID]],DimRegion[Region_ID],DimRegion[Region_Name])</f>
        <v>Dhaka</v>
      </c>
      <c r="W761" s="6" t="str">
        <f>_xlfn.XLOOKUP(FactSales[[#This Row],[Store_ID]],DimStore[Store_ID],DimStore[Store_Name])</f>
        <v>Dhaka Mirpur Store</v>
      </c>
    </row>
    <row r="762" spans="1:23">
      <c r="A762" s="4" t="s">
        <v>1758</v>
      </c>
      <c r="B762" s="5">
        <v>45666</v>
      </c>
      <c r="C762" s="4" t="s">
        <v>76</v>
      </c>
      <c r="D762" s="4" t="s">
        <v>27</v>
      </c>
      <c r="E762" s="4" t="s">
        <v>626</v>
      </c>
      <c r="F762" s="4" t="s">
        <v>912</v>
      </c>
      <c r="G762" s="4" t="s">
        <v>893</v>
      </c>
      <c r="H762" s="4">
        <v>10</v>
      </c>
      <c r="I762" s="7">
        <v>7.0000000000000007E-2</v>
      </c>
      <c r="J762" s="6">
        <v>46428</v>
      </c>
      <c r="K762" s="4">
        <v>6</v>
      </c>
      <c r="L762" s="8">
        <f t="shared" si="11"/>
        <v>3.1</v>
      </c>
      <c r="M762" s="6" t="str">
        <f>_xlfn.XLOOKUP(FactSales[[#This Row],[Product_ID]],DimProduct[Product_ID],DimProduct[Product_Name])</f>
        <v>Office Chair</v>
      </c>
      <c r="N762" s="6" t="str">
        <f>_xlfn.XLOOKUP(FactSales[[#This Row],[Product_ID]],DimProduct[Product_ID],DimProduct[Category])</f>
        <v>Furniture</v>
      </c>
      <c r="O762" s="6">
        <f>_xlfn.XLOOKUP(FactSales[[#This Row],[Product_ID]],DimProduct[Product_ID],DimProduct[Unit_Price])</f>
        <v>4380</v>
      </c>
      <c r="P762" s="6">
        <f>_xlfn.XLOOKUP(FactSales[[#This Row],[Product_ID]],DimProduct[Product_ID],DimProduct[Unit_Cost])</f>
        <v>3150</v>
      </c>
      <c r="Q762" s="6">
        <f>FactSales[[#This Row],[Unit_Price]]*FactSales[[#This Row],[Quantity_Sold]]</f>
        <v>43800</v>
      </c>
      <c r="R762" s="6">
        <f>FactSales[[#This Row],[Unit_Cost]]*FactSales[[#This Row],[Quantity_Sold]]</f>
        <v>31500</v>
      </c>
      <c r="S762" s="6">
        <f>FactSales[[#This Row],[Sales_Amount]]-FactSales[[#This Row],[Total_Cost]]</f>
        <v>12300</v>
      </c>
      <c r="T762" s="6" t="str">
        <f>_xlfn.XLOOKUP(FactSales[[#This Row],[Customer_ID]],DimCustomer[Customer_ID],DimCustomer[Customer_Name])</f>
        <v>Tamanna Hossain</v>
      </c>
      <c r="U762" s="6" t="str">
        <f>_xlfn.XLOOKUP(FactSales[[#This Row],[Salesperson_ID]],DimSalesman[Salesperson_ID],DimSalesman[Salesperson_Name])</f>
        <v>Mahmud Hossain</v>
      </c>
      <c r="V762" s="6" t="str">
        <f>_xlfn.XLOOKUP(FactSales[[#This Row],[Region_ID]],DimRegion[Region_ID],DimRegion[Region_Name])</f>
        <v>Dhaka</v>
      </c>
      <c r="W762" s="6" t="str">
        <f>_xlfn.XLOOKUP(FactSales[[#This Row],[Store_ID]],DimStore[Store_ID],DimStore[Store_Name])</f>
        <v>Dhaka Mirpur Store</v>
      </c>
    </row>
    <row r="763" spans="1:23">
      <c r="A763" s="4" t="s">
        <v>1759</v>
      </c>
      <c r="B763" s="5">
        <v>45790</v>
      </c>
      <c r="C763" s="4" t="s">
        <v>486</v>
      </c>
      <c r="D763" s="4" t="s">
        <v>52</v>
      </c>
      <c r="E763" s="4" t="s">
        <v>707</v>
      </c>
      <c r="F763" s="4" t="s">
        <v>966</v>
      </c>
      <c r="G763" s="4" t="s">
        <v>775</v>
      </c>
      <c r="H763" s="4">
        <v>4</v>
      </c>
      <c r="I763" s="7">
        <v>0.08</v>
      </c>
      <c r="J763" s="6">
        <v>10886</v>
      </c>
      <c r="K763" s="4">
        <v>6</v>
      </c>
      <c r="L763" s="8">
        <f t="shared" si="11"/>
        <v>3.1</v>
      </c>
      <c r="M763" s="6" t="str">
        <f>_xlfn.XLOOKUP(FactSales[[#This Row],[Product_ID]],DimProduct[Product_ID],DimProduct[Product_Name])</f>
        <v>Blender Machine</v>
      </c>
      <c r="N763" s="6" t="str">
        <f>_xlfn.XLOOKUP(FactSales[[#This Row],[Product_ID]],DimProduct[Product_ID],DimProduct[Category])</f>
        <v>Home Appliance</v>
      </c>
      <c r="O763" s="6">
        <f>_xlfn.XLOOKUP(FactSales[[#This Row],[Product_ID]],DimProduct[Product_ID],DimProduct[Unit_Price])</f>
        <v>2430</v>
      </c>
      <c r="P763" s="6">
        <f>_xlfn.XLOOKUP(FactSales[[#This Row],[Product_ID]],DimProduct[Product_ID],DimProduct[Unit_Cost])</f>
        <v>1700</v>
      </c>
      <c r="Q763" s="6">
        <f>FactSales[[#This Row],[Unit_Price]]*FactSales[[#This Row],[Quantity_Sold]]</f>
        <v>9720</v>
      </c>
      <c r="R763" s="6">
        <f>FactSales[[#This Row],[Unit_Cost]]*FactSales[[#This Row],[Quantity_Sold]]</f>
        <v>6800</v>
      </c>
      <c r="S763" s="6">
        <f>FactSales[[#This Row],[Sales_Amount]]-FactSales[[#This Row],[Total_Cost]]</f>
        <v>2920</v>
      </c>
      <c r="T763" s="6" t="str">
        <f>_xlfn.XLOOKUP(FactSales[[#This Row],[Customer_ID]],DimCustomer[Customer_ID],DimCustomer[Customer_Name])</f>
        <v>Fahim Khan</v>
      </c>
      <c r="U763" s="6" t="str">
        <f>_xlfn.XLOOKUP(FactSales[[#This Row],[Salesperson_ID]],DimSalesman[Salesperson_ID],DimSalesman[Salesperson_Name])</f>
        <v>Nayeem Akter</v>
      </c>
      <c r="V763" s="6" t="str">
        <f>_xlfn.XLOOKUP(FactSales[[#This Row],[Region_ID]],DimRegion[Region_ID],DimRegion[Region_Name])</f>
        <v>Barishal</v>
      </c>
      <c r="W763" s="6" t="str">
        <f>_xlfn.XLOOKUP(FactSales[[#This Row],[Store_ID]],DimStore[Store_ID],DimStore[Store_Name])</f>
        <v>Barishal Chowmatha Store</v>
      </c>
    </row>
    <row r="764" spans="1:23">
      <c r="A764" s="4" t="s">
        <v>1760</v>
      </c>
      <c r="B764" s="5">
        <v>45811</v>
      </c>
      <c r="C764" s="4" t="s">
        <v>457</v>
      </c>
      <c r="D764" s="4" t="s">
        <v>52</v>
      </c>
      <c r="E764" s="4" t="s">
        <v>710</v>
      </c>
      <c r="F764" s="4" t="s">
        <v>960</v>
      </c>
      <c r="G764" s="4" t="s">
        <v>797</v>
      </c>
      <c r="H764" s="4">
        <v>1</v>
      </c>
      <c r="I764" s="7">
        <v>0.1</v>
      </c>
      <c r="J764" s="6">
        <v>2934</v>
      </c>
      <c r="K764" s="4">
        <v>1</v>
      </c>
      <c r="L764" s="8">
        <f t="shared" si="11"/>
        <v>4.7</v>
      </c>
      <c r="M764" s="6" t="str">
        <f>_xlfn.XLOOKUP(FactSales[[#This Row],[Product_ID]],DimProduct[Product_ID],DimProduct[Product_Name])</f>
        <v>Leather Belt</v>
      </c>
      <c r="N764" s="6" t="str">
        <f>_xlfn.XLOOKUP(FactSales[[#This Row],[Product_ID]],DimProduct[Product_ID],DimProduct[Category])</f>
        <v>Fashion</v>
      </c>
      <c r="O764" s="6">
        <f>_xlfn.XLOOKUP(FactSales[[#This Row],[Product_ID]],DimProduct[Product_ID],DimProduct[Unit_Price])</f>
        <v>2620</v>
      </c>
      <c r="P764" s="6">
        <f>_xlfn.XLOOKUP(FactSales[[#This Row],[Product_ID]],DimProduct[Product_ID],DimProduct[Unit_Cost])</f>
        <v>1440</v>
      </c>
      <c r="Q764" s="6">
        <f>FactSales[[#This Row],[Unit_Price]]*FactSales[[#This Row],[Quantity_Sold]]</f>
        <v>2620</v>
      </c>
      <c r="R764" s="6">
        <f>FactSales[[#This Row],[Unit_Cost]]*FactSales[[#This Row],[Quantity_Sold]]</f>
        <v>1440</v>
      </c>
      <c r="S764" s="6">
        <f>FactSales[[#This Row],[Sales_Amount]]-FactSales[[#This Row],[Total_Cost]]</f>
        <v>1180</v>
      </c>
      <c r="T764" s="6" t="str">
        <f>_xlfn.XLOOKUP(FactSales[[#This Row],[Customer_ID]],DimCustomer[Customer_ID],DimCustomer[Customer_Name])</f>
        <v>Rasel Ahmed</v>
      </c>
      <c r="U764" s="6" t="str">
        <f>_xlfn.XLOOKUP(FactSales[[#This Row],[Salesperson_ID]],DimSalesman[Salesperson_ID],DimSalesman[Salesperson_Name])</f>
        <v>Mim Akter</v>
      </c>
      <c r="V764" s="6" t="str">
        <f>_xlfn.XLOOKUP(FactSales[[#This Row],[Region_ID]],DimRegion[Region_ID],DimRegion[Region_Name])</f>
        <v>Barishal</v>
      </c>
      <c r="W764" s="6" t="str">
        <f>_xlfn.XLOOKUP(FactSales[[#This Row],[Store_ID]],DimStore[Store_ID],DimStore[Store_Name])</f>
        <v>Barishal Kawnia Store</v>
      </c>
    </row>
    <row r="765" spans="1:23">
      <c r="A765" s="4" t="s">
        <v>1761</v>
      </c>
      <c r="B765" s="5">
        <v>45738</v>
      </c>
      <c r="C765" s="4" t="s">
        <v>101</v>
      </c>
      <c r="D765" s="4" t="s">
        <v>27</v>
      </c>
      <c r="E765" s="4" t="s">
        <v>622</v>
      </c>
      <c r="F765" s="4" t="s">
        <v>914</v>
      </c>
      <c r="G765" s="4" t="s">
        <v>841</v>
      </c>
      <c r="H765" s="4">
        <v>6</v>
      </c>
      <c r="I765" s="7">
        <v>0.05</v>
      </c>
      <c r="J765" s="6">
        <v>20479</v>
      </c>
      <c r="K765" s="4">
        <v>3</v>
      </c>
      <c r="L765" s="8">
        <f t="shared" si="11"/>
        <v>4.0999999999999996</v>
      </c>
      <c r="M765" s="6" t="str">
        <f>_xlfn.XLOOKUP(FactSales[[#This Row],[Product_ID]],DimProduct[Product_ID],DimProduct[Product_Name])</f>
        <v>Ladies Sandal</v>
      </c>
      <c r="N765" s="6" t="str">
        <f>_xlfn.XLOOKUP(FactSales[[#This Row],[Product_ID]],DimProduct[Product_ID],DimProduct[Category])</f>
        <v>Footwear</v>
      </c>
      <c r="O765" s="6">
        <f>_xlfn.XLOOKUP(FactSales[[#This Row],[Product_ID]],DimProduct[Product_ID],DimProduct[Unit_Price])</f>
        <v>3220</v>
      </c>
      <c r="P765" s="6">
        <f>_xlfn.XLOOKUP(FactSales[[#This Row],[Product_ID]],DimProduct[Product_ID],DimProduct[Unit_Cost])</f>
        <v>1930</v>
      </c>
      <c r="Q765" s="6">
        <f>FactSales[[#This Row],[Unit_Price]]*FactSales[[#This Row],[Quantity_Sold]]</f>
        <v>19320</v>
      </c>
      <c r="R765" s="6">
        <f>FactSales[[#This Row],[Unit_Cost]]*FactSales[[#This Row],[Quantity_Sold]]</f>
        <v>11580</v>
      </c>
      <c r="S765" s="6">
        <f>FactSales[[#This Row],[Sales_Amount]]-FactSales[[#This Row],[Total_Cost]]</f>
        <v>7740</v>
      </c>
      <c r="T765" s="6" t="str">
        <f>_xlfn.XLOOKUP(FactSales[[#This Row],[Customer_ID]],DimCustomer[Customer_ID],DimCustomer[Customer_Name])</f>
        <v>Shamim Khan</v>
      </c>
      <c r="U765" s="6" t="str">
        <f>_xlfn.XLOOKUP(FactSales[[#This Row],[Salesperson_ID]],DimSalesman[Salesperson_ID],DimSalesman[Salesperson_Name])</f>
        <v>Rasel Rahman</v>
      </c>
      <c r="V765" s="6" t="str">
        <f>_xlfn.XLOOKUP(FactSales[[#This Row],[Region_ID]],DimRegion[Region_ID],DimRegion[Region_Name])</f>
        <v>Dhaka</v>
      </c>
      <c r="W765" s="6" t="str">
        <f>_xlfn.XLOOKUP(FactSales[[#This Row],[Store_ID]],DimStore[Store_ID],DimStore[Store_Name])</f>
        <v>Dhaka Dhanmondi Store</v>
      </c>
    </row>
    <row r="766" spans="1:23">
      <c r="A766" s="4" t="s">
        <v>1762</v>
      </c>
      <c r="B766" s="5">
        <v>46171</v>
      </c>
      <c r="C766" s="4" t="s">
        <v>344</v>
      </c>
      <c r="D766" s="4" t="s">
        <v>42</v>
      </c>
      <c r="E766" s="4" t="s">
        <v>671</v>
      </c>
      <c r="F766" s="4" t="s">
        <v>950</v>
      </c>
      <c r="G766" s="4" t="s">
        <v>758</v>
      </c>
      <c r="H766" s="4">
        <v>3</v>
      </c>
      <c r="I766" s="7">
        <v>0.18</v>
      </c>
      <c r="J766" s="6">
        <v>9202</v>
      </c>
      <c r="K766" s="4">
        <v>2</v>
      </c>
      <c r="L766" s="8">
        <f t="shared" si="11"/>
        <v>4.2</v>
      </c>
      <c r="M766" s="6" t="str">
        <f>_xlfn.XLOOKUP(FactSales[[#This Row],[Product_ID]],DimProduct[Product_ID],DimProduct[Product_Name])</f>
        <v>Power Bank</v>
      </c>
      <c r="N766" s="6" t="str">
        <f>_xlfn.XLOOKUP(FactSales[[#This Row],[Product_ID]],DimProduct[Product_ID],DimProduct[Category])</f>
        <v>Electronics</v>
      </c>
      <c r="O766" s="6">
        <f>_xlfn.XLOOKUP(FactSales[[#This Row],[Product_ID]],DimProduct[Product_ID],DimProduct[Unit_Price])</f>
        <v>2840</v>
      </c>
      <c r="P766" s="6">
        <f>_xlfn.XLOOKUP(FactSales[[#This Row],[Product_ID]],DimProduct[Product_ID],DimProduct[Unit_Cost])</f>
        <v>1930</v>
      </c>
      <c r="Q766" s="6">
        <f>FactSales[[#This Row],[Unit_Price]]*FactSales[[#This Row],[Quantity_Sold]]</f>
        <v>8520</v>
      </c>
      <c r="R766" s="6">
        <f>FactSales[[#This Row],[Unit_Cost]]*FactSales[[#This Row],[Quantity_Sold]]</f>
        <v>5790</v>
      </c>
      <c r="S766" s="6">
        <f>FactSales[[#This Row],[Sales_Amount]]-FactSales[[#This Row],[Total_Cost]]</f>
        <v>2730</v>
      </c>
      <c r="T766" s="6" t="str">
        <f>_xlfn.XLOOKUP(FactSales[[#This Row],[Customer_ID]],DimCustomer[Customer_ID],DimCustomer[Customer_Name])</f>
        <v>Mehedi Khan</v>
      </c>
      <c r="U766" s="6" t="str">
        <f>_xlfn.XLOOKUP(FactSales[[#This Row],[Salesperson_ID]],DimSalesman[Salesperson_ID],DimSalesman[Salesperson_Name])</f>
        <v>Mim Rahman</v>
      </c>
      <c r="V766" s="6" t="str">
        <f>_xlfn.XLOOKUP(FactSales[[#This Row],[Region_ID]],DimRegion[Region_ID],DimRegion[Region_Name])</f>
        <v>Rajshahi</v>
      </c>
      <c r="W766" s="6" t="str">
        <f>_xlfn.XLOOKUP(FactSales[[#This Row],[Store_ID]],DimStore[Store_ID],DimStore[Store_Name])</f>
        <v>Rajshahi Kazla Store</v>
      </c>
    </row>
    <row r="767" spans="1:23">
      <c r="A767" s="4" t="s">
        <v>1763</v>
      </c>
      <c r="B767" s="5">
        <v>46099</v>
      </c>
      <c r="C767" s="4" t="s">
        <v>460</v>
      </c>
      <c r="D767" s="4" t="s">
        <v>52</v>
      </c>
      <c r="E767" s="4" t="s">
        <v>701</v>
      </c>
      <c r="F767" s="4" t="s">
        <v>963</v>
      </c>
      <c r="G767" s="4" t="s">
        <v>768</v>
      </c>
      <c r="H767" s="4">
        <v>3</v>
      </c>
      <c r="I767" s="7">
        <v>0.15</v>
      </c>
      <c r="J767" s="6">
        <v>24192</v>
      </c>
      <c r="K767" s="4">
        <v>4</v>
      </c>
      <c r="L767" s="8">
        <f t="shared" si="11"/>
        <v>3.6</v>
      </c>
      <c r="M767" s="6" t="str">
        <f>_xlfn.XLOOKUP(FactSales[[#This Row],[Product_ID]],DimProduct[Product_ID],DimProduct[Product_Name])</f>
        <v>Electric Kettle</v>
      </c>
      <c r="N767" s="6" t="str">
        <f>_xlfn.XLOOKUP(FactSales[[#This Row],[Product_ID]],DimProduct[Product_ID],DimProduct[Category])</f>
        <v>Home Appliance</v>
      </c>
      <c r="O767" s="6">
        <f>_xlfn.XLOOKUP(FactSales[[#This Row],[Product_ID]],DimProduct[Product_ID],DimProduct[Unit_Price])</f>
        <v>7200</v>
      </c>
      <c r="P767" s="6">
        <f>_xlfn.XLOOKUP(FactSales[[#This Row],[Product_ID]],DimProduct[Product_ID],DimProduct[Unit_Cost])</f>
        <v>5040</v>
      </c>
      <c r="Q767" s="6">
        <f>FactSales[[#This Row],[Unit_Price]]*FactSales[[#This Row],[Quantity_Sold]]</f>
        <v>21600</v>
      </c>
      <c r="R767" s="6">
        <f>FactSales[[#This Row],[Unit_Cost]]*FactSales[[#This Row],[Quantity_Sold]]</f>
        <v>15120</v>
      </c>
      <c r="S767" s="6">
        <f>FactSales[[#This Row],[Sales_Amount]]-FactSales[[#This Row],[Total_Cost]]</f>
        <v>6480</v>
      </c>
      <c r="T767" s="6" t="str">
        <f>_xlfn.XLOOKUP(FactSales[[#This Row],[Customer_ID]],DimCustomer[Customer_ID],DimCustomer[Customer_Name])</f>
        <v>Ayesha Ahmed</v>
      </c>
      <c r="U767" s="6" t="str">
        <f>_xlfn.XLOOKUP(FactSales[[#This Row],[Salesperson_ID]],DimSalesman[Salesperson_ID],DimSalesman[Salesperson_Name])</f>
        <v>Rasel Uddin</v>
      </c>
      <c r="V767" s="6" t="str">
        <f>_xlfn.XLOOKUP(FactSales[[#This Row],[Region_ID]],DimRegion[Region_ID],DimRegion[Region_Name])</f>
        <v>Barishal</v>
      </c>
      <c r="W767" s="6" t="str">
        <f>_xlfn.XLOOKUP(FactSales[[#This Row],[Store_ID]],DimStore[Store_ID],DimStore[Store_Name])</f>
        <v>Barishal Sadar Road Store</v>
      </c>
    </row>
    <row r="768" spans="1:23">
      <c r="A768" s="4" t="s">
        <v>1764</v>
      </c>
      <c r="B768" s="5">
        <v>45814</v>
      </c>
      <c r="C768" s="4" t="s">
        <v>301</v>
      </c>
      <c r="D768" s="4" t="s">
        <v>42</v>
      </c>
      <c r="E768" s="4" t="s">
        <v>680</v>
      </c>
      <c r="F768" s="4" t="s">
        <v>949</v>
      </c>
      <c r="G768" s="4" t="s">
        <v>755</v>
      </c>
      <c r="H768" s="4">
        <v>3</v>
      </c>
      <c r="I768" s="7">
        <v>0.15</v>
      </c>
      <c r="J768" s="6">
        <v>10822</v>
      </c>
      <c r="K768" s="4">
        <v>4</v>
      </c>
      <c r="L768" s="8">
        <f t="shared" si="11"/>
        <v>3.6</v>
      </c>
      <c r="M768" s="6" t="str">
        <f>_xlfn.XLOOKUP(FactSales[[#This Row],[Product_ID]],DimProduct[Product_ID],DimProduct[Product_Name])</f>
        <v>Wireless Mouse</v>
      </c>
      <c r="N768" s="6" t="str">
        <f>_xlfn.XLOOKUP(FactSales[[#This Row],[Product_ID]],DimProduct[Product_ID],DimProduct[Category])</f>
        <v>Electronics</v>
      </c>
      <c r="O768" s="6">
        <f>_xlfn.XLOOKUP(FactSales[[#This Row],[Product_ID]],DimProduct[Product_ID],DimProduct[Unit_Price])</f>
        <v>3340</v>
      </c>
      <c r="P768" s="6">
        <f>_xlfn.XLOOKUP(FactSales[[#This Row],[Product_ID]],DimProduct[Product_ID],DimProduct[Unit_Cost])</f>
        <v>2270</v>
      </c>
      <c r="Q768" s="6">
        <f>FactSales[[#This Row],[Unit_Price]]*FactSales[[#This Row],[Quantity_Sold]]</f>
        <v>10020</v>
      </c>
      <c r="R768" s="6">
        <f>FactSales[[#This Row],[Unit_Cost]]*FactSales[[#This Row],[Quantity_Sold]]</f>
        <v>6810</v>
      </c>
      <c r="S768" s="6">
        <f>FactSales[[#This Row],[Sales_Amount]]-FactSales[[#This Row],[Total_Cost]]</f>
        <v>3210</v>
      </c>
      <c r="T768" s="6" t="str">
        <f>_xlfn.XLOOKUP(FactSales[[#This Row],[Customer_ID]],DimCustomer[Customer_ID],DimCustomer[Customer_Name])</f>
        <v>Nabila Khan</v>
      </c>
      <c r="U768" s="6" t="str">
        <f>_xlfn.XLOOKUP(FactSales[[#This Row],[Salesperson_ID]],DimSalesman[Salesperson_ID],DimSalesman[Salesperson_Name])</f>
        <v>Mahmud Chowdhury</v>
      </c>
      <c r="V768" s="6" t="str">
        <f>_xlfn.XLOOKUP(FactSales[[#This Row],[Region_ID]],DimRegion[Region_ID],DimRegion[Region_Name])</f>
        <v>Rajshahi</v>
      </c>
      <c r="W768" s="6" t="str">
        <f>_xlfn.XLOOKUP(FactSales[[#This Row],[Store_ID]],DimStore[Store_ID],DimStore[Store_Name])</f>
        <v>Rajshahi Lakshmipur Store</v>
      </c>
    </row>
    <row r="769" spans="1:23">
      <c r="A769" s="4" t="s">
        <v>1765</v>
      </c>
      <c r="B769" s="5">
        <v>45979</v>
      </c>
      <c r="C769" s="4" t="s">
        <v>404</v>
      </c>
      <c r="D769" s="4" t="s">
        <v>47</v>
      </c>
      <c r="E769" s="4" t="s">
        <v>683</v>
      </c>
      <c r="F769" s="4" t="s">
        <v>955</v>
      </c>
      <c r="G769" s="4" t="s">
        <v>755</v>
      </c>
      <c r="H769" s="4">
        <v>1</v>
      </c>
      <c r="I769" s="7">
        <v>0.12</v>
      </c>
      <c r="J769" s="6">
        <v>3641</v>
      </c>
      <c r="K769" s="4">
        <v>3</v>
      </c>
      <c r="L769" s="8">
        <f t="shared" si="11"/>
        <v>4</v>
      </c>
      <c r="M769" s="6" t="str">
        <f>_xlfn.XLOOKUP(FactSales[[#This Row],[Product_ID]],DimProduct[Product_ID],DimProduct[Product_Name])</f>
        <v>Wireless Mouse</v>
      </c>
      <c r="N769" s="6" t="str">
        <f>_xlfn.XLOOKUP(FactSales[[#This Row],[Product_ID]],DimProduct[Product_ID],DimProduct[Category])</f>
        <v>Electronics</v>
      </c>
      <c r="O769" s="6">
        <f>_xlfn.XLOOKUP(FactSales[[#This Row],[Product_ID]],DimProduct[Product_ID],DimProduct[Unit_Price])</f>
        <v>3340</v>
      </c>
      <c r="P769" s="6">
        <f>_xlfn.XLOOKUP(FactSales[[#This Row],[Product_ID]],DimProduct[Product_ID],DimProduct[Unit_Cost])</f>
        <v>2270</v>
      </c>
      <c r="Q769" s="6">
        <f>FactSales[[#This Row],[Unit_Price]]*FactSales[[#This Row],[Quantity_Sold]]</f>
        <v>3340</v>
      </c>
      <c r="R769" s="6">
        <f>FactSales[[#This Row],[Unit_Cost]]*FactSales[[#This Row],[Quantity_Sold]]</f>
        <v>2270</v>
      </c>
      <c r="S769" s="6">
        <f>FactSales[[#This Row],[Sales_Amount]]-FactSales[[#This Row],[Total_Cost]]</f>
        <v>1070</v>
      </c>
      <c r="T769" s="6" t="str">
        <f>_xlfn.XLOOKUP(FactSales[[#This Row],[Customer_ID]],DimCustomer[Customer_ID],DimCustomer[Customer_Name])</f>
        <v>Ayesha Sultana</v>
      </c>
      <c r="U769" s="6" t="str">
        <f>_xlfn.XLOOKUP(FactSales[[#This Row],[Salesperson_ID]],DimSalesman[Salesperson_ID],DimSalesman[Salesperson_Name])</f>
        <v>Tania Chowdhury</v>
      </c>
      <c r="V769" s="6" t="str">
        <f>_xlfn.XLOOKUP(FactSales[[#This Row],[Region_ID]],DimRegion[Region_ID],DimRegion[Region_Name])</f>
        <v>Khulna</v>
      </c>
      <c r="W769" s="6" t="str">
        <f>_xlfn.XLOOKUP(FactSales[[#This Row],[Store_ID]],DimStore[Store_ID],DimStore[Store_Name])</f>
        <v>Khulna Sonadanga Store</v>
      </c>
    </row>
    <row r="770" spans="1:23">
      <c r="A770" s="4" t="s">
        <v>1766</v>
      </c>
      <c r="B770" s="5">
        <v>45749</v>
      </c>
      <c r="C770" s="4" t="s">
        <v>222</v>
      </c>
      <c r="D770" s="4" t="s">
        <v>37</v>
      </c>
      <c r="E770" s="4" t="s">
        <v>659</v>
      </c>
      <c r="F770" s="4" t="s">
        <v>939</v>
      </c>
      <c r="G770" s="4" t="s">
        <v>778</v>
      </c>
      <c r="H770" s="4">
        <v>3</v>
      </c>
      <c r="I770" s="7">
        <v>0.15</v>
      </c>
      <c r="J770" s="6">
        <v>14638</v>
      </c>
      <c r="K770" s="4">
        <v>5</v>
      </c>
      <c r="L770" s="8">
        <f t="shared" ref="L770:L833" si="12">MAX(1,MIN(5,ROUND(5.2-(K770*0.32)-(I770*2.2),1)))</f>
        <v>3.3</v>
      </c>
      <c r="M770" s="6" t="str">
        <f>_xlfn.XLOOKUP(FactSales[[#This Row],[Product_ID]],DimProduct[Product_ID],DimProduct[Product_Name])</f>
        <v>Steam Iron</v>
      </c>
      <c r="N770" s="6" t="str">
        <f>_xlfn.XLOOKUP(FactSales[[#This Row],[Product_ID]],DimProduct[Product_ID],DimProduct[Category])</f>
        <v>Home Appliance</v>
      </c>
      <c r="O770" s="6">
        <f>_xlfn.XLOOKUP(FactSales[[#This Row],[Product_ID]],DimProduct[Product_ID],DimProduct[Unit_Price])</f>
        <v>4560</v>
      </c>
      <c r="P770" s="6">
        <f>_xlfn.XLOOKUP(FactSales[[#This Row],[Product_ID]],DimProduct[Product_ID],DimProduct[Unit_Cost])</f>
        <v>3190</v>
      </c>
      <c r="Q770" s="6">
        <f>FactSales[[#This Row],[Unit_Price]]*FactSales[[#This Row],[Quantity_Sold]]</f>
        <v>13680</v>
      </c>
      <c r="R770" s="6">
        <f>FactSales[[#This Row],[Unit_Cost]]*FactSales[[#This Row],[Quantity_Sold]]</f>
        <v>9570</v>
      </c>
      <c r="S770" s="6">
        <f>FactSales[[#This Row],[Sales_Amount]]-FactSales[[#This Row],[Total_Cost]]</f>
        <v>4110</v>
      </c>
      <c r="T770" s="6" t="str">
        <f>_xlfn.XLOOKUP(FactSales[[#This Row],[Customer_ID]],DimCustomer[Customer_ID],DimCustomer[Customer_Name])</f>
        <v>Farhana Khan</v>
      </c>
      <c r="U770" s="6" t="str">
        <f>_xlfn.XLOOKUP(FactSales[[#This Row],[Salesperson_ID]],DimSalesman[Salesperson_ID],DimSalesman[Salesperson_Name])</f>
        <v>Fahim Mia</v>
      </c>
      <c r="V770" s="6" t="str">
        <f>_xlfn.XLOOKUP(FactSales[[#This Row],[Region_ID]],DimRegion[Region_ID],DimRegion[Region_Name])</f>
        <v>Sylhet</v>
      </c>
      <c r="W770" s="6" t="str">
        <f>_xlfn.XLOOKUP(FactSales[[#This Row],[Store_ID]],DimStore[Store_ID],DimStore[Store_Name])</f>
        <v>Sylhet South Surma Store</v>
      </c>
    </row>
    <row r="771" spans="1:23">
      <c r="A771" s="4" t="s">
        <v>1767</v>
      </c>
      <c r="B771" s="5">
        <v>45784</v>
      </c>
      <c r="C771" s="4" t="s">
        <v>422</v>
      </c>
      <c r="D771" s="4" t="s">
        <v>47</v>
      </c>
      <c r="E771" s="4" t="s">
        <v>692</v>
      </c>
      <c r="F771" s="4" t="s">
        <v>958</v>
      </c>
      <c r="G771" s="4" t="s">
        <v>890</v>
      </c>
      <c r="H771" s="4">
        <v>8</v>
      </c>
      <c r="I771" s="7">
        <v>0.1</v>
      </c>
      <c r="J771" s="6">
        <v>7325</v>
      </c>
      <c r="K771" s="4">
        <v>5</v>
      </c>
      <c r="L771" s="8">
        <f t="shared" si="12"/>
        <v>3.4</v>
      </c>
      <c r="M771" s="6" t="str">
        <f>_xlfn.XLOOKUP(FactSales[[#This Row],[Product_ID]],DimProduct[Product_ID],DimProduct[Product_Name])</f>
        <v>Kids Story Book</v>
      </c>
      <c r="N771" s="6" t="str">
        <f>_xlfn.XLOOKUP(FactSales[[#This Row],[Product_ID]],DimProduct[Product_ID],DimProduct[Category])</f>
        <v>Kids &amp; Toys</v>
      </c>
      <c r="O771" s="6">
        <f>_xlfn.XLOOKUP(FactSales[[#This Row],[Product_ID]],DimProduct[Product_ID],DimProduct[Unit_Price])</f>
        <v>840</v>
      </c>
      <c r="P771" s="6">
        <f>_xlfn.XLOOKUP(FactSales[[#This Row],[Product_ID]],DimProduct[Product_ID],DimProduct[Unit_Cost])</f>
        <v>460</v>
      </c>
      <c r="Q771" s="6">
        <f>FactSales[[#This Row],[Unit_Price]]*FactSales[[#This Row],[Quantity_Sold]]</f>
        <v>6720</v>
      </c>
      <c r="R771" s="6">
        <f>FactSales[[#This Row],[Unit_Cost]]*FactSales[[#This Row],[Quantity_Sold]]</f>
        <v>3680</v>
      </c>
      <c r="S771" s="6">
        <f>FactSales[[#This Row],[Sales_Amount]]-FactSales[[#This Row],[Total_Cost]]</f>
        <v>3040</v>
      </c>
      <c r="T771" s="6" t="str">
        <f>_xlfn.XLOOKUP(FactSales[[#This Row],[Customer_ID]],DimCustomer[Customer_ID],DimCustomer[Customer_Name])</f>
        <v>Tanjim Khan</v>
      </c>
      <c r="U771" s="6" t="str">
        <f>_xlfn.XLOOKUP(FactSales[[#This Row],[Salesperson_ID]],DimSalesman[Salesperson_ID],DimSalesman[Salesperson_Name])</f>
        <v>Fahim Uddin</v>
      </c>
      <c r="V771" s="6" t="str">
        <f>_xlfn.XLOOKUP(FactSales[[#This Row],[Region_ID]],DimRegion[Region_ID],DimRegion[Region_Name])</f>
        <v>Khulna</v>
      </c>
      <c r="W771" s="6" t="str">
        <f>_xlfn.XLOOKUP(FactSales[[#This Row],[Store_ID]],DimStore[Store_ID],DimStore[Store_Name])</f>
        <v>Khulna Boyra Store</v>
      </c>
    </row>
    <row r="772" spans="1:23">
      <c r="A772" s="4" t="s">
        <v>1768</v>
      </c>
      <c r="B772" s="5">
        <v>45790</v>
      </c>
      <c r="C772" s="4" t="s">
        <v>107</v>
      </c>
      <c r="D772" s="4" t="s">
        <v>27</v>
      </c>
      <c r="E772" s="4" t="s">
        <v>626</v>
      </c>
      <c r="F772" s="4" t="s">
        <v>918</v>
      </c>
      <c r="G772" s="4" t="s">
        <v>781</v>
      </c>
      <c r="H772" s="4">
        <v>2</v>
      </c>
      <c r="I772" s="7">
        <v>0.18</v>
      </c>
      <c r="J772" s="6">
        <v>6593</v>
      </c>
      <c r="K772" s="4">
        <v>6</v>
      </c>
      <c r="L772" s="8">
        <f t="shared" si="12"/>
        <v>2.9</v>
      </c>
      <c r="M772" s="6" t="str">
        <f>_xlfn.XLOOKUP(FactSales[[#This Row],[Product_ID]],DimProduct[Product_ID],DimProduct[Product_Name])</f>
        <v>Table Fan</v>
      </c>
      <c r="N772" s="6" t="str">
        <f>_xlfn.XLOOKUP(FactSales[[#This Row],[Product_ID]],DimProduct[Product_ID],DimProduct[Category])</f>
        <v>Home Appliance</v>
      </c>
      <c r="O772" s="6">
        <f>_xlfn.XLOOKUP(FactSales[[#This Row],[Product_ID]],DimProduct[Product_ID],DimProduct[Unit_Price])</f>
        <v>3110</v>
      </c>
      <c r="P772" s="6">
        <f>_xlfn.XLOOKUP(FactSales[[#This Row],[Product_ID]],DimProduct[Product_ID],DimProduct[Unit_Cost])</f>
        <v>2180</v>
      </c>
      <c r="Q772" s="6">
        <f>FactSales[[#This Row],[Unit_Price]]*FactSales[[#This Row],[Quantity_Sold]]</f>
        <v>6220</v>
      </c>
      <c r="R772" s="6">
        <f>FactSales[[#This Row],[Unit_Cost]]*FactSales[[#This Row],[Quantity_Sold]]</f>
        <v>4360</v>
      </c>
      <c r="S772" s="6">
        <f>FactSales[[#This Row],[Sales_Amount]]-FactSales[[#This Row],[Total_Cost]]</f>
        <v>1860</v>
      </c>
      <c r="T772" s="6" t="str">
        <f>_xlfn.XLOOKUP(FactSales[[#This Row],[Customer_ID]],DimCustomer[Customer_ID],DimCustomer[Customer_Name])</f>
        <v>Nayeem Rahman</v>
      </c>
      <c r="U772" s="6" t="str">
        <f>_xlfn.XLOOKUP(FactSales[[#This Row],[Salesperson_ID]],DimSalesman[Salesperson_ID],DimSalesman[Salesperson_Name])</f>
        <v>Tania Sultana</v>
      </c>
      <c r="V772" s="6" t="str">
        <f>_xlfn.XLOOKUP(FactSales[[#This Row],[Region_ID]],DimRegion[Region_ID],DimRegion[Region_Name])</f>
        <v>Dhaka</v>
      </c>
      <c r="W772" s="6" t="str">
        <f>_xlfn.XLOOKUP(FactSales[[#This Row],[Store_ID]],DimStore[Store_ID],DimStore[Store_Name])</f>
        <v>Dhaka Mirpur Store</v>
      </c>
    </row>
    <row r="773" spans="1:23">
      <c r="A773" s="4" t="s">
        <v>1769</v>
      </c>
      <c r="B773" s="5">
        <v>45701</v>
      </c>
      <c r="C773" s="4" t="s">
        <v>429</v>
      </c>
      <c r="D773" s="4" t="s">
        <v>52</v>
      </c>
      <c r="E773" s="4" t="s">
        <v>707</v>
      </c>
      <c r="F773" s="4" t="s">
        <v>965</v>
      </c>
      <c r="G773" s="4" t="s">
        <v>788</v>
      </c>
      <c r="H773" s="4">
        <v>3</v>
      </c>
      <c r="I773" s="7">
        <v>0.03</v>
      </c>
      <c r="J773" s="6">
        <v>6115</v>
      </c>
      <c r="K773" s="4">
        <v>1</v>
      </c>
      <c r="L773" s="8">
        <f t="shared" si="12"/>
        <v>4.8</v>
      </c>
      <c r="M773" s="6" t="str">
        <f>_xlfn.XLOOKUP(FactSales[[#This Row],[Product_ID]],DimProduct[Product_ID],DimProduct[Product_Name])</f>
        <v>Formal Shirt</v>
      </c>
      <c r="N773" s="6" t="str">
        <f>_xlfn.XLOOKUP(FactSales[[#This Row],[Product_ID]],DimProduct[Product_ID],DimProduct[Category])</f>
        <v>Fashion</v>
      </c>
      <c r="O773" s="6">
        <f>_xlfn.XLOOKUP(FactSales[[#This Row],[Product_ID]],DimProduct[Product_ID],DimProduct[Unit_Price])</f>
        <v>1820</v>
      </c>
      <c r="P773" s="6">
        <f>_xlfn.XLOOKUP(FactSales[[#This Row],[Product_ID]],DimProduct[Product_ID],DimProduct[Unit_Cost])</f>
        <v>1000</v>
      </c>
      <c r="Q773" s="6">
        <f>FactSales[[#This Row],[Unit_Price]]*FactSales[[#This Row],[Quantity_Sold]]</f>
        <v>5460</v>
      </c>
      <c r="R773" s="6">
        <f>FactSales[[#This Row],[Unit_Cost]]*FactSales[[#This Row],[Quantity_Sold]]</f>
        <v>3000</v>
      </c>
      <c r="S773" s="6">
        <f>FactSales[[#This Row],[Sales_Amount]]-FactSales[[#This Row],[Total_Cost]]</f>
        <v>2460</v>
      </c>
      <c r="T773" s="6" t="str">
        <f>_xlfn.XLOOKUP(FactSales[[#This Row],[Customer_ID]],DimCustomer[Customer_ID],DimCustomer[Customer_Name])</f>
        <v>Arif Ahmed</v>
      </c>
      <c r="U773" s="6" t="str">
        <f>_xlfn.XLOOKUP(FactSales[[#This Row],[Salesperson_ID]],DimSalesman[Salesperson_ID],DimSalesman[Salesperson_Name])</f>
        <v>Mehedi Khan</v>
      </c>
      <c r="V773" s="6" t="str">
        <f>_xlfn.XLOOKUP(FactSales[[#This Row],[Region_ID]],DimRegion[Region_ID],DimRegion[Region_Name])</f>
        <v>Barishal</v>
      </c>
      <c r="W773" s="6" t="str">
        <f>_xlfn.XLOOKUP(FactSales[[#This Row],[Store_ID]],DimStore[Store_ID],DimStore[Store_Name])</f>
        <v>Barishal Chowmatha Store</v>
      </c>
    </row>
    <row r="774" spans="1:23">
      <c r="A774" s="4" t="s">
        <v>1770</v>
      </c>
      <c r="B774" s="5">
        <v>45765</v>
      </c>
      <c r="C774" s="4" t="s">
        <v>346</v>
      </c>
      <c r="D774" s="4" t="s">
        <v>42</v>
      </c>
      <c r="E774" s="4" t="s">
        <v>680</v>
      </c>
      <c r="F774" s="4" t="s">
        <v>943</v>
      </c>
      <c r="G774" s="4" t="s">
        <v>758</v>
      </c>
      <c r="H774" s="4">
        <v>2</v>
      </c>
      <c r="I774" s="7">
        <v>0.18</v>
      </c>
      <c r="J774" s="6">
        <v>6134</v>
      </c>
      <c r="K774" s="4">
        <v>3</v>
      </c>
      <c r="L774" s="8">
        <f t="shared" si="12"/>
        <v>3.8</v>
      </c>
      <c r="M774" s="6" t="str">
        <f>_xlfn.XLOOKUP(FactSales[[#This Row],[Product_ID]],DimProduct[Product_ID],DimProduct[Product_Name])</f>
        <v>Power Bank</v>
      </c>
      <c r="N774" s="6" t="str">
        <f>_xlfn.XLOOKUP(FactSales[[#This Row],[Product_ID]],DimProduct[Product_ID],DimProduct[Category])</f>
        <v>Electronics</v>
      </c>
      <c r="O774" s="6">
        <f>_xlfn.XLOOKUP(FactSales[[#This Row],[Product_ID]],DimProduct[Product_ID],DimProduct[Unit_Price])</f>
        <v>2840</v>
      </c>
      <c r="P774" s="6">
        <f>_xlfn.XLOOKUP(FactSales[[#This Row],[Product_ID]],DimProduct[Product_ID],DimProduct[Unit_Cost])</f>
        <v>1930</v>
      </c>
      <c r="Q774" s="6">
        <f>FactSales[[#This Row],[Unit_Price]]*FactSales[[#This Row],[Quantity_Sold]]</f>
        <v>5680</v>
      </c>
      <c r="R774" s="6">
        <f>FactSales[[#This Row],[Unit_Cost]]*FactSales[[#This Row],[Quantity_Sold]]</f>
        <v>3860</v>
      </c>
      <c r="S774" s="6">
        <f>FactSales[[#This Row],[Sales_Amount]]-FactSales[[#This Row],[Total_Cost]]</f>
        <v>1820</v>
      </c>
      <c r="T774" s="6" t="str">
        <f>_xlfn.XLOOKUP(FactSales[[#This Row],[Customer_ID]],DimCustomer[Customer_ID],DimCustomer[Customer_Name])</f>
        <v>Hasan Ahmed</v>
      </c>
      <c r="U774" s="6" t="str">
        <f>_xlfn.XLOOKUP(FactSales[[#This Row],[Salesperson_ID]],DimSalesman[Salesperson_ID],DimSalesman[Salesperson_Name])</f>
        <v>Imran Khan</v>
      </c>
      <c r="V774" s="6" t="str">
        <f>_xlfn.XLOOKUP(FactSales[[#This Row],[Region_ID]],DimRegion[Region_ID],DimRegion[Region_Name])</f>
        <v>Rajshahi</v>
      </c>
      <c r="W774" s="6" t="str">
        <f>_xlfn.XLOOKUP(FactSales[[#This Row],[Store_ID]],DimStore[Store_ID],DimStore[Store_Name])</f>
        <v>Rajshahi Lakshmipur Store</v>
      </c>
    </row>
    <row r="775" spans="1:23">
      <c r="A775" s="4" t="s">
        <v>1771</v>
      </c>
      <c r="B775" s="5">
        <v>46134</v>
      </c>
      <c r="C775" s="4" t="s">
        <v>522</v>
      </c>
      <c r="D775" s="4" t="s">
        <v>57</v>
      </c>
      <c r="E775" s="4" t="s">
        <v>713</v>
      </c>
      <c r="F775" s="4" t="s">
        <v>972</v>
      </c>
      <c r="G775" s="4" t="s">
        <v>788</v>
      </c>
      <c r="H775" s="4">
        <v>1</v>
      </c>
      <c r="I775" s="7">
        <v>0.03</v>
      </c>
      <c r="J775" s="6">
        <v>2093</v>
      </c>
      <c r="K775" s="4">
        <v>6</v>
      </c>
      <c r="L775" s="8">
        <f t="shared" si="12"/>
        <v>3.2</v>
      </c>
      <c r="M775" s="6" t="str">
        <f>_xlfn.XLOOKUP(FactSales[[#This Row],[Product_ID]],DimProduct[Product_ID],DimProduct[Product_Name])</f>
        <v>Formal Shirt</v>
      </c>
      <c r="N775" s="6" t="str">
        <f>_xlfn.XLOOKUP(FactSales[[#This Row],[Product_ID]],DimProduct[Product_ID],DimProduct[Category])</f>
        <v>Fashion</v>
      </c>
      <c r="O775" s="6">
        <f>_xlfn.XLOOKUP(FactSales[[#This Row],[Product_ID]],DimProduct[Product_ID],DimProduct[Unit_Price])</f>
        <v>1820</v>
      </c>
      <c r="P775" s="6">
        <f>_xlfn.XLOOKUP(FactSales[[#This Row],[Product_ID]],DimProduct[Product_ID],DimProduct[Unit_Cost])</f>
        <v>1000</v>
      </c>
      <c r="Q775" s="6">
        <f>FactSales[[#This Row],[Unit_Price]]*FactSales[[#This Row],[Quantity_Sold]]</f>
        <v>1820</v>
      </c>
      <c r="R775" s="6">
        <f>FactSales[[#This Row],[Unit_Cost]]*FactSales[[#This Row],[Quantity_Sold]]</f>
        <v>1000</v>
      </c>
      <c r="S775" s="6">
        <f>FactSales[[#This Row],[Sales_Amount]]-FactSales[[#This Row],[Total_Cost]]</f>
        <v>820</v>
      </c>
      <c r="T775" s="6" t="str">
        <f>_xlfn.XLOOKUP(FactSales[[#This Row],[Customer_ID]],DimCustomer[Customer_ID],DimCustomer[Customer_Name])</f>
        <v>Shamim Uddin</v>
      </c>
      <c r="U775" s="6" t="str">
        <f>_xlfn.XLOOKUP(FactSales[[#This Row],[Salesperson_ID]],DimSalesman[Salesperson_ID],DimSalesman[Salesperson_Name])</f>
        <v>Samiha Hossain</v>
      </c>
      <c r="V775" s="6" t="str">
        <f>_xlfn.XLOOKUP(FactSales[[#This Row],[Region_ID]],DimRegion[Region_ID],DimRegion[Region_Name])</f>
        <v>Rangpur</v>
      </c>
      <c r="W775" s="6" t="str">
        <f>_xlfn.XLOOKUP(FactSales[[#This Row],[Store_ID]],DimStore[Store_ID],DimStore[Store_Name])</f>
        <v>Rangpur Jahaj Company Store</v>
      </c>
    </row>
    <row r="776" spans="1:23">
      <c r="A776" s="4" t="s">
        <v>1772</v>
      </c>
      <c r="B776" s="5">
        <v>45724</v>
      </c>
      <c r="C776" s="4" t="s">
        <v>548</v>
      </c>
      <c r="D776" s="4" t="s">
        <v>57</v>
      </c>
      <c r="E776" s="4" t="s">
        <v>722</v>
      </c>
      <c r="F776" s="4" t="s">
        <v>970</v>
      </c>
      <c r="G776" s="4" t="s">
        <v>781</v>
      </c>
      <c r="H776" s="4">
        <v>4</v>
      </c>
      <c r="I776" s="7">
        <v>0.15</v>
      </c>
      <c r="J776" s="6">
        <v>14306</v>
      </c>
      <c r="K776" s="4">
        <v>9</v>
      </c>
      <c r="L776" s="8">
        <f t="shared" si="12"/>
        <v>2</v>
      </c>
      <c r="M776" s="6" t="str">
        <f>_xlfn.XLOOKUP(FactSales[[#This Row],[Product_ID]],DimProduct[Product_ID],DimProduct[Product_Name])</f>
        <v>Table Fan</v>
      </c>
      <c r="N776" s="6" t="str">
        <f>_xlfn.XLOOKUP(FactSales[[#This Row],[Product_ID]],DimProduct[Product_ID],DimProduct[Category])</f>
        <v>Home Appliance</v>
      </c>
      <c r="O776" s="6">
        <f>_xlfn.XLOOKUP(FactSales[[#This Row],[Product_ID]],DimProduct[Product_ID],DimProduct[Unit_Price])</f>
        <v>3110</v>
      </c>
      <c r="P776" s="6">
        <f>_xlfn.XLOOKUP(FactSales[[#This Row],[Product_ID]],DimProduct[Product_ID],DimProduct[Unit_Cost])</f>
        <v>2180</v>
      </c>
      <c r="Q776" s="6">
        <f>FactSales[[#This Row],[Unit_Price]]*FactSales[[#This Row],[Quantity_Sold]]</f>
        <v>12440</v>
      </c>
      <c r="R776" s="6">
        <f>FactSales[[#This Row],[Unit_Cost]]*FactSales[[#This Row],[Quantity_Sold]]</f>
        <v>8720</v>
      </c>
      <c r="S776" s="6">
        <f>FactSales[[#This Row],[Sales_Amount]]-FactSales[[#This Row],[Total_Cost]]</f>
        <v>3720</v>
      </c>
      <c r="T776" s="6" t="str">
        <f>_xlfn.XLOOKUP(FactSales[[#This Row],[Customer_ID]],DimCustomer[Customer_ID],DimCustomer[Customer_Name])</f>
        <v>Samiha Islam</v>
      </c>
      <c r="U776" s="6" t="str">
        <f>_xlfn.XLOOKUP(FactSales[[#This Row],[Salesperson_ID]],DimSalesman[Salesperson_ID],DimSalesman[Salesperson_Name])</f>
        <v>Tanvir Islam</v>
      </c>
      <c r="V776" s="6" t="str">
        <f>_xlfn.XLOOKUP(FactSales[[#This Row],[Region_ID]],DimRegion[Region_ID],DimRegion[Region_Name])</f>
        <v>Rangpur</v>
      </c>
      <c r="W776" s="6" t="str">
        <f>_xlfn.XLOOKUP(FactSales[[#This Row],[Store_ID]],DimStore[Store_ID],DimStore[Store_Name])</f>
        <v>Rangpur Dhap Store</v>
      </c>
    </row>
    <row r="777" spans="1:23">
      <c r="A777" s="4" t="s">
        <v>1773</v>
      </c>
      <c r="B777" s="5">
        <v>46139</v>
      </c>
      <c r="C777" s="4" t="s">
        <v>171</v>
      </c>
      <c r="D777" s="4" t="s">
        <v>32</v>
      </c>
      <c r="E777" s="4" t="s">
        <v>647</v>
      </c>
      <c r="F777" s="4" t="s">
        <v>922</v>
      </c>
      <c r="G777" s="4" t="s">
        <v>808</v>
      </c>
      <c r="H777" s="4">
        <v>1</v>
      </c>
      <c r="I777" s="7">
        <v>0.03</v>
      </c>
      <c r="J777" s="6">
        <v>1949</v>
      </c>
      <c r="K777" s="4">
        <v>8</v>
      </c>
      <c r="L777" s="8">
        <f t="shared" si="12"/>
        <v>2.6</v>
      </c>
      <c r="M777" s="6" t="str">
        <f>_xlfn.XLOOKUP(FactSales[[#This Row],[Product_ID]],DimProduct[Product_ID],DimProduct[Product_Name])</f>
        <v>Lentil 1kg</v>
      </c>
      <c r="N777" s="6" t="str">
        <f>_xlfn.XLOOKUP(FactSales[[#This Row],[Product_ID]],DimProduct[Product_ID],DimProduct[Category])</f>
        <v>Grocery</v>
      </c>
      <c r="O777" s="6">
        <f>_xlfn.XLOOKUP(FactSales[[#This Row],[Product_ID]],DimProduct[Product_ID],DimProduct[Unit_Price])</f>
        <v>1710</v>
      </c>
      <c r="P777" s="6">
        <f>_xlfn.XLOOKUP(FactSales[[#This Row],[Product_ID]],DimProduct[Product_ID],DimProduct[Unit_Cost])</f>
        <v>1330</v>
      </c>
      <c r="Q777" s="6">
        <f>FactSales[[#This Row],[Unit_Price]]*FactSales[[#This Row],[Quantity_Sold]]</f>
        <v>1710</v>
      </c>
      <c r="R777" s="6">
        <f>FactSales[[#This Row],[Unit_Cost]]*FactSales[[#This Row],[Quantity_Sold]]</f>
        <v>1330</v>
      </c>
      <c r="S777" s="6">
        <f>FactSales[[#This Row],[Sales_Amount]]-FactSales[[#This Row],[Total_Cost]]</f>
        <v>380</v>
      </c>
      <c r="T777" s="6" t="str">
        <f>_xlfn.XLOOKUP(FactSales[[#This Row],[Customer_ID]],DimCustomer[Customer_ID],DimCustomer[Customer_Name])</f>
        <v>Mim Hossain</v>
      </c>
      <c r="U777" s="6" t="str">
        <f>_xlfn.XLOOKUP(FactSales[[#This Row],[Salesperson_ID]],DimSalesman[Salesperson_ID],DimSalesman[Salesperson_Name])</f>
        <v>Rafi Sultana</v>
      </c>
      <c r="V777" s="6" t="str">
        <f>_xlfn.XLOOKUP(FactSales[[#This Row],[Region_ID]],DimRegion[Region_ID],DimRegion[Region_Name])</f>
        <v>Chattogram</v>
      </c>
      <c r="W777" s="6" t="str">
        <f>_xlfn.XLOOKUP(FactSales[[#This Row],[Store_ID]],DimStore[Store_ID],DimStore[Store_Name])</f>
        <v>Chattogram Nasirabad Store</v>
      </c>
    </row>
    <row r="778" spans="1:23">
      <c r="A778" s="4" t="s">
        <v>1774</v>
      </c>
      <c r="B778" s="5">
        <v>46028</v>
      </c>
      <c r="C778" s="4" t="s">
        <v>130</v>
      </c>
      <c r="D778" s="4" t="s">
        <v>27</v>
      </c>
      <c r="E778" s="4" t="s">
        <v>630</v>
      </c>
      <c r="F778" s="4" t="s">
        <v>912</v>
      </c>
      <c r="G778" s="4" t="s">
        <v>893</v>
      </c>
      <c r="H778" s="4">
        <v>4</v>
      </c>
      <c r="I778" s="7">
        <v>0.1</v>
      </c>
      <c r="J778" s="6">
        <v>18571</v>
      </c>
      <c r="K778" s="4">
        <v>4</v>
      </c>
      <c r="L778" s="8">
        <f t="shared" si="12"/>
        <v>3.7</v>
      </c>
      <c r="M778" s="6" t="str">
        <f>_xlfn.XLOOKUP(FactSales[[#This Row],[Product_ID]],DimProduct[Product_ID],DimProduct[Product_Name])</f>
        <v>Office Chair</v>
      </c>
      <c r="N778" s="6" t="str">
        <f>_xlfn.XLOOKUP(FactSales[[#This Row],[Product_ID]],DimProduct[Product_ID],DimProduct[Category])</f>
        <v>Furniture</v>
      </c>
      <c r="O778" s="6">
        <f>_xlfn.XLOOKUP(FactSales[[#This Row],[Product_ID]],DimProduct[Product_ID],DimProduct[Unit_Price])</f>
        <v>4380</v>
      </c>
      <c r="P778" s="6">
        <f>_xlfn.XLOOKUP(FactSales[[#This Row],[Product_ID]],DimProduct[Product_ID],DimProduct[Unit_Cost])</f>
        <v>3150</v>
      </c>
      <c r="Q778" s="6">
        <f>FactSales[[#This Row],[Unit_Price]]*FactSales[[#This Row],[Quantity_Sold]]</f>
        <v>17520</v>
      </c>
      <c r="R778" s="6">
        <f>FactSales[[#This Row],[Unit_Cost]]*FactSales[[#This Row],[Quantity_Sold]]</f>
        <v>12600</v>
      </c>
      <c r="S778" s="6">
        <f>FactSales[[#This Row],[Sales_Amount]]-FactSales[[#This Row],[Total_Cost]]</f>
        <v>4920</v>
      </c>
      <c r="T778" s="6" t="str">
        <f>_xlfn.XLOOKUP(FactSales[[#This Row],[Customer_ID]],DimCustomer[Customer_ID],DimCustomer[Customer_Name])</f>
        <v>Tanjim Ahmed</v>
      </c>
      <c r="U778" s="6" t="str">
        <f>_xlfn.XLOOKUP(FactSales[[#This Row],[Salesperson_ID]],DimSalesman[Salesperson_ID],DimSalesman[Salesperson_Name])</f>
        <v>Mahmud Hossain</v>
      </c>
      <c r="V778" s="6" t="str">
        <f>_xlfn.XLOOKUP(FactSales[[#This Row],[Region_ID]],DimRegion[Region_ID],DimRegion[Region_Name])</f>
        <v>Dhaka</v>
      </c>
      <c r="W778" s="6" t="str">
        <f>_xlfn.XLOOKUP(FactSales[[#This Row],[Store_ID]],DimStore[Store_ID],DimStore[Store_Name])</f>
        <v>Dhaka Uttara Store</v>
      </c>
    </row>
    <row r="779" spans="1:23">
      <c r="A779" s="4" t="s">
        <v>1775</v>
      </c>
      <c r="B779" s="5">
        <v>45838</v>
      </c>
      <c r="C779" s="4" t="s">
        <v>145</v>
      </c>
      <c r="D779" s="4" t="s">
        <v>27</v>
      </c>
      <c r="E779" s="4" t="s">
        <v>630</v>
      </c>
      <c r="F779" s="4" t="s">
        <v>916</v>
      </c>
      <c r="G779" s="4" t="s">
        <v>765</v>
      </c>
      <c r="H779" s="4">
        <v>1</v>
      </c>
      <c r="I779" s="7">
        <v>0.08</v>
      </c>
      <c r="J779" s="6">
        <v>5183</v>
      </c>
      <c r="K779" s="4">
        <v>3</v>
      </c>
      <c r="L779" s="8">
        <f t="shared" si="12"/>
        <v>4.0999999999999996</v>
      </c>
      <c r="M779" s="6" t="str">
        <f>_xlfn.XLOOKUP(FactSales[[#This Row],[Product_ID]],DimProduct[Product_ID],DimProduct[Product_Name])</f>
        <v>USB-C Hub</v>
      </c>
      <c r="N779" s="6" t="str">
        <f>_xlfn.XLOOKUP(FactSales[[#This Row],[Product_ID]],DimProduct[Product_ID],DimProduct[Category])</f>
        <v>Electronics</v>
      </c>
      <c r="O779" s="6">
        <f>_xlfn.XLOOKUP(FactSales[[#This Row],[Product_ID]],DimProduct[Product_ID],DimProduct[Unit_Price])</f>
        <v>4890</v>
      </c>
      <c r="P779" s="6">
        <f>_xlfn.XLOOKUP(FactSales[[#This Row],[Product_ID]],DimProduct[Product_ID],DimProduct[Unit_Cost])</f>
        <v>3330</v>
      </c>
      <c r="Q779" s="6">
        <f>FactSales[[#This Row],[Unit_Price]]*FactSales[[#This Row],[Quantity_Sold]]</f>
        <v>4890</v>
      </c>
      <c r="R779" s="6">
        <f>FactSales[[#This Row],[Unit_Cost]]*FactSales[[#This Row],[Quantity_Sold]]</f>
        <v>3330</v>
      </c>
      <c r="S779" s="6">
        <f>FactSales[[#This Row],[Sales_Amount]]-FactSales[[#This Row],[Total_Cost]]</f>
        <v>1560</v>
      </c>
      <c r="T779" s="6" t="str">
        <f>_xlfn.XLOOKUP(FactSales[[#This Row],[Customer_ID]],DimCustomer[Customer_ID],DimCustomer[Customer_Name])</f>
        <v>Nabila Sultana</v>
      </c>
      <c r="U779" s="6" t="str">
        <f>_xlfn.XLOOKUP(FactSales[[#This Row],[Salesperson_ID]],DimSalesman[Salesperson_ID],DimSalesman[Salesperson_Name])</f>
        <v>Rafi Islam</v>
      </c>
      <c r="V779" s="6" t="str">
        <f>_xlfn.XLOOKUP(FactSales[[#This Row],[Region_ID]],DimRegion[Region_ID],DimRegion[Region_Name])</f>
        <v>Dhaka</v>
      </c>
      <c r="W779" s="6" t="str">
        <f>_xlfn.XLOOKUP(FactSales[[#This Row],[Store_ID]],DimStore[Store_ID],DimStore[Store_Name])</f>
        <v>Dhaka Uttara Store</v>
      </c>
    </row>
    <row r="780" spans="1:23">
      <c r="A780" s="4" t="s">
        <v>1776</v>
      </c>
      <c r="B780" s="5">
        <v>46120</v>
      </c>
      <c r="C780" s="4" t="s">
        <v>390</v>
      </c>
      <c r="D780" s="4" t="s">
        <v>47</v>
      </c>
      <c r="E780" s="4" t="s">
        <v>683</v>
      </c>
      <c r="F780" s="4" t="s">
        <v>954</v>
      </c>
      <c r="G780" s="4" t="s">
        <v>878</v>
      </c>
      <c r="H780" s="4">
        <v>7</v>
      </c>
      <c r="I780" s="7">
        <v>0.05</v>
      </c>
      <c r="J780" s="6">
        <v>6409</v>
      </c>
      <c r="K780" s="4">
        <v>2</v>
      </c>
      <c r="L780" s="8">
        <f t="shared" si="12"/>
        <v>4.5</v>
      </c>
      <c r="M780" s="6" t="str">
        <f>_xlfn.XLOOKUP(FactSales[[#This Row],[Product_ID]],DimProduct[Product_ID],DimProduct[Product_Name])</f>
        <v>Building Blocks</v>
      </c>
      <c r="N780" s="6" t="str">
        <f>_xlfn.XLOOKUP(FactSales[[#This Row],[Product_ID]],DimProduct[Product_ID],DimProduct[Category])</f>
        <v>Kids &amp; Toys</v>
      </c>
      <c r="O780" s="6">
        <f>_xlfn.XLOOKUP(FactSales[[#This Row],[Product_ID]],DimProduct[Product_ID],DimProduct[Unit_Price])</f>
        <v>840</v>
      </c>
      <c r="P780" s="6">
        <f>_xlfn.XLOOKUP(FactSales[[#This Row],[Product_ID]],DimProduct[Product_ID],DimProduct[Unit_Cost])</f>
        <v>460</v>
      </c>
      <c r="Q780" s="6">
        <f>FactSales[[#This Row],[Unit_Price]]*FactSales[[#This Row],[Quantity_Sold]]</f>
        <v>5880</v>
      </c>
      <c r="R780" s="6">
        <f>FactSales[[#This Row],[Unit_Cost]]*FactSales[[#This Row],[Quantity_Sold]]</f>
        <v>3220</v>
      </c>
      <c r="S780" s="6">
        <f>FactSales[[#This Row],[Sales_Amount]]-FactSales[[#This Row],[Total_Cost]]</f>
        <v>2660</v>
      </c>
      <c r="T780" s="6" t="str">
        <f>_xlfn.XLOOKUP(FactSales[[#This Row],[Customer_ID]],DimCustomer[Customer_ID],DimCustomer[Customer_Name])</f>
        <v>Fahim Khan</v>
      </c>
      <c r="U780" s="6" t="str">
        <f>_xlfn.XLOOKUP(FactSales[[#This Row],[Salesperson_ID]],DimSalesman[Salesperson_ID],DimSalesman[Salesperson_Name])</f>
        <v>Sadia Sultana</v>
      </c>
      <c r="V780" s="6" t="str">
        <f>_xlfn.XLOOKUP(FactSales[[#This Row],[Region_ID]],DimRegion[Region_ID],DimRegion[Region_Name])</f>
        <v>Khulna</v>
      </c>
      <c r="W780" s="6" t="str">
        <f>_xlfn.XLOOKUP(FactSales[[#This Row],[Store_ID]],DimStore[Store_ID],DimStore[Store_Name])</f>
        <v>Khulna Sonadanga Store</v>
      </c>
    </row>
    <row r="781" spans="1:23">
      <c r="A781" s="4" t="s">
        <v>1777</v>
      </c>
      <c r="B781" s="5">
        <v>45962</v>
      </c>
      <c r="C781" s="4" t="s">
        <v>79</v>
      </c>
      <c r="D781" s="4" t="s">
        <v>27</v>
      </c>
      <c r="E781" s="4" t="s">
        <v>630</v>
      </c>
      <c r="F781" s="4" t="s">
        <v>916</v>
      </c>
      <c r="G781" s="4" t="s">
        <v>900</v>
      </c>
      <c r="H781" s="4">
        <v>1</v>
      </c>
      <c r="I781" s="7">
        <v>7.0000000000000007E-2</v>
      </c>
      <c r="J781" s="6">
        <v>5639</v>
      </c>
      <c r="K781" s="4">
        <v>3</v>
      </c>
      <c r="L781" s="8">
        <f t="shared" si="12"/>
        <v>4.0999999999999996</v>
      </c>
      <c r="M781" s="6" t="str">
        <f>_xlfn.XLOOKUP(FactSales[[#This Row],[Product_ID]],DimProduct[Product_ID],DimProduct[Product_Name])</f>
        <v>Shoe Rack</v>
      </c>
      <c r="N781" s="6" t="str">
        <f>_xlfn.XLOOKUP(FactSales[[#This Row],[Product_ID]],DimProduct[Product_ID],DimProduct[Category])</f>
        <v>Furniture</v>
      </c>
      <c r="O781" s="6">
        <f>_xlfn.XLOOKUP(FactSales[[#This Row],[Product_ID]],DimProduct[Product_ID],DimProduct[Unit_Price])</f>
        <v>5320</v>
      </c>
      <c r="P781" s="6">
        <f>_xlfn.XLOOKUP(FactSales[[#This Row],[Product_ID]],DimProduct[Product_ID],DimProduct[Unit_Cost])</f>
        <v>3830</v>
      </c>
      <c r="Q781" s="6">
        <f>FactSales[[#This Row],[Unit_Price]]*FactSales[[#This Row],[Quantity_Sold]]</f>
        <v>5320</v>
      </c>
      <c r="R781" s="6">
        <f>FactSales[[#This Row],[Unit_Cost]]*FactSales[[#This Row],[Quantity_Sold]]</f>
        <v>3830</v>
      </c>
      <c r="S781" s="6">
        <f>FactSales[[#This Row],[Sales_Amount]]-FactSales[[#This Row],[Total_Cost]]</f>
        <v>1490</v>
      </c>
      <c r="T781" s="6" t="str">
        <f>_xlfn.XLOOKUP(FactSales[[#This Row],[Customer_ID]],DimCustomer[Customer_ID],DimCustomer[Customer_Name])</f>
        <v>Tania Chowdhury</v>
      </c>
      <c r="U781" s="6" t="str">
        <f>_xlfn.XLOOKUP(FactSales[[#This Row],[Salesperson_ID]],DimSalesman[Salesperson_ID],DimSalesman[Salesperson_Name])</f>
        <v>Rafi Islam</v>
      </c>
      <c r="V781" s="6" t="str">
        <f>_xlfn.XLOOKUP(FactSales[[#This Row],[Region_ID]],DimRegion[Region_ID],DimRegion[Region_Name])</f>
        <v>Dhaka</v>
      </c>
      <c r="W781" s="6" t="str">
        <f>_xlfn.XLOOKUP(FactSales[[#This Row],[Store_ID]],DimStore[Store_ID],DimStore[Store_Name])</f>
        <v>Dhaka Uttara Store</v>
      </c>
    </row>
    <row r="782" spans="1:23">
      <c r="A782" s="4" t="s">
        <v>1778</v>
      </c>
      <c r="B782" s="5">
        <v>45822</v>
      </c>
      <c r="C782" s="4" t="s">
        <v>525</v>
      </c>
      <c r="D782" s="4" t="s">
        <v>57</v>
      </c>
      <c r="E782" s="4" t="s">
        <v>722</v>
      </c>
      <c r="F782" s="4" t="s">
        <v>976</v>
      </c>
      <c r="G782" s="4" t="s">
        <v>841</v>
      </c>
      <c r="H782" s="4">
        <v>8</v>
      </c>
      <c r="I782" s="7">
        <v>0.1</v>
      </c>
      <c r="J782" s="6">
        <v>29624</v>
      </c>
      <c r="K782" s="4">
        <v>4</v>
      </c>
      <c r="L782" s="8">
        <f t="shared" si="12"/>
        <v>3.7</v>
      </c>
      <c r="M782" s="6" t="str">
        <f>_xlfn.XLOOKUP(FactSales[[#This Row],[Product_ID]],DimProduct[Product_ID],DimProduct[Product_Name])</f>
        <v>Ladies Sandal</v>
      </c>
      <c r="N782" s="6" t="str">
        <f>_xlfn.XLOOKUP(FactSales[[#This Row],[Product_ID]],DimProduct[Product_ID],DimProduct[Category])</f>
        <v>Footwear</v>
      </c>
      <c r="O782" s="6">
        <f>_xlfn.XLOOKUP(FactSales[[#This Row],[Product_ID]],DimProduct[Product_ID],DimProduct[Unit_Price])</f>
        <v>3220</v>
      </c>
      <c r="P782" s="6">
        <f>_xlfn.XLOOKUP(FactSales[[#This Row],[Product_ID]],DimProduct[Product_ID],DimProduct[Unit_Cost])</f>
        <v>1930</v>
      </c>
      <c r="Q782" s="6">
        <f>FactSales[[#This Row],[Unit_Price]]*FactSales[[#This Row],[Quantity_Sold]]</f>
        <v>25760</v>
      </c>
      <c r="R782" s="6">
        <f>FactSales[[#This Row],[Unit_Cost]]*FactSales[[#This Row],[Quantity_Sold]]</f>
        <v>15440</v>
      </c>
      <c r="S782" s="6">
        <f>FactSales[[#This Row],[Sales_Amount]]-FactSales[[#This Row],[Total_Cost]]</f>
        <v>10320</v>
      </c>
      <c r="T782" s="6" t="str">
        <f>_xlfn.XLOOKUP(FactSales[[#This Row],[Customer_ID]],DimCustomer[Customer_ID],DimCustomer[Customer_Name])</f>
        <v>Tamanna Mia</v>
      </c>
      <c r="U782" s="6" t="str">
        <f>_xlfn.XLOOKUP(FactSales[[#This Row],[Salesperson_ID]],DimSalesman[Salesperson_ID],DimSalesman[Salesperson_Name])</f>
        <v>Nayeem Rahman</v>
      </c>
      <c r="V782" s="6" t="str">
        <f>_xlfn.XLOOKUP(FactSales[[#This Row],[Region_ID]],DimRegion[Region_ID],DimRegion[Region_Name])</f>
        <v>Rangpur</v>
      </c>
      <c r="W782" s="6" t="str">
        <f>_xlfn.XLOOKUP(FactSales[[#This Row],[Store_ID]],DimStore[Store_ID],DimStore[Store_Name])</f>
        <v>Rangpur Dhap Store</v>
      </c>
    </row>
    <row r="783" spans="1:23">
      <c r="A783" s="4" t="s">
        <v>1779</v>
      </c>
      <c r="B783" s="5">
        <v>45806</v>
      </c>
      <c r="C783" s="4" t="s">
        <v>488</v>
      </c>
      <c r="D783" s="4" t="s">
        <v>57</v>
      </c>
      <c r="E783" s="4" t="s">
        <v>725</v>
      </c>
      <c r="F783" s="4" t="s">
        <v>976</v>
      </c>
      <c r="G783" s="4" t="s">
        <v>762</v>
      </c>
      <c r="H783" s="4">
        <v>2</v>
      </c>
      <c r="I783" s="7">
        <v>0.12</v>
      </c>
      <c r="J783" s="6">
        <v>8901</v>
      </c>
      <c r="K783" s="4">
        <v>8</v>
      </c>
      <c r="L783" s="8">
        <f t="shared" si="12"/>
        <v>2.4</v>
      </c>
      <c r="M783" s="6" t="str">
        <f>_xlfn.XLOOKUP(FactSales[[#This Row],[Product_ID]],DimProduct[Product_ID],DimProduct[Product_Name])</f>
        <v>Smart Watch</v>
      </c>
      <c r="N783" s="6" t="str">
        <f>_xlfn.XLOOKUP(FactSales[[#This Row],[Product_ID]],DimProduct[Product_ID],DimProduct[Category])</f>
        <v>Electronics</v>
      </c>
      <c r="O783" s="6">
        <f>_xlfn.XLOOKUP(FactSales[[#This Row],[Product_ID]],DimProduct[Product_ID],DimProduct[Unit_Price])</f>
        <v>3870</v>
      </c>
      <c r="P783" s="6">
        <f>_xlfn.XLOOKUP(FactSales[[#This Row],[Product_ID]],DimProduct[Product_ID],DimProduct[Unit_Cost])</f>
        <v>2630</v>
      </c>
      <c r="Q783" s="6">
        <f>FactSales[[#This Row],[Unit_Price]]*FactSales[[#This Row],[Quantity_Sold]]</f>
        <v>7740</v>
      </c>
      <c r="R783" s="6">
        <f>FactSales[[#This Row],[Unit_Cost]]*FactSales[[#This Row],[Quantity_Sold]]</f>
        <v>5260</v>
      </c>
      <c r="S783" s="6">
        <f>FactSales[[#This Row],[Sales_Amount]]-FactSales[[#This Row],[Total_Cost]]</f>
        <v>2480</v>
      </c>
      <c r="T783" s="6" t="str">
        <f>_xlfn.XLOOKUP(FactSales[[#This Row],[Customer_ID]],DimCustomer[Customer_ID],DimCustomer[Customer_Name])</f>
        <v>Jannat Khan</v>
      </c>
      <c r="U783" s="6" t="str">
        <f>_xlfn.XLOOKUP(FactSales[[#This Row],[Salesperson_ID]],DimSalesman[Salesperson_ID],DimSalesman[Salesperson_Name])</f>
        <v>Nayeem Rahman</v>
      </c>
      <c r="V783" s="6" t="str">
        <f>_xlfn.XLOOKUP(FactSales[[#This Row],[Region_ID]],DimRegion[Region_ID],DimRegion[Region_Name])</f>
        <v>Rangpur</v>
      </c>
      <c r="W783" s="6" t="str">
        <f>_xlfn.XLOOKUP(FactSales[[#This Row],[Store_ID]],DimStore[Store_ID],DimStore[Store_Name])</f>
        <v>Rangpur Central Road Store</v>
      </c>
    </row>
    <row r="784" spans="1:23">
      <c r="A784" s="4" t="s">
        <v>1780</v>
      </c>
      <c r="B784" s="5">
        <v>45982</v>
      </c>
      <c r="C784" s="4" t="s">
        <v>85</v>
      </c>
      <c r="D784" s="4" t="s">
        <v>27</v>
      </c>
      <c r="E784" s="4" t="s">
        <v>630</v>
      </c>
      <c r="F784" s="4" t="s">
        <v>914</v>
      </c>
      <c r="G784" s="4" t="s">
        <v>794</v>
      </c>
      <c r="H784" s="4">
        <v>1</v>
      </c>
      <c r="I784" s="7">
        <v>0.1</v>
      </c>
      <c r="J784" s="6">
        <v>933</v>
      </c>
      <c r="K784" s="4">
        <v>2</v>
      </c>
      <c r="L784" s="8">
        <f t="shared" si="12"/>
        <v>4.3</v>
      </c>
      <c r="M784" s="6" t="str">
        <f>_xlfn.XLOOKUP(FactSales[[#This Row],[Product_ID]],DimProduct[Product_ID],DimProduct[Product_Name])</f>
        <v>Denim Jeans</v>
      </c>
      <c r="N784" s="6" t="str">
        <f>_xlfn.XLOOKUP(FactSales[[#This Row],[Product_ID]],DimProduct[Product_ID],DimProduct[Category])</f>
        <v>Fashion</v>
      </c>
      <c r="O784" s="6">
        <f>_xlfn.XLOOKUP(FactSales[[#This Row],[Product_ID]],DimProduct[Product_ID],DimProduct[Unit_Price])</f>
        <v>880</v>
      </c>
      <c r="P784" s="6">
        <f>_xlfn.XLOOKUP(FactSales[[#This Row],[Product_ID]],DimProduct[Product_ID],DimProduct[Unit_Cost])</f>
        <v>480</v>
      </c>
      <c r="Q784" s="6">
        <f>FactSales[[#This Row],[Unit_Price]]*FactSales[[#This Row],[Quantity_Sold]]</f>
        <v>880</v>
      </c>
      <c r="R784" s="6">
        <f>FactSales[[#This Row],[Unit_Cost]]*FactSales[[#This Row],[Quantity_Sold]]</f>
        <v>480</v>
      </c>
      <c r="S784" s="6">
        <f>FactSales[[#This Row],[Sales_Amount]]-FactSales[[#This Row],[Total_Cost]]</f>
        <v>400</v>
      </c>
      <c r="T784" s="6" t="str">
        <f>_xlfn.XLOOKUP(FactSales[[#This Row],[Customer_ID]],DimCustomer[Customer_ID],DimCustomer[Customer_Name])</f>
        <v>Imran Uddin</v>
      </c>
      <c r="U784" s="6" t="str">
        <f>_xlfn.XLOOKUP(FactSales[[#This Row],[Salesperson_ID]],DimSalesman[Salesperson_ID],DimSalesman[Salesperson_Name])</f>
        <v>Rasel Rahman</v>
      </c>
      <c r="V784" s="6" t="str">
        <f>_xlfn.XLOOKUP(FactSales[[#This Row],[Region_ID]],DimRegion[Region_ID],DimRegion[Region_Name])</f>
        <v>Dhaka</v>
      </c>
      <c r="W784" s="6" t="str">
        <f>_xlfn.XLOOKUP(FactSales[[#This Row],[Store_ID]],DimStore[Store_ID],DimStore[Store_Name])</f>
        <v>Dhaka Uttara Store</v>
      </c>
    </row>
    <row r="785" spans="1:23">
      <c r="A785" s="4" t="s">
        <v>1781</v>
      </c>
      <c r="B785" s="5">
        <v>45757</v>
      </c>
      <c r="C785" s="4" t="s">
        <v>562</v>
      </c>
      <c r="D785" s="4" t="s">
        <v>62</v>
      </c>
      <c r="E785" s="4" t="s">
        <v>737</v>
      </c>
      <c r="F785" s="4" t="s">
        <v>987</v>
      </c>
      <c r="G785" s="4" t="s">
        <v>900</v>
      </c>
      <c r="H785" s="4">
        <v>3</v>
      </c>
      <c r="I785" s="7">
        <v>0.05</v>
      </c>
      <c r="J785" s="6">
        <v>17237</v>
      </c>
      <c r="K785" s="4">
        <v>9</v>
      </c>
      <c r="L785" s="8">
        <f t="shared" si="12"/>
        <v>2.2000000000000002</v>
      </c>
      <c r="M785" s="6" t="str">
        <f>_xlfn.XLOOKUP(FactSales[[#This Row],[Product_ID]],DimProduct[Product_ID],DimProduct[Product_Name])</f>
        <v>Shoe Rack</v>
      </c>
      <c r="N785" s="6" t="str">
        <f>_xlfn.XLOOKUP(FactSales[[#This Row],[Product_ID]],DimProduct[Product_ID],DimProduct[Category])</f>
        <v>Furniture</v>
      </c>
      <c r="O785" s="6">
        <f>_xlfn.XLOOKUP(FactSales[[#This Row],[Product_ID]],DimProduct[Product_ID],DimProduct[Unit_Price])</f>
        <v>5320</v>
      </c>
      <c r="P785" s="6">
        <f>_xlfn.XLOOKUP(FactSales[[#This Row],[Product_ID]],DimProduct[Product_ID],DimProduct[Unit_Cost])</f>
        <v>3830</v>
      </c>
      <c r="Q785" s="6">
        <f>FactSales[[#This Row],[Unit_Price]]*FactSales[[#This Row],[Quantity_Sold]]</f>
        <v>15960</v>
      </c>
      <c r="R785" s="6">
        <f>FactSales[[#This Row],[Unit_Cost]]*FactSales[[#This Row],[Quantity_Sold]]</f>
        <v>11490</v>
      </c>
      <c r="S785" s="6">
        <f>FactSales[[#This Row],[Sales_Amount]]-FactSales[[#This Row],[Total_Cost]]</f>
        <v>4470</v>
      </c>
      <c r="T785" s="6" t="str">
        <f>_xlfn.XLOOKUP(FactSales[[#This Row],[Customer_ID]],DimCustomer[Customer_ID],DimCustomer[Customer_Name])</f>
        <v>Shamim Hossain</v>
      </c>
      <c r="U785" s="6" t="str">
        <f>_xlfn.XLOOKUP(FactSales[[#This Row],[Salesperson_ID]],DimSalesman[Salesperson_ID],DimSalesman[Salesperson_Name])</f>
        <v>Tanvir Chowdhury</v>
      </c>
      <c r="V785" s="6" t="str">
        <f>_xlfn.XLOOKUP(FactSales[[#This Row],[Region_ID]],DimRegion[Region_ID],DimRegion[Region_Name])</f>
        <v>Mymensingh</v>
      </c>
      <c r="W785" s="6" t="str">
        <f>_xlfn.XLOOKUP(FactSales[[#This Row],[Store_ID]],DimStore[Store_ID],DimStore[Store_Name])</f>
        <v>Mymensingh Kewatkhali Store</v>
      </c>
    </row>
    <row r="786" spans="1:23">
      <c r="A786" s="4" t="s">
        <v>1782</v>
      </c>
      <c r="B786" s="5">
        <v>45879</v>
      </c>
      <c r="C786" s="4" t="s">
        <v>542</v>
      </c>
      <c r="D786" s="4" t="s">
        <v>57</v>
      </c>
      <c r="E786" s="4" t="s">
        <v>725</v>
      </c>
      <c r="F786" s="4" t="s">
        <v>970</v>
      </c>
      <c r="G786" s="4" t="s">
        <v>821</v>
      </c>
      <c r="H786" s="4">
        <v>2</v>
      </c>
      <c r="I786" s="7">
        <v>0.05</v>
      </c>
      <c r="J786" s="6">
        <v>3818</v>
      </c>
      <c r="K786" s="4">
        <v>8</v>
      </c>
      <c r="L786" s="8">
        <f t="shared" si="12"/>
        <v>2.5</v>
      </c>
      <c r="M786" s="6" t="str">
        <f>_xlfn.XLOOKUP(FactSales[[#This Row],[Product_ID]],DimProduct[Product_ID],DimProduct[Product_Name])</f>
        <v>Shampoo 375ml</v>
      </c>
      <c r="N786" s="6" t="str">
        <f>_xlfn.XLOOKUP(FactSales[[#This Row],[Product_ID]],DimProduct[Product_ID],DimProduct[Category])</f>
        <v>Beauty &amp; Personal Care</v>
      </c>
      <c r="O786" s="6">
        <f>_xlfn.XLOOKUP(FactSales[[#This Row],[Product_ID]],DimProduct[Product_ID],DimProduct[Unit_Price])</f>
        <v>1660</v>
      </c>
      <c r="P786" s="6">
        <f>_xlfn.XLOOKUP(FactSales[[#This Row],[Product_ID]],DimProduct[Product_ID],DimProduct[Unit_Cost])</f>
        <v>960</v>
      </c>
      <c r="Q786" s="6">
        <f>FactSales[[#This Row],[Unit_Price]]*FactSales[[#This Row],[Quantity_Sold]]</f>
        <v>3320</v>
      </c>
      <c r="R786" s="6">
        <f>FactSales[[#This Row],[Unit_Cost]]*FactSales[[#This Row],[Quantity_Sold]]</f>
        <v>1920</v>
      </c>
      <c r="S786" s="6">
        <f>FactSales[[#This Row],[Sales_Amount]]-FactSales[[#This Row],[Total_Cost]]</f>
        <v>1400</v>
      </c>
      <c r="T786" s="6" t="str">
        <f>_xlfn.XLOOKUP(FactSales[[#This Row],[Customer_ID]],DimCustomer[Customer_ID],DimCustomer[Customer_Name])</f>
        <v>Farhana Ahmed</v>
      </c>
      <c r="U786" s="6" t="str">
        <f>_xlfn.XLOOKUP(FactSales[[#This Row],[Salesperson_ID]],DimSalesman[Salesperson_ID],DimSalesman[Salesperson_Name])</f>
        <v>Tanvir Islam</v>
      </c>
      <c r="V786" s="6" t="str">
        <f>_xlfn.XLOOKUP(FactSales[[#This Row],[Region_ID]],DimRegion[Region_ID],DimRegion[Region_Name])</f>
        <v>Rangpur</v>
      </c>
      <c r="W786" s="6" t="str">
        <f>_xlfn.XLOOKUP(FactSales[[#This Row],[Store_ID]],DimStore[Store_ID],DimStore[Store_Name])</f>
        <v>Rangpur Central Road Store</v>
      </c>
    </row>
    <row r="787" spans="1:23">
      <c r="A787" s="4" t="s">
        <v>1783</v>
      </c>
      <c r="B787" s="5">
        <v>45972</v>
      </c>
      <c r="C787" s="4" t="s">
        <v>107</v>
      </c>
      <c r="D787" s="4" t="s">
        <v>27</v>
      </c>
      <c r="E787" s="4" t="s">
        <v>626</v>
      </c>
      <c r="F787" s="4" t="s">
        <v>912</v>
      </c>
      <c r="G787" s="4" t="s">
        <v>768</v>
      </c>
      <c r="H787" s="4">
        <v>3</v>
      </c>
      <c r="I787" s="7">
        <v>0.08</v>
      </c>
      <c r="J787" s="6">
        <v>22896</v>
      </c>
      <c r="K787" s="4">
        <v>4</v>
      </c>
      <c r="L787" s="8">
        <f t="shared" si="12"/>
        <v>3.7</v>
      </c>
      <c r="M787" s="6" t="str">
        <f>_xlfn.XLOOKUP(FactSales[[#This Row],[Product_ID]],DimProduct[Product_ID],DimProduct[Product_Name])</f>
        <v>Electric Kettle</v>
      </c>
      <c r="N787" s="6" t="str">
        <f>_xlfn.XLOOKUP(FactSales[[#This Row],[Product_ID]],DimProduct[Product_ID],DimProduct[Category])</f>
        <v>Home Appliance</v>
      </c>
      <c r="O787" s="6">
        <f>_xlfn.XLOOKUP(FactSales[[#This Row],[Product_ID]],DimProduct[Product_ID],DimProduct[Unit_Price])</f>
        <v>7200</v>
      </c>
      <c r="P787" s="6">
        <f>_xlfn.XLOOKUP(FactSales[[#This Row],[Product_ID]],DimProduct[Product_ID],DimProduct[Unit_Cost])</f>
        <v>5040</v>
      </c>
      <c r="Q787" s="6">
        <f>FactSales[[#This Row],[Unit_Price]]*FactSales[[#This Row],[Quantity_Sold]]</f>
        <v>21600</v>
      </c>
      <c r="R787" s="6">
        <f>FactSales[[#This Row],[Unit_Cost]]*FactSales[[#This Row],[Quantity_Sold]]</f>
        <v>15120</v>
      </c>
      <c r="S787" s="6">
        <f>FactSales[[#This Row],[Sales_Amount]]-FactSales[[#This Row],[Total_Cost]]</f>
        <v>6480</v>
      </c>
      <c r="T787" s="6" t="str">
        <f>_xlfn.XLOOKUP(FactSales[[#This Row],[Customer_ID]],DimCustomer[Customer_ID],DimCustomer[Customer_Name])</f>
        <v>Nayeem Rahman</v>
      </c>
      <c r="U787" s="6" t="str">
        <f>_xlfn.XLOOKUP(FactSales[[#This Row],[Salesperson_ID]],DimSalesman[Salesperson_ID],DimSalesman[Salesperson_Name])</f>
        <v>Mahmud Hossain</v>
      </c>
      <c r="V787" s="6" t="str">
        <f>_xlfn.XLOOKUP(FactSales[[#This Row],[Region_ID]],DimRegion[Region_ID],DimRegion[Region_Name])</f>
        <v>Dhaka</v>
      </c>
      <c r="W787" s="6" t="str">
        <f>_xlfn.XLOOKUP(FactSales[[#This Row],[Store_ID]],DimStore[Store_ID],DimStore[Store_Name])</f>
        <v>Dhaka Mirpur Store</v>
      </c>
    </row>
    <row r="788" spans="1:23">
      <c r="A788" s="4" t="s">
        <v>1784</v>
      </c>
      <c r="B788" s="5">
        <v>46018</v>
      </c>
      <c r="C788" s="4" t="s">
        <v>601</v>
      </c>
      <c r="D788" s="4" t="s">
        <v>62</v>
      </c>
      <c r="E788" s="4" t="s">
        <v>737</v>
      </c>
      <c r="F788" s="4" t="s">
        <v>983</v>
      </c>
      <c r="G788" s="4" t="s">
        <v>781</v>
      </c>
      <c r="H788" s="4">
        <v>6</v>
      </c>
      <c r="I788" s="7">
        <v>0.18</v>
      </c>
      <c r="J788" s="6">
        <v>20153</v>
      </c>
      <c r="K788" s="4">
        <v>8</v>
      </c>
      <c r="L788" s="8">
        <f t="shared" si="12"/>
        <v>2.2000000000000002</v>
      </c>
      <c r="M788" s="6" t="str">
        <f>_xlfn.XLOOKUP(FactSales[[#This Row],[Product_ID]],DimProduct[Product_ID],DimProduct[Product_Name])</f>
        <v>Table Fan</v>
      </c>
      <c r="N788" s="6" t="str">
        <f>_xlfn.XLOOKUP(FactSales[[#This Row],[Product_ID]],DimProduct[Product_ID],DimProduct[Category])</f>
        <v>Home Appliance</v>
      </c>
      <c r="O788" s="6">
        <f>_xlfn.XLOOKUP(FactSales[[#This Row],[Product_ID]],DimProduct[Product_ID],DimProduct[Unit_Price])</f>
        <v>3110</v>
      </c>
      <c r="P788" s="6">
        <f>_xlfn.XLOOKUP(FactSales[[#This Row],[Product_ID]],DimProduct[Product_ID],DimProduct[Unit_Cost])</f>
        <v>2180</v>
      </c>
      <c r="Q788" s="6">
        <f>FactSales[[#This Row],[Unit_Price]]*FactSales[[#This Row],[Quantity_Sold]]</f>
        <v>18660</v>
      </c>
      <c r="R788" s="6">
        <f>FactSales[[#This Row],[Unit_Cost]]*FactSales[[#This Row],[Quantity_Sold]]</f>
        <v>13080</v>
      </c>
      <c r="S788" s="6">
        <f>FactSales[[#This Row],[Sales_Amount]]-FactSales[[#This Row],[Total_Cost]]</f>
        <v>5580</v>
      </c>
      <c r="T788" s="6" t="str">
        <f>_xlfn.XLOOKUP(FactSales[[#This Row],[Customer_ID]],DimCustomer[Customer_ID],DimCustomer[Customer_Name])</f>
        <v>Tania Islam</v>
      </c>
      <c r="U788" s="6" t="str">
        <f>_xlfn.XLOOKUP(FactSales[[#This Row],[Salesperson_ID]],DimSalesman[Salesperson_ID],DimSalesman[Salesperson_Name])</f>
        <v>Fahim Hossain</v>
      </c>
      <c r="V788" s="6" t="str">
        <f>_xlfn.XLOOKUP(FactSales[[#This Row],[Region_ID]],DimRegion[Region_ID],DimRegion[Region_Name])</f>
        <v>Mymensingh</v>
      </c>
      <c r="W788" s="6" t="str">
        <f>_xlfn.XLOOKUP(FactSales[[#This Row],[Store_ID]],DimStore[Store_ID],DimStore[Store_Name])</f>
        <v>Mymensingh Kewatkhali Store</v>
      </c>
    </row>
    <row r="789" spans="1:23">
      <c r="A789" s="4" t="s">
        <v>1785</v>
      </c>
      <c r="B789" s="5">
        <v>45824</v>
      </c>
      <c r="C789" s="4" t="s">
        <v>257</v>
      </c>
      <c r="D789" s="4" t="s">
        <v>37</v>
      </c>
      <c r="E789" s="4" t="s">
        <v>662</v>
      </c>
      <c r="F789" s="4" t="s">
        <v>936</v>
      </c>
      <c r="G789" s="4" t="s">
        <v>762</v>
      </c>
      <c r="H789" s="4">
        <v>3</v>
      </c>
      <c r="I789" s="7">
        <v>0.15</v>
      </c>
      <c r="J789" s="6">
        <v>12423</v>
      </c>
      <c r="K789" s="4">
        <v>3</v>
      </c>
      <c r="L789" s="8">
        <f t="shared" si="12"/>
        <v>3.9</v>
      </c>
      <c r="M789" s="6" t="str">
        <f>_xlfn.XLOOKUP(FactSales[[#This Row],[Product_ID]],DimProduct[Product_ID],DimProduct[Product_Name])</f>
        <v>Smart Watch</v>
      </c>
      <c r="N789" s="6" t="str">
        <f>_xlfn.XLOOKUP(FactSales[[#This Row],[Product_ID]],DimProduct[Product_ID],DimProduct[Category])</f>
        <v>Electronics</v>
      </c>
      <c r="O789" s="6">
        <f>_xlfn.XLOOKUP(FactSales[[#This Row],[Product_ID]],DimProduct[Product_ID],DimProduct[Unit_Price])</f>
        <v>3870</v>
      </c>
      <c r="P789" s="6">
        <f>_xlfn.XLOOKUP(FactSales[[#This Row],[Product_ID]],DimProduct[Product_ID],DimProduct[Unit_Cost])</f>
        <v>2630</v>
      </c>
      <c r="Q789" s="6">
        <f>FactSales[[#This Row],[Unit_Price]]*FactSales[[#This Row],[Quantity_Sold]]</f>
        <v>11610</v>
      </c>
      <c r="R789" s="6">
        <f>FactSales[[#This Row],[Unit_Cost]]*FactSales[[#This Row],[Quantity_Sold]]</f>
        <v>7890</v>
      </c>
      <c r="S789" s="6">
        <f>FactSales[[#This Row],[Sales_Amount]]-FactSales[[#This Row],[Total_Cost]]</f>
        <v>3720</v>
      </c>
      <c r="T789" s="6" t="str">
        <f>_xlfn.XLOOKUP(FactSales[[#This Row],[Customer_ID]],DimCustomer[Customer_ID],DimCustomer[Customer_Name])</f>
        <v>Sadia Sultana</v>
      </c>
      <c r="U789" s="6" t="str">
        <f>_xlfn.XLOOKUP(FactSales[[#This Row],[Salesperson_ID]],DimSalesman[Salesperson_ID],DimSalesman[Salesperson_Name])</f>
        <v>Mehedi Chowdhury</v>
      </c>
      <c r="V789" s="6" t="str">
        <f>_xlfn.XLOOKUP(FactSales[[#This Row],[Region_ID]],DimRegion[Region_ID],DimRegion[Region_Name])</f>
        <v>Sylhet</v>
      </c>
      <c r="W789" s="6" t="str">
        <f>_xlfn.XLOOKUP(FactSales[[#This Row],[Store_ID]],DimStore[Store_ID],DimStore[Store_Name])</f>
        <v>Sylhet Subidbazar Store</v>
      </c>
    </row>
    <row r="790" spans="1:23">
      <c r="A790" s="4" t="s">
        <v>1786</v>
      </c>
      <c r="B790" s="5">
        <v>45759</v>
      </c>
      <c r="C790" s="4" t="s">
        <v>413</v>
      </c>
      <c r="D790" s="4" t="s">
        <v>47</v>
      </c>
      <c r="E790" s="4" t="s">
        <v>692</v>
      </c>
      <c r="F790" s="4" t="s">
        <v>958</v>
      </c>
      <c r="G790" s="4" t="s">
        <v>768</v>
      </c>
      <c r="H790" s="4">
        <v>10</v>
      </c>
      <c r="I790" s="7">
        <v>0.08</v>
      </c>
      <c r="J790" s="6">
        <v>78480</v>
      </c>
      <c r="K790" s="4">
        <v>4</v>
      </c>
      <c r="L790" s="8">
        <f t="shared" si="12"/>
        <v>3.7</v>
      </c>
      <c r="M790" s="6" t="str">
        <f>_xlfn.XLOOKUP(FactSales[[#This Row],[Product_ID]],DimProduct[Product_ID],DimProduct[Product_Name])</f>
        <v>Electric Kettle</v>
      </c>
      <c r="N790" s="6" t="str">
        <f>_xlfn.XLOOKUP(FactSales[[#This Row],[Product_ID]],DimProduct[Product_ID],DimProduct[Category])</f>
        <v>Home Appliance</v>
      </c>
      <c r="O790" s="6">
        <f>_xlfn.XLOOKUP(FactSales[[#This Row],[Product_ID]],DimProduct[Product_ID],DimProduct[Unit_Price])</f>
        <v>7200</v>
      </c>
      <c r="P790" s="6">
        <f>_xlfn.XLOOKUP(FactSales[[#This Row],[Product_ID]],DimProduct[Product_ID],DimProduct[Unit_Cost])</f>
        <v>5040</v>
      </c>
      <c r="Q790" s="6">
        <f>FactSales[[#This Row],[Unit_Price]]*FactSales[[#This Row],[Quantity_Sold]]</f>
        <v>72000</v>
      </c>
      <c r="R790" s="6">
        <f>FactSales[[#This Row],[Unit_Cost]]*FactSales[[#This Row],[Quantity_Sold]]</f>
        <v>50400</v>
      </c>
      <c r="S790" s="6">
        <f>FactSales[[#This Row],[Sales_Amount]]-FactSales[[#This Row],[Total_Cost]]</f>
        <v>21600</v>
      </c>
      <c r="T790" s="6" t="str">
        <f>_xlfn.XLOOKUP(FactSales[[#This Row],[Customer_ID]],DimCustomer[Customer_ID],DimCustomer[Customer_Name])</f>
        <v>Samiha Sultana</v>
      </c>
      <c r="U790" s="6" t="str">
        <f>_xlfn.XLOOKUP(FactSales[[#This Row],[Salesperson_ID]],DimSalesman[Salesperson_ID],DimSalesman[Salesperson_Name])</f>
        <v>Fahim Uddin</v>
      </c>
      <c r="V790" s="6" t="str">
        <f>_xlfn.XLOOKUP(FactSales[[#This Row],[Region_ID]],DimRegion[Region_ID],DimRegion[Region_Name])</f>
        <v>Khulna</v>
      </c>
      <c r="W790" s="6" t="str">
        <f>_xlfn.XLOOKUP(FactSales[[#This Row],[Store_ID]],DimStore[Store_ID],DimStore[Store_Name])</f>
        <v>Khulna Boyra Store</v>
      </c>
    </row>
    <row r="791" spans="1:23">
      <c r="A791" s="4" t="s">
        <v>1787</v>
      </c>
      <c r="B791" s="5">
        <v>45760</v>
      </c>
      <c r="C791" s="4" t="s">
        <v>496</v>
      </c>
      <c r="D791" s="4" t="s">
        <v>57</v>
      </c>
      <c r="E791" s="4" t="s">
        <v>722</v>
      </c>
      <c r="F791" s="4" t="s">
        <v>977</v>
      </c>
      <c r="G791" s="4" t="s">
        <v>856</v>
      </c>
      <c r="H791" s="4">
        <v>5</v>
      </c>
      <c r="I791" s="7">
        <v>0.12</v>
      </c>
      <c r="J791" s="6">
        <v>17825</v>
      </c>
      <c r="K791" s="4">
        <v>4</v>
      </c>
      <c r="L791" s="8">
        <f t="shared" si="12"/>
        <v>3.7</v>
      </c>
      <c r="M791" s="6" t="str">
        <f>_xlfn.XLOOKUP(FactSales[[#This Row],[Product_ID]],DimProduct[Product_ID],DimProduct[Product_Name])</f>
        <v>Badminton Racket</v>
      </c>
      <c r="N791" s="6" t="str">
        <f>_xlfn.XLOOKUP(FactSales[[#This Row],[Product_ID]],DimProduct[Product_ID],DimProduct[Category])</f>
        <v>Sports</v>
      </c>
      <c r="O791" s="6">
        <f>_xlfn.XLOOKUP(FactSales[[#This Row],[Product_ID]],DimProduct[Product_ID],DimProduct[Unit_Price])</f>
        <v>3100</v>
      </c>
      <c r="P791" s="6">
        <f>_xlfn.XLOOKUP(FactSales[[#This Row],[Product_ID]],DimProduct[Product_ID],DimProduct[Unit_Cost])</f>
        <v>1920</v>
      </c>
      <c r="Q791" s="6">
        <f>FactSales[[#This Row],[Unit_Price]]*FactSales[[#This Row],[Quantity_Sold]]</f>
        <v>15500</v>
      </c>
      <c r="R791" s="6">
        <f>FactSales[[#This Row],[Unit_Cost]]*FactSales[[#This Row],[Quantity_Sold]]</f>
        <v>9600</v>
      </c>
      <c r="S791" s="6">
        <f>FactSales[[#This Row],[Sales_Amount]]-FactSales[[#This Row],[Total_Cost]]</f>
        <v>5900</v>
      </c>
      <c r="T791" s="6" t="str">
        <f>_xlfn.XLOOKUP(FactSales[[#This Row],[Customer_ID]],DimCustomer[Customer_ID],DimCustomer[Customer_Name])</f>
        <v>Sadia Sultana</v>
      </c>
      <c r="U791" s="6" t="str">
        <f>_xlfn.XLOOKUP(FactSales[[#This Row],[Salesperson_ID]],DimSalesman[Salesperson_ID],DimSalesman[Salesperson_Name])</f>
        <v>Tania Hossain</v>
      </c>
      <c r="V791" s="6" t="str">
        <f>_xlfn.XLOOKUP(FactSales[[#This Row],[Region_ID]],DimRegion[Region_ID],DimRegion[Region_Name])</f>
        <v>Rangpur</v>
      </c>
      <c r="W791" s="6" t="str">
        <f>_xlfn.XLOOKUP(FactSales[[#This Row],[Store_ID]],DimStore[Store_ID],DimStore[Store_Name])</f>
        <v>Rangpur Dhap Store</v>
      </c>
    </row>
    <row r="792" spans="1:23">
      <c r="A792" s="4" t="s">
        <v>1788</v>
      </c>
      <c r="B792" s="5">
        <v>46123</v>
      </c>
      <c r="C792" s="4" t="s">
        <v>136</v>
      </c>
      <c r="D792" s="4" t="s">
        <v>27</v>
      </c>
      <c r="E792" s="4" t="s">
        <v>626</v>
      </c>
      <c r="F792" s="4" t="s">
        <v>918</v>
      </c>
      <c r="G792" s="4" t="s">
        <v>762</v>
      </c>
      <c r="H792" s="4">
        <v>3</v>
      </c>
      <c r="I792" s="7">
        <v>0.1</v>
      </c>
      <c r="J792" s="6">
        <v>12307</v>
      </c>
      <c r="K792" s="4">
        <v>5</v>
      </c>
      <c r="L792" s="8">
        <f t="shared" si="12"/>
        <v>3.4</v>
      </c>
      <c r="M792" s="6" t="str">
        <f>_xlfn.XLOOKUP(FactSales[[#This Row],[Product_ID]],DimProduct[Product_ID],DimProduct[Product_Name])</f>
        <v>Smart Watch</v>
      </c>
      <c r="N792" s="6" t="str">
        <f>_xlfn.XLOOKUP(FactSales[[#This Row],[Product_ID]],DimProduct[Product_ID],DimProduct[Category])</f>
        <v>Electronics</v>
      </c>
      <c r="O792" s="6">
        <f>_xlfn.XLOOKUP(FactSales[[#This Row],[Product_ID]],DimProduct[Product_ID],DimProduct[Unit_Price])</f>
        <v>3870</v>
      </c>
      <c r="P792" s="6">
        <f>_xlfn.XLOOKUP(FactSales[[#This Row],[Product_ID]],DimProduct[Product_ID],DimProduct[Unit_Cost])</f>
        <v>2630</v>
      </c>
      <c r="Q792" s="6">
        <f>FactSales[[#This Row],[Unit_Price]]*FactSales[[#This Row],[Quantity_Sold]]</f>
        <v>11610</v>
      </c>
      <c r="R792" s="6">
        <f>FactSales[[#This Row],[Unit_Cost]]*FactSales[[#This Row],[Quantity_Sold]]</f>
        <v>7890</v>
      </c>
      <c r="S792" s="6">
        <f>FactSales[[#This Row],[Sales_Amount]]-FactSales[[#This Row],[Total_Cost]]</f>
        <v>3720</v>
      </c>
      <c r="T792" s="6" t="str">
        <f>_xlfn.XLOOKUP(FactSales[[#This Row],[Customer_ID]],DimCustomer[Customer_ID],DimCustomer[Customer_Name])</f>
        <v>Arif Rahman</v>
      </c>
      <c r="U792" s="6" t="str">
        <f>_xlfn.XLOOKUP(FactSales[[#This Row],[Salesperson_ID]],DimSalesman[Salesperson_ID],DimSalesman[Salesperson_Name])</f>
        <v>Tania Sultana</v>
      </c>
      <c r="V792" s="6" t="str">
        <f>_xlfn.XLOOKUP(FactSales[[#This Row],[Region_ID]],DimRegion[Region_ID],DimRegion[Region_Name])</f>
        <v>Dhaka</v>
      </c>
      <c r="W792" s="6" t="str">
        <f>_xlfn.XLOOKUP(FactSales[[#This Row],[Store_ID]],DimStore[Store_ID],DimStore[Store_Name])</f>
        <v>Dhaka Mirpur Store</v>
      </c>
    </row>
    <row r="793" spans="1:23">
      <c r="A793" s="4" t="s">
        <v>1789</v>
      </c>
      <c r="B793" s="5">
        <v>46063</v>
      </c>
      <c r="C793" s="4" t="s">
        <v>460</v>
      </c>
      <c r="D793" s="4" t="s">
        <v>52</v>
      </c>
      <c r="E793" s="4" t="s">
        <v>707</v>
      </c>
      <c r="F793" s="4" t="s">
        <v>966</v>
      </c>
      <c r="G793" s="4" t="s">
        <v>844</v>
      </c>
      <c r="H793" s="4">
        <v>1</v>
      </c>
      <c r="I793" s="7">
        <v>7.0000000000000007E-2</v>
      </c>
      <c r="J793" s="6">
        <v>3002</v>
      </c>
      <c r="K793" s="4">
        <v>2</v>
      </c>
      <c r="L793" s="8">
        <f t="shared" si="12"/>
        <v>4.4000000000000004</v>
      </c>
      <c r="M793" s="6" t="str">
        <f>_xlfn.XLOOKUP(FactSales[[#This Row],[Product_ID]],DimProduct[Product_ID],DimProduct[Product_Name])</f>
        <v>Kids Sneaker</v>
      </c>
      <c r="N793" s="6" t="str">
        <f>_xlfn.XLOOKUP(FactSales[[#This Row],[Product_ID]],DimProduct[Product_ID],DimProduct[Category])</f>
        <v>Footwear</v>
      </c>
      <c r="O793" s="6">
        <f>_xlfn.XLOOKUP(FactSales[[#This Row],[Product_ID]],DimProduct[Product_ID],DimProduct[Unit_Price])</f>
        <v>2680</v>
      </c>
      <c r="P793" s="6">
        <f>_xlfn.XLOOKUP(FactSales[[#This Row],[Product_ID]],DimProduct[Product_ID],DimProduct[Unit_Cost])</f>
        <v>1610</v>
      </c>
      <c r="Q793" s="6">
        <f>FactSales[[#This Row],[Unit_Price]]*FactSales[[#This Row],[Quantity_Sold]]</f>
        <v>2680</v>
      </c>
      <c r="R793" s="6">
        <f>FactSales[[#This Row],[Unit_Cost]]*FactSales[[#This Row],[Quantity_Sold]]</f>
        <v>1610</v>
      </c>
      <c r="S793" s="6">
        <f>FactSales[[#This Row],[Sales_Amount]]-FactSales[[#This Row],[Total_Cost]]</f>
        <v>1070</v>
      </c>
      <c r="T793" s="6" t="str">
        <f>_xlfn.XLOOKUP(FactSales[[#This Row],[Customer_ID]],DimCustomer[Customer_ID],DimCustomer[Customer_Name])</f>
        <v>Ayesha Ahmed</v>
      </c>
      <c r="U793" s="6" t="str">
        <f>_xlfn.XLOOKUP(FactSales[[#This Row],[Salesperson_ID]],DimSalesman[Salesperson_ID],DimSalesman[Salesperson_Name])</f>
        <v>Nayeem Akter</v>
      </c>
      <c r="V793" s="6" t="str">
        <f>_xlfn.XLOOKUP(FactSales[[#This Row],[Region_ID]],DimRegion[Region_ID],DimRegion[Region_Name])</f>
        <v>Barishal</v>
      </c>
      <c r="W793" s="6" t="str">
        <f>_xlfn.XLOOKUP(FactSales[[#This Row],[Store_ID]],DimStore[Store_ID],DimStore[Store_Name])</f>
        <v>Barishal Chowmatha Store</v>
      </c>
    </row>
    <row r="794" spans="1:23">
      <c r="A794" s="4" t="s">
        <v>1790</v>
      </c>
      <c r="B794" s="5">
        <v>45928</v>
      </c>
      <c r="C794" s="4" t="s">
        <v>329</v>
      </c>
      <c r="D794" s="4" t="s">
        <v>42</v>
      </c>
      <c r="E794" s="4" t="s">
        <v>674</v>
      </c>
      <c r="F794" s="4" t="s">
        <v>945</v>
      </c>
      <c r="G794" s="4" t="s">
        <v>882</v>
      </c>
      <c r="H794" s="4">
        <v>2</v>
      </c>
      <c r="I794" s="7">
        <v>0.1</v>
      </c>
      <c r="J794" s="6">
        <v>3931</v>
      </c>
      <c r="K794" s="4">
        <v>4</v>
      </c>
      <c r="L794" s="8">
        <f t="shared" si="12"/>
        <v>3.7</v>
      </c>
      <c r="M794" s="6" t="str">
        <f>_xlfn.XLOOKUP(FactSales[[#This Row],[Product_ID]],DimProduct[Product_ID],DimProduct[Product_Name])</f>
        <v>Toy Car Set</v>
      </c>
      <c r="N794" s="6" t="str">
        <f>_xlfn.XLOOKUP(FactSales[[#This Row],[Product_ID]],DimProduct[Product_ID],DimProduct[Category])</f>
        <v>Kids &amp; Toys</v>
      </c>
      <c r="O794" s="6">
        <f>_xlfn.XLOOKUP(FactSales[[#This Row],[Product_ID]],DimProduct[Product_ID],DimProduct[Unit_Price])</f>
        <v>1820</v>
      </c>
      <c r="P794" s="6">
        <f>_xlfn.XLOOKUP(FactSales[[#This Row],[Product_ID]],DimProduct[Product_ID],DimProduct[Unit_Cost])</f>
        <v>1000</v>
      </c>
      <c r="Q794" s="6">
        <f>FactSales[[#This Row],[Unit_Price]]*FactSales[[#This Row],[Quantity_Sold]]</f>
        <v>3640</v>
      </c>
      <c r="R794" s="6">
        <f>FactSales[[#This Row],[Unit_Cost]]*FactSales[[#This Row],[Quantity_Sold]]</f>
        <v>2000</v>
      </c>
      <c r="S794" s="6">
        <f>FactSales[[#This Row],[Sales_Amount]]-FactSales[[#This Row],[Total_Cost]]</f>
        <v>1640</v>
      </c>
      <c r="T794" s="6" t="str">
        <f>_xlfn.XLOOKUP(FactSales[[#This Row],[Customer_ID]],DimCustomer[Customer_ID],DimCustomer[Customer_Name])</f>
        <v>Mim Chowdhury</v>
      </c>
      <c r="U794" s="6" t="str">
        <f>_xlfn.XLOOKUP(FactSales[[#This Row],[Salesperson_ID]],DimSalesman[Salesperson_ID],DimSalesman[Salesperson_Name])</f>
        <v>Hasan Khan</v>
      </c>
      <c r="V794" s="6" t="str">
        <f>_xlfn.XLOOKUP(FactSales[[#This Row],[Region_ID]],DimRegion[Region_ID],DimRegion[Region_Name])</f>
        <v>Rajshahi</v>
      </c>
      <c r="W794" s="6" t="str">
        <f>_xlfn.XLOOKUP(FactSales[[#This Row],[Store_ID]],DimStore[Store_ID],DimStore[Store_Name])</f>
        <v>Rajshahi Uposhohor Store</v>
      </c>
    </row>
    <row r="795" spans="1:23">
      <c r="A795" s="4" t="s">
        <v>1791</v>
      </c>
      <c r="B795" s="5">
        <v>46041</v>
      </c>
      <c r="C795" s="4" t="s">
        <v>491</v>
      </c>
      <c r="D795" s="4" t="s">
        <v>57</v>
      </c>
      <c r="E795" s="4" t="s">
        <v>713</v>
      </c>
      <c r="F795" s="4" t="s">
        <v>968</v>
      </c>
      <c r="G795" s="4" t="s">
        <v>758</v>
      </c>
      <c r="H795" s="4">
        <v>5</v>
      </c>
      <c r="I795" s="7">
        <v>0.18</v>
      </c>
      <c r="J795" s="6">
        <v>16330</v>
      </c>
      <c r="K795" s="4">
        <v>6</v>
      </c>
      <c r="L795" s="8">
        <f t="shared" si="12"/>
        <v>2.9</v>
      </c>
      <c r="M795" s="6" t="str">
        <f>_xlfn.XLOOKUP(FactSales[[#This Row],[Product_ID]],DimProduct[Product_ID],DimProduct[Product_Name])</f>
        <v>Power Bank</v>
      </c>
      <c r="N795" s="6" t="str">
        <f>_xlfn.XLOOKUP(FactSales[[#This Row],[Product_ID]],DimProduct[Product_ID],DimProduct[Category])</f>
        <v>Electronics</v>
      </c>
      <c r="O795" s="6">
        <f>_xlfn.XLOOKUP(FactSales[[#This Row],[Product_ID]],DimProduct[Product_ID],DimProduct[Unit_Price])</f>
        <v>2840</v>
      </c>
      <c r="P795" s="6">
        <f>_xlfn.XLOOKUP(FactSales[[#This Row],[Product_ID]],DimProduct[Product_ID],DimProduct[Unit_Cost])</f>
        <v>1930</v>
      </c>
      <c r="Q795" s="6">
        <f>FactSales[[#This Row],[Unit_Price]]*FactSales[[#This Row],[Quantity_Sold]]</f>
        <v>14200</v>
      </c>
      <c r="R795" s="6">
        <f>FactSales[[#This Row],[Unit_Cost]]*FactSales[[#This Row],[Quantity_Sold]]</f>
        <v>9650</v>
      </c>
      <c r="S795" s="6">
        <f>FactSales[[#This Row],[Sales_Amount]]-FactSales[[#This Row],[Total_Cost]]</f>
        <v>4550</v>
      </c>
      <c r="T795" s="6" t="str">
        <f>_xlfn.XLOOKUP(FactSales[[#This Row],[Customer_ID]],DimCustomer[Customer_ID],DimCustomer[Customer_Name])</f>
        <v>Rumana Akter</v>
      </c>
      <c r="U795" s="6" t="str">
        <f>_xlfn.XLOOKUP(FactSales[[#This Row],[Salesperson_ID]],DimSalesman[Salesperson_ID],DimSalesman[Salesperson_Name])</f>
        <v>Morshed Ahmed</v>
      </c>
      <c r="V795" s="6" t="str">
        <f>_xlfn.XLOOKUP(FactSales[[#This Row],[Region_ID]],DimRegion[Region_ID],DimRegion[Region_Name])</f>
        <v>Rangpur</v>
      </c>
      <c r="W795" s="6" t="str">
        <f>_xlfn.XLOOKUP(FactSales[[#This Row],[Store_ID]],DimStore[Store_ID],DimStore[Store_Name])</f>
        <v>Rangpur Jahaj Company Store</v>
      </c>
    </row>
    <row r="796" spans="1:23">
      <c r="A796" s="4" t="s">
        <v>1792</v>
      </c>
      <c r="B796" s="5">
        <v>45905</v>
      </c>
      <c r="C796" s="4" t="s">
        <v>449</v>
      </c>
      <c r="D796" s="4" t="s">
        <v>52</v>
      </c>
      <c r="E796" s="4" t="s">
        <v>701</v>
      </c>
      <c r="F796" s="4" t="s">
        <v>965</v>
      </c>
      <c r="G796" s="4" t="s">
        <v>905</v>
      </c>
      <c r="H796" s="4">
        <v>3</v>
      </c>
      <c r="I796" s="7">
        <v>0.1</v>
      </c>
      <c r="J796" s="6">
        <v>19723</v>
      </c>
      <c r="K796" s="4">
        <v>8</v>
      </c>
      <c r="L796" s="8">
        <f t="shared" si="12"/>
        <v>2.4</v>
      </c>
      <c r="M796" s="6" t="str">
        <f>_xlfn.XLOOKUP(FactSales[[#This Row],[Product_ID]],DimProduct[Product_ID],DimProduct[Product_Name])</f>
        <v>Bedside Table</v>
      </c>
      <c r="N796" s="6" t="str">
        <f>_xlfn.XLOOKUP(FactSales[[#This Row],[Product_ID]],DimProduct[Product_ID],DimProduct[Category])</f>
        <v>Furniture</v>
      </c>
      <c r="O796" s="6">
        <f>_xlfn.XLOOKUP(FactSales[[#This Row],[Product_ID]],DimProduct[Product_ID],DimProduct[Unit_Price])</f>
        <v>5870</v>
      </c>
      <c r="P796" s="6">
        <f>_xlfn.XLOOKUP(FactSales[[#This Row],[Product_ID]],DimProduct[Product_ID],DimProduct[Unit_Cost])</f>
        <v>4230</v>
      </c>
      <c r="Q796" s="6">
        <f>FactSales[[#This Row],[Unit_Price]]*FactSales[[#This Row],[Quantity_Sold]]</f>
        <v>17610</v>
      </c>
      <c r="R796" s="6">
        <f>FactSales[[#This Row],[Unit_Cost]]*FactSales[[#This Row],[Quantity_Sold]]</f>
        <v>12690</v>
      </c>
      <c r="S796" s="6">
        <f>FactSales[[#This Row],[Sales_Amount]]-FactSales[[#This Row],[Total_Cost]]</f>
        <v>4920</v>
      </c>
      <c r="T796" s="6" t="str">
        <f>_xlfn.XLOOKUP(FactSales[[#This Row],[Customer_ID]],DimCustomer[Customer_ID],DimCustomer[Customer_Name])</f>
        <v>Ayesha Islam</v>
      </c>
      <c r="U796" s="6" t="str">
        <f>_xlfn.XLOOKUP(FactSales[[#This Row],[Salesperson_ID]],DimSalesman[Salesperson_ID],DimSalesman[Salesperson_Name])</f>
        <v>Mehedi Khan</v>
      </c>
      <c r="V796" s="6" t="str">
        <f>_xlfn.XLOOKUP(FactSales[[#This Row],[Region_ID]],DimRegion[Region_ID],DimRegion[Region_Name])</f>
        <v>Barishal</v>
      </c>
      <c r="W796" s="6" t="str">
        <f>_xlfn.XLOOKUP(FactSales[[#This Row],[Store_ID]],DimStore[Store_ID],DimStore[Store_Name])</f>
        <v>Barishal Sadar Road Store</v>
      </c>
    </row>
    <row r="797" spans="1:23">
      <c r="A797" s="4" t="s">
        <v>1793</v>
      </c>
      <c r="B797" s="5">
        <v>46057</v>
      </c>
      <c r="C797" s="4" t="s">
        <v>127</v>
      </c>
      <c r="D797" s="4" t="s">
        <v>27</v>
      </c>
      <c r="E797" s="4" t="s">
        <v>630</v>
      </c>
      <c r="F797" s="4" t="s">
        <v>914</v>
      </c>
      <c r="G797" s="4" t="s">
        <v>893</v>
      </c>
      <c r="H797" s="4">
        <v>8</v>
      </c>
      <c r="I797" s="7">
        <v>0.05</v>
      </c>
      <c r="J797" s="6">
        <v>37142</v>
      </c>
      <c r="K797" s="4">
        <v>6</v>
      </c>
      <c r="L797" s="8">
        <f t="shared" si="12"/>
        <v>3.2</v>
      </c>
      <c r="M797" s="6" t="str">
        <f>_xlfn.XLOOKUP(FactSales[[#This Row],[Product_ID]],DimProduct[Product_ID],DimProduct[Product_Name])</f>
        <v>Office Chair</v>
      </c>
      <c r="N797" s="6" t="str">
        <f>_xlfn.XLOOKUP(FactSales[[#This Row],[Product_ID]],DimProduct[Product_ID],DimProduct[Category])</f>
        <v>Furniture</v>
      </c>
      <c r="O797" s="6">
        <f>_xlfn.XLOOKUP(FactSales[[#This Row],[Product_ID]],DimProduct[Product_ID],DimProduct[Unit_Price])</f>
        <v>4380</v>
      </c>
      <c r="P797" s="6">
        <f>_xlfn.XLOOKUP(FactSales[[#This Row],[Product_ID]],DimProduct[Product_ID],DimProduct[Unit_Cost])</f>
        <v>3150</v>
      </c>
      <c r="Q797" s="6">
        <f>FactSales[[#This Row],[Unit_Price]]*FactSales[[#This Row],[Quantity_Sold]]</f>
        <v>35040</v>
      </c>
      <c r="R797" s="6">
        <f>FactSales[[#This Row],[Unit_Cost]]*FactSales[[#This Row],[Quantity_Sold]]</f>
        <v>25200</v>
      </c>
      <c r="S797" s="6">
        <f>FactSales[[#This Row],[Sales_Amount]]-FactSales[[#This Row],[Total_Cost]]</f>
        <v>9840</v>
      </c>
      <c r="T797" s="6" t="str">
        <f>_xlfn.XLOOKUP(FactSales[[#This Row],[Customer_ID]],DimCustomer[Customer_ID],DimCustomer[Customer_Name])</f>
        <v>Sadia Islam</v>
      </c>
      <c r="U797" s="6" t="str">
        <f>_xlfn.XLOOKUP(FactSales[[#This Row],[Salesperson_ID]],DimSalesman[Salesperson_ID],DimSalesman[Salesperson_Name])</f>
        <v>Rasel Rahman</v>
      </c>
      <c r="V797" s="6" t="str">
        <f>_xlfn.XLOOKUP(FactSales[[#This Row],[Region_ID]],DimRegion[Region_ID],DimRegion[Region_Name])</f>
        <v>Dhaka</v>
      </c>
      <c r="W797" s="6" t="str">
        <f>_xlfn.XLOOKUP(FactSales[[#This Row],[Store_ID]],DimStore[Store_ID],DimStore[Store_Name])</f>
        <v>Dhaka Uttara Store</v>
      </c>
    </row>
    <row r="798" spans="1:23">
      <c r="A798" s="4" t="s">
        <v>1794</v>
      </c>
      <c r="B798" s="5">
        <v>45759</v>
      </c>
      <c r="C798" s="4" t="s">
        <v>513</v>
      </c>
      <c r="D798" s="4" t="s">
        <v>57</v>
      </c>
      <c r="E798" s="4" t="s">
        <v>725</v>
      </c>
      <c r="F798" s="4" t="s">
        <v>970</v>
      </c>
      <c r="G798" s="4" t="s">
        <v>784</v>
      </c>
      <c r="H798" s="4">
        <v>4</v>
      </c>
      <c r="I798" s="7">
        <v>0.12</v>
      </c>
      <c r="J798" s="6">
        <v>8602</v>
      </c>
      <c r="K798" s="4">
        <v>8</v>
      </c>
      <c r="L798" s="8">
        <f t="shared" si="12"/>
        <v>2.4</v>
      </c>
      <c r="M798" s="6" t="str">
        <f>_xlfn.XLOOKUP(FactSales[[#This Row],[Product_ID]],DimProduct[Product_ID],DimProduct[Product_Name])</f>
        <v>Cotton T-Shirt</v>
      </c>
      <c r="N798" s="6" t="str">
        <f>_xlfn.XLOOKUP(FactSales[[#This Row],[Product_ID]],DimProduct[Product_ID],DimProduct[Category])</f>
        <v>Fashion</v>
      </c>
      <c r="O798" s="6">
        <f>_xlfn.XLOOKUP(FactSales[[#This Row],[Product_ID]],DimProduct[Product_ID],DimProduct[Unit_Price])</f>
        <v>1870</v>
      </c>
      <c r="P798" s="6">
        <f>_xlfn.XLOOKUP(FactSales[[#This Row],[Product_ID]],DimProduct[Product_ID],DimProduct[Unit_Cost])</f>
        <v>1030</v>
      </c>
      <c r="Q798" s="6">
        <f>FactSales[[#This Row],[Unit_Price]]*FactSales[[#This Row],[Quantity_Sold]]</f>
        <v>7480</v>
      </c>
      <c r="R798" s="6">
        <f>FactSales[[#This Row],[Unit_Cost]]*FactSales[[#This Row],[Quantity_Sold]]</f>
        <v>4120</v>
      </c>
      <c r="S798" s="6">
        <f>FactSales[[#This Row],[Sales_Amount]]-FactSales[[#This Row],[Total_Cost]]</f>
        <v>3360</v>
      </c>
      <c r="T798" s="6" t="str">
        <f>_xlfn.XLOOKUP(FactSales[[#This Row],[Customer_ID]],DimCustomer[Customer_ID],DimCustomer[Customer_Name])</f>
        <v>Arif Akter</v>
      </c>
      <c r="U798" s="6" t="str">
        <f>_xlfn.XLOOKUP(FactSales[[#This Row],[Salesperson_ID]],DimSalesman[Salesperson_ID],DimSalesman[Salesperson_Name])</f>
        <v>Tanvir Islam</v>
      </c>
      <c r="V798" s="6" t="str">
        <f>_xlfn.XLOOKUP(FactSales[[#This Row],[Region_ID]],DimRegion[Region_ID],DimRegion[Region_Name])</f>
        <v>Rangpur</v>
      </c>
      <c r="W798" s="6" t="str">
        <f>_xlfn.XLOOKUP(FactSales[[#This Row],[Store_ID]],DimStore[Store_ID],DimStore[Store_Name])</f>
        <v>Rangpur Central Road Store</v>
      </c>
    </row>
    <row r="799" spans="1:23">
      <c r="A799" s="4" t="s">
        <v>1795</v>
      </c>
      <c r="B799" s="5">
        <v>45988</v>
      </c>
      <c r="C799" s="4" t="s">
        <v>548</v>
      </c>
      <c r="D799" s="4" t="s">
        <v>57</v>
      </c>
      <c r="E799" s="4" t="s">
        <v>719</v>
      </c>
      <c r="F799" s="4" t="s">
        <v>976</v>
      </c>
      <c r="G799" s="4" t="s">
        <v>758</v>
      </c>
      <c r="H799" s="4">
        <v>1</v>
      </c>
      <c r="I799" s="7">
        <v>0.08</v>
      </c>
      <c r="J799" s="6">
        <v>3266</v>
      </c>
      <c r="K799" s="4">
        <v>8</v>
      </c>
      <c r="L799" s="8">
        <f t="shared" si="12"/>
        <v>2.5</v>
      </c>
      <c r="M799" s="6" t="str">
        <f>_xlfn.XLOOKUP(FactSales[[#This Row],[Product_ID]],DimProduct[Product_ID],DimProduct[Product_Name])</f>
        <v>Power Bank</v>
      </c>
      <c r="N799" s="6" t="str">
        <f>_xlfn.XLOOKUP(FactSales[[#This Row],[Product_ID]],DimProduct[Product_ID],DimProduct[Category])</f>
        <v>Electronics</v>
      </c>
      <c r="O799" s="6">
        <f>_xlfn.XLOOKUP(FactSales[[#This Row],[Product_ID]],DimProduct[Product_ID],DimProduct[Unit_Price])</f>
        <v>2840</v>
      </c>
      <c r="P799" s="6">
        <f>_xlfn.XLOOKUP(FactSales[[#This Row],[Product_ID]],DimProduct[Product_ID],DimProduct[Unit_Cost])</f>
        <v>1930</v>
      </c>
      <c r="Q799" s="6">
        <f>FactSales[[#This Row],[Unit_Price]]*FactSales[[#This Row],[Quantity_Sold]]</f>
        <v>2840</v>
      </c>
      <c r="R799" s="6">
        <f>FactSales[[#This Row],[Unit_Cost]]*FactSales[[#This Row],[Quantity_Sold]]</f>
        <v>1930</v>
      </c>
      <c r="S799" s="6">
        <f>FactSales[[#This Row],[Sales_Amount]]-FactSales[[#This Row],[Total_Cost]]</f>
        <v>910</v>
      </c>
      <c r="T799" s="6" t="str">
        <f>_xlfn.XLOOKUP(FactSales[[#This Row],[Customer_ID]],DimCustomer[Customer_ID],DimCustomer[Customer_Name])</f>
        <v>Samiha Islam</v>
      </c>
      <c r="U799" s="6" t="str">
        <f>_xlfn.XLOOKUP(FactSales[[#This Row],[Salesperson_ID]],DimSalesman[Salesperson_ID],DimSalesman[Salesperson_Name])</f>
        <v>Nayeem Rahman</v>
      </c>
      <c r="V799" s="6" t="str">
        <f>_xlfn.XLOOKUP(FactSales[[#This Row],[Region_ID]],DimRegion[Region_ID],DimRegion[Region_Name])</f>
        <v>Rangpur</v>
      </c>
      <c r="W799" s="6" t="str">
        <f>_xlfn.XLOOKUP(FactSales[[#This Row],[Store_ID]],DimStore[Store_ID],DimStore[Store_Name])</f>
        <v>Rangpur Modern More Store</v>
      </c>
    </row>
    <row r="800" spans="1:23">
      <c r="A800" s="4" t="s">
        <v>1796</v>
      </c>
      <c r="B800" s="5">
        <v>45814</v>
      </c>
      <c r="C800" s="4" t="s">
        <v>112</v>
      </c>
      <c r="D800" s="4" t="s">
        <v>27</v>
      </c>
      <c r="E800" s="4" t="s">
        <v>618</v>
      </c>
      <c r="F800" s="4" t="s">
        <v>920</v>
      </c>
      <c r="G800" s="4" t="s">
        <v>859</v>
      </c>
      <c r="H800" s="4">
        <v>1</v>
      </c>
      <c r="I800" s="7">
        <v>0.12</v>
      </c>
      <c r="J800" s="6">
        <v>2894</v>
      </c>
      <c r="K800" s="4">
        <v>3</v>
      </c>
      <c r="L800" s="8">
        <f t="shared" si="12"/>
        <v>4</v>
      </c>
      <c r="M800" s="6" t="str">
        <f>_xlfn.XLOOKUP(FactSales[[#This Row],[Product_ID]],DimProduct[Product_ID],DimProduct[Product_Name])</f>
        <v>Yoga Mat</v>
      </c>
      <c r="N800" s="6" t="str">
        <f>_xlfn.XLOOKUP(FactSales[[#This Row],[Product_ID]],DimProduct[Product_ID],DimProduct[Category])</f>
        <v>Sports</v>
      </c>
      <c r="O800" s="6">
        <f>_xlfn.XLOOKUP(FactSales[[#This Row],[Product_ID]],DimProduct[Product_ID],DimProduct[Unit_Price])</f>
        <v>2730</v>
      </c>
      <c r="P800" s="6">
        <f>_xlfn.XLOOKUP(FactSales[[#This Row],[Product_ID]],DimProduct[Product_ID],DimProduct[Unit_Cost])</f>
        <v>1690</v>
      </c>
      <c r="Q800" s="6">
        <f>FactSales[[#This Row],[Unit_Price]]*FactSales[[#This Row],[Quantity_Sold]]</f>
        <v>2730</v>
      </c>
      <c r="R800" s="6">
        <f>FactSales[[#This Row],[Unit_Cost]]*FactSales[[#This Row],[Quantity_Sold]]</f>
        <v>1690</v>
      </c>
      <c r="S800" s="6">
        <f>FactSales[[#This Row],[Sales_Amount]]-FactSales[[#This Row],[Total_Cost]]</f>
        <v>1040</v>
      </c>
      <c r="T800" s="6" t="str">
        <f>_xlfn.XLOOKUP(FactSales[[#This Row],[Customer_ID]],DimCustomer[Customer_ID],DimCustomer[Customer_Name])</f>
        <v>Shaila Ahmed</v>
      </c>
      <c r="U800" s="6" t="str">
        <f>_xlfn.XLOOKUP(FactSales[[#This Row],[Salesperson_ID]],DimSalesman[Salesperson_ID],DimSalesman[Salesperson_Name])</f>
        <v>Rahim Hossain</v>
      </c>
      <c r="V800" s="6" t="str">
        <f>_xlfn.XLOOKUP(FactSales[[#This Row],[Region_ID]],DimRegion[Region_ID],DimRegion[Region_Name])</f>
        <v>Dhaka</v>
      </c>
      <c r="W800" s="6" t="str">
        <f>_xlfn.XLOOKUP(FactSales[[#This Row],[Store_ID]],DimStore[Store_ID],DimStore[Store_Name])</f>
        <v>Dhaka Gulshan Store</v>
      </c>
    </row>
    <row r="801" spans="1:23">
      <c r="A801" s="4" t="s">
        <v>1797</v>
      </c>
      <c r="B801" s="5">
        <v>46024</v>
      </c>
      <c r="C801" s="4" t="s">
        <v>488</v>
      </c>
      <c r="D801" s="4" t="s">
        <v>57</v>
      </c>
      <c r="E801" s="4" t="s">
        <v>716</v>
      </c>
      <c r="F801" s="4" t="s">
        <v>974</v>
      </c>
      <c r="G801" s="4" t="s">
        <v>828</v>
      </c>
      <c r="H801" s="4">
        <v>1</v>
      </c>
      <c r="I801" s="7">
        <v>0.05</v>
      </c>
      <c r="J801" s="6">
        <v>1621</v>
      </c>
      <c r="K801" s="4">
        <v>6</v>
      </c>
      <c r="L801" s="8">
        <f t="shared" si="12"/>
        <v>3.2</v>
      </c>
      <c r="M801" s="6" t="str">
        <f>_xlfn.XLOOKUP(FactSales[[#This Row],[Product_ID]],DimProduct[Product_ID],DimProduct[Product_Name])</f>
        <v>Toothpaste Twin Pack</v>
      </c>
      <c r="N801" s="6" t="str">
        <f>_xlfn.XLOOKUP(FactSales[[#This Row],[Product_ID]],DimProduct[Product_ID],DimProduct[Category])</f>
        <v>Beauty &amp; Personal Care</v>
      </c>
      <c r="O801" s="6">
        <f>_xlfn.XLOOKUP(FactSales[[#This Row],[Product_ID]],DimProduct[Product_ID],DimProduct[Unit_Price])</f>
        <v>1410</v>
      </c>
      <c r="P801" s="6">
        <f>_xlfn.XLOOKUP(FactSales[[#This Row],[Product_ID]],DimProduct[Product_ID],DimProduct[Unit_Cost])</f>
        <v>820</v>
      </c>
      <c r="Q801" s="6">
        <f>FactSales[[#This Row],[Unit_Price]]*FactSales[[#This Row],[Quantity_Sold]]</f>
        <v>1410</v>
      </c>
      <c r="R801" s="6">
        <f>FactSales[[#This Row],[Unit_Cost]]*FactSales[[#This Row],[Quantity_Sold]]</f>
        <v>820</v>
      </c>
      <c r="S801" s="6">
        <f>FactSales[[#This Row],[Sales_Amount]]-FactSales[[#This Row],[Total_Cost]]</f>
        <v>590</v>
      </c>
      <c r="T801" s="6" t="str">
        <f>_xlfn.XLOOKUP(FactSales[[#This Row],[Customer_ID]],DimCustomer[Customer_ID],DimCustomer[Customer_Name])</f>
        <v>Jannat Khan</v>
      </c>
      <c r="U801" s="6" t="str">
        <f>_xlfn.XLOOKUP(FactSales[[#This Row],[Salesperson_ID]],DimSalesman[Salesperson_ID],DimSalesman[Salesperson_Name])</f>
        <v>Farhana Uddin</v>
      </c>
      <c r="V801" s="6" t="str">
        <f>_xlfn.XLOOKUP(FactSales[[#This Row],[Region_ID]],DimRegion[Region_ID],DimRegion[Region_Name])</f>
        <v>Rangpur</v>
      </c>
      <c r="W801" s="6" t="str">
        <f>_xlfn.XLOOKUP(FactSales[[#This Row],[Store_ID]],DimStore[Store_ID],DimStore[Store_Name])</f>
        <v>Rangpur Shapla Chattar Store</v>
      </c>
    </row>
    <row r="802" spans="1:23">
      <c r="A802" s="4" t="s">
        <v>1798</v>
      </c>
      <c r="B802" s="5">
        <v>46045</v>
      </c>
      <c r="C802" s="4" t="s">
        <v>372</v>
      </c>
      <c r="D802" s="4" t="s">
        <v>47</v>
      </c>
      <c r="E802" s="4" t="s">
        <v>695</v>
      </c>
      <c r="F802" s="4" t="s">
        <v>953</v>
      </c>
      <c r="G802" s="4" t="s">
        <v>850</v>
      </c>
      <c r="H802" s="4">
        <v>4</v>
      </c>
      <c r="I802" s="7">
        <v>0.03</v>
      </c>
      <c r="J802" s="6">
        <v>11510</v>
      </c>
      <c r="K802" s="4">
        <v>2</v>
      </c>
      <c r="L802" s="8">
        <f t="shared" si="12"/>
        <v>4.5</v>
      </c>
      <c r="M802" s="6" t="str">
        <f>_xlfn.XLOOKUP(FactSales[[#This Row],[Product_ID]],DimProduct[Product_ID],DimProduct[Product_Name])</f>
        <v>Cricket Bat</v>
      </c>
      <c r="N802" s="6" t="str">
        <f>_xlfn.XLOOKUP(FactSales[[#This Row],[Product_ID]],DimProduct[Product_ID],DimProduct[Category])</f>
        <v>Sports</v>
      </c>
      <c r="O802" s="6">
        <f>_xlfn.XLOOKUP(FactSales[[#This Row],[Product_ID]],DimProduct[Product_ID],DimProduct[Unit_Price])</f>
        <v>2640</v>
      </c>
      <c r="P802" s="6">
        <f>_xlfn.XLOOKUP(FactSales[[#This Row],[Product_ID]],DimProduct[Product_ID],DimProduct[Unit_Cost])</f>
        <v>1640</v>
      </c>
      <c r="Q802" s="6">
        <f>FactSales[[#This Row],[Unit_Price]]*FactSales[[#This Row],[Quantity_Sold]]</f>
        <v>10560</v>
      </c>
      <c r="R802" s="6">
        <f>FactSales[[#This Row],[Unit_Cost]]*FactSales[[#This Row],[Quantity_Sold]]</f>
        <v>6560</v>
      </c>
      <c r="S802" s="6">
        <f>FactSales[[#This Row],[Sales_Amount]]-FactSales[[#This Row],[Total_Cost]]</f>
        <v>4000</v>
      </c>
      <c r="T802" s="6" t="str">
        <f>_xlfn.XLOOKUP(FactSales[[#This Row],[Customer_ID]],DimCustomer[Customer_ID],DimCustomer[Customer_Name])</f>
        <v>Mahmud Chowdhury</v>
      </c>
      <c r="U802" s="6" t="str">
        <f>_xlfn.XLOOKUP(FactSales[[#This Row],[Salesperson_ID]],DimSalesman[Salesperson_ID],DimSalesman[Salesperson_Name])</f>
        <v>Nusrat Akter</v>
      </c>
      <c r="V802" s="6" t="str">
        <f>_xlfn.XLOOKUP(FactSales[[#This Row],[Region_ID]],DimRegion[Region_ID],DimRegion[Region_Name])</f>
        <v>Khulna</v>
      </c>
      <c r="W802" s="6" t="str">
        <f>_xlfn.XLOOKUP(FactSales[[#This Row],[Store_ID]],DimStore[Store_ID],DimStore[Store_Name])</f>
        <v>Khulna Shibbari Store</v>
      </c>
    </row>
    <row r="803" spans="1:23">
      <c r="A803" s="4" t="s">
        <v>1799</v>
      </c>
      <c r="B803" s="5">
        <v>45783</v>
      </c>
      <c r="C803" s="4" t="s">
        <v>133</v>
      </c>
      <c r="D803" s="4" t="s">
        <v>27</v>
      </c>
      <c r="E803" s="4" t="s">
        <v>634</v>
      </c>
      <c r="F803" s="4" t="s">
        <v>912</v>
      </c>
      <c r="G803" s="4" t="s">
        <v>755</v>
      </c>
      <c r="H803" s="4">
        <v>1</v>
      </c>
      <c r="I803" s="7">
        <v>0.12</v>
      </c>
      <c r="J803" s="6">
        <v>3540</v>
      </c>
      <c r="K803" s="4">
        <v>6</v>
      </c>
      <c r="L803" s="8">
        <f t="shared" si="12"/>
        <v>3</v>
      </c>
      <c r="M803" s="6" t="str">
        <f>_xlfn.XLOOKUP(FactSales[[#This Row],[Product_ID]],DimProduct[Product_ID],DimProduct[Product_Name])</f>
        <v>Wireless Mouse</v>
      </c>
      <c r="N803" s="6" t="str">
        <f>_xlfn.XLOOKUP(FactSales[[#This Row],[Product_ID]],DimProduct[Product_ID],DimProduct[Category])</f>
        <v>Electronics</v>
      </c>
      <c r="O803" s="6">
        <f>_xlfn.XLOOKUP(FactSales[[#This Row],[Product_ID]],DimProduct[Product_ID],DimProduct[Unit_Price])</f>
        <v>3340</v>
      </c>
      <c r="P803" s="6">
        <f>_xlfn.XLOOKUP(FactSales[[#This Row],[Product_ID]],DimProduct[Product_ID],DimProduct[Unit_Cost])</f>
        <v>2270</v>
      </c>
      <c r="Q803" s="6">
        <f>FactSales[[#This Row],[Unit_Price]]*FactSales[[#This Row],[Quantity_Sold]]</f>
        <v>3340</v>
      </c>
      <c r="R803" s="6">
        <f>FactSales[[#This Row],[Unit_Cost]]*FactSales[[#This Row],[Quantity_Sold]]</f>
        <v>2270</v>
      </c>
      <c r="S803" s="6">
        <f>FactSales[[#This Row],[Sales_Amount]]-FactSales[[#This Row],[Total_Cost]]</f>
        <v>1070</v>
      </c>
      <c r="T803" s="6" t="str">
        <f>_xlfn.XLOOKUP(FactSales[[#This Row],[Customer_ID]],DimCustomer[Customer_ID],DimCustomer[Customer_Name])</f>
        <v>Tanjim Chowdhury</v>
      </c>
      <c r="U803" s="6" t="str">
        <f>_xlfn.XLOOKUP(FactSales[[#This Row],[Salesperson_ID]],DimSalesman[Salesperson_ID],DimSalesman[Salesperson_Name])</f>
        <v>Mahmud Hossain</v>
      </c>
      <c r="V803" s="6" t="str">
        <f>_xlfn.XLOOKUP(FactSales[[#This Row],[Region_ID]],DimRegion[Region_ID],DimRegion[Region_Name])</f>
        <v>Dhaka</v>
      </c>
      <c r="W803" s="6" t="str">
        <f>_xlfn.XLOOKUP(FactSales[[#This Row],[Store_ID]],DimStore[Store_ID],DimStore[Store_Name])</f>
        <v>Dhaka Motijheel Store</v>
      </c>
    </row>
    <row r="804" spans="1:23">
      <c r="A804" s="4" t="s">
        <v>1800</v>
      </c>
      <c r="B804" s="5">
        <v>46028</v>
      </c>
      <c r="C804" s="4" t="s">
        <v>369</v>
      </c>
      <c r="D804" s="4" t="s">
        <v>47</v>
      </c>
      <c r="E804" s="4" t="s">
        <v>683</v>
      </c>
      <c r="F804" s="4" t="s">
        <v>952</v>
      </c>
      <c r="G804" s="4" t="s">
        <v>794</v>
      </c>
      <c r="H804" s="4">
        <v>6</v>
      </c>
      <c r="I804" s="7">
        <v>0.05</v>
      </c>
      <c r="J804" s="6">
        <v>5755</v>
      </c>
      <c r="K804" s="4">
        <v>1</v>
      </c>
      <c r="L804" s="8">
        <f t="shared" si="12"/>
        <v>4.8</v>
      </c>
      <c r="M804" s="6" t="str">
        <f>_xlfn.XLOOKUP(FactSales[[#This Row],[Product_ID]],DimProduct[Product_ID],DimProduct[Product_Name])</f>
        <v>Denim Jeans</v>
      </c>
      <c r="N804" s="6" t="str">
        <f>_xlfn.XLOOKUP(FactSales[[#This Row],[Product_ID]],DimProduct[Product_ID],DimProduct[Category])</f>
        <v>Fashion</v>
      </c>
      <c r="O804" s="6">
        <f>_xlfn.XLOOKUP(FactSales[[#This Row],[Product_ID]],DimProduct[Product_ID],DimProduct[Unit_Price])</f>
        <v>880</v>
      </c>
      <c r="P804" s="6">
        <f>_xlfn.XLOOKUP(FactSales[[#This Row],[Product_ID]],DimProduct[Product_ID],DimProduct[Unit_Cost])</f>
        <v>480</v>
      </c>
      <c r="Q804" s="6">
        <f>FactSales[[#This Row],[Unit_Price]]*FactSales[[#This Row],[Quantity_Sold]]</f>
        <v>5280</v>
      </c>
      <c r="R804" s="6">
        <f>FactSales[[#This Row],[Unit_Cost]]*FactSales[[#This Row],[Quantity_Sold]]</f>
        <v>2880</v>
      </c>
      <c r="S804" s="6">
        <f>FactSales[[#This Row],[Sales_Amount]]-FactSales[[#This Row],[Total_Cost]]</f>
        <v>2400</v>
      </c>
      <c r="T804" s="6" t="str">
        <f>_xlfn.XLOOKUP(FactSales[[#This Row],[Customer_ID]],DimCustomer[Customer_ID],DimCustomer[Customer_Name])</f>
        <v>Sadia Ahmed</v>
      </c>
      <c r="U804" s="6" t="str">
        <f>_xlfn.XLOOKUP(FactSales[[#This Row],[Salesperson_ID]],DimSalesman[Salesperson_ID],DimSalesman[Salesperson_Name])</f>
        <v>Samiha Islam</v>
      </c>
      <c r="V804" s="6" t="str">
        <f>_xlfn.XLOOKUP(FactSales[[#This Row],[Region_ID]],DimRegion[Region_ID],DimRegion[Region_Name])</f>
        <v>Khulna</v>
      </c>
      <c r="W804" s="6" t="str">
        <f>_xlfn.XLOOKUP(FactSales[[#This Row],[Store_ID]],DimStore[Store_ID],DimStore[Store_Name])</f>
        <v>Khulna Sonadanga Store</v>
      </c>
    </row>
    <row r="805" spans="1:23">
      <c r="A805" s="4" t="s">
        <v>1801</v>
      </c>
      <c r="B805" s="5">
        <v>45736</v>
      </c>
      <c r="C805" s="4" t="s">
        <v>112</v>
      </c>
      <c r="D805" s="4" t="s">
        <v>27</v>
      </c>
      <c r="E805" s="4" t="s">
        <v>618</v>
      </c>
      <c r="F805" s="4" t="s">
        <v>918</v>
      </c>
      <c r="G805" s="4" t="s">
        <v>900</v>
      </c>
      <c r="H805" s="4">
        <v>2</v>
      </c>
      <c r="I805" s="7">
        <v>0.1</v>
      </c>
      <c r="J805" s="6">
        <v>11278</v>
      </c>
      <c r="K805" s="4">
        <v>5</v>
      </c>
      <c r="L805" s="8">
        <f t="shared" si="12"/>
        <v>3.4</v>
      </c>
      <c r="M805" s="6" t="str">
        <f>_xlfn.XLOOKUP(FactSales[[#This Row],[Product_ID]],DimProduct[Product_ID],DimProduct[Product_Name])</f>
        <v>Shoe Rack</v>
      </c>
      <c r="N805" s="6" t="str">
        <f>_xlfn.XLOOKUP(FactSales[[#This Row],[Product_ID]],DimProduct[Product_ID],DimProduct[Category])</f>
        <v>Furniture</v>
      </c>
      <c r="O805" s="6">
        <f>_xlfn.XLOOKUP(FactSales[[#This Row],[Product_ID]],DimProduct[Product_ID],DimProduct[Unit_Price])</f>
        <v>5320</v>
      </c>
      <c r="P805" s="6">
        <f>_xlfn.XLOOKUP(FactSales[[#This Row],[Product_ID]],DimProduct[Product_ID],DimProduct[Unit_Cost])</f>
        <v>3830</v>
      </c>
      <c r="Q805" s="6">
        <f>FactSales[[#This Row],[Unit_Price]]*FactSales[[#This Row],[Quantity_Sold]]</f>
        <v>10640</v>
      </c>
      <c r="R805" s="6">
        <f>FactSales[[#This Row],[Unit_Cost]]*FactSales[[#This Row],[Quantity_Sold]]</f>
        <v>7660</v>
      </c>
      <c r="S805" s="6">
        <f>FactSales[[#This Row],[Sales_Amount]]-FactSales[[#This Row],[Total_Cost]]</f>
        <v>2980</v>
      </c>
      <c r="T805" s="6" t="str">
        <f>_xlfn.XLOOKUP(FactSales[[#This Row],[Customer_ID]],DimCustomer[Customer_ID],DimCustomer[Customer_Name])</f>
        <v>Shaila Ahmed</v>
      </c>
      <c r="U805" s="6" t="str">
        <f>_xlfn.XLOOKUP(FactSales[[#This Row],[Salesperson_ID]],DimSalesman[Salesperson_ID],DimSalesman[Salesperson_Name])</f>
        <v>Tania Sultana</v>
      </c>
      <c r="V805" s="6" t="str">
        <f>_xlfn.XLOOKUP(FactSales[[#This Row],[Region_ID]],DimRegion[Region_ID],DimRegion[Region_Name])</f>
        <v>Dhaka</v>
      </c>
      <c r="W805" s="6" t="str">
        <f>_xlfn.XLOOKUP(FactSales[[#This Row],[Store_ID]],DimStore[Store_ID],DimStore[Store_Name])</f>
        <v>Dhaka Gulshan Store</v>
      </c>
    </row>
    <row r="806" spans="1:23">
      <c r="A806" s="4" t="s">
        <v>1802</v>
      </c>
      <c r="B806" s="5">
        <v>45668</v>
      </c>
      <c r="C806" s="4" t="s">
        <v>475</v>
      </c>
      <c r="D806" s="4" t="s">
        <v>52</v>
      </c>
      <c r="E806" s="4" t="s">
        <v>707</v>
      </c>
      <c r="F806" s="4" t="s">
        <v>961</v>
      </c>
      <c r="G806" s="4" t="s">
        <v>762</v>
      </c>
      <c r="H806" s="4">
        <v>6</v>
      </c>
      <c r="I806" s="7">
        <v>0.18</v>
      </c>
      <c r="J806" s="6">
        <v>26006</v>
      </c>
      <c r="K806" s="4">
        <v>3</v>
      </c>
      <c r="L806" s="8">
        <f t="shared" si="12"/>
        <v>3.8</v>
      </c>
      <c r="M806" s="6" t="str">
        <f>_xlfn.XLOOKUP(FactSales[[#This Row],[Product_ID]],DimProduct[Product_ID],DimProduct[Product_Name])</f>
        <v>Smart Watch</v>
      </c>
      <c r="N806" s="6" t="str">
        <f>_xlfn.XLOOKUP(FactSales[[#This Row],[Product_ID]],DimProduct[Product_ID],DimProduct[Category])</f>
        <v>Electronics</v>
      </c>
      <c r="O806" s="6">
        <f>_xlfn.XLOOKUP(FactSales[[#This Row],[Product_ID]],DimProduct[Product_ID],DimProduct[Unit_Price])</f>
        <v>3870</v>
      </c>
      <c r="P806" s="6">
        <f>_xlfn.XLOOKUP(FactSales[[#This Row],[Product_ID]],DimProduct[Product_ID],DimProduct[Unit_Cost])</f>
        <v>2630</v>
      </c>
      <c r="Q806" s="6">
        <f>FactSales[[#This Row],[Unit_Price]]*FactSales[[#This Row],[Quantity_Sold]]</f>
        <v>23220</v>
      </c>
      <c r="R806" s="6">
        <f>FactSales[[#This Row],[Unit_Cost]]*FactSales[[#This Row],[Quantity_Sold]]</f>
        <v>15780</v>
      </c>
      <c r="S806" s="6">
        <f>FactSales[[#This Row],[Sales_Amount]]-FactSales[[#This Row],[Total_Cost]]</f>
        <v>7440</v>
      </c>
      <c r="T806" s="6" t="str">
        <f>_xlfn.XLOOKUP(FactSales[[#This Row],[Customer_ID]],DimCustomer[Customer_ID],DimCustomer[Customer_Name])</f>
        <v>Rafi Khan</v>
      </c>
      <c r="U806" s="6" t="str">
        <f>_xlfn.XLOOKUP(FactSales[[#This Row],[Salesperson_ID]],DimSalesman[Salesperson_ID],DimSalesman[Salesperson_Name])</f>
        <v>Shaila Akter</v>
      </c>
      <c r="V806" s="6" t="str">
        <f>_xlfn.XLOOKUP(FactSales[[#This Row],[Region_ID]],DimRegion[Region_ID],DimRegion[Region_Name])</f>
        <v>Barishal</v>
      </c>
      <c r="W806" s="6" t="str">
        <f>_xlfn.XLOOKUP(FactSales[[#This Row],[Store_ID]],DimStore[Store_ID],DimStore[Store_Name])</f>
        <v>Barishal Chowmatha Store</v>
      </c>
    </row>
    <row r="807" spans="1:23">
      <c r="A807" s="4" t="s">
        <v>1803</v>
      </c>
      <c r="B807" s="5">
        <v>45663</v>
      </c>
      <c r="C807" s="4" t="s">
        <v>177</v>
      </c>
      <c r="D807" s="4" t="s">
        <v>32</v>
      </c>
      <c r="E807" s="4" t="s">
        <v>644</v>
      </c>
      <c r="F807" s="4" t="s">
        <v>927</v>
      </c>
      <c r="G807" s="4" t="s">
        <v>905</v>
      </c>
      <c r="H807" s="4">
        <v>1</v>
      </c>
      <c r="I807" s="7">
        <v>7.0000000000000007E-2</v>
      </c>
      <c r="J807" s="6">
        <v>6692</v>
      </c>
      <c r="K807" s="4">
        <v>4</v>
      </c>
      <c r="L807" s="8">
        <f t="shared" si="12"/>
        <v>3.8</v>
      </c>
      <c r="M807" s="6" t="str">
        <f>_xlfn.XLOOKUP(FactSales[[#This Row],[Product_ID]],DimProduct[Product_ID],DimProduct[Product_Name])</f>
        <v>Bedside Table</v>
      </c>
      <c r="N807" s="6" t="str">
        <f>_xlfn.XLOOKUP(FactSales[[#This Row],[Product_ID]],DimProduct[Product_ID],DimProduct[Category])</f>
        <v>Furniture</v>
      </c>
      <c r="O807" s="6">
        <f>_xlfn.XLOOKUP(FactSales[[#This Row],[Product_ID]],DimProduct[Product_ID],DimProduct[Unit_Price])</f>
        <v>5870</v>
      </c>
      <c r="P807" s="6">
        <f>_xlfn.XLOOKUP(FactSales[[#This Row],[Product_ID]],DimProduct[Product_ID],DimProduct[Unit_Cost])</f>
        <v>4230</v>
      </c>
      <c r="Q807" s="6">
        <f>FactSales[[#This Row],[Unit_Price]]*FactSales[[#This Row],[Quantity_Sold]]</f>
        <v>5870</v>
      </c>
      <c r="R807" s="6">
        <f>FactSales[[#This Row],[Unit_Cost]]*FactSales[[#This Row],[Quantity_Sold]]</f>
        <v>4230</v>
      </c>
      <c r="S807" s="6">
        <f>FactSales[[#This Row],[Sales_Amount]]-FactSales[[#This Row],[Total_Cost]]</f>
        <v>1640</v>
      </c>
      <c r="T807" s="6" t="str">
        <f>_xlfn.XLOOKUP(FactSales[[#This Row],[Customer_ID]],DimCustomer[Customer_ID],DimCustomer[Customer_Name])</f>
        <v>Rasel Uddin</v>
      </c>
      <c r="U807" s="6" t="str">
        <f>_xlfn.XLOOKUP(FactSales[[#This Row],[Salesperson_ID]],DimSalesman[Salesperson_ID],DimSalesman[Salesperson_Name])</f>
        <v>Shakib Ahmed</v>
      </c>
      <c r="V807" s="6" t="str">
        <f>_xlfn.XLOOKUP(FactSales[[#This Row],[Region_ID]],DimRegion[Region_ID],DimRegion[Region_Name])</f>
        <v>Chattogram</v>
      </c>
      <c r="W807" s="6" t="str">
        <f>_xlfn.XLOOKUP(FactSales[[#This Row],[Store_ID]],DimStore[Store_ID],DimStore[Store_Name])</f>
        <v>Chattogram Panchlaish Store</v>
      </c>
    </row>
    <row r="808" spans="1:23">
      <c r="A808" s="4" t="s">
        <v>1804</v>
      </c>
      <c r="B808" s="5">
        <v>46188</v>
      </c>
      <c r="C808" s="4" t="s">
        <v>165</v>
      </c>
      <c r="D808" s="4" t="s">
        <v>32</v>
      </c>
      <c r="E808" s="4" t="s">
        <v>650</v>
      </c>
      <c r="F808" s="4" t="s">
        <v>922</v>
      </c>
      <c r="G808" s="4" t="s">
        <v>804</v>
      </c>
      <c r="H808" s="4">
        <v>3</v>
      </c>
      <c r="I808" s="7">
        <v>0.02</v>
      </c>
      <c r="J808" s="6">
        <v>1265</v>
      </c>
      <c r="K808" s="4">
        <v>5</v>
      </c>
      <c r="L808" s="8">
        <f t="shared" si="12"/>
        <v>3.6</v>
      </c>
      <c r="M808" s="6" t="str">
        <f>_xlfn.XLOOKUP(FactSales[[#This Row],[Product_ID]],DimProduct[Product_ID],DimProduct[Product_Name])</f>
        <v>Soybean Oil 5L</v>
      </c>
      <c r="N808" s="6" t="str">
        <f>_xlfn.XLOOKUP(FactSales[[#This Row],[Product_ID]],DimProduct[Product_ID],DimProduct[Category])</f>
        <v>Grocery</v>
      </c>
      <c r="O808" s="6">
        <f>_xlfn.XLOOKUP(FactSales[[#This Row],[Product_ID]],DimProduct[Product_ID],DimProduct[Unit_Price])</f>
        <v>370</v>
      </c>
      <c r="P808" s="6">
        <f>_xlfn.XLOOKUP(FactSales[[#This Row],[Product_ID]],DimProduct[Product_ID],DimProduct[Unit_Cost])</f>
        <v>290</v>
      </c>
      <c r="Q808" s="6">
        <f>FactSales[[#This Row],[Unit_Price]]*FactSales[[#This Row],[Quantity_Sold]]</f>
        <v>1110</v>
      </c>
      <c r="R808" s="6">
        <f>FactSales[[#This Row],[Unit_Cost]]*FactSales[[#This Row],[Quantity_Sold]]</f>
        <v>870</v>
      </c>
      <c r="S808" s="6">
        <f>FactSales[[#This Row],[Sales_Amount]]-FactSales[[#This Row],[Total_Cost]]</f>
        <v>240</v>
      </c>
      <c r="T808" s="6" t="str">
        <f>_xlfn.XLOOKUP(FactSales[[#This Row],[Customer_ID]],DimCustomer[Customer_ID],DimCustomer[Customer_Name])</f>
        <v>Mehedi Khan</v>
      </c>
      <c r="U808" s="6" t="str">
        <f>_xlfn.XLOOKUP(FactSales[[#This Row],[Salesperson_ID]],DimSalesman[Salesperson_ID],DimSalesman[Salesperson_Name])</f>
        <v>Rafi Sultana</v>
      </c>
      <c r="V808" s="6" t="str">
        <f>_xlfn.XLOOKUP(FactSales[[#This Row],[Region_ID]],DimRegion[Region_ID],DimRegion[Region_Name])</f>
        <v>Chattogram</v>
      </c>
      <c r="W808" s="6" t="str">
        <f>_xlfn.XLOOKUP(FactSales[[#This Row],[Store_ID]],DimStore[Store_ID],DimStore[Store_Name])</f>
        <v>Chattogram Halishahar Store</v>
      </c>
    </row>
    <row r="809" spans="1:23">
      <c r="A809" s="4" t="s">
        <v>1805</v>
      </c>
      <c r="B809" s="5">
        <v>45787</v>
      </c>
      <c r="C809" s="4" t="s">
        <v>286</v>
      </c>
      <c r="D809" s="4" t="s">
        <v>42</v>
      </c>
      <c r="E809" s="4" t="s">
        <v>674</v>
      </c>
      <c r="F809" s="4" t="s">
        <v>944</v>
      </c>
      <c r="G809" s="4" t="s">
        <v>762</v>
      </c>
      <c r="H809" s="4">
        <v>2</v>
      </c>
      <c r="I809" s="7">
        <v>0.15</v>
      </c>
      <c r="J809" s="6">
        <v>8359</v>
      </c>
      <c r="K809" s="4">
        <v>6</v>
      </c>
      <c r="L809" s="8">
        <f t="shared" si="12"/>
        <v>3</v>
      </c>
      <c r="M809" s="6" t="str">
        <f>_xlfn.XLOOKUP(FactSales[[#This Row],[Product_ID]],DimProduct[Product_ID],DimProduct[Product_Name])</f>
        <v>Smart Watch</v>
      </c>
      <c r="N809" s="6" t="str">
        <f>_xlfn.XLOOKUP(FactSales[[#This Row],[Product_ID]],DimProduct[Product_ID],DimProduct[Category])</f>
        <v>Electronics</v>
      </c>
      <c r="O809" s="6">
        <f>_xlfn.XLOOKUP(FactSales[[#This Row],[Product_ID]],DimProduct[Product_ID],DimProduct[Unit_Price])</f>
        <v>3870</v>
      </c>
      <c r="P809" s="6">
        <f>_xlfn.XLOOKUP(FactSales[[#This Row],[Product_ID]],DimProduct[Product_ID],DimProduct[Unit_Cost])</f>
        <v>2630</v>
      </c>
      <c r="Q809" s="6">
        <f>FactSales[[#This Row],[Unit_Price]]*FactSales[[#This Row],[Quantity_Sold]]</f>
        <v>7740</v>
      </c>
      <c r="R809" s="6">
        <f>FactSales[[#This Row],[Unit_Cost]]*FactSales[[#This Row],[Quantity_Sold]]</f>
        <v>5260</v>
      </c>
      <c r="S809" s="6">
        <f>FactSales[[#This Row],[Sales_Amount]]-FactSales[[#This Row],[Total_Cost]]</f>
        <v>2480</v>
      </c>
      <c r="T809" s="6" t="str">
        <f>_xlfn.XLOOKUP(FactSales[[#This Row],[Customer_ID]],DimCustomer[Customer_ID],DimCustomer[Customer_Name])</f>
        <v>Mehedi Mia</v>
      </c>
      <c r="U809" s="6" t="str">
        <f>_xlfn.XLOOKUP(FactSales[[#This Row],[Salesperson_ID]],DimSalesman[Salesperson_ID],DimSalesman[Salesperson_Name])</f>
        <v>Karim Khan</v>
      </c>
      <c r="V809" s="6" t="str">
        <f>_xlfn.XLOOKUP(FactSales[[#This Row],[Region_ID]],DimRegion[Region_ID],DimRegion[Region_Name])</f>
        <v>Rajshahi</v>
      </c>
      <c r="W809" s="6" t="str">
        <f>_xlfn.XLOOKUP(FactSales[[#This Row],[Store_ID]],DimStore[Store_ID],DimStore[Store_Name])</f>
        <v>Rajshahi Uposhohor Store</v>
      </c>
    </row>
    <row r="810" spans="1:23">
      <c r="A810" s="4" t="s">
        <v>1806</v>
      </c>
      <c r="B810" s="5">
        <v>45959</v>
      </c>
      <c r="C810" s="4" t="s">
        <v>292</v>
      </c>
      <c r="D810" s="4" t="s">
        <v>42</v>
      </c>
      <c r="E810" s="4" t="s">
        <v>674</v>
      </c>
      <c r="F810" s="4" t="s">
        <v>950</v>
      </c>
      <c r="G810" s="4" t="s">
        <v>808</v>
      </c>
      <c r="H810" s="4">
        <v>2</v>
      </c>
      <c r="I810" s="7">
        <v>0.05</v>
      </c>
      <c r="J810" s="6">
        <v>3694</v>
      </c>
      <c r="K810" s="4">
        <v>1</v>
      </c>
      <c r="L810" s="8">
        <f t="shared" si="12"/>
        <v>4.8</v>
      </c>
      <c r="M810" s="6" t="str">
        <f>_xlfn.XLOOKUP(FactSales[[#This Row],[Product_ID]],DimProduct[Product_ID],DimProduct[Product_Name])</f>
        <v>Lentil 1kg</v>
      </c>
      <c r="N810" s="6" t="str">
        <f>_xlfn.XLOOKUP(FactSales[[#This Row],[Product_ID]],DimProduct[Product_ID],DimProduct[Category])</f>
        <v>Grocery</v>
      </c>
      <c r="O810" s="6">
        <f>_xlfn.XLOOKUP(FactSales[[#This Row],[Product_ID]],DimProduct[Product_ID],DimProduct[Unit_Price])</f>
        <v>1710</v>
      </c>
      <c r="P810" s="6">
        <f>_xlfn.XLOOKUP(FactSales[[#This Row],[Product_ID]],DimProduct[Product_ID],DimProduct[Unit_Cost])</f>
        <v>1330</v>
      </c>
      <c r="Q810" s="6">
        <f>FactSales[[#This Row],[Unit_Price]]*FactSales[[#This Row],[Quantity_Sold]]</f>
        <v>3420</v>
      </c>
      <c r="R810" s="6">
        <f>FactSales[[#This Row],[Unit_Cost]]*FactSales[[#This Row],[Quantity_Sold]]</f>
        <v>2660</v>
      </c>
      <c r="S810" s="6">
        <f>FactSales[[#This Row],[Sales_Amount]]-FactSales[[#This Row],[Total_Cost]]</f>
        <v>760</v>
      </c>
      <c r="T810" s="6" t="str">
        <f>_xlfn.XLOOKUP(FactSales[[#This Row],[Customer_ID]],DimCustomer[Customer_ID],DimCustomer[Customer_Name])</f>
        <v>Morshed Rahman</v>
      </c>
      <c r="U810" s="6" t="str">
        <f>_xlfn.XLOOKUP(FactSales[[#This Row],[Salesperson_ID]],DimSalesman[Salesperson_ID],DimSalesman[Salesperson_Name])</f>
        <v>Mim Rahman</v>
      </c>
      <c r="V810" s="6" t="str">
        <f>_xlfn.XLOOKUP(FactSales[[#This Row],[Region_ID]],DimRegion[Region_ID],DimRegion[Region_Name])</f>
        <v>Rajshahi</v>
      </c>
      <c r="W810" s="6" t="str">
        <f>_xlfn.XLOOKUP(FactSales[[#This Row],[Store_ID]],DimStore[Store_ID],DimStore[Store_Name])</f>
        <v>Rajshahi Uposhohor Store</v>
      </c>
    </row>
    <row r="811" spans="1:23">
      <c r="A811" s="4" t="s">
        <v>1807</v>
      </c>
      <c r="B811" s="5">
        <v>45945</v>
      </c>
      <c r="C811" s="4" t="s">
        <v>307</v>
      </c>
      <c r="D811" s="4" t="s">
        <v>42</v>
      </c>
      <c r="E811" s="4" t="s">
        <v>671</v>
      </c>
      <c r="F811" s="4" t="s">
        <v>944</v>
      </c>
      <c r="G811" s="4" t="s">
        <v>841</v>
      </c>
      <c r="H811" s="4">
        <v>8</v>
      </c>
      <c r="I811" s="7">
        <v>0.03</v>
      </c>
      <c r="J811" s="6">
        <v>27821</v>
      </c>
      <c r="K811" s="4">
        <v>6</v>
      </c>
      <c r="L811" s="8">
        <f t="shared" si="12"/>
        <v>3.2</v>
      </c>
      <c r="M811" s="6" t="str">
        <f>_xlfn.XLOOKUP(FactSales[[#This Row],[Product_ID]],DimProduct[Product_ID],DimProduct[Product_Name])</f>
        <v>Ladies Sandal</v>
      </c>
      <c r="N811" s="6" t="str">
        <f>_xlfn.XLOOKUP(FactSales[[#This Row],[Product_ID]],DimProduct[Product_ID],DimProduct[Category])</f>
        <v>Footwear</v>
      </c>
      <c r="O811" s="6">
        <f>_xlfn.XLOOKUP(FactSales[[#This Row],[Product_ID]],DimProduct[Product_ID],DimProduct[Unit_Price])</f>
        <v>3220</v>
      </c>
      <c r="P811" s="6">
        <f>_xlfn.XLOOKUP(FactSales[[#This Row],[Product_ID]],DimProduct[Product_ID],DimProduct[Unit_Cost])</f>
        <v>1930</v>
      </c>
      <c r="Q811" s="6">
        <f>FactSales[[#This Row],[Unit_Price]]*FactSales[[#This Row],[Quantity_Sold]]</f>
        <v>25760</v>
      </c>
      <c r="R811" s="6">
        <f>FactSales[[#This Row],[Unit_Cost]]*FactSales[[#This Row],[Quantity_Sold]]</f>
        <v>15440</v>
      </c>
      <c r="S811" s="6">
        <f>FactSales[[#This Row],[Sales_Amount]]-FactSales[[#This Row],[Total_Cost]]</f>
        <v>10320</v>
      </c>
      <c r="T811" s="6" t="str">
        <f>_xlfn.XLOOKUP(FactSales[[#This Row],[Customer_ID]],DimCustomer[Customer_ID],DimCustomer[Customer_Name])</f>
        <v>Nayeem Hossain</v>
      </c>
      <c r="U811" s="6" t="str">
        <f>_xlfn.XLOOKUP(FactSales[[#This Row],[Salesperson_ID]],DimSalesman[Salesperson_ID],DimSalesman[Salesperson_Name])</f>
        <v>Karim Khan</v>
      </c>
      <c r="V811" s="6" t="str">
        <f>_xlfn.XLOOKUP(FactSales[[#This Row],[Region_ID]],DimRegion[Region_ID],DimRegion[Region_Name])</f>
        <v>Rajshahi</v>
      </c>
      <c r="W811" s="6" t="str">
        <f>_xlfn.XLOOKUP(FactSales[[#This Row],[Store_ID]],DimStore[Store_ID],DimStore[Store_Name])</f>
        <v>Rajshahi Kazla Store</v>
      </c>
    </row>
    <row r="812" spans="1:23">
      <c r="A812" s="4" t="s">
        <v>1808</v>
      </c>
      <c r="B812" s="5">
        <v>46114</v>
      </c>
      <c r="C812" s="4" t="s">
        <v>369</v>
      </c>
      <c r="D812" s="4" t="s">
        <v>47</v>
      </c>
      <c r="E812" s="4" t="s">
        <v>686</v>
      </c>
      <c r="F812" s="4" t="s">
        <v>958</v>
      </c>
      <c r="G812" s="4" t="s">
        <v>794</v>
      </c>
      <c r="H812" s="4">
        <v>4</v>
      </c>
      <c r="I812" s="7">
        <v>7.0000000000000007E-2</v>
      </c>
      <c r="J812" s="6">
        <v>3837</v>
      </c>
      <c r="K812" s="4">
        <v>4</v>
      </c>
      <c r="L812" s="8">
        <f t="shared" si="12"/>
        <v>3.8</v>
      </c>
      <c r="M812" s="6" t="str">
        <f>_xlfn.XLOOKUP(FactSales[[#This Row],[Product_ID]],DimProduct[Product_ID],DimProduct[Product_Name])</f>
        <v>Denim Jeans</v>
      </c>
      <c r="N812" s="6" t="str">
        <f>_xlfn.XLOOKUP(FactSales[[#This Row],[Product_ID]],DimProduct[Product_ID],DimProduct[Category])</f>
        <v>Fashion</v>
      </c>
      <c r="O812" s="6">
        <f>_xlfn.XLOOKUP(FactSales[[#This Row],[Product_ID]],DimProduct[Product_ID],DimProduct[Unit_Price])</f>
        <v>880</v>
      </c>
      <c r="P812" s="6">
        <f>_xlfn.XLOOKUP(FactSales[[#This Row],[Product_ID]],DimProduct[Product_ID],DimProduct[Unit_Cost])</f>
        <v>480</v>
      </c>
      <c r="Q812" s="6">
        <f>FactSales[[#This Row],[Unit_Price]]*FactSales[[#This Row],[Quantity_Sold]]</f>
        <v>3520</v>
      </c>
      <c r="R812" s="6">
        <f>FactSales[[#This Row],[Unit_Cost]]*FactSales[[#This Row],[Quantity_Sold]]</f>
        <v>1920</v>
      </c>
      <c r="S812" s="6">
        <f>FactSales[[#This Row],[Sales_Amount]]-FactSales[[#This Row],[Total_Cost]]</f>
        <v>1600</v>
      </c>
      <c r="T812" s="6" t="str">
        <f>_xlfn.XLOOKUP(FactSales[[#This Row],[Customer_ID]],DimCustomer[Customer_ID],DimCustomer[Customer_Name])</f>
        <v>Sadia Ahmed</v>
      </c>
      <c r="U812" s="6" t="str">
        <f>_xlfn.XLOOKUP(FactSales[[#This Row],[Salesperson_ID]],DimSalesman[Salesperson_ID],DimSalesman[Salesperson_Name])</f>
        <v>Fahim Uddin</v>
      </c>
      <c r="V812" s="6" t="str">
        <f>_xlfn.XLOOKUP(FactSales[[#This Row],[Region_ID]],DimRegion[Region_ID],DimRegion[Region_Name])</f>
        <v>Khulna</v>
      </c>
      <c r="W812" s="6" t="str">
        <f>_xlfn.XLOOKUP(FactSales[[#This Row],[Store_ID]],DimStore[Store_ID],DimStore[Store_Name])</f>
        <v>Khulna Khalishpur Store</v>
      </c>
    </row>
    <row r="813" spans="1:23">
      <c r="A813" s="4" t="s">
        <v>1809</v>
      </c>
      <c r="B813" s="5">
        <v>45723</v>
      </c>
      <c r="C813" s="4" t="s">
        <v>520</v>
      </c>
      <c r="D813" s="4" t="s">
        <v>57</v>
      </c>
      <c r="E813" s="4" t="s">
        <v>716</v>
      </c>
      <c r="F813" s="4" t="s">
        <v>976</v>
      </c>
      <c r="G813" s="4" t="s">
        <v>775</v>
      </c>
      <c r="H813" s="4">
        <v>2</v>
      </c>
      <c r="I813" s="7">
        <v>0.18</v>
      </c>
      <c r="J813" s="6">
        <v>5589</v>
      </c>
      <c r="K813" s="4">
        <v>6</v>
      </c>
      <c r="L813" s="8">
        <f t="shared" si="12"/>
        <v>2.9</v>
      </c>
      <c r="M813" s="6" t="str">
        <f>_xlfn.XLOOKUP(FactSales[[#This Row],[Product_ID]],DimProduct[Product_ID],DimProduct[Product_Name])</f>
        <v>Blender Machine</v>
      </c>
      <c r="N813" s="6" t="str">
        <f>_xlfn.XLOOKUP(FactSales[[#This Row],[Product_ID]],DimProduct[Product_ID],DimProduct[Category])</f>
        <v>Home Appliance</v>
      </c>
      <c r="O813" s="6">
        <f>_xlfn.XLOOKUP(FactSales[[#This Row],[Product_ID]],DimProduct[Product_ID],DimProduct[Unit_Price])</f>
        <v>2430</v>
      </c>
      <c r="P813" s="6">
        <f>_xlfn.XLOOKUP(FactSales[[#This Row],[Product_ID]],DimProduct[Product_ID],DimProduct[Unit_Cost])</f>
        <v>1700</v>
      </c>
      <c r="Q813" s="6">
        <f>FactSales[[#This Row],[Unit_Price]]*FactSales[[#This Row],[Quantity_Sold]]</f>
        <v>4860</v>
      </c>
      <c r="R813" s="6">
        <f>FactSales[[#This Row],[Unit_Cost]]*FactSales[[#This Row],[Quantity_Sold]]</f>
        <v>3400</v>
      </c>
      <c r="S813" s="6">
        <f>FactSales[[#This Row],[Sales_Amount]]-FactSales[[#This Row],[Total_Cost]]</f>
        <v>1460</v>
      </c>
      <c r="T813" s="6" t="str">
        <f>_xlfn.XLOOKUP(FactSales[[#This Row],[Customer_ID]],DimCustomer[Customer_ID],DimCustomer[Customer_Name])</f>
        <v>Samiha Uddin</v>
      </c>
      <c r="U813" s="6" t="str">
        <f>_xlfn.XLOOKUP(FactSales[[#This Row],[Salesperson_ID]],DimSalesman[Salesperson_ID],DimSalesman[Salesperson_Name])</f>
        <v>Nayeem Rahman</v>
      </c>
      <c r="V813" s="6" t="str">
        <f>_xlfn.XLOOKUP(FactSales[[#This Row],[Region_ID]],DimRegion[Region_ID],DimRegion[Region_Name])</f>
        <v>Rangpur</v>
      </c>
      <c r="W813" s="6" t="str">
        <f>_xlfn.XLOOKUP(FactSales[[#This Row],[Store_ID]],DimStore[Store_ID],DimStore[Store_Name])</f>
        <v>Rangpur Shapla Chattar Store</v>
      </c>
    </row>
    <row r="814" spans="1:23">
      <c r="A814" s="4" t="s">
        <v>1810</v>
      </c>
      <c r="B814" s="5">
        <v>46018</v>
      </c>
      <c r="C814" s="4" t="s">
        <v>406</v>
      </c>
      <c r="D814" s="4" t="s">
        <v>47</v>
      </c>
      <c r="E814" s="4" t="s">
        <v>692</v>
      </c>
      <c r="F814" s="4" t="s">
        <v>954</v>
      </c>
      <c r="G814" s="4" t="s">
        <v>821</v>
      </c>
      <c r="H814" s="4">
        <v>2</v>
      </c>
      <c r="I814" s="7">
        <v>0.05</v>
      </c>
      <c r="J814" s="6">
        <v>3619</v>
      </c>
      <c r="K814" s="4">
        <v>4</v>
      </c>
      <c r="L814" s="8">
        <f t="shared" si="12"/>
        <v>3.8</v>
      </c>
      <c r="M814" s="6" t="str">
        <f>_xlfn.XLOOKUP(FactSales[[#This Row],[Product_ID]],DimProduct[Product_ID],DimProduct[Product_Name])</f>
        <v>Shampoo 375ml</v>
      </c>
      <c r="N814" s="6" t="str">
        <f>_xlfn.XLOOKUP(FactSales[[#This Row],[Product_ID]],DimProduct[Product_ID],DimProduct[Category])</f>
        <v>Beauty &amp; Personal Care</v>
      </c>
      <c r="O814" s="6">
        <f>_xlfn.XLOOKUP(FactSales[[#This Row],[Product_ID]],DimProduct[Product_ID],DimProduct[Unit_Price])</f>
        <v>1660</v>
      </c>
      <c r="P814" s="6">
        <f>_xlfn.XLOOKUP(FactSales[[#This Row],[Product_ID]],DimProduct[Product_ID],DimProduct[Unit_Cost])</f>
        <v>960</v>
      </c>
      <c r="Q814" s="6">
        <f>FactSales[[#This Row],[Unit_Price]]*FactSales[[#This Row],[Quantity_Sold]]</f>
        <v>3320</v>
      </c>
      <c r="R814" s="6">
        <f>FactSales[[#This Row],[Unit_Cost]]*FactSales[[#This Row],[Quantity_Sold]]</f>
        <v>1920</v>
      </c>
      <c r="S814" s="6">
        <f>FactSales[[#This Row],[Sales_Amount]]-FactSales[[#This Row],[Total_Cost]]</f>
        <v>1400</v>
      </c>
      <c r="T814" s="6" t="str">
        <f>_xlfn.XLOOKUP(FactSales[[#This Row],[Customer_ID]],DimCustomer[Customer_ID],DimCustomer[Customer_Name])</f>
        <v>Ayesha Uddin</v>
      </c>
      <c r="U814" s="6" t="str">
        <f>_xlfn.XLOOKUP(FactSales[[#This Row],[Salesperson_ID]],DimSalesman[Salesperson_ID],DimSalesman[Salesperson_Name])</f>
        <v>Sadia Sultana</v>
      </c>
      <c r="V814" s="6" t="str">
        <f>_xlfn.XLOOKUP(FactSales[[#This Row],[Region_ID]],DimRegion[Region_ID],DimRegion[Region_Name])</f>
        <v>Khulna</v>
      </c>
      <c r="W814" s="6" t="str">
        <f>_xlfn.XLOOKUP(FactSales[[#This Row],[Store_ID]],DimStore[Store_ID],DimStore[Store_Name])</f>
        <v>Khulna Boyra Store</v>
      </c>
    </row>
    <row r="815" spans="1:23">
      <c r="A815" s="4" t="s">
        <v>1811</v>
      </c>
      <c r="B815" s="5">
        <v>46038</v>
      </c>
      <c r="C815" s="4" t="s">
        <v>248</v>
      </c>
      <c r="D815" s="4" t="s">
        <v>37</v>
      </c>
      <c r="E815" s="4" t="s">
        <v>656</v>
      </c>
      <c r="F815" s="4" t="s">
        <v>932</v>
      </c>
      <c r="G815" s="4" t="s">
        <v>762</v>
      </c>
      <c r="H815" s="4">
        <v>2</v>
      </c>
      <c r="I815" s="7">
        <v>0.12</v>
      </c>
      <c r="J815" s="6">
        <v>8282</v>
      </c>
      <c r="K815" s="4">
        <v>1</v>
      </c>
      <c r="L815" s="8">
        <f t="shared" si="12"/>
        <v>4.5999999999999996</v>
      </c>
      <c r="M815" s="6" t="str">
        <f>_xlfn.XLOOKUP(FactSales[[#This Row],[Product_ID]],DimProduct[Product_ID],DimProduct[Product_Name])</f>
        <v>Smart Watch</v>
      </c>
      <c r="N815" s="6" t="str">
        <f>_xlfn.XLOOKUP(FactSales[[#This Row],[Product_ID]],DimProduct[Product_ID],DimProduct[Category])</f>
        <v>Electronics</v>
      </c>
      <c r="O815" s="6">
        <f>_xlfn.XLOOKUP(FactSales[[#This Row],[Product_ID]],DimProduct[Product_ID],DimProduct[Unit_Price])</f>
        <v>3870</v>
      </c>
      <c r="P815" s="6">
        <f>_xlfn.XLOOKUP(FactSales[[#This Row],[Product_ID]],DimProduct[Product_ID],DimProduct[Unit_Cost])</f>
        <v>2630</v>
      </c>
      <c r="Q815" s="6">
        <f>FactSales[[#This Row],[Unit_Price]]*FactSales[[#This Row],[Quantity_Sold]]</f>
        <v>7740</v>
      </c>
      <c r="R815" s="6">
        <f>FactSales[[#This Row],[Unit_Cost]]*FactSales[[#This Row],[Quantity_Sold]]</f>
        <v>5260</v>
      </c>
      <c r="S815" s="6">
        <f>FactSales[[#This Row],[Sales_Amount]]-FactSales[[#This Row],[Total_Cost]]</f>
        <v>2480</v>
      </c>
      <c r="T815" s="6" t="str">
        <f>_xlfn.XLOOKUP(FactSales[[#This Row],[Customer_ID]],DimCustomer[Customer_ID],DimCustomer[Customer_Name])</f>
        <v>Tamanna Rahman</v>
      </c>
      <c r="U815" s="6" t="str">
        <f>_xlfn.XLOOKUP(FactSales[[#This Row],[Salesperson_ID]],DimSalesman[Salesperson_ID],DimSalesman[Salesperson_Name])</f>
        <v>Morshed Chowdhury</v>
      </c>
      <c r="V815" s="6" t="str">
        <f>_xlfn.XLOOKUP(FactSales[[#This Row],[Region_ID]],DimRegion[Region_ID],DimRegion[Region_Name])</f>
        <v>Sylhet</v>
      </c>
      <c r="W815" s="6" t="str">
        <f>_xlfn.XLOOKUP(FactSales[[#This Row],[Store_ID]],DimStore[Store_ID],DimStore[Store_Name])</f>
        <v>Sylhet Ambarkhana Store</v>
      </c>
    </row>
    <row r="816" spans="1:23">
      <c r="A816" s="4" t="s">
        <v>1812</v>
      </c>
      <c r="B816" s="5">
        <v>45994</v>
      </c>
      <c r="C816" s="4" t="s">
        <v>148</v>
      </c>
      <c r="D816" s="4" t="s">
        <v>32</v>
      </c>
      <c r="E816" s="4" t="s">
        <v>644</v>
      </c>
      <c r="F816" s="4" t="s">
        <v>931</v>
      </c>
      <c r="G816" s="4" t="s">
        <v>750</v>
      </c>
      <c r="H816" s="4">
        <v>3</v>
      </c>
      <c r="I816" s="7">
        <v>0.12</v>
      </c>
      <c r="J816" s="6">
        <v>11081</v>
      </c>
      <c r="K816" s="4">
        <v>7</v>
      </c>
      <c r="L816" s="8">
        <f t="shared" si="12"/>
        <v>2.7</v>
      </c>
      <c r="M816" s="6" t="str">
        <f>_xlfn.XLOOKUP(FactSales[[#This Row],[Product_ID]],DimProduct[Product_ID],DimProduct[Product_Name])</f>
        <v>Bluetooth Speaker</v>
      </c>
      <c r="N816" s="6" t="str">
        <f>_xlfn.XLOOKUP(FactSales[[#This Row],[Product_ID]],DimProduct[Product_ID],DimProduct[Category])</f>
        <v>Electronics</v>
      </c>
      <c r="O816" s="6">
        <f>_xlfn.XLOOKUP(FactSales[[#This Row],[Product_ID]],DimProduct[Product_ID],DimProduct[Unit_Price])</f>
        <v>3240</v>
      </c>
      <c r="P816" s="6">
        <f>_xlfn.XLOOKUP(FactSales[[#This Row],[Product_ID]],DimProduct[Product_ID],DimProduct[Unit_Cost])</f>
        <v>2200</v>
      </c>
      <c r="Q816" s="6">
        <f>FactSales[[#This Row],[Unit_Price]]*FactSales[[#This Row],[Quantity_Sold]]</f>
        <v>9720</v>
      </c>
      <c r="R816" s="6">
        <f>FactSales[[#This Row],[Unit_Cost]]*FactSales[[#This Row],[Quantity_Sold]]</f>
        <v>6600</v>
      </c>
      <c r="S816" s="6">
        <f>FactSales[[#This Row],[Sales_Amount]]-FactSales[[#This Row],[Total_Cost]]</f>
        <v>3120</v>
      </c>
      <c r="T816" s="6" t="str">
        <f>_xlfn.XLOOKUP(FactSales[[#This Row],[Customer_ID]],DimCustomer[Customer_ID],DimCustomer[Customer_Name])</f>
        <v>Shaila Sultana</v>
      </c>
      <c r="U816" s="6" t="str">
        <f>_xlfn.XLOOKUP(FactSales[[#This Row],[Salesperson_ID]],DimSalesman[Salesperson_ID],DimSalesman[Salesperson_Name])</f>
        <v>Sadia Islam</v>
      </c>
      <c r="V816" s="6" t="str">
        <f>_xlfn.XLOOKUP(FactSales[[#This Row],[Region_ID]],DimRegion[Region_ID],DimRegion[Region_Name])</f>
        <v>Chattogram</v>
      </c>
      <c r="W816" s="6" t="str">
        <f>_xlfn.XLOOKUP(FactSales[[#This Row],[Store_ID]],DimStore[Store_ID],DimStore[Store_Name])</f>
        <v>Chattogram Panchlaish Store</v>
      </c>
    </row>
    <row r="817" spans="1:23">
      <c r="A817" s="4" t="s">
        <v>1813</v>
      </c>
      <c r="B817" s="5">
        <v>45763</v>
      </c>
      <c r="C817" s="4" t="s">
        <v>510</v>
      </c>
      <c r="D817" s="4" t="s">
        <v>57</v>
      </c>
      <c r="E817" s="4" t="s">
        <v>725</v>
      </c>
      <c r="F817" s="4" t="s">
        <v>970</v>
      </c>
      <c r="G817" s="4" t="s">
        <v>800</v>
      </c>
      <c r="H817" s="4">
        <v>5</v>
      </c>
      <c r="I817" s="7">
        <v>0</v>
      </c>
      <c r="J817" s="6">
        <v>6382</v>
      </c>
      <c r="K817" s="4">
        <v>5</v>
      </c>
      <c r="L817" s="8">
        <f t="shared" si="12"/>
        <v>3.6</v>
      </c>
      <c r="M817" s="6" t="str">
        <f>_xlfn.XLOOKUP(FactSales[[#This Row],[Product_ID]],DimProduct[Product_ID],DimProduct[Product_Name])</f>
        <v>Premium Rice 5kg</v>
      </c>
      <c r="N817" s="6" t="str">
        <f>_xlfn.XLOOKUP(FactSales[[#This Row],[Product_ID]],DimProduct[Product_ID],DimProduct[Category])</f>
        <v>Grocery</v>
      </c>
      <c r="O817" s="6">
        <f>_xlfn.XLOOKUP(FactSales[[#This Row],[Product_ID]],DimProduct[Product_ID],DimProduct[Unit_Price])</f>
        <v>1110</v>
      </c>
      <c r="P817" s="6">
        <f>_xlfn.XLOOKUP(FactSales[[#This Row],[Product_ID]],DimProduct[Product_ID],DimProduct[Unit_Cost])</f>
        <v>870</v>
      </c>
      <c r="Q817" s="6">
        <f>FactSales[[#This Row],[Unit_Price]]*FactSales[[#This Row],[Quantity_Sold]]</f>
        <v>5550</v>
      </c>
      <c r="R817" s="6">
        <f>FactSales[[#This Row],[Unit_Cost]]*FactSales[[#This Row],[Quantity_Sold]]</f>
        <v>4350</v>
      </c>
      <c r="S817" s="6">
        <f>FactSales[[#This Row],[Sales_Amount]]-FactSales[[#This Row],[Total_Cost]]</f>
        <v>1200</v>
      </c>
      <c r="T817" s="6" t="str">
        <f>_xlfn.XLOOKUP(FactSales[[#This Row],[Customer_ID]],DimCustomer[Customer_ID],DimCustomer[Customer_Name])</f>
        <v>Farhana Hossain</v>
      </c>
      <c r="U817" s="6" t="str">
        <f>_xlfn.XLOOKUP(FactSales[[#This Row],[Salesperson_ID]],DimSalesman[Salesperson_ID],DimSalesman[Salesperson_Name])</f>
        <v>Tanvir Islam</v>
      </c>
      <c r="V817" s="6" t="str">
        <f>_xlfn.XLOOKUP(FactSales[[#This Row],[Region_ID]],DimRegion[Region_ID],DimRegion[Region_Name])</f>
        <v>Rangpur</v>
      </c>
      <c r="W817" s="6" t="str">
        <f>_xlfn.XLOOKUP(FactSales[[#This Row],[Store_ID]],DimStore[Store_ID],DimStore[Store_Name])</f>
        <v>Rangpur Central Road Store</v>
      </c>
    </row>
    <row r="818" spans="1:23">
      <c r="A818" s="4" t="s">
        <v>1814</v>
      </c>
      <c r="B818" s="5">
        <v>45860</v>
      </c>
      <c r="C818" s="4" t="s">
        <v>539</v>
      </c>
      <c r="D818" s="4" t="s">
        <v>57</v>
      </c>
      <c r="E818" s="4" t="s">
        <v>722</v>
      </c>
      <c r="F818" s="4" t="s">
        <v>972</v>
      </c>
      <c r="G818" s="4" t="s">
        <v>868</v>
      </c>
      <c r="H818" s="4">
        <v>1</v>
      </c>
      <c r="I818" s="7">
        <v>0.05</v>
      </c>
      <c r="J818" s="6">
        <v>391</v>
      </c>
      <c r="K818" s="4">
        <v>1</v>
      </c>
      <c r="L818" s="8">
        <f t="shared" si="12"/>
        <v>4.8</v>
      </c>
      <c r="M818" s="6" t="str">
        <f>_xlfn.XLOOKUP(FactSales[[#This Row],[Product_ID]],DimProduct[Product_ID],DimProduct[Product_Name])</f>
        <v>Ball Pen Box</v>
      </c>
      <c r="N818" s="6" t="str">
        <f>_xlfn.XLOOKUP(FactSales[[#This Row],[Product_ID]],DimProduct[Product_ID],DimProduct[Category])</f>
        <v>Stationery</v>
      </c>
      <c r="O818" s="6">
        <f>_xlfn.XLOOKUP(FactSales[[#This Row],[Product_ID]],DimProduct[Product_ID],DimProduct[Unit_Price])</f>
        <v>340</v>
      </c>
      <c r="P818" s="6">
        <f>_xlfn.XLOOKUP(FactSales[[#This Row],[Product_ID]],DimProduct[Product_ID],DimProduct[Unit_Cost])</f>
        <v>170</v>
      </c>
      <c r="Q818" s="6">
        <f>FactSales[[#This Row],[Unit_Price]]*FactSales[[#This Row],[Quantity_Sold]]</f>
        <v>340</v>
      </c>
      <c r="R818" s="6">
        <f>FactSales[[#This Row],[Unit_Cost]]*FactSales[[#This Row],[Quantity_Sold]]</f>
        <v>170</v>
      </c>
      <c r="S818" s="6">
        <f>FactSales[[#This Row],[Sales_Amount]]-FactSales[[#This Row],[Total_Cost]]</f>
        <v>170</v>
      </c>
      <c r="T818" s="6" t="str">
        <f>_xlfn.XLOOKUP(FactSales[[#This Row],[Customer_ID]],DimCustomer[Customer_ID],DimCustomer[Customer_Name])</f>
        <v>Shakib Islam</v>
      </c>
      <c r="U818" s="6" t="str">
        <f>_xlfn.XLOOKUP(FactSales[[#This Row],[Salesperson_ID]],DimSalesman[Salesperson_ID],DimSalesman[Salesperson_Name])</f>
        <v>Samiha Hossain</v>
      </c>
      <c r="V818" s="6" t="str">
        <f>_xlfn.XLOOKUP(FactSales[[#This Row],[Region_ID]],DimRegion[Region_ID],DimRegion[Region_Name])</f>
        <v>Rangpur</v>
      </c>
      <c r="W818" s="6" t="str">
        <f>_xlfn.XLOOKUP(FactSales[[#This Row],[Store_ID]],DimStore[Store_ID],DimStore[Store_Name])</f>
        <v>Rangpur Dhap Store</v>
      </c>
    </row>
    <row r="819" spans="1:23">
      <c r="A819" s="4" t="s">
        <v>1815</v>
      </c>
      <c r="B819" s="5">
        <v>45992</v>
      </c>
      <c r="C819" s="4" t="s">
        <v>496</v>
      </c>
      <c r="D819" s="4" t="s">
        <v>57</v>
      </c>
      <c r="E819" s="4" t="s">
        <v>713</v>
      </c>
      <c r="F819" s="4" t="s">
        <v>974</v>
      </c>
      <c r="G819" s="4" t="s">
        <v>762</v>
      </c>
      <c r="H819" s="4">
        <v>3</v>
      </c>
      <c r="I819" s="7">
        <v>0.18</v>
      </c>
      <c r="J819" s="6">
        <v>13351</v>
      </c>
      <c r="K819" s="4">
        <v>6</v>
      </c>
      <c r="L819" s="8">
        <f t="shared" si="12"/>
        <v>2.9</v>
      </c>
      <c r="M819" s="6" t="str">
        <f>_xlfn.XLOOKUP(FactSales[[#This Row],[Product_ID]],DimProduct[Product_ID],DimProduct[Product_Name])</f>
        <v>Smart Watch</v>
      </c>
      <c r="N819" s="6" t="str">
        <f>_xlfn.XLOOKUP(FactSales[[#This Row],[Product_ID]],DimProduct[Product_ID],DimProduct[Category])</f>
        <v>Electronics</v>
      </c>
      <c r="O819" s="6">
        <f>_xlfn.XLOOKUP(FactSales[[#This Row],[Product_ID]],DimProduct[Product_ID],DimProduct[Unit_Price])</f>
        <v>3870</v>
      </c>
      <c r="P819" s="6">
        <f>_xlfn.XLOOKUP(FactSales[[#This Row],[Product_ID]],DimProduct[Product_ID],DimProduct[Unit_Cost])</f>
        <v>2630</v>
      </c>
      <c r="Q819" s="6">
        <f>FactSales[[#This Row],[Unit_Price]]*FactSales[[#This Row],[Quantity_Sold]]</f>
        <v>11610</v>
      </c>
      <c r="R819" s="6">
        <f>FactSales[[#This Row],[Unit_Cost]]*FactSales[[#This Row],[Quantity_Sold]]</f>
        <v>7890</v>
      </c>
      <c r="S819" s="6">
        <f>FactSales[[#This Row],[Sales_Amount]]-FactSales[[#This Row],[Total_Cost]]</f>
        <v>3720</v>
      </c>
      <c r="T819" s="6" t="str">
        <f>_xlfn.XLOOKUP(FactSales[[#This Row],[Customer_ID]],DimCustomer[Customer_ID],DimCustomer[Customer_Name])</f>
        <v>Sadia Sultana</v>
      </c>
      <c r="U819" s="6" t="str">
        <f>_xlfn.XLOOKUP(FactSales[[#This Row],[Salesperson_ID]],DimSalesman[Salesperson_ID],DimSalesman[Salesperson_Name])</f>
        <v>Farhana Uddin</v>
      </c>
      <c r="V819" s="6" t="str">
        <f>_xlfn.XLOOKUP(FactSales[[#This Row],[Region_ID]],DimRegion[Region_ID],DimRegion[Region_Name])</f>
        <v>Rangpur</v>
      </c>
      <c r="W819" s="6" t="str">
        <f>_xlfn.XLOOKUP(FactSales[[#This Row],[Store_ID]],DimStore[Store_ID],DimStore[Store_Name])</f>
        <v>Rangpur Jahaj Company Store</v>
      </c>
    </row>
    <row r="820" spans="1:23">
      <c r="A820" s="4" t="s">
        <v>1816</v>
      </c>
      <c r="B820" s="5">
        <v>45662</v>
      </c>
      <c r="C820" s="4" t="s">
        <v>101</v>
      </c>
      <c r="D820" s="4" t="s">
        <v>27</v>
      </c>
      <c r="E820" s="4" t="s">
        <v>618</v>
      </c>
      <c r="F820" s="4" t="s">
        <v>920</v>
      </c>
      <c r="G820" s="4" t="s">
        <v>862</v>
      </c>
      <c r="H820" s="4">
        <v>6</v>
      </c>
      <c r="I820" s="7">
        <v>7.0000000000000007E-2</v>
      </c>
      <c r="J820" s="6">
        <v>7060</v>
      </c>
      <c r="K820" s="4">
        <v>5</v>
      </c>
      <c r="L820" s="8">
        <f t="shared" si="12"/>
        <v>3.4</v>
      </c>
      <c r="M820" s="6" t="str">
        <f>_xlfn.XLOOKUP(FactSales[[#This Row],[Product_ID]],DimProduct[Product_ID],DimProduct[Product_Name])</f>
        <v>Dumbbell Set</v>
      </c>
      <c r="N820" s="6" t="str">
        <f>_xlfn.XLOOKUP(FactSales[[#This Row],[Product_ID]],DimProduct[Product_ID],DimProduct[Category])</f>
        <v>Sports</v>
      </c>
      <c r="O820" s="6">
        <f>_xlfn.XLOOKUP(FactSales[[#This Row],[Product_ID]],DimProduct[Product_ID],DimProduct[Unit_Price])</f>
        <v>1110</v>
      </c>
      <c r="P820" s="6">
        <f>_xlfn.XLOOKUP(FactSales[[#This Row],[Product_ID]],DimProduct[Product_ID],DimProduct[Unit_Cost])</f>
        <v>690</v>
      </c>
      <c r="Q820" s="6">
        <f>FactSales[[#This Row],[Unit_Price]]*FactSales[[#This Row],[Quantity_Sold]]</f>
        <v>6660</v>
      </c>
      <c r="R820" s="6">
        <f>FactSales[[#This Row],[Unit_Cost]]*FactSales[[#This Row],[Quantity_Sold]]</f>
        <v>4140</v>
      </c>
      <c r="S820" s="6">
        <f>FactSales[[#This Row],[Sales_Amount]]-FactSales[[#This Row],[Total_Cost]]</f>
        <v>2520</v>
      </c>
      <c r="T820" s="6" t="str">
        <f>_xlfn.XLOOKUP(FactSales[[#This Row],[Customer_ID]],DimCustomer[Customer_ID],DimCustomer[Customer_Name])</f>
        <v>Shamim Khan</v>
      </c>
      <c r="U820" s="6" t="str">
        <f>_xlfn.XLOOKUP(FactSales[[#This Row],[Salesperson_ID]],DimSalesman[Salesperson_ID],DimSalesman[Salesperson_Name])</f>
        <v>Rahim Hossain</v>
      </c>
      <c r="V820" s="6" t="str">
        <f>_xlfn.XLOOKUP(FactSales[[#This Row],[Region_ID]],DimRegion[Region_ID],DimRegion[Region_Name])</f>
        <v>Dhaka</v>
      </c>
      <c r="W820" s="6" t="str">
        <f>_xlfn.XLOOKUP(FactSales[[#This Row],[Store_ID]],DimStore[Store_ID],DimStore[Store_Name])</f>
        <v>Dhaka Gulshan Store</v>
      </c>
    </row>
    <row r="821" spans="1:23">
      <c r="A821" s="4" t="s">
        <v>1817</v>
      </c>
      <c r="B821" s="5">
        <v>45674</v>
      </c>
      <c r="C821" s="4" t="s">
        <v>124</v>
      </c>
      <c r="D821" s="4" t="s">
        <v>27</v>
      </c>
      <c r="E821" s="4" t="s">
        <v>634</v>
      </c>
      <c r="F821" s="4" t="s">
        <v>912</v>
      </c>
      <c r="G821" s="4" t="s">
        <v>775</v>
      </c>
      <c r="H821" s="4">
        <v>1</v>
      </c>
      <c r="I821" s="7">
        <v>0.08</v>
      </c>
      <c r="J821" s="6">
        <v>2576</v>
      </c>
      <c r="K821" s="4">
        <v>7</v>
      </c>
      <c r="L821" s="8">
        <f t="shared" si="12"/>
        <v>2.8</v>
      </c>
      <c r="M821" s="6" t="str">
        <f>_xlfn.XLOOKUP(FactSales[[#This Row],[Product_ID]],DimProduct[Product_ID],DimProduct[Product_Name])</f>
        <v>Blender Machine</v>
      </c>
      <c r="N821" s="6" t="str">
        <f>_xlfn.XLOOKUP(FactSales[[#This Row],[Product_ID]],DimProduct[Product_ID],DimProduct[Category])</f>
        <v>Home Appliance</v>
      </c>
      <c r="O821" s="6">
        <f>_xlfn.XLOOKUP(FactSales[[#This Row],[Product_ID]],DimProduct[Product_ID],DimProduct[Unit_Price])</f>
        <v>2430</v>
      </c>
      <c r="P821" s="6">
        <f>_xlfn.XLOOKUP(FactSales[[#This Row],[Product_ID]],DimProduct[Product_ID],DimProduct[Unit_Cost])</f>
        <v>1700</v>
      </c>
      <c r="Q821" s="6">
        <f>FactSales[[#This Row],[Unit_Price]]*FactSales[[#This Row],[Quantity_Sold]]</f>
        <v>2430</v>
      </c>
      <c r="R821" s="6">
        <f>FactSales[[#This Row],[Unit_Cost]]*FactSales[[#This Row],[Quantity_Sold]]</f>
        <v>1700</v>
      </c>
      <c r="S821" s="6">
        <f>FactSales[[#This Row],[Sales_Amount]]-FactSales[[#This Row],[Total_Cost]]</f>
        <v>730</v>
      </c>
      <c r="T821" s="6" t="str">
        <f>_xlfn.XLOOKUP(FactSales[[#This Row],[Customer_ID]],DimCustomer[Customer_ID],DimCustomer[Customer_Name])</f>
        <v>Rafi Khan</v>
      </c>
      <c r="U821" s="6" t="str">
        <f>_xlfn.XLOOKUP(FactSales[[#This Row],[Salesperson_ID]],DimSalesman[Salesperson_ID],DimSalesman[Salesperson_Name])</f>
        <v>Mahmud Hossain</v>
      </c>
      <c r="V821" s="6" t="str">
        <f>_xlfn.XLOOKUP(FactSales[[#This Row],[Region_ID]],DimRegion[Region_ID],DimRegion[Region_Name])</f>
        <v>Dhaka</v>
      </c>
      <c r="W821" s="6" t="str">
        <f>_xlfn.XLOOKUP(FactSales[[#This Row],[Store_ID]],DimStore[Store_ID],DimStore[Store_Name])</f>
        <v>Dhaka Motijheel Store</v>
      </c>
    </row>
    <row r="822" spans="1:23">
      <c r="A822" s="4" t="s">
        <v>1818</v>
      </c>
      <c r="B822" s="5">
        <v>46012</v>
      </c>
      <c r="C822" s="4" t="s">
        <v>545</v>
      </c>
      <c r="D822" s="4" t="s">
        <v>57</v>
      </c>
      <c r="E822" s="4" t="s">
        <v>719</v>
      </c>
      <c r="F822" s="4" t="s">
        <v>972</v>
      </c>
      <c r="G822" s="4" t="s">
        <v>773</v>
      </c>
      <c r="H822" s="4">
        <v>4</v>
      </c>
      <c r="I822" s="7">
        <v>0.12</v>
      </c>
      <c r="J822" s="6">
        <v>34178</v>
      </c>
      <c r="K822" s="4">
        <v>7</v>
      </c>
      <c r="L822" s="8">
        <f t="shared" si="12"/>
        <v>2.7</v>
      </c>
      <c r="M822" s="6" t="str">
        <f>_xlfn.XLOOKUP(FactSales[[#This Row],[Product_ID]],DimProduct[Product_ID],DimProduct[Product_Name])</f>
        <v>Rice Cooker</v>
      </c>
      <c r="N822" s="6" t="str">
        <f>_xlfn.XLOOKUP(FactSales[[#This Row],[Product_ID]],DimProduct[Product_ID],DimProduct[Category])</f>
        <v>Home Appliance</v>
      </c>
      <c r="O822" s="6">
        <f>_xlfn.XLOOKUP(FactSales[[#This Row],[Product_ID]],DimProduct[Product_ID],DimProduct[Unit_Price])</f>
        <v>7430</v>
      </c>
      <c r="P822" s="6">
        <f>_xlfn.XLOOKUP(FactSales[[#This Row],[Product_ID]],DimProduct[Product_ID],DimProduct[Unit_Cost])</f>
        <v>5200</v>
      </c>
      <c r="Q822" s="6">
        <f>FactSales[[#This Row],[Unit_Price]]*FactSales[[#This Row],[Quantity_Sold]]</f>
        <v>29720</v>
      </c>
      <c r="R822" s="6">
        <f>FactSales[[#This Row],[Unit_Cost]]*FactSales[[#This Row],[Quantity_Sold]]</f>
        <v>20800</v>
      </c>
      <c r="S822" s="6">
        <f>FactSales[[#This Row],[Sales_Amount]]-FactSales[[#This Row],[Total_Cost]]</f>
        <v>8920</v>
      </c>
      <c r="T822" s="6" t="str">
        <f>_xlfn.XLOOKUP(FactSales[[#This Row],[Customer_ID]],DimCustomer[Customer_ID],DimCustomer[Customer_Name])</f>
        <v>Shuvo Hossain</v>
      </c>
      <c r="U822" s="6" t="str">
        <f>_xlfn.XLOOKUP(FactSales[[#This Row],[Salesperson_ID]],DimSalesman[Salesperson_ID],DimSalesman[Salesperson_Name])</f>
        <v>Samiha Hossain</v>
      </c>
      <c r="V822" s="6" t="str">
        <f>_xlfn.XLOOKUP(FactSales[[#This Row],[Region_ID]],DimRegion[Region_ID],DimRegion[Region_Name])</f>
        <v>Rangpur</v>
      </c>
      <c r="W822" s="6" t="str">
        <f>_xlfn.XLOOKUP(FactSales[[#This Row],[Store_ID]],DimStore[Store_ID],DimStore[Store_Name])</f>
        <v>Rangpur Modern More Store</v>
      </c>
    </row>
    <row r="823" spans="1:23">
      <c r="A823" s="4" t="s">
        <v>1819</v>
      </c>
      <c r="B823" s="5">
        <v>45782</v>
      </c>
      <c r="C823" s="4" t="s">
        <v>416</v>
      </c>
      <c r="D823" s="4" t="s">
        <v>47</v>
      </c>
      <c r="E823" s="4" t="s">
        <v>692</v>
      </c>
      <c r="F823" s="4" t="s">
        <v>955</v>
      </c>
      <c r="G823" s="4" t="s">
        <v>876</v>
      </c>
      <c r="H823" s="4">
        <v>5</v>
      </c>
      <c r="I823" s="7">
        <v>0</v>
      </c>
      <c r="J823" s="6">
        <v>4142</v>
      </c>
      <c r="K823" s="4">
        <v>3</v>
      </c>
      <c r="L823" s="8">
        <f t="shared" si="12"/>
        <v>4.2</v>
      </c>
      <c r="M823" s="6" t="str">
        <f>_xlfn.XLOOKUP(FactSales[[#This Row],[Product_ID]],DimProduct[Product_ID],DimProduct[Product_Name])</f>
        <v>Sticky Notes</v>
      </c>
      <c r="N823" s="6" t="str">
        <f>_xlfn.XLOOKUP(FactSales[[#This Row],[Product_ID]],DimProduct[Product_ID],DimProduct[Category])</f>
        <v>Stationery</v>
      </c>
      <c r="O823" s="6">
        <f>_xlfn.XLOOKUP(FactSales[[#This Row],[Product_ID]],DimProduct[Product_ID],DimProduct[Unit_Price])</f>
        <v>760</v>
      </c>
      <c r="P823" s="6">
        <f>_xlfn.XLOOKUP(FactSales[[#This Row],[Product_ID]],DimProduct[Product_ID],DimProduct[Unit_Cost])</f>
        <v>380</v>
      </c>
      <c r="Q823" s="6">
        <f>FactSales[[#This Row],[Unit_Price]]*FactSales[[#This Row],[Quantity_Sold]]</f>
        <v>3800</v>
      </c>
      <c r="R823" s="6">
        <f>FactSales[[#This Row],[Unit_Cost]]*FactSales[[#This Row],[Quantity_Sold]]</f>
        <v>1900</v>
      </c>
      <c r="S823" s="6">
        <f>FactSales[[#This Row],[Sales_Amount]]-FactSales[[#This Row],[Total_Cost]]</f>
        <v>1900</v>
      </c>
      <c r="T823" s="6" t="str">
        <f>_xlfn.XLOOKUP(FactSales[[#This Row],[Customer_ID]],DimCustomer[Customer_ID],DimCustomer[Customer_Name])</f>
        <v>Ayesha Ahmed</v>
      </c>
      <c r="U823" s="6" t="str">
        <f>_xlfn.XLOOKUP(FactSales[[#This Row],[Salesperson_ID]],DimSalesman[Salesperson_ID],DimSalesman[Salesperson_Name])</f>
        <v>Tania Chowdhury</v>
      </c>
      <c r="V823" s="6" t="str">
        <f>_xlfn.XLOOKUP(FactSales[[#This Row],[Region_ID]],DimRegion[Region_ID],DimRegion[Region_Name])</f>
        <v>Khulna</v>
      </c>
      <c r="W823" s="6" t="str">
        <f>_xlfn.XLOOKUP(FactSales[[#This Row],[Store_ID]],DimStore[Store_ID],DimStore[Store_Name])</f>
        <v>Khulna Boyra Store</v>
      </c>
    </row>
    <row r="824" spans="1:23">
      <c r="A824" s="4" t="s">
        <v>1820</v>
      </c>
      <c r="B824" s="5">
        <v>45988</v>
      </c>
      <c r="C824" s="4" t="s">
        <v>95</v>
      </c>
      <c r="D824" s="4" t="s">
        <v>27</v>
      </c>
      <c r="E824" s="4" t="s">
        <v>618</v>
      </c>
      <c r="F824" s="4" t="s">
        <v>912</v>
      </c>
      <c r="G824" s="4" t="s">
        <v>758</v>
      </c>
      <c r="H824" s="4">
        <v>5</v>
      </c>
      <c r="I824" s="7">
        <v>0.15</v>
      </c>
      <c r="J824" s="6">
        <v>15052</v>
      </c>
      <c r="K824" s="4">
        <v>2</v>
      </c>
      <c r="L824" s="8">
        <f t="shared" si="12"/>
        <v>4.2</v>
      </c>
      <c r="M824" s="6" t="str">
        <f>_xlfn.XLOOKUP(FactSales[[#This Row],[Product_ID]],DimProduct[Product_ID],DimProduct[Product_Name])</f>
        <v>Power Bank</v>
      </c>
      <c r="N824" s="6" t="str">
        <f>_xlfn.XLOOKUP(FactSales[[#This Row],[Product_ID]],DimProduct[Product_ID],DimProduct[Category])</f>
        <v>Electronics</v>
      </c>
      <c r="O824" s="6">
        <f>_xlfn.XLOOKUP(FactSales[[#This Row],[Product_ID]],DimProduct[Product_ID],DimProduct[Unit_Price])</f>
        <v>2840</v>
      </c>
      <c r="P824" s="6">
        <f>_xlfn.XLOOKUP(FactSales[[#This Row],[Product_ID]],DimProduct[Product_ID],DimProduct[Unit_Cost])</f>
        <v>1930</v>
      </c>
      <c r="Q824" s="6">
        <f>FactSales[[#This Row],[Unit_Price]]*FactSales[[#This Row],[Quantity_Sold]]</f>
        <v>14200</v>
      </c>
      <c r="R824" s="6">
        <f>FactSales[[#This Row],[Unit_Cost]]*FactSales[[#This Row],[Quantity_Sold]]</f>
        <v>9650</v>
      </c>
      <c r="S824" s="6">
        <f>FactSales[[#This Row],[Sales_Amount]]-FactSales[[#This Row],[Total_Cost]]</f>
        <v>4550</v>
      </c>
      <c r="T824" s="6" t="str">
        <f>_xlfn.XLOOKUP(FactSales[[#This Row],[Customer_ID]],DimCustomer[Customer_ID],DimCustomer[Customer_Name])</f>
        <v>Karim Islam</v>
      </c>
      <c r="U824" s="6" t="str">
        <f>_xlfn.XLOOKUP(FactSales[[#This Row],[Salesperson_ID]],DimSalesman[Salesperson_ID],DimSalesman[Salesperson_Name])</f>
        <v>Mahmud Hossain</v>
      </c>
      <c r="V824" s="6" t="str">
        <f>_xlfn.XLOOKUP(FactSales[[#This Row],[Region_ID]],DimRegion[Region_ID],DimRegion[Region_Name])</f>
        <v>Dhaka</v>
      </c>
      <c r="W824" s="6" t="str">
        <f>_xlfn.XLOOKUP(FactSales[[#This Row],[Store_ID]],DimStore[Store_ID],DimStore[Store_Name])</f>
        <v>Dhaka Gulshan Store</v>
      </c>
    </row>
    <row r="825" spans="1:23">
      <c r="A825" s="4" t="s">
        <v>1821</v>
      </c>
      <c r="B825" s="5">
        <v>45923</v>
      </c>
      <c r="C825" s="4" t="s">
        <v>468</v>
      </c>
      <c r="D825" s="4" t="s">
        <v>52</v>
      </c>
      <c r="E825" s="4" t="s">
        <v>698</v>
      </c>
      <c r="F825" s="4" t="s">
        <v>966</v>
      </c>
      <c r="G825" s="4" t="s">
        <v>878</v>
      </c>
      <c r="H825" s="4">
        <v>6</v>
      </c>
      <c r="I825" s="7">
        <v>0.03</v>
      </c>
      <c r="J825" s="6">
        <v>5645</v>
      </c>
      <c r="K825" s="4">
        <v>6</v>
      </c>
      <c r="L825" s="8">
        <f t="shared" si="12"/>
        <v>3.2</v>
      </c>
      <c r="M825" s="6" t="str">
        <f>_xlfn.XLOOKUP(FactSales[[#This Row],[Product_ID]],DimProduct[Product_ID],DimProduct[Product_Name])</f>
        <v>Building Blocks</v>
      </c>
      <c r="N825" s="6" t="str">
        <f>_xlfn.XLOOKUP(FactSales[[#This Row],[Product_ID]],DimProduct[Product_ID],DimProduct[Category])</f>
        <v>Kids &amp; Toys</v>
      </c>
      <c r="O825" s="6">
        <f>_xlfn.XLOOKUP(FactSales[[#This Row],[Product_ID]],DimProduct[Product_ID],DimProduct[Unit_Price])</f>
        <v>840</v>
      </c>
      <c r="P825" s="6">
        <f>_xlfn.XLOOKUP(FactSales[[#This Row],[Product_ID]],DimProduct[Product_ID],DimProduct[Unit_Cost])</f>
        <v>460</v>
      </c>
      <c r="Q825" s="6">
        <f>FactSales[[#This Row],[Unit_Price]]*FactSales[[#This Row],[Quantity_Sold]]</f>
        <v>5040</v>
      </c>
      <c r="R825" s="6">
        <f>FactSales[[#This Row],[Unit_Cost]]*FactSales[[#This Row],[Quantity_Sold]]</f>
        <v>2760</v>
      </c>
      <c r="S825" s="6">
        <f>FactSales[[#This Row],[Sales_Amount]]-FactSales[[#This Row],[Total_Cost]]</f>
        <v>2280</v>
      </c>
      <c r="T825" s="6" t="str">
        <f>_xlfn.XLOOKUP(FactSales[[#This Row],[Customer_ID]],DimCustomer[Customer_ID],DimCustomer[Customer_Name])</f>
        <v>Samiha Ahmed</v>
      </c>
      <c r="U825" s="6" t="str">
        <f>_xlfn.XLOOKUP(FactSales[[#This Row],[Salesperson_ID]],DimSalesman[Salesperson_ID],DimSalesman[Salesperson_Name])</f>
        <v>Nayeem Akter</v>
      </c>
      <c r="V825" s="6" t="str">
        <f>_xlfn.XLOOKUP(FactSales[[#This Row],[Region_ID]],DimRegion[Region_ID],DimRegion[Region_Name])</f>
        <v>Barishal</v>
      </c>
      <c r="W825" s="6" t="str">
        <f>_xlfn.XLOOKUP(FactSales[[#This Row],[Store_ID]],DimStore[Store_ID],DimStore[Store_Name])</f>
        <v>Barishal Nathullabad Store</v>
      </c>
    </row>
    <row r="826" spans="1:23">
      <c r="A826" s="4" t="s">
        <v>1822</v>
      </c>
      <c r="B826" s="5">
        <v>46046</v>
      </c>
      <c r="C826" s="4" t="s">
        <v>151</v>
      </c>
      <c r="D826" s="4" t="s">
        <v>32</v>
      </c>
      <c r="E826" s="4" t="s">
        <v>644</v>
      </c>
      <c r="F826" s="4" t="s">
        <v>922</v>
      </c>
      <c r="G826" s="4" t="s">
        <v>765</v>
      </c>
      <c r="H826" s="4">
        <v>2</v>
      </c>
      <c r="I826" s="7">
        <v>0.1</v>
      </c>
      <c r="J826" s="6">
        <v>11149</v>
      </c>
      <c r="K826" s="4">
        <v>7</v>
      </c>
      <c r="L826" s="8">
        <f t="shared" si="12"/>
        <v>2.7</v>
      </c>
      <c r="M826" s="6" t="str">
        <f>_xlfn.XLOOKUP(FactSales[[#This Row],[Product_ID]],DimProduct[Product_ID],DimProduct[Product_Name])</f>
        <v>USB-C Hub</v>
      </c>
      <c r="N826" s="6" t="str">
        <f>_xlfn.XLOOKUP(FactSales[[#This Row],[Product_ID]],DimProduct[Product_ID],DimProduct[Category])</f>
        <v>Electronics</v>
      </c>
      <c r="O826" s="6">
        <f>_xlfn.XLOOKUP(FactSales[[#This Row],[Product_ID]],DimProduct[Product_ID],DimProduct[Unit_Price])</f>
        <v>4890</v>
      </c>
      <c r="P826" s="6">
        <f>_xlfn.XLOOKUP(FactSales[[#This Row],[Product_ID]],DimProduct[Product_ID],DimProduct[Unit_Cost])</f>
        <v>3330</v>
      </c>
      <c r="Q826" s="6">
        <f>FactSales[[#This Row],[Unit_Price]]*FactSales[[#This Row],[Quantity_Sold]]</f>
        <v>9780</v>
      </c>
      <c r="R826" s="6">
        <f>FactSales[[#This Row],[Unit_Cost]]*FactSales[[#This Row],[Quantity_Sold]]</f>
        <v>6660</v>
      </c>
      <c r="S826" s="6">
        <f>FactSales[[#This Row],[Sales_Amount]]-FactSales[[#This Row],[Total_Cost]]</f>
        <v>3120</v>
      </c>
      <c r="T826" s="6" t="str">
        <f>_xlfn.XLOOKUP(FactSales[[#This Row],[Customer_ID]],DimCustomer[Customer_ID],DimCustomer[Customer_Name])</f>
        <v>Arif Khan</v>
      </c>
      <c r="U826" s="6" t="str">
        <f>_xlfn.XLOOKUP(FactSales[[#This Row],[Salesperson_ID]],DimSalesman[Salesperson_ID],DimSalesman[Salesperson_Name])</f>
        <v>Rafi Sultana</v>
      </c>
      <c r="V826" s="6" t="str">
        <f>_xlfn.XLOOKUP(FactSales[[#This Row],[Region_ID]],DimRegion[Region_ID],DimRegion[Region_Name])</f>
        <v>Chattogram</v>
      </c>
      <c r="W826" s="6" t="str">
        <f>_xlfn.XLOOKUP(FactSales[[#This Row],[Store_ID]],DimStore[Store_ID],DimStore[Store_Name])</f>
        <v>Chattogram Panchlaish Store</v>
      </c>
    </row>
    <row r="827" spans="1:23">
      <c r="A827" s="4" t="s">
        <v>1823</v>
      </c>
      <c r="B827" s="5">
        <v>46081</v>
      </c>
      <c r="C827" s="4" t="s">
        <v>159</v>
      </c>
      <c r="D827" s="4" t="s">
        <v>32</v>
      </c>
      <c r="E827" s="4" t="s">
        <v>644</v>
      </c>
      <c r="F827" s="4" t="s">
        <v>924</v>
      </c>
      <c r="G827" s="4" t="s">
        <v>856</v>
      </c>
      <c r="H827" s="4">
        <v>3</v>
      </c>
      <c r="I827" s="7">
        <v>0.03</v>
      </c>
      <c r="J827" s="6">
        <v>10602</v>
      </c>
      <c r="K827" s="4">
        <v>4</v>
      </c>
      <c r="L827" s="8">
        <f t="shared" si="12"/>
        <v>3.9</v>
      </c>
      <c r="M827" s="6" t="str">
        <f>_xlfn.XLOOKUP(FactSales[[#This Row],[Product_ID]],DimProduct[Product_ID],DimProduct[Product_Name])</f>
        <v>Badminton Racket</v>
      </c>
      <c r="N827" s="6" t="str">
        <f>_xlfn.XLOOKUP(FactSales[[#This Row],[Product_ID]],DimProduct[Product_ID],DimProduct[Category])</f>
        <v>Sports</v>
      </c>
      <c r="O827" s="6">
        <f>_xlfn.XLOOKUP(FactSales[[#This Row],[Product_ID]],DimProduct[Product_ID],DimProduct[Unit_Price])</f>
        <v>3100</v>
      </c>
      <c r="P827" s="6">
        <f>_xlfn.XLOOKUP(FactSales[[#This Row],[Product_ID]],DimProduct[Product_ID],DimProduct[Unit_Cost])</f>
        <v>1920</v>
      </c>
      <c r="Q827" s="6">
        <f>FactSales[[#This Row],[Unit_Price]]*FactSales[[#This Row],[Quantity_Sold]]</f>
        <v>9300</v>
      </c>
      <c r="R827" s="6">
        <f>FactSales[[#This Row],[Unit_Cost]]*FactSales[[#This Row],[Quantity_Sold]]</f>
        <v>5760</v>
      </c>
      <c r="S827" s="6">
        <f>FactSales[[#This Row],[Sales_Amount]]-FactSales[[#This Row],[Total_Cost]]</f>
        <v>3540</v>
      </c>
      <c r="T827" s="6" t="str">
        <f>_xlfn.XLOOKUP(FactSales[[#This Row],[Customer_ID]],DimCustomer[Customer_ID],DimCustomer[Customer_Name])</f>
        <v>Shakib Mia</v>
      </c>
      <c r="U827" s="6" t="str">
        <f>_xlfn.XLOOKUP(FactSales[[#This Row],[Salesperson_ID]],DimSalesman[Salesperson_ID],DimSalesman[Salesperson_Name])</f>
        <v>Rumana Khan</v>
      </c>
      <c r="V827" s="6" t="str">
        <f>_xlfn.XLOOKUP(FactSales[[#This Row],[Region_ID]],DimRegion[Region_ID],DimRegion[Region_Name])</f>
        <v>Chattogram</v>
      </c>
      <c r="W827" s="6" t="str">
        <f>_xlfn.XLOOKUP(FactSales[[#This Row],[Store_ID]],DimStore[Store_ID],DimStore[Store_Name])</f>
        <v>Chattogram Panchlaish Store</v>
      </c>
    </row>
    <row r="828" spans="1:23">
      <c r="A828" s="4" t="s">
        <v>1824</v>
      </c>
      <c r="B828" s="5">
        <v>45945</v>
      </c>
      <c r="C828" s="4" t="s">
        <v>335</v>
      </c>
      <c r="D828" s="4" t="s">
        <v>42</v>
      </c>
      <c r="E828" s="4" t="s">
        <v>677</v>
      </c>
      <c r="F828" s="4" t="s">
        <v>950</v>
      </c>
      <c r="G828" s="4" t="s">
        <v>794</v>
      </c>
      <c r="H828" s="4">
        <v>2</v>
      </c>
      <c r="I828" s="7">
        <v>0.1</v>
      </c>
      <c r="J828" s="6">
        <v>1901</v>
      </c>
      <c r="K828" s="4">
        <v>4</v>
      </c>
      <c r="L828" s="8">
        <f t="shared" si="12"/>
        <v>3.7</v>
      </c>
      <c r="M828" s="6" t="str">
        <f>_xlfn.XLOOKUP(FactSales[[#This Row],[Product_ID]],DimProduct[Product_ID],DimProduct[Product_Name])</f>
        <v>Denim Jeans</v>
      </c>
      <c r="N828" s="6" t="str">
        <f>_xlfn.XLOOKUP(FactSales[[#This Row],[Product_ID]],DimProduct[Product_ID],DimProduct[Category])</f>
        <v>Fashion</v>
      </c>
      <c r="O828" s="6">
        <f>_xlfn.XLOOKUP(FactSales[[#This Row],[Product_ID]],DimProduct[Product_ID],DimProduct[Unit_Price])</f>
        <v>880</v>
      </c>
      <c r="P828" s="6">
        <f>_xlfn.XLOOKUP(FactSales[[#This Row],[Product_ID]],DimProduct[Product_ID],DimProduct[Unit_Cost])</f>
        <v>480</v>
      </c>
      <c r="Q828" s="6">
        <f>FactSales[[#This Row],[Unit_Price]]*FactSales[[#This Row],[Quantity_Sold]]</f>
        <v>1760</v>
      </c>
      <c r="R828" s="6">
        <f>FactSales[[#This Row],[Unit_Cost]]*FactSales[[#This Row],[Quantity_Sold]]</f>
        <v>960</v>
      </c>
      <c r="S828" s="6">
        <f>FactSales[[#This Row],[Sales_Amount]]-FactSales[[#This Row],[Total_Cost]]</f>
        <v>800</v>
      </c>
      <c r="T828" s="6" t="str">
        <f>_xlfn.XLOOKUP(FactSales[[#This Row],[Customer_ID]],DimCustomer[Customer_ID],DimCustomer[Customer_Name])</f>
        <v>Shuvo Khan</v>
      </c>
      <c r="U828" s="6" t="str">
        <f>_xlfn.XLOOKUP(FactSales[[#This Row],[Salesperson_ID]],DimSalesman[Salesperson_ID],DimSalesman[Salesperson_Name])</f>
        <v>Mim Rahman</v>
      </c>
      <c r="V828" s="6" t="str">
        <f>_xlfn.XLOOKUP(FactSales[[#This Row],[Region_ID]],DimRegion[Region_ID],DimRegion[Region_Name])</f>
        <v>Rajshahi</v>
      </c>
      <c r="W828" s="6" t="str">
        <f>_xlfn.XLOOKUP(FactSales[[#This Row],[Store_ID]],DimStore[Store_ID],DimStore[Store_Name])</f>
        <v>Rajshahi Railgate Store</v>
      </c>
    </row>
    <row r="829" spans="1:23">
      <c r="A829" s="4" t="s">
        <v>1825</v>
      </c>
      <c r="B829" s="5">
        <v>45906</v>
      </c>
      <c r="C829" s="4" t="s">
        <v>416</v>
      </c>
      <c r="D829" s="4" t="s">
        <v>47</v>
      </c>
      <c r="E829" s="4" t="s">
        <v>683</v>
      </c>
      <c r="F829" s="4" t="s">
        <v>954</v>
      </c>
      <c r="G829" s="4" t="s">
        <v>810</v>
      </c>
      <c r="H829" s="4">
        <v>3</v>
      </c>
      <c r="I829" s="7">
        <v>0.02</v>
      </c>
      <c r="J829" s="6">
        <v>1439</v>
      </c>
      <c r="K829" s="4">
        <v>4</v>
      </c>
      <c r="L829" s="8">
        <f t="shared" si="12"/>
        <v>3.9</v>
      </c>
      <c r="M829" s="6" t="str">
        <f>_xlfn.XLOOKUP(FactSales[[#This Row],[Product_ID]],DimProduct[Product_ID],DimProduct[Product_Name])</f>
        <v>Flour 2kg</v>
      </c>
      <c r="N829" s="6" t="str">
        <f>_xlfn.XLOOKUP(FactSales[[#This Row],[Product_ID]],DimProduct[Product_ID],DimProduct[Category])</f>
        <v>Grocery</v>
      </c>
      <c r="O829" s="6">
        <f>_xlfn.XLOOKUP(FactSales[[#This Row],[Product_ID]],DimProduct[Product_ID],DimProduct[Unit_Price])</f>
        <v>440</v>
      </c>
      <c r="P829" s="6">
        <f>_xlfn.XLOOKUP(FactSales[[#This Row],[Product_ID]],DimProduct[Product_ID],DimProduct[Unit_Cost])</f>
        <v>340</v>
      </c>
      <c r="Q829" s="6">
        <f>FactSales[[#This Row],[Unit_Price]]*FactSales[[#This Row],[Quantity_Sold]]</f>
        <v>1320</v>
      </c>
      <c r="R829" s="6">
        <f>FactSales[[#This Row],[Unit_Cost]]*FactSales[[#This Row],[Quantity_Sold]]</f>
        <v>1020</v>
      </c>
      <c r="S829" s="6">
        <f>FactSales[[#This Row],[Sales_Amount]]-FactSales[[#This Row],[Total_Cost]]</f>
        <v>300</v>
      </c>
      <c r="T829" s="6" t="str">
        <f>_xlfn.XLOOKUP(FactSales[[#This Row],[Customer_ID]],DimCustomer[Customer_ID],DimCustomer[Customer_Name])</f>
        <v>Ayesha Ahmed</v>
      </c>
      <c r="U829" s="6" t="str">
        <f>_xlfn.XLOOKUP(FactSales[[#This Row],[Salesperson_ID]],DimSalesman[Salesperson_ID],DimSalesman[Salesperson_Name])</f>
        <v>Sadia Sultana</v>
      </c>
      <c r="V829" s="6" t="str">
        <f>_xlfn.XLOOKUP(FactSales[[#This Row],[Region_ID]],DimRegion[Region_ID],DimRegion[Region_Name])</f>
        <v>Khulna</v>
      </c>
      <c r="W829" s="6" t="str">
        <f>_xlfn.XLOOKUP(FactSales[[#This Row],[Store_ID]],DimStore[Store_ID],DimStore[Store_Name])</f>
        <v>Khulna Sonadanga Store</v>
      </c>
    </row>
    <row r="830" spans="1:23">
      <c r="A830" s="4" t="s">
        <v>1826</v>
      </c>
      <c r="B830" s="5">
        <v>45879</v>
      </c>
      <c r="C830" s="4" t="s">
        <v>153</v>
      </c>
      <c r="D830" s="4" t="s">
        <v>32</v>
      </c>
      <c r="E830" s="4" t="s">
        <v>647</v>
      </c>
      <c r="F830" s="4" t="s">
        <v>922</v>
      </c>
      <c r="G830" s="4" t="s">
        <v>762</v>
      </c>
      <c r="H830" s="4">
        <v>2</v>
      </c>
      <c r="I830" s="7">
        <v>0.15</v>
      </c>
      <c r="J830" s="6">
        <v>8824</v>
      </c>
      <c r="K830" s="4">
        <v>5</v>
      </c>
      <c r="L830" s="8">
        <f t="shared" si="12"/>
        <v>3.3</v>
      </c>
      <c r="M830" s="6" t="str">
        <f>_xlfn.XLOOKUP(FactSales[[#This Row],[Product_ID]],DimProduct[Product_ID],DimProduct[Product_Name])</f>
        <v>Smart Watch</v>
      </c>
      <c r="N830" s="6" t="str">
        <f>_xlfn.XLOOKUP(FactSales[[#This Row],[Product_ID]],DimProduct[Product_ID],DimProduct[Category])</f>
        <v>Electronics</v>
      </c>
      <c r="O830" s="6">
        <f>_xlfn.XLOOKUP(FactSales[[#This Row],[Product_ID]],DimProduct[Product_ID],DimProduct[Unit_Price])</f>
        <v>3870</v>
      </c>
      <c r="P830" s="6">
        <f>_xlfn.XLOOKUP(FactSales[[#This Row],[Product_ID]],DimProduct[Product_ID],DimProduct[Unit_Cost])</f>
        <v>2630</v>
      </c>
      <c r="Q830" s="6">
        <f>FactSales[[#This Row],[Unit_Price]]*FactSales[[#This Row],[Quantity_Sold]]</f>
        <v>7740</v>
      </c>
      <c r="R830" s="6">
        <f>FactSales[[#This Row],[Unit_Cost]]*FactSales[[#This Row],[Quantity_Sold]]</f>
        <v>5260</v>
      </c>
      <c r="S830" s="6">
        <f>FactSales[[#This Row],[Sales_Amount]]-FactSales[[#This Row],[Total_Cost]]</f>
        <v>2480</v>
      </c>
      <c r="T830" s="6" t="str">
        <f>_xlfn.XLOOKUP(FactSales[[#This Row],[Customer_ID]],DimCustomer[Customer_ID],DimCustomer[Customer_Name])</f>
        <v>Shuvo Mia</v>
      </c>
      <c r="U830" s="6" t="str">
        <f>_xlfn.XLOOKUP(FactSales[[#This Row],[Salesperson_ID]],DimSalesman[Salesperson_ID],DimSalesman[Salesperson_Name])</f>
        <v>Rafi Sultana</v>
      </c>
      <c r="V830" s="6" t="str">
        <f>_xlfn.XLOOKUP(FactSales[[#This Row],[Region_ID]],DimRegion[Region_ID],DimRegion[Region_Name])</f>
        <v>Chattogram</v>
      </c>
      <c r="W830" s="6" t="str">
        <f>_xlfn.XLOOKUP(FactSales[[#This Row],[Store_ID]],DimStore[Store_ID],DimStore[Store_Name])</f>
        <v>Chattogram Nasirabad Store</v>
      </c>
    </row>
    <row r="831" spans="1:23">
      <c r="A831" s="4" t="s">
        <v>1827</v>
      </c>
      <c r="B831" s="5">
        <v>45977</v>
      </c>
      <c r="C831" s="4" t="s">
        <v>335</v>
      </c>
      <c r="D831" s="4" t="s">
        <v>42</v>
      </c>
      <c r="E831" s="4" t="s">
        <v>680</v>
      </c>
      <c r="F831" s="4" t="s">
        <v>949</v>
      </c>
      <c r="G831" s="4" t="s">
        <v>876</v>
      </c>
      <c r="H831" s="4">
        <v>4</v>
      </c>
      <c r="I831" s="7">
        <v>0.02</v>
      </c>
      <c r="J831" s="6">
        <v>3283</v>
      </c>
      <c r="K831" s="4">
        <v>5</v>
      </c>
      <c r="L831" s="8">
        <f t="shared" si="12"/>
        <v>3.6</v>
      </c>
      <c r="M831" s="6" t="str">
        <f>_xlfn.XLOOKUP(FactSales[[#This Row],[Product_ID]],DimProduct[Product_ID],DimProduct[Product_Name])</f>
        <v>Sticky Notes</v>
      </c>
      <c r="N831" s="6" t="str">
        <f>_xlfn.XLOOKUP(FactSales[[#This Row],[Product_ID]],DimProduct[Product_ID],DimProduct[Category])</f>
        <v>Stationery</v>
      </c>
      <c r="O831" s="6">
        <f>_xlfn.XLOOKUP(FactSales[[#This Row],[Product_ID]],DimProduct[Product_ID],DimProduct[Unit_Price])</f>
        <v>760</v>
      </c>
      <c r="P831" s="6">
        <f>_xlfn.XLOOKUP(FactSales[[#This Row],[Product_ID]],DimProduct[Product_ID],DimProduct[Unit_Cost])</f>
        <v>380</v>
      </c>
      <c r="Q831" s="6">
        <f>FactSales[[#This Row],[Unit_Price]]*FactSales[[#This Row],[Quantity_Sold]]</f>
        <v>3040</v>
      </c>
      <c r="R831" s="6">
        <f>FactSales[[#This Row],[Unit_Cost]]*FactSales[[#This Row],[Quantity_Sold]]</f>
        <v>1520</v>
      </c>
      <c r="S831" s="6">
        <f>FactSales[[#This Row],[Sales_Amount]]-FactSales[[#This Row],[Total_Cost]]</f>
        <v>1520</v>
      </c>
      <c r="T831" s="6" t="str">
        <f>_xlfn.XLOOKUP(FactSales[[#This Row],[Customer_ID]],DimCustomer[Customer_ID],DimCustomer[Customer_Name])</f>
        <v>Shuvo Khan</v>
      </c>
      <c r="U831" s="6" t="str">
        <f>_xlfn.XLOOKUP(FactSales[[#This Row],[Salesperson_ID]],DimSalesman[Salesperson_ID],DimSalesman[Salesperson_Name])</f>
        <v>Mahmud Chowdhury</v>
      </c>
      <c r="V831" s="6" t="str">
        <f>_xlfn.XLOOKUP(FactSales[[#This Row],[Region_ID]],DimRegion[Region_ID],DimRegion[Region_Name])</f>
        <v>Rajshahi</v>
      </c>
      <c r="W831" s="6" t="str">
        <f>_xlfn.XLOOKUP(FactSales[[#This Row],[Store_ID]],DimStore[Store_ID],DimStore[Store_Name])</f>
        <v>Rajshahi Lakshmipur Store</v>
      </c>
    </row>
    <row r="832" spans="1:23">
      <c r="A832" s="4" t="s">
        <v>1828</v>
      </c>
      <c r="B832" s="5">
        <v>46121</v>
      </c>
      <c r="C832" s="4" t="s">
        <v>159</v>
      </c>
      <c r="D832" s="4" t="s">
        <v>32</v>
      </c>
      <c r="E832" s="4" t="s">
        <v>641</v>
      </c>
      <c r="F832" s="4" t="s">
        <v>926</v>
      </c>
      <c r="G832" s="4" t="s">
        <v>778</v>
      </c>
      <c r="H832" s="4">
        <v>7</v>
      </c>
      <c r="I832" s="7">
        <v>0.1</v>
      </c>
      <c r="J832" s="6">
        <v>36389</v>
      </c>
      <c r="K832" s="4">
        <v>7</v>
      </c>
      <c r="L832" s="8">
        <f t="shared" si="12"/>
        <v>2.7</v>
      </c>
      <c r="M832" s="6" t="str">
        <f>_xlfn.XLOOKUP(FactSales[[#This Row],[Product_ID]],DimProduct[Product_ID],DimProduct[Product_Name])</f>
        <v>Steam Iron</v>
      </c>
      <c r="N832" s="6" t="str">
        <f>_xlfn.XLOOKUP(FactSales[[#This Row],[Product_ID]],DimProduct[Product_ID],DimProduct[Category])</f>
        <v>Home Appliance</v>
      </c>
      <c r="O832" s="6">
        <f>_xlfn.XLOOKUP(FactSales[[#This Row],[Product_ID]],DimProduct[Product_ID],DimProduct[Unit_Price])</f>
        <v>4560</v>
      </c>
      <c r="P832" s="6">
        <f>_xlfn.XLOOKUP(FactSales[[#This Row],[Product_ID]],DimProduct[Product_ID],DimProduct[Unit_Cost])</f>
        <v>3190</v>
      </c>
      <c r="Q832" s="6">
        <f>FactSales[[#This Row],[Unit_Price]]*FactSales[[#This Row],[Quantity_Sold]]</f>
        <v>31920</v>
      </c>
      <c r="R832" s="6">
        <f>FactSales[[#This Row],[Unit_Cost]]*FactSales[[#This Row],[Quantity_Sold]]</f>
        <v>22330</v>
      </c>
      <c r="S832" s="6">
        <f>FactSales[[#This Row],[Sales_Amount]]-FactSales[[#This Row],[Total_Cost]]</f>
        <v>9590</v>
      </c>
      <c r="T832" s="6" t="str">
        <f>_xlfn.XLOOKUP(FactSales[[#This Row],[Customer_ID]],DimCustomer[Customer_ID],DimCustomer[Customer_Name])</f>
        <v>Shakib Mia</v>
      </c>
      <c r="U832" s="6" t="str">
        <f>_xlfn.XLOOKUP(FactSales[[#This Row],[Salesperson_ID]],DimSalesman[Salesperson_ID],DimSalesman[Salesperson_Name])</f>
        <v>Rafi Akter</v>
      </c>
      <c r="V832" s="6" t="str">
        <f>_xlfn.XLOOKUP(FactSales[[#This Row],[Region_ID]],DimRegion[Region_ID],DimRegion[Region_Name])</f>
        <v>Chattogram</v>
      </c>
      <c r="W832" s="6" t="str">
        <f>_xlfn.XLOOKUP(FactSales[[#This Row],[Store_ID]],DimStore[Store_ID],DimStore[Store_Name])</f>
        <v>Chattogram GEC Store</v>
      </c>
    </row>
    <row r="833" spans="1:23">
      <c r="A833" s="4" t="s">
        <v>1829</v>
      </c>
      <c r="B833" s="5">
        <v>45762</v>
      </c>
      <c r="C833" s="4" t="s">
        <v>393</v>
      </c>
      <c r="D833" s="4" t="s">
        <v>47</v>
      </c>
      <c r="E833" s="4" t="s">
        <v>686</v>
      </c>
      <c r="F833" s="4" t="s">
        <v>958</v>
      </c>
      <c r="G833" s="4" t="s">
        <v>773</v>
      </c>
      <c r="H833" s="4">
        <v>1</v>
      </c>
      <c r="I833" s="7">
        <v>0.08</v>
      </c>
      <c r="J833" s="6">
        <v>8099</v>
      </c>
      <c r="K833" s="4">
        <v>4</v>
      </c>
      <c r="L833" s="8">
        <f t="shared" si="12"/>
        <v>3.7</v>
      </c>
      <c r="M833" s="6" t="str">
        <f>_xlfn.XLOOKUP(FactSales[[#This Row],[Product_ID]],DimProduct[Product_ID],DimProduct[Product_Name])</f>
        <v>Rice Cooker</v>
      </c>
      <c r="N833" s="6" t="str">
        <f>_xlfn.XLOOKUP(FactSales[[#This Row],[Product_ID]],DimProduct[Product_ID],DimProduct[Category])</f>
        <v>Home Appliance</v>
      </c>
      <c r="O833" s="6">
        <f>_xlfn.XLOOKUP(FactSales[[#This Row],[Product_ID]],DimProduct[Product_ID],DimProduct[Unit_Price])</f>
        <v>7430</v>
      </c>
      <c r="P833" s="6">
        <f>_xlfn.XLOOKUP(FactSales[[#This Row],[Product_ID]],DimProduct[Product_ID],DimProduct[Unit_Cost])</f>
        <v>5200</v>
      </c>
      <c r="Q833" s="6">
        <f>FactSales[[#This Row],[Unit_Price]]*FactSales[[#This Row],[Quantity_Sold]]</f>
        <v>7430</v>
      </c>
      <c r="R833" s="6">
        <f>FactSales[[#This Row],[Unit_Cost]]*FactSales[[#This Row],[Quantity_Sold]]</f>
        <v>5200</v>
      </c>
      <c r="S833" s="6">
        <f>FactSales[[#This Row],[Sales_Amount]]-FactSales[[#This Row],[Total_Cost]]</f>
        <v>2230</v>
      </c>
      <c r="T833" s="6" t="str">
        <f>_xlfn.XLOOKUP(FactSales[[#This Row],[Customer_ID]],DimCustomer[Customer_ID],DimCustomer[Customer_Name])</f>
        <v>Imran Uddin</v>
      </c>
      <c r="U833" s="6" t="str">
        <f>_xlfn.XLOOKUP(FactSales[[#This Row],[Salesperson_ID]],DimSalesman[Salesperson_ID],DimSalesman[Salesperson_Name])</f>
        <v>Fahim Uddin</v>
      </c>
      <c r="V833" s="6" t="str">
        <f>_xlfn.XLOOKUP(FactSales[[#This Row],[Region_ID]],DimRegion[Region_ID],DimRegion[Region_Name])</f>
        <v>Khulna</v>
      </c>
      <c r="W833" s="6" t="str">
        <f>_xlfn.XLOOKUP(FactSales[[#This Row],[Store_ID]],DimStore[Store_ID],DimStore[Store_Name])</f>
        <v>Khulna Khalishpur Store</v>
      </c>
    </row>
    <row r="834" spans="1:23">
      <c r="A834" s="4" t="s">
        <v>1830</v>
      </c>
      <c r="B834" s="5">
        <v>46145</v>
      </c>
      <c r="C834" s="4" t="s">
        <v>286</v>
      </c>
      <c r="D834" s="4" t="s">
        <v>42</v>
      </c>
      <c r="E834" s="4" t="s">
        <v>677</v>
      </c>
      <c r="F834" s="4" t="s">
        <v>944</v>
      </c>
      <c r="G834" s="4" t="s">
        <v>765</v>
      </c>
      <c r="H834" s="4">
        <v>3</v>
      </c>
      <c r="I834" s="7">
        <v>0.15</v>
      </c>
      <c r="J834" s="6">
        <v>15844</v>
      </c>
      <c r="K834" s="4">
        <v>3</v>
      </c>
      <c r="L834" s="8">
        <f t="shared" ref="L834:L897" si="13">MAX(1,MIN(5,ROUND(5.2-(K834*0.32)-(I834*2.2),1)))</f>
        <v>3.9</v>
      </c>
      <c r="M834" s="6" t="str">
        <f>_xlfn.XLOOKUP(FactSales[[#This Row],[Product_ID]],DimProduct[Product_ID],DimProduct[Product_Name])</f>
        <v>USB-C Hub</v>
      </c>
      <c r="N834" s="6" t="str">
        <f>_xlfn.XLOOKUP(FactSales[[#This Row],[Product_ID]],DimProduct[Product_ID],DimProduct[Category])</f>
        <v>Electronics</v>
      </c>
      <c r="O834" s="6">
        <f>_xlfn.XLOOKUP(FactSales[[#This Row],[Product_ID]],DimProduct[Product_ID],DimProduct[Unit_Price])</f>
        <v>4890</v>
      </c>
      <c r="P834" s="6">
        <f>_xlfn.XLOOKUP(FactSales[[#This Row],[Product_ID]],DimProduct[Product_ID],DimProduct[Unit_Cost])</f>
        <v>3330</v>
      </c>
      <c r="Q834" s="6">
        <f>FactSales[[#This Row],[Unit_Price]]*FactSales[[#This Row],[Quantity_Sold]]</f>
        <v>14670</v>
      </c>
      <c r="R834" s="6">
        <f>FactSales[[#This Row],[Unit_Cost]]*FactSales[[#This Row],[Quantity_Sold]]</f>
        <v>9990</v>
      </c>
      <c r="S834" s="6">
        <f>FactSales[[#This Row],[Sales_Amount]]-FactSales[[#This Row],[Total_Cost]]</f>
        <v>4680</v>
      </c>
      <c r="T834" s="6" t="str">
        <f>_xlfn.XLOOKUP(FactSales[[#This Row],[Customer_ID]],DimCustomer[Customer_ID],DimCustomer[Customer_Name])</f>
        <v>Mehedi Mia</v>
      </c>
      <c r="U834" s="6" t="str">
        <f>_xlfn.XLOOKUP(FactSales[[#This Row],[Salesperson_ID]],DimSalesman[Salesperson_ID],DimSalesman[Salesperson_Name])</f>
        <v>Karim Khan</v>
      </c>
      <c r="V834" s="6" t="str">
        <f>_xlfn.XLOOKUP(FactSales[[#This Row],[Region_ID]],DimRegion[Region_ID],DimRegion[Region_Name])</f>
        <v>Rajshahi</v>
      </c>
      <c r="W834" s="6" t="str">
        <f>_xlfn.XLOOKUP(FactSales[[#This Row],[Store_ID]],DimStore[Store_ID],DimStore[Store_Name])</f>
        <v>Rajshahi Railgate Store</v>
      </c>
    </row>
    <row r="835" spans="1:23">
      <c r="A835" s="4" t="s">
        <v>1831</v>
      </c>
      <c r="B835" s="5">
        <v>46172</v>
      </c>
      <c r="C835" s="4" t="s">
        <v>180</v>
      </c>
      <c r="D835" s="4" t="s">
        <v>32</v>
      </c>
      <c r="E835" s="4" t="s">
        <v>647</v>
      </c>
      <c r="F835" s="4" t="s">
        <v>924</v>
      </c>
      <c r="G835" s="4" t="s">
        <v>758</v>
      </c>
      <c r="H835" s="4">
        <v>2</v>
      </c>
      <c r="I835" s="7">
        <v>0.12</v>
      </c>
      <c r="J835" s="6">
        <v>6475</v>
      </c>
      <c r="K835" s="4">
        <v>6</v>
      </c>
      <c r="L835" s="8">
        <f t="shared" si="13"/>
        <v>3</v>
      </c>
      <c r="M835" s="6" t="str">
        <f>_xlfn.XLOOKUP(FactSales[[#This Row],[Product_ID]],DimProduct[Product_ID],DimProduct[Product_Name])</f>
        <v>Power Bank</v>
      </c>
      <c r="N835" s="6" t="str">
        <f>_xlfn.XLOOKUP(FactSales[[#This Row],[Product_ID]],DimProduct[Product_ID],DimProduct[Category])</f>
        <v>Electronics</v>
      </c>
      <c r="O835" s="6">
        <f>_xlfn.XLOOKUP(FactSales[[#This Row],[Product_ID]],DimProduct[Product_ID],DimProduct[Unit_Price])</f>
        <v>2840</v>
      </c>
      <c r="P835" s="6">
        <f>_xlfn.XLOOKUP(FactSales[[#This Row],[Product_ID]],DimProduct[Product_ID],DimProduct[Unit_Cost])</f>
        <v>1930</v>
      </c>
      <c r="Q835" s="6">
        <f>FactSales[[#This Row],[Unit_Price]]*FactSales[[#This Row],[Quantity_Sold]]</f>
        <v>5680</v>
      </c>
      <c r="R835" s="6">
        <f>FactSales[[#This Row],[Unit_Cost]]*FactSales[[#This Row],[Quantity_Sold]]</f>
        <v>3860</v>
      </c>
      <c r="S835" s="6">
        <f>FactSales[[#This Row],[Sales_Amount]]-FactSales[[#This Row],[Total_Cost]]</f>
        <v>1820</v>
      </c>
      <c r="T835" s="6" t="str">
        <f>_xlfn.XLOOKUP(FactSales[[#This Row],[Customer_ID]],DimCustomer[Customer_ID],DimCustomer[Customer_Name])</f>
        <v>Jannat Islam</v>
      </c>
      <c r="U835" s="6" t="str">
        <f>_xlfn.XLOOKUP(FactSales[[#This Row],[Salesperson_ID]],DimSalesman[Salesperson_ID],DimSalesman[Salesperson_Name])</f>
        <v>Rumana Khan</v>
      </c>
      <c r="V835" s="6" t="str">
        <f>_xlfn.XLOOKUP(FactSales[[#This Row],[Region_ID]],DimRegion[Region_ID],DimRegion[Region_Name])</f>
        <v>Chattogram</v>
      </c>
      <c r="W835" s="6" t="str">
        <f>_xlfn.XLOOKUP(FactSales[[#This Row],[Store_ID]],DimStore[Store_ID],DimStore[Store_Name])</f>
        <v>Chattogram Nasirabad Store</v>
      </c>
    </row>
    <row r="836" spans="1:23">
      <c r="A836" s="4" t="s">
        <v>1832</v>
      </c>
      <c r="B836" s="5">
        <v>46049</v>
      </c>
      <c r="C836" s="4" t="s">
        <v>115</v>
      </c>
      <c r="D836" s="4" t="s">
        <v>27</v>
      </c>
      <c r="E836" s="4" t="s">
        <v>626</v>
      </c>
      <c r="F836" s="4" t="s">
        <v>916</v>
      </c>
      <c r="G836" s="4" t="s">
        <v>755</v>
      </c>
      <c r="H836" s="4">
        <v>4</v>
      </c>
      <c r="I836" s="7">
        <v>0.15</v>
      </c>
      <c r="J836" s="6">
        <v>14162</v>
      </c>
      <c r="K836" s="4">
        <v>2</v>
      </c>
      <c r="L836" s="8">
        <f t="shared" si="13"/>
        <v>4.2</v>
      </c>
      <c r="M836" s="6" t="str">
        <f>_xlfn.XLOOKUP(FactSales[[#This Row],[Product_ID]],DimProduct[Product_ID],DimProduct[Product_Name])</f>
        <v>Wireless Mouse</v>
      </c>
      <c r="N836" s="6" t="str">
        <f>_xlfn.XLOOKUP(FactSales[[#This Row],[Product_ID]],DimProduct[Product_ID],DimProduct[Category])</f>
        <v>Electronics</v>
      </c>
      <c r="O836" s="6">
        <f>_xlfn.XLOOKUP(FactSales[[#This Row],[Product_ID]],DimProduct[Product_ID],DimProduct[Unit_Price])</f>
        <v>3340</v>
      </c>
      <c r="P836" s="6">
        <f>_xlfn.XLOOKUP(FactSales[[#This Row],[Product_ID]],DimProduct[Product_ID],DimProduct[Unit_Cost])</f>
        <v>2270</v>
      </c>
      <c r="Q836" s="6">
        <f>FactSales[[#This Row],[Unit_Price]]*FactSales[[#This Row],[Quantity_Sold]]</f>
        <v>13360</v>
      </c>
      <c r="R836" s="6">
        <f>FactSales[[#This Row],[Unit_Cost]]*FactSales[[#This Row],[Quantity_Sold]]</f>
        <v>9080</v>
      </c>
      <c r="S836" s="6">
        <f>FactSales[[#This Row],[Sales_Amount]]-FactSales[[#This Row],[Total_Cost]]</f>
        <v>4280</v>
      </c>
      <c r="T836" s="6" t="str">
        <f>_xlfn.XLOOKUP(FactSales[[#This Row],[Customer_ID]],DimCustomer[Customer_ID],DimCustomer[Customer_Name])</f>
        <v>Hasan Islam</v>
      </c>
      <c r="U836" s="6" t="str">
        <f>_xlfn.XLOOKUP(FactSales[[#This Row],[Salesperson_ID]],DimSalesman[Salesperson_ID],DimSalesman[Salesperson_Name])</f>
        <v>Rafi Islam</v>
      </c>
      <c r="V836" s="6" t="str">
        <f>_xlfn.XLOOKUP(FactSales[[#This Row],[Region_ID]],DimRegion[Region_ID],DimRegion[Region_Name])</f>
        <v>Dhaka</v>
      </c>
      <c r="W836" s="6" t="str">
        <f>_xlfn.XLOOKUP(FactSales[[#This Row],[Store_ID]],DimStore[Store_ID],DimStore[Store_Name])</f>
        <v>Dhaka Mirpur Store</v>
      </c>
    </row>
    <row r="837" spans="1:23">
      <c r="A837" s="4" t="s">
        <v>1833</v>
      </c>
      <c r="B837" s="5">
        <v>46101</v>
      </c>
      <c r="C837" s="4" t="s">
        <v>270</v>
      </c>
      <c r="D837" s="4" t="s">
        <v>37</v>
      </c>
      <c r="E837" s="4" t="s">
        <v>659</v>
      </c>
      <c r="F837" s="4" t="s">
        <v>939</v>
      </c>
      <c r="G837" s="4" t="s">
        <v>821</v>
      </c>
      <c r="H837" s="4">
        <v>1</v>
      </c>
      <c r="I837" s="7">
        <v>0.05</v>
      </c>
      <c r="J837" s="6">
        <v>1776</v>
      </c>
      <c r="K837" s="4">
        <v>4</v>
      </c>
      <c r="L837" s="8">
        <f t="shared" si="13"/>
        <v>3.8</v>
      </c>
      <c r="M837" s="6" t="str">
        <f>_xlfn.XLOOKUP(FactSales[[#This Row],[Product_ID]],DimProduct[Product_ID],DimProduct[Product_Name])</f>
        <v>Shampoo 375ml</v>
      </c>
      <c r="N837" s="6" t="str">
        <f>_xlfn.XLOOKUP(FactSales[[#This Row],[Product_ID]],DimProduct[Product_ID],DimProduct[Category])</f>
        <v>Beauty &amp; Personal Care</v>
      </c>
      <c r="O837" s="6">
        <f>_xlfn.XLOOKUP(FactSales[[#This Row],[Product_ID]],DimProduct[Product_ID],DimProduct[Unit_Price])</f>
        <v>1660</v>
      </c>
      <c r="P837" s="6">
        <f>_xlfn.XLOOKUP(FactSales[[#This Row],[Product_ID]],DimProduct[Product_ID],DimProduct[Unit_Cost])</f>
        <v>960</v>
      </c>
      <c r="Q837" s="6">
        <f>FactSales[[#This Row],[Unit_Price]]*FactSales[[#This Row],[Quantity_Sold]]</f>
        <v>1660</v>
      </c>
      <c r="R837" s="6">
        <f>FactSales[[#This Row],[Unit_Cost]]*FactSales[[#This Row],[Quantity_Sold]]</f>
        <v>960</v>
      </c>
      <c r="S837" s="6">
        <f>FactSales[[#This Row],[Sales_Amount]]-FactSales[[#This Row],[Total_Cost]]</f>
        <v>700</v>
      </c>
      <c r="T837" s="6" t="str">
        <f>_xlfn.XLOOKUP(FactSales[[#This Row],[Customer_ID]],DimCustomer[Customer_ID],DimCustomer[Customer_Name])</f>
        <v>Shaila Uddin</v>
      </c>
      <c r="U837" s="6" t="str">
        <f>_xlfn.XLOOKUP(FactSales[[#This Row],[Salesperson_ID]],DimSalesman[Salesperson_ID],DimSalesman[Salesperson_Name])</f>
        <v>Fahim Mia</v>
      </c>
      <c r="V837" s="6" t="str">
        <f>_xlfn.XLOOKUP(FactSales[[#This Row],[Region_ID]],DimRegion[Region_ID],DimRegion[Region_Name])</f>
        <v>Sylhet</v>
      </c>
      <c r="W837" s="6" t="str">
        <f>_xlfn.XLOOKUP(FactSales[[#This Row],[Store_ID]],DimStore[Store_ID],DimStore[Store_Name])</f>
        <v>Sylhet South Surma Store</v>
      </c>
    </row>
    <row r="838" spans="1:23">
      <c r="A838" s="4" t="s">
        <v>1834</v>
      </c>
      <c r="B838" s="5">
        <v>45930</v>
      </c>
      <c r="C838" s="4" t="s">
        <v>168</v>
      </c>
      <c r="D838" s="4" t="s">
        <v>32</v>
      </c>
      <c r="E838" s="4" t="s">
        <v>638</v>
      </c>
      <c r="F838" s="4" t="s">
        <v>922</v>
      </c>
      <c r="G838" s="4" t="s">
        <v>885</v>
      </c>
      <c r="H838" s="4">
        <v>1</v>
      </c>
      <c r="I838" s="7">
        <v>0.12</v>
      </c>
      <c r="J838" s="6">
        <v>2508</v>
      </c>
      <c r="K838" s="4">
        <v>6</v>
      </c>
      <c r="L838" s="8">
        <f t="shared" si="13"/>
        <v>3</v>
      </c>
      <c r="M838" s="6" t="str">
        <f>_xlfn.XLOOKUP(FactSales[[#This Row],[Product_ID]],DimProduct[Product_ID],DimProduct[Product_Name])</f>
        <v>Puzzle Board</v>
      </c>
      <c r="N838" s="6" t="str">
        <f>_xlfn.XLOOKUP(FactSales[[#This Row],[Product_ID]],DimProduct[Product_ID],DimProduct[Category])</f>
        <v>Kids &amp; Toys</v>
      </c>
      <c r="O838" s="6">
        <f>_xlfn.XLOOKUP(FactSales[[#This Row],[Product_ID]],DimProduct[Product_ID],DimProduct[Unit_Price])</f>
        <v>2200</v>
      </c>
      <c r="P838" s="6">
        <f>_xlfn.XLOOKUP(FactSales[[#This Row],[Product_ID]],DimProduct[Product_ID],DimProduct[Unit_Cost])</f>
        <v>1210</v>
      </c>
      <c r="Q838" s="6">
        <f>FactSales[[#This Row],[Unit_Price]]*FactSales[[#This Row],[Quantity_Sold]]</f>
        <v>2200</v>
      </c>
      <c r="R838" s="6">
        <f>FactSales[[#This Row],[Unit_Cost]]*FactSales[[#This Row],[Quantity_Sold]]</f>
        <v>1210</v>
      </c>
      <c r="S838" s="6">
        <f>FactSales[[#This Row],[Sales_Amount]]-FactSales[[#This Row],[Total_Cost]]</f>
        <v>990</v>
      </c>
      <c r="T838" s="6" t="str">
        <f>_xlfn.XLOOKUP(FactSales[[#This Row],[Customer_ID]],DimCustomer[Customer_ID],DimCustomer[Customer_Name])</f>
        <v>Mim Akter</v>
      </c>
      <c r="U838" s="6" t="str">
        <f>_xlfn.XLOOKUP(FactSales[[#This Row],[Salesperson_ID]],DimSalesman[Salesperson_ID],DimSalesman[Salesperson_Name])</f>
        <v>Rafi Sultana</v>
      </c>
      <c r="V838" s="6" t="str">
        <f>_xlfn.XLOOKUP(FactSales[[#This Row],[Region_ID]],DimRegion[Region_ID],DimRegion[Region_Name])</f>
        <v>Chattogram</v>
      </c>
      <c r="W838" s="6" t="str">
        <f>_xlfn.XLOOKUP(FactSales[[#This Row],[Store_ID]],DimStore[Store_ID],DimStore[Store_Name])</f>
        <v>Chattogram Agrabad Store</v>
      </c>
    </row>
    <row r="839" spans="1:23">
      <c r="A839" s="4" t="s">
        <v>1835</v>
      </c>
      <c r="B839" s="5">
        <v>45932</v>
      </c>
      <c r="C839" s="4" t="s">
        <v>518</v>
      </c>
      <c r="D839" s="4" t="s">
        <v>57</v>
      </c>
      <c r="E839" s="4" t="s">
        <v>722</v>
      </c>
      <c r="F839" s="4" t="s">
        <v>968</v>
      </c>
      <c r="G839" s="4" t="s">
        <v>762</v>
      </c>
      <c r="H839" s="4">
        <v>2</v>
      </c>
      <c r="I839" s="7">
        <v>0.1</v>
      </c>
      <c r="J839" s="6">
        <v>8901</v>
      </c>
      <c r="K839" s="4">
        <v>7</v>
      </c>
      <c r="L839" s="8">
        <f t="shared" si="13"/>
        <v>2.7</v>
      </c>
      <c r="M839" s="6" t="str">
        <f>_xlfn.XLOOKUP(FactSales[[#This Row],[Product_ID]],DimProduct[Product_ID],DimProduct[Product_Name])</f>
        <v>Smart Watch</v>
      </c>
      <c r="N839" s="6" t="str">
        <f>_xlfn.XLOOKUP(FactSales[[#This Row],[Product_ID]],DimProduct[Product_ID],DimProduct[Category])</f>
        <v>Electronics</v>
      </c>
      <c r="O839" s="6">
        <f>_xlfn.XLOOKUP(FactSales[[#This Row],[Product_ID]],DimProduct[Product_ID],DimProduct[Unit_Price])</f>
        <v>3870</v>
      </c>
      <c r="P839" s="6">
        <f>_xlfn.XLOOKUP(FactSales[[#This Row],[Product_ID]],DimProduct[Product_ID],DimProduct[Unit_Cost])</f>
        <v>2630</v>
      </c>
      <c r="Q839" s="6">
        <f>FactSales[[#This Row],[Unit_Price]]*FactSales[[#This Row],[Quantity_Sold]]</f>
        <v>7740</v>
      </c>
      <c r="R839" s="6">
        <f>FactSales[[#This Row],[Unit_Cost]]*FactSales[[#This Row],[Quantity_Sold]]</f>
        <v>5260</v>
      </c>
      <c r="S839" s="6">
        <f>FactSales[[#This Row],[Sales_Amount]]-FactSales[[#This Row],[Total_Cost]]</f>
        <v>2480</v>
      </c>
      <c r="T839" s="6" t="str">
        <f>_xlfn.XLOOKUP(FactSales[[#This Row],[Customer_ID]],DimCustomer[Customer_ID],DimCustomer[Customer_Name])</f>
        <v>Arif Rahman</v>
      </c>
      <c r="U839" s="6" t="str">
        <f>_xlfn.XLOOKUP(FactSales[[#This Row],[Salesperson_ID]],DimSalesman[Salesperson_ID],DimSalesman[Salesperson_Name])</f>
        <v>Morshed Ahmed</v>
      </c>
      <c r="V839" s="6" t="str">
        <f>_xlfn.XLOOKUP(FactSales[[#This Row],[Region_ID]],DimRegion[Region_ID],DimRegion[Region_Name])</f>
        <v>Rangpur</v>
      </c>
      <c r="W839" s="6" t="str">
        <f>_xlfn.XLOOKUP(FactSales[[#This Row],[Store_ID]],DimStore[Store_ID],DimStore[Store_Name])</f>
        <v>Rangpur Dhap Store</v>
      </c>
    </row>
    <row r="840" spans="1:23">
      <c r="A840" s="4" t="s">
        <v>1836</v>
      </c>
      <c r="B840" s="5">
        <v>45661</v>
      </c>
      <c r="C840" s="4" t="s">
        <v>314</v>
      </c>
      <c r="D840" s="4" t="s">
        <v>42</v>
      </c>
      <c r="E840" s="4" t="s">
        <v>674</v>
      </c>
      <c r="F840" s="4" t="s">
        <v>950</v>
      </c>
      <c r="G840" s="4" t="s">
        <v>816</v>
      </c>
      <c r="H840" s="4">
        <v>1</v>
      </c>
      <c r="I840" s="7">
        <v>0.12</v>
      </c>
      <c r="J840" s="6">
        <v>1382</v>
      </c>
      <c r="K840" s="4">
        <v>6</v>
      </c>
      <c r="L840" s="8">
        <f t="shared" si="13"/>
        <v>3</v>
      </c>
      <c r="M840" s="6" t="str">
        <f>_xlfn.XLOOKUP(FactSales[[#This Row],[Product_ID]],DimProduct[Product_ID],DimProduct[Product_Name])</f>
        <v>Face Wash</v>
      </c>
      <c r="N840" s="6" t="str">
        <f>_xlfn.XLOOKUP(FactSales[[#This Row],[Product_ID]],DimProduct[Product_ID],DimProduct[Category])</f>
        <v>Beauty &amp; Personal Care</v>
      </c>
      <c r="O840" s="6">
        <f>_xlfn.XLOOKUP(FactSales[[#This Row],[Product_ID]],DimProduct[Product_ID],DimProduct[Unit_Price])</f>
        <v>1280</v>
      </c>
      <c r="P840" s="6">
        <f>_xlfn.XLOOKUP(FactSales[[#This Row],[Product_ID]],DimProduct[Product_ID],DimProduct[Unit_Cost])</f>
        <v>740</v>
      </c>
      <c r="Q840" s="6">
        <f>FactSales[[#This Row],[Unit_Price]]*FactSales[[#This Row],[Quantity_Sold]]</f>
        <v>1280</v>
      </c>
      <c r="R840" s="6">
        <f>FactSales[[#This Row],[Unit_Cost]]*FactSales[[#This Row],[Quantity_Sold]]</f>
        <v>740</v>
      </c>
      <c r="S840" s="6">
        <f>FactSales[[#This Row],[Sales_Amount]]-FactSales[[#This Row],[Total_Cost]]</f>
        <v>540</v>
      </c>
      <c r="T840" s="6" t="str">
        <f>_xlfn.XLOOKUP(FactSales[[#This Row],[Customer_ID]],DimCustomer[Customer_ID],DimCustomer[Customer_Name])</f>
        <v>Shuvo Akter</v>
      </c>
      <c r="U840" s="6" t="str">
        <f>_xlfn.XLOOKUP(FactSales[[#This Row],[Salesperson_ID]],DimSalesman[Salesperson_ID],DimSalesman[Salesperson_Name])</f>
        <v>Mim Rahman</v>
      </c>
      <c r="V840" s="6" t="str">
        <f>_xlfn.XLOOKUP(FactSales[[#This Row],[Region_ID]],DimRegion[Region_ID],DimRegion[Region_Name])</f>
        <v>Rajshahi</v>
      </c>
      <c r="W840" s="6" t="str">
        <f>_xlfn.XLOOKUP(FactSales[[#This Row],[Store_ID]],DimStore[Store_ID],DimStore[Store_Name])</f>
        <v>Rajshahi Uposhohor Store</v>
      </c>
    </row>
    <row r="841" spans="1:23">
      <c r="A841" s="4" t="s">
        <v>1837</v>
      </c>
      <c r="B841" s="5">
        <v>45729</v>
      </c>
      <c r="C841" s="4" t="s">
        <v>416</v>
      </c>
      <c r="D841" s="4" t="s">
        <v>47</v>
      </c>
      <c r="E841" s="4" t="s">
        <v>686</v>
      </c>
      <c r="F841" s="4" t="s">
        <v>953</v>
      </c>
      <c r="G841" s="4" t="s">
        <v>773</v>
      </c>
      <c r="H841" s="4">
        <v>2</v>
      </c>
      <c r="I841" s="7">
        <v>0.15</v>
      </c>
      <c r="J841" s="6">
        <v>16197</v>
      </c>
      <c r="K841" s="4">
        <v>4</v>
      </c>
      <c r="L841" s="8">
        <f t="shared" si="13"/>
        <v>3.6</v>
      </c>
      <c r="M841" s="6" t="str">
        <f>_xlfn.XLOOKUP(FactSales[[#This Row],[Product_ID]],DimProduct[Product_ID],DimProduct[Product_Name])</f>
        <v>Rice Cooker</v>
      </c>
      <c r="N841" s="6" t="str">
        <f>_xlfn.XLOOKUP(FactSales[[#This Row],[Product_ID]],DimProduct[Product_ID],DimProduct[Category])</f>
        <v>Home Appliance</v>
      </c>
      <c r="O841" s="6">
        <f>_xlfn.XLOOKUP(FactSales[[#This Row],[Product_ID]],DimProduct[Product_ID],DimProduct[Unit_Price])</f>
        <v>7430</v>
      </c>
      <c r="P841" s="6">
        <f>_xlfn.XLOOKUP(FactSales[[#This Row],[Product_ID]],DimProduct[Product_ID],DimProduct[Unit_Cost])</f>
        <v>5200</v>
      </c>
      <c r="Q841" s="6">
        <f>FactSales[[#This Row],[Unit_Price]]*FactSales[[#This Row],[Quantity_Sold]]</f>
        <v>14860</v>
      </c>
      <c r="R841" s="6">
        <f>FactSales[[#This Row],[Unit_Cost]]*FactSales[[#This Row],[Quantity_Sold]]</f>
        <v>10400</v>
      </c>
      <c r="S841" s="6">
        <f>FactSales[[#This Row],[Sales_Amount]]-FactSales[[#This Row],[Total_Cost]]</f>
        <v>4460</v>
      </c>
      <c r="T841" s="6" t="str">
        <f>_xlfn.XLOOKUP(FactSales[[#This Row],[Customer_ID]],DimCustomer[Customer_ID],DimCustomer[Customer_Name])</f>
        <v>Ayesha Ahmed</v>
      </c>
      <c r="U841" s="6" t="str">
        <f>_xlfn.XLOOKUP(FactSales[[#This Row],[Salesperson_ID]],DimSalesman[Salesperson_ID],DimSalesman[Salesperson_Name])</f>
        <v>Nusrat Akter</v>
      </c>
      <c r="V841" s="6" t="str">
        <f>_xlfn.XLOOKUP(FactSales[[#This Row],[Region_ID]],DimRegion[Region_ID],DimRegion[Region_Name])</f>
        <v>Khulna</v>
      </c>
      <c r="W841" s="6" t="str">
        <f>_xlfn.XLOOKUP(FactSales[[#This Row],[Store_ID]],DimStore[Store_ID],DimStore[Store_Name])</f>
        <v>Khulna Khalishpur Store</v>
      </c>
    </row>
    <row r="842" spans="1:23">
      <c r="A842" s="4" t="s">
        <v>1838</v>
      </c>
      <c r="B842" s="5">
        <v>45839</v>
      </c>
      <c r="C842" s="4" t="s">
        <v>217</v>
      </c>
      <c r="D842" s="4" t="s">
        <v>37</v>
      </c>
      <c r="E842" s="4" t="s">
        <v>662</v>
      </c>
      <c r="F842" s="4" t="s">
        <v>938</v>
      </c>
      <c r="G842" s="4" t="s">
        <v>775</v>
      </c>
      <c r="H842" s="4">
        <v>8</v>
      </c>
      <c r="I842" s="7">
        <v>0.08</v>
      </c>
      <c r="J842" s="6">
        <v>20801</v>
      </c>
      <c r="K842" s="4">
        <v>6</v>
      </c>
      <c r="L842" s="8">
        <f t="shared" si="13"/>
        <v>3.1</v>
      </c>
      <c r="M842" s="6" t="str">
        <f>_xlfn.XLOOKUP(FactSales[[#This Row],[Product_ID]],DimProduct[Product_ID],DimProduct[Product_Name])</f>
        <v>Blender Machine</v>
      </c>
      <c r="N842" s="6" t="str">
        <f>_xlfn.XLOOKUP(FactSales[[#This Row],[Product_ID]],DimProduct[Product_ID],DimProduct[Category])</f>
        <v>Home Appliance</v>
      </c>
      <c r="O842" s="6">
        <f>_xlfn.XLOOKUP(FactSales[[#This Row],[Product_ID]],DimProduct[Product_ID],DimProduct[Unit_Price])</f>
        <v>2430</v>
      </c>
      <c r="P842" s="6">
        <f>_xlfn.XLOOKUP(FactSales[[#This Row],[Product_ID]],DimProduct[Product_ID],DimProduct[Unit_Cost])</f>
        <v>1700</v>
      </c>
      <c r="Q842" s="6">
        <f>FactSales[[#This Row],[Unit_Price]]*FactSales[[#This Row],[Quantity_Sold]]</f>
        <v>19440</v>
      </c>
      <c r="R842" s="6">
        <f>FactSales[[#This Row],[Unit_Cost]]*FactSales[[#This Row],[Quantity_Sold]]</f>
        <v>13600</v>
      </c>
      <c r="S842" s="6">
        <f>FactSales[[#This Row],[Sales_Amount]]-FactSales[[#This Row],[Total_Cost]]</f>
        <v>5840</v>
      </c>
      <c r="T842" s="6" t="str">
        <f>_xlfn.XLOOKUP(FactSales[[#This Row],[Customer_ID]],DimCustomer[Customer_ID],DimCustomer[Customer_Name])</f>
        <v>Karim Khan</v>
      </c>
      <c r="U842" s="6" t="str">
        <f>_xlfn.XLOOKUP(FactSales[[#This Row],[Salesperson_ID]],DimSalesman[Salesperson_ID],DimSalesman[Salesperson_Name])</f>
        <v>Rasel Akter</v>
      </c>
      <c r="V842" s="6" t="str">
        <f>_xlfn.XLOOKUP(FactSales[[#This Row],[Region_ID]],DimRegion[Region_ID],DimRegion[Region_Name])</f>
        <v>Sylhet</v>
      </c>
      <c r="W842" s="6" t="str">
        <f>_xlfn.XLOOKUP(FactSales[[#This Row],[Store_ID]],DimStore[Store_ID],DimStore[Store_Name])</f>
        <v>Sylhet Subidbazar Store</v>
      </c>
    </row>
    <row r="843" spans="1:23">
      <c r="A843" s="4" t="s">
        <v>1839</v>
      </c>
      <c r="B843" s="5">
        <v>46158</v>
      </c>
      <c r="C843" s="4" t="s">
        <v>130</v>
      </c>
      <c r="D843" s="4" t="s">
        <v>27</v>
      </c>
      <c r="E843" s="4" t="s">
        <v>626</v>
      </c>
      <c r="F843" s="4" t="s">
        <v>918</v>
      </c>
      <c r="G843" s="4" t="s">
        <v>813</v>
      </c>
      <c r="H843" s="4">
        <v>5</v>
      </c>
      <c r="I843" s="7">
        <v>0.05</v>
      </c>
      <c r="J843" s="6">
        <v>11342</v>
      </c>
      <c r="K843" s="4">
        <v>5</v>
      </c>
      <c r="L843" s="8">
        <f t="shared" si="13"/>
        <v>3.5</v>
      </c>
      <c r="M843" s="6" t="str">
        <f>_xlfn.XLOOKUP(FactSales[[#This Row],[Product_ID]],DimProduct[Product_ID],DimProduct[Product_Name])</f>
        <v>Tea Pack 500g</v>
      </c>
      <c r="N843" s="6" t="str">
        <f>_xlfn.XLOOKUP(FactSales[[#This Row],[Product_ID]],DimProduct[Product_ID],DimProduct[Category])</f>
        <v>Grocery</v>
      </c>
      <c r="O843" s="6">
        <f>_xlfn.XLOOKUP(FactSales[[#This Row],[Product_ID]],DimProduct[Product_ID],DimProduct[Unit_Price])</f>
        <v>2140</v>
      </c>
      <c r="P843" s="6">
        <f>_xlfn.XLOOKUP(FactSales[[#This Row],[Product_ID]],DimProduct[Product_ID],DimProduct[Unit_Cost])</f>
        <v>1670</v>
      </c>
      <c r="Q843" s="6">
        <f>FactSales[[#This Row],[Unit_Price]]*FactSales[[#This Row],[Quantity_Sold]]</f>
        <v>10700</v>
      </c>
      <c r="R843" s="6">
        <f>FactSales[[#This Row],[Unit_Cost]]*FactSales[[#This Row],[Quantity_Sold]]</f>
        <v>8350</v>
      </c>
      <c r="S843" s="6">
        <f>FactSales[[#This Row],[Sales_Amount]]-FactSales[[#This Row],[Total_Cost]]</f>
        <v>2350</v>
      </c>
      <c r="T843" s="6" t="str">
        <f>_xlfn.XLOOKUP(FactSales[[#This Row],[Customer_ID]],DimCustomer[Customer_ID],DimCustomer[Customer_Name])</f>
        <v>Tanjim Ahmed</v>
      </c>
      <c r="U843" s="6" t="str">
        <f>_xlfn.XLOOKUP(FactSales[[#This Row],[Salesperson_ID]],DimSalesman[Salesperson_ID],DimSalesman[Salesperson_Name])</f>
        <v>Tania Sultana</v>
      </c>
      <c r="V843" s="6" t="str">
        <f>_xlfn.XLOOKUP(FactSales[[#This Row],[Region_ID]],DimRegion[Region_ID],DimRegion[Region_Name])</f>
        <v>Dhaka</v>
      </c>
      <c r="W843" s="6" t="str">
        <f>_xlfn.XLOOKUP(FactSales[[#This Row],[Store_ID]],DimStore[Store_ID],DimStore[Store_Name])</f>
        <v>Dhaka Mirpur Store</v>
      </c>
    </row>
    <row r="844" spans="1:23">
      <c r="A844" s="4" t="s">
        <v>1840</v>
      </c>
      <c r="B844" s="5">
        <v>45955</v>
      </c>
      <c r="C844" s="4" t="s">
        <v>151</v>
      </c>
      <c r="D844" s="4" t="s">
        <v>32</v>
      </c>
      <c r="E844" s="4" t="s">
        <v>638</v>
      </c>
      <c r="F844" s="4" t="s">
        <v>929</v>
      </c>
      <c r="G844" s="4" t="s">
        <v>838</v>
      </c>
      <c r="H844" s="4">
        <v>5</v>
      </c>
      <c r="I844" s="7">
        <v>0.12</v>
      </c>
      <c r="J844" s="6">
        <v>6897</v>
      </c>
      <c r="K844" s="4">
        <v>2</v>
      </c>
      <c r="L844" s="8">
        <f t="shared" si="13"/>
        <v>4.3</v>
      </c>
      <c r="M844" s="6" t="str">
        <f>_xlfn.XLOOKUP(FactSales[[#This Row],[Product_ID]],DimProduct[Product_ID],DimProduct[Product_Name])</f>
        <v>Formal Shoe</v>
      </c>
      <c r="N844" s="6" t="str">
        <f>_xlfn.XLOOKUP(FactSales[[#This Row],[Product_ID]],DimProduct[Product_ID],DimProduct[Category])</f>
        <v>Footwear</v>
      </c>
      <c r="O844" s="6">
        <f>_xlfn.XLOOKUP(FactSales[[#This Row],[Product_ID]],DimProduct[Product_ID],DimProduct[Unit_Price])</f>
        <v>1210</v>
      </c>
      <c r="P844" s="6">
        <f>_xlfn.XLOOKUP(FactSales[[#This Row],[Product_ID]],DimProduct[Product_ID],DimProduct[Unit_Cost])</f>
        <v>730</v>
      </c>
      <c r="Q844" s="6">
        <f>FactSales[[#This Row],[Unit_Price]]*FactSales[[#This Row],[Quantity_Sold]]</f>
        <v>6050</v>
      </c>
      <c r="R844" s="6">
        <f>FactSales[[#This Row],[Unit_Cost]]*FactSales[[#This Row],[Quantity_Sold]]</f>
        <v>3650</v>
      </c>
      <c r="S844" s="6">
        <f>FactSales[[#This Row],[Sales_Amount]]-FactSales[[#This Row],[Total_Cost]]</f>
        <v>2400</v>
      </c>
      <c r="T844" s="6" t="str">
        <f>_xlfn.XLOOKUP(FactSales[[#This Row],[Customer_ID]],DimCustomer[Customer_ID],DimCustomer[Customer_Name])</f>
        <v>Arif Khan</v>
      </c>
      <c r="U844" s="6" t="str">
        <f>_xlfn.XLOOKUP(FactSales[[#This Row],[Salesperson_ID]],DimSalesman[Salesperson_ID],DimSalesman[Salesperson_Name])</f>
        <v>Nabila Mia</v>
      </c>
      <c r="V844" s="6" t="str">
        <f>_xlfn.XLOOKUP(FactSales[[#This Row],[Region_ID]],DimRegion[Region_ID],DimRegion[Region_Name])</f>
        <v>Chattogram</v>
      </c>
      <c r="W844" s="6" t="str">
        <f>_xlfn.XLOOKUP(FactSales[[#This Row],[Store_ID]],DimStore[Store_ID],DimStore[Store_Name])</f>
        <v>Chattogram Agrabad Store</v>
      </c>
    </row>
    <row r="845" spans="1:23">
      <c r="A845" s="4" t="s">
        <v>1841</v>
      </c>
      <c r="B845" s="5">
        <v>46160</v>
      </c>
      <c r="C845" s="4" t="s">
        <v>156</v>
      </c>
      <c r="D845" s="4" t="s">
        <v>32</v>
      </c>
      <c r="E845" s="4" t="s">
        <v>644</v>
      </c>
      <c r="F845" s="4" t="s">
        <v>931</v>
      </c>
      <c r="G845" s="4" t="s">
        <v>775</v>
      </c>
      <c r="H845" s="4">
        <v>4</v>
      </c>
      <c r="I845" s="7">
        <v>0.18</v>
      </c>
      <c r="J845" s="6">
        <v>11081</v>
      </c>
      <c r="K845" s="4">
        <v>7</v>
      </c>
      <c r="L845" s="8">
        <f t="shared" si="13"/>
        <v>2.6</v>
      </c>
      <c r="M845" s="6" t="str">
        <f>_xlfn.XLOOKUP(FactSales[[#This Row],[Product_ID]],DimProduct[Product_ID],DimProduct[Product_Name])</f>
        <v>Blender Machine</v>
      </c>
      <c r="N845" s="6" t="str">
        <f>_xlfn.XLOOKUP(FactSales[[#This Row],[Product_ID]],DimProduct[Product_ID],DimProduct[Category])</f>
        <v>Home Appliance</v>
      </c>
      <c r="O845" s="6">
        <f>_xlfn.XLOOKUP(FactSales[[#This Row],[Product_ID]],DimProduct[Product_ID],DimProduct[Unit_Price])</f>
        <v>2430</v>
      </c>
      <c r="P845" s="6">
        <f>_xlfn.XLOOKUP(FactSales[[#This Row],[Product_ID]],DimProduct[Product_ID],DimProduct[Unit_Cost])</f>
        <v>1700</v>
      </c>
      <c r="Q845" s="6">
        <f>FactSales[[#This Row],[Unit_Price]]*FactSales[[#This Row],[Quantity_Sold]]</f>
        <v>9720</v>
      </c>
      <c r="R845" s="6">
        <f>FactSales[[#This Row],[Unit_Cost]]*FactSales[[#This Row],[Quantity_Sold]]</f>
        <v>6800</v>
      </c>
      <c r="S845" s="6">
        <f>FactSales[[#This Row],[Sales_Amount]]-FactSales[[#This Row],[Total_Cost]]</f>
        <v>2920</v>
      </c>
      <c r="T845" s="6" t="str">
        <f>_xlfn.XLOOKUP(FactSales[[#This Row],[Customer_ID]],DimCustomer[Customer_ID],DimCustomer[Customer_Name])</f>
        <v>Shaila Mia</v>
      </c>
      <c r="U845" s="6" t="str">
        <f>_xlfn.XLOOKUP(FactSales[[#This Row],[Salesperson_ID]],DimSalesman[Salesperson_ID],DimSalesman[Salesperson_Name])</f>
        <v>Sadia Islam</v>
      </c>
      <c r="V845" s="6" t="str">
        <f>_xlfn.XLOOKUP(FactSales[[#This Row],[Region_ID]],DimRegion[Region_ID],DimRegion[Region_Name])</f>
        <v>Chattogram</v>
      </c>
      <c r="W845" s="6" t="str">
        <f>_xlfn.XLOOKUP(FactSales[[#This Row],[Store_ID]],DimStore[Store_ID],DimStore[Store_Name])</f>
        <v>Chattogram Panchlaish Store</v>
      </c>
    </row>
    <row r="846" spans="1:23">
      <c r="A846" s="4" t="s">
        <v>1842</v>
      </c>
      <c r="B846" s="5">
        <v>45671</v>
      </c>
      <c r="C846" s="4" t="s">
        <v>413</v>
      </c>
      <c r="D846" s="4" t="s">
        <v>47</v>
      </c>
      <c r="E846" s="4" t="s">
        <v>692</v>
      </c>
      <c r="F846" s="4" t="s">
        <v>954</v>
      </c>
      <c r="G846" s="4" t="s">
        <v>778</v>
      </c>
      <c r="H846" s="4">
        <v>5</v>
      </c>
      <c r="I846" s="7">
        <v>0.12</v>
      </c>
      <c r="J846" s="6">
        <v>24852</v>
      </c>
      <c r="K846" s="4">
        <v>4</v>
      </c>
      <c r="L846" s="8">
        <f t="shared" si="13"/>
        <v>3.7</v>
      </c>
      <c r="M846" s="6" t="str">
        <f>_xlfn.XLOOKUP(FactSales[[#This Row],[Product_ID]],DimProduct[Product_ID],DimProduct[Product_Name])</f>
        <v>Steam Iron</v>
      </c>
      <c r="N846" s="6" t="str">
        <f>_xlfn.XLOOKUP(FactSales[[#This Row],[Product_ID]],DimProduct[Product_ID],DimProduct[Category])</f>
        <v>Home Appliance</v>
      </c>
      <c r="O846" s="6">
        <f>_xlfn.XLOOKUP(FactSales[[#This Row],[Product_ID]],DimProduct[Product_ID],DimProduct[Unit_Price])</f>
        <v>4560</v>
      </c>
      <c r="P846" s="6">
        <f>_xlfn.XLOOKUP(FactSales[[#This Row],[Product_ID]],DimProduct[Product_ID],DimProduct[Unit_Cost])</f>
        <v>3190</v>
      </c>
      <c r="Q846" s="6">
        <f>FactSales[[#This Row],[Unit_Price]]*FactSales[[#This Row],[Quantity_Sold]]</f>
        <v>22800</v>
      </c>
      <c r="R846" s="6">
        <f>FactSales[[#This Row],[Unit_Cost]]*FactSales[[#This Row],[Quantity_Sold]]</f>
        <v>15950</v>
      </c>
      <c r="S846" s="6">
        <f>FactSales[[#This Row],[Sales_Amount]]-FactSales[[#This Row],[Total_Cost]]</f>
        <v>6850</v>
      </c>
      <c r="T846" s="6" t="str">
        <f>_xlfn.XLOOKUP(FactSales[[#This Row],[Customer_ID]],DimCustomer[Customer_ID],DimCustomer[Customer_Name])</f>
        <v>Samiha Sultana</v>
      </c>
      <c r="U846" s="6" t="str">
        <f>_xlfn.XLOOKUP(FactSales[[#This Row],[Salesperson_ID]],DimSalesman[Salesperson_ID],DimSalesman[Salesperson_Name])</f>
        <v>Sadia Sultana</v>
      </c>
      <c r="V846" s="6" t="str">
        <f>_xlfn.XLOOKUP(FactSales[[#This Row],[Region_ID]],DimRegion[Region_ID],DimRegion[Region_Name])</f>
        <v>Khulna</v>
      </c>
      <c r="W846" s="6" t="str">
        <f>_xlfn.XLOOKUP(FactSales[[#This Row],[Store_ID]],DimStore[Store_ID],DimStore[Store_Name])</f>
        <v>Khulna Boyra Store</v>
      </c>
    </row>
    <row r="847" spans="1:23">
      <c r="A847" s="4" t="s">
        <v>1843</v>
      </c>
      <c r="B847" s="5">
        <v>45679</v>
      </c>
      <c r="C847" s="4" t="s">
        <v>559</v>
      </c>
      <c r="D847" s="4" t="s">
        <v>62</v>
      </c>
      <c r="E847" s="4" t="s">
        <v>734</v>
      </c>
      <c r="F847" s="4" t="s">
        <v>987</v>
      </c>
      <c r="G847" s="4" t="s">
        <v>800</v>
      </c>
      <c r="H847" s="4">
        <v>1</v>
      </c>
      <c r="I847" s="7">
        <v>0.05</v>
      </c>
      <c r="J847" s="6">
        <v>1199</v>
      </c>
      <c r="K847" s="4">
        <v>1</v>
      </c>
      <c r="L847" s="8">
        <f t="shared" si="13"/>
        <v>4.8</v>
      </c>
      <c r="M847" s="6" t="str">
        <f>_xlfn.XLOOKUP(FactSales[[#This Row],[Product_ID]],DimProduct[Product_ID],DimProduct[Product_Name])</f>
        <v>Premium Rice 5kg</v>
      </c>
      <c r="N847" s="6" t="str">
        <f>_xlfn.XLOOKUP(FactSales[[#This Row],[Product_ID]],DimProduct[Product_ID],DimProduct[Category])</f>
        <v>Grocery</v>
      </c>
      <c r="O847" s="6">
        <f>_xlfn.XLOOKUP(FactSales[[#This Row],[Product_ID]],DimProduct[Product_ID],DimProduct[Unit_Price])</f>
        <v>1110</v>
      </c>
      <c r="P847" s="6">
        <f>_xlfn.XLOOKUP(FactSales[[#This Row],[Product_ID]],DimProduct[Product_ID],DimProduct[Unit_Cost])</f>
        <v>870</v>
      </c>
      <c r="Q847" s="6">
        <f>FactSales[[#This Row],[Unit_Price]]*FactSales[[#This Row],[Quantity_Sold]]</f>
        <v>1110</v>
      </c>
      <c r="R847" s="6">
        <f>FactSales[[#This Row],[Unit_Cost]]*FactSales[[#This Row],[Quantity_Sold]]</f>
        <v>870</v>
      </c>
      <c r="S847" s="6">
        <f>FactSales[[#This Row],[Sales_Amount]]-FactSales[[#This Row],[Total_Cost]]</f>
        <v>240</v>
      </c>
      <c r="T847" s="6" t="str">
        <f>_xlfn.XLOOKUP(FactSales[[#This Row],[Customer_ID]],DimCustomer[Customer_ID],DimCustomer[Customer_Name])</f>
        <v>Morshed Sultana</v>
      </c>
      <c r="U847" s="6" t="str">
        <f>_xlfn.XLOOKUP(FactSales[[#This Row],[Salesperson_ID]],DimSalesman[Salesperson_ID],DimSalesman[Salesperson_Name])</f>
        <v>Tanvir Chowdhury</v>
      </c>
      <c r="V847" s="6" t="str">
        <f>_xlfn.XLOOKUP(FactSales[[#This Row],[Region_ID]],DimRegion[Region_ID],DimRegion[Region_Name])</f>
        <v>Mymensingh</v>
      </c>
      <c r="W847" s="6" t="str">
        <f>_xlfn.XLOOKUP(FactSales[[#This Row],[Store_ID]],DimStore[Store_ID],DimStore[Store_Name])</f>
        <v>Mymensingh Charpara Store</v>
      </c>
    </row>
    <row r="848" spans="1:23">
      <c r="A848" s="4" t="s">
        <v>1844</v>
      </c>
      <c r="B848" s="5">
        <v>45908</v>
      </c>
      <c r="C848" s="4" t="s">
        <v>344</v>
      </c>
      <c r="D848" s="4" t="s">
        <v>42</v>
      </c>
      <c r="E848" s="4" t="s">
        <v>671</v>
      </c>
      <c r="F848" s="4" t="s">
        <v>945</v>
      </c>
      <c r="G848" s="4" t="s">
        <v>794</v>
      </c>
      <c r="H848" s="4">
        <v>3</v>
      </c>
      <c r="I848" s="7">
        <v>0.1</v>
      </c>
      <c r="J848" s="6">
        <v>2851</v>
      </c>
      <c r="K848" s="4">
        <v>2</v>
      </c>
      <c r="L848" s="8">
        <f t="shared" si="13"/>
        <v>4.3</v>
      </c>
      <c r="M848" s="6" t="str">
        <f>_xlfn.XLOOKUP(FactSales[[#This Row],[Product_ID]],DimProduct[Product_ID],DimProduct[Product_Name])</f>
        <v>Denim Jeans</v>
      </c>
      <c r="N848" s="6" t="str">
        <f>_xlfn.XLOOKUP(FactSales[[#This Row],[Product_ID]],DimProduct[Product_ID],DimProduct[Category])</f>
        <v>Fashion</v>
      </c>
      <c r="O848" s="6">
        <f>_xlfn.XLOOKUP(FactSales[[#This Row],[Product_ID]],DimProduct[Product_ID],DimProduct[Unit_Price])</f>
        <v>880</v>
      </c>
      <c r="P848" s="6">
        <f>_xlfn.XLOOKUP(FactSales[[#This Row],[Product_ID]],DimProduct[Product_ID],DimProduct[Unit_Cost])</f>
        <v>480</v>
      </c>
      <c r="Q848" s="6">
        <f>FactSales[[#This Row],[Unit_Price]]*FactSales[[#This Row],[Quantity_Sold]]</f>
        <v>2640</v>
      </c>
      <c r="R848" s="6">
        <f>FactSales[[#This Row],[Unit_Cost]]*FactSales[[#This Row],[Quantity_Sold]]</f>
        <v>1440</v>
      </c>
      <c r="S848" s="6">
        <f>FactSales[[#This Row],[Sales_Amount]]-FactSales[[#This Row],[Total_Cost]]</f>
        <v>1200</v>
      </c>
      <c r="T848" s="6" t="str">
        <f>_xlfn.XLOOKUP(FactSales[[#This Row],[Customer_ID]],DimCustomer[Customer_ID],DimCustomer[Customer_Name])</f>
        <v>Mehedi Khan</v>
      </c>
      <c r="U848" s="6" t="str">
        <f>_xlfn.XLOOKUP(FactSales[[#This Row],[Salesperson_ID]],DimSalesman[Salesperson_ID],DimSalesman[Salesperson_Name])</f>
        <v>Hasan Khan</v>
      </c>
      <c r="V848" s="6" t="str">
        <f>_xlfn.XLOOKUP(FactSales[[#This Row],[Region_ID]],DimRegion[Region_ID],DimRegion[Region_Name])</f>
        <v>Rajshahi</v>
      </c>
      <c r="W848" s="6" t="str">
        <f>_xlfn.XLOOKUP(FactSales[[#This Row],[Store_ID]],DimStore[Store_ID],DimStore[Store_Name])</f>
        <v>Rajshahi Kazla Store</v>
      </c>
    </row>
    <row r="849" spans="1:23">
      <c r="A849" s="4" t="s">
        <v>1845</v>
      </c>
      <c r="B849" s="5">
        <v>46118</v>
      </c>
      <c r="C849" s="4" t="s">
        <v>317</v>
      </c>
      <c r="D849" s="4" t="s">
        <v>42</v>
      </c>
      <c r="E849" s="4" t="s">
        <v>668</v>
      </c>
      <c r="F849" s="4" t="s">
        <v>945</v>
      </c>
      <c r="G849" s="4" t="s">
        <v>882</v>
      </c>
      <c r="H849" s="4">
        <v>12</v>
      </c>
      <c r="I849" s="7">
        <v>0.05</v>
      </c>
      <c r="J849" s="6">
        <v>23587</v>
      </c>
      <c r="K849" s="4">
        <v>6</v>
      </c>
      <c r="L849" s="8">
        <f t="shared" si="13"/>
        <v>3.2</v>
      </c>
      <c r="M849" s="6" t="str">
        <f>_xlfn.XLOOKUP(FactSales[[#This Row],[Product_ID]],DimProduct[Product_ID],DimProduct[Product_Name])</f>
        <v>Toy Car Set</v>
      </c>
      <c r="N849" s="6" t="str">
        <f>_xlfn.XLOOKUP(FactSales[[#This Row],[Product_ID]],DimProduct[Product_ID],DimProduct[Category])</f>
        <v>Kids &amp; Toys</v>
      </c>
      <c r="O849" s="6">
        <f>_xlfn.XLOOKUP(FactSales[[#This Row],[Product_ID]],DimProduct[Product_ID],DimProduct[Unit_Price])</f>
        <v>1820</v>
      </c>
      <c r="P849" s="6">
        <f>_xlfn.XLOOKUP(FactSales[[#This Row],[Product_ID]],DimProduct[Product_ID],DimProduct[Unit_Cost])</f>
        <v>1000</v>
      </c>
      <c r="Q849" s="6">
        <f>FactSales[[#This Row],[Unit_Price]]*FactSales[[#This Row],[Quantity_Sold]]</f>
        <v>21840</v>
      </c>
      <c r="R849" s="6">
        <f>FactSales[[#This Row],[Unit_Cost]]*FactSales[[#This Row],[Quantity_Sold]]</f>
        <v>12000</v>
      </c>
      <c r="S849" s="6">
        <f>FactSales[[#This Row],[Sales_Amount]]-FactSales[[#This Row],[Total_Cost]]</f>
        <v>9840</v>
      </c>
      <c r="T849" s="6" t="str">
        <f>_xlfn.XLOOKUP(FactSales[[#This Row],[Customer_ID]],DimCustomer[Customer_ID],DimCustomer[Customer_Name])</f>
        <v>Imran Khan</v>
      </c>
      <c r="U849" s="6" t="str">
        <f>_xlfn.XLOOKUP(FactSales[[#This Row],[Salesperson_ID]],DimSalesman[Salesperson_ID],DimSalesman[Salesperson_Name])</f>
        <v>Hasan Khan</v>
      </c>
      <c r="V849" s="6" t="str">
        <f>_xlfn.XLOOKUP(FactSales[[#This Row],[Region_ID]],DimRegion[Region_ID],DimRegion[Region_Name])</f>
        <v>Rajshahi</v>
      </c>
      <c r="W849" s="6" t="str">
        <f>_xlfn.XLOOKUP(FactSales[[#This Row],[Store_ID]],DimStore[Store_ID],DimStore[Store_Name])</f>
        <v>Rajshahi Shaheb Bazar Store</v>
      </c>
    </row>
    <row r="850" spans="1:23">
      <c r="A850" s="4" t="s">
        <v>1846</v>
      </c>
      <c r="B850" s="5">
        <v>46085</v>
      </c>
      <c r="C850" s="4" t="s">
        <v>413</v>
      </c>
      <c r="D850" s="4" t="s">
        <v>47</v>
      </c>
      <c r="E850" s="4" t="s">
        <v>689</v>
      </c>
      <c r="F850" s="4" t="s">
        <v>954</v>
      </c>
      <c r="G850" s="4" t="s">
        <v>781</v>
      </c>
      <c r="H850" s="4">
        <v>9</v>
      </c>
      <c r="I850" s="7">
        <v>0.12</v>
      </c>
      <c r="J850" s="6">
        <v>30509</v>
      </c>
      <c r="K850" s="4">
        <v>6</v>
      </c>
      <c r="L850" s="8">
        <f t="shared" si="13"/>
        <v>3</v>
      </c>
      <c r="M850" s="6" t="str">
        <f>_xlfn.XLOOKUP(FactSales[[#This Row],[Product_ID]],DimProduct[Product_ID],DimProduct[Product_Name])</f>
        <v>Table Fan</v>
      </c>
      <c r="N850" s="6" t="str">
        <f>_xlfn.XLOOKUP(FactSales[[#This Row],[Product_ID]],DimProduct[Product_ID],DimProduct[Category])</f>
        <v>Home Appliance</v>
      </c>
      <c r="O850" s="6">
        <f>_xlfn.XLOOKUP(FactSales[[#This Row],[Product_ID]],DimProduct[Product_ID],DimProduct[Unit_Price])</f>
        <v>3110</v>
      </c>
      <c r="P850" s="6">
        <f>_xlfn.XLOOKUP(FactSales[[#This Row],[Product_ID]],DimProduct[Product_ID],DimProduct[Unit_Cost])</f>
        <v>2180</v>
      </c>
      <c r="Q850" s="6">
        <f>FactSales[[#This Row],[Unit_Price]]*FactSales[[#This Row],[Quantity_Sold]]</f>
        <v>27990</v>
      </c>
      <c r="R850" s="6">
        <f>FactSales[[#This Row],[Unit_Cost]]*FactSales[[#This Row],[Quantity_Sold]]</f>
        <v>19620</v>
      </c>
      <c r="S850" s="6">
        <f>FactSales[[#This Row],[Sales_Amount]]-FactSales[[#This Row],[Total_Cost]]</f>
        <v>8370</v>
      </c>
      <c r="T850" s="6" t="str">
        <f>_xlfn.XLOOKUP(FactSales[[#This Row],[Customer_ID]],DimCustomer[Customer_ID],DimCustomer[Customer_Name])</f>
        <v>Samiha Sultana</v>
      </c>
      <c r="U850" s="6" t="str">
        <f>_xlfn.XLOOKUP(FactSales[[#This Row],[Salesperson_ID]],DimSalesman[Salesperson_ID],DimSalesman[Salesperson_Name])</f>
        <v>Sadia Sultana</v>
      </c>
      <c r="V850" s="6" t="str">
        <f>_xlfn.XLOOKUP(FactSales[[#This Row],[Region_ID]],DimRegion[Region_ID],DimRegion[Region_Name])</f>
        <v>Khulna</v>
      </c>
      <c r="W850" s="6" t="str">
        <f>_xlfn.XLOOKUP(FactSales[[#This Row],[Store_ID]],DimStore[Store_ID],DimStore[Store_Name])</f>
        <v>Khulna Daulatpur Store</v>
      </c>
    </row>
    <row r="851" spans="1:23">
      <c r="A851" s="4" t="s">
        <v>1847</v>
      </c>
      <c r="B851" s="5">
        <v>46013</v>
      </c>
      <c r="C851" s="4" t="s">
        <v>472</v>
      </c>
      <c r="D851" s="4" t="s">
        <v>52</v>
      </c>
      <c r="E851" s="4" t="s">
        <v>698</v>
      </c>
      <c r="F851" s="4" t="s">
        <v>964</v>
      </c>
      <c r="G851" s="4" t="s">
        <v>864</v>
      </c>
      <c r="H851" s="4">
        <v>2</v>
      </c>
      <c r="I851" s="7">
        <v>0.05</v>
      </c>
      <c r="J851" s="6">
        <v>896</v>
      </c>
      <c r="K851" s="4">
        <v>7</v>
      </c>
      <c r="L851" s="8">
        <f t="shared" si="13"/>
        <v>2.9</v>
      </c>
      <c r="M851" s="6" t="str">
        <f>_xlfn.XLOOKUP(FactSales[[#This Row],[Product_ID]],DimProduct[Product_ID],DimProduct[Product_Name])</f>
        <v>Notebook Pack</v>
      </c>
      <c r="N851" s="6" t="str">
        <f>_xlfn.XLOOKUP(FactSales[[#This Row],[Product_ID]],DimProduct[Product_ID],DimProduct[Category])</f>
        <v>Stationery</v>
      </c>
      <c r="O851" s="6">
        <f>_xlfn.XLOOKUP(FactSales[[#This Row],[Product_ID]],DimProduct[Product_ID],DimProduct[Unit_Price])</f>
        <v>400</v>
      </c>
      <c r="P851" s="6">
        <f>_xlfn.XLOOKUP(FactSales[[#This Row],[Product_ID]],DimProduct[Product_ID],DimProduct[Unit_Cost])</f>
        <v>200</v>
      </c>
      <c r="Q851" s="6">
        <f>FactSales[[#This Row],[Unit_Price]]*FactSales[[#This Row],[Quantity_Sold]]</f>
        <v>800</v>
      </c>
      <c r="R851" s="6">
        <f>FactSales[[#This Row],[Unit_Cost]]*FactSales[[#This Row],[Quantity_Sold]]</f>
        <v>400</v>
      </c>
      <c r="S851" s="6">
        <f>FactSales[[#This Row],[Sales_Amount]]-FactSales[[#This Row],[Total_Cost]]</f>
        <v>400</v>
      </c>
      <c r="T851" s="6" t="str">
        <f>_xlfn.XLOOKUP(FactSales[[#This Row],[Customer_ID]],DimCustomer[Customer_ID],DimCustomer[Customer_Name])</f>
        <v>Rumana Akter</v>
      </c>
      <c r="U851" s="6" t="str">
        <f>_xlfn.XLOOKUP(FactSales[[#This Row],[Salesperson_ID]],DimSalesman[Salesperson_ID],DimSalesman[Salesperson_Name])</f>
        <v>Shaila Uddin</v>
      </c>
      <c r="V851" s="6" t="str">
        <f>_xlfn.XLOOKUP(FactSales[[#This Row],[Region_ID]],DimRegion[Region_ID],DimRegion[Region_Name])</f>
        <v>Barishal</v>
      </c>
      <c r="W851" s="6" t="str">
        <f>_xlfn.XLOOKUP(FactSales[[#This Row],[Store_ID]],DimStore[Store_ID],DimStore[Store_Name])</f>
        <v>Barishal Nathullabad Store</v>
      </c>
    </row>
    <row r="852" spans="1:23">
      <c r="A852" s="4" t="s">
        <v>1848</v>
      </c>
      <c r="B852" s="5">
        <v>45824</v>
      </c>
      <c r="C852" s="4" t="s">
        <v>257</v>
      </c>
      <c r="D852" s="4" t="s">
        <v>37</v>
      </c>
      <c r="E852" s="4" t="s">
        <v>656</v>
      </c>
      <c r="F852" s="4" t="s">
        <v>939</v>
      </c>
      <c r="G852" s="4" t="s">
        <v>900</v>
      </c>
      <c r="H852" s="4">
        <v>2</v>
      </c>
      <c r="I852" s="7">
        <v>7.0000000000000007E-2</v>
      </c>
      <c r="J852" s="6">
        <v>11385</v>
      </c>
      <c r="K852" s="4">
        <v>6</v>
      </c>
      <c r="L852" s="8">
        <f t="shared" si="13"/>
        <v>3.1</v>
      </c>
      <c r="M852" s="6" t="str">
        <f>_xlfn.XLOOKUP(FactSales[[#This Row],[Product_ID]],DimProduct[Product_ID],DimProduct[Product_Name])</f>
        <v>Shoe Rack</v>
      </c>
      <c r="N852" s="6" t="str">
        <f>_xlfn.XLOOKUP(FactSales[[#This Row],[Product_ID]],DimProduct[Product_ID],DimProduct[Category])</f>
        <v>Furniture</v>
      </c>
      <c r="O852" s="6">
        <f>_xlfn.XLOOKUP(FactSales[[#This Row],[Product_ID]],DimProduct[Product_ID],DimProduct[Unit_Price])</f>
        <v>5320</v>
      </c>
      <c r="P852" s="6">
        <f>_xlfn.XLOOKUP(FactSales[[#This Row],[Product_ID]],DimProduct[Product_ID],DimProduct[Unit_Cost])</f>
        <v>3830</v>
      </c>
      <c r="Q852" s="6">
        <f>FactSales[[#This Row],[Unit_Price]]*FactSales[[#This Row],[Quantity_Sold]]</f>
        <v>10640</v>
      </c>
      <c r="R852" s="6">
        <f>FactSales[[#This Row],[Unit_Cost]]*FactSales[[#This Row],[Quantity_Sold]]</f>
        <v>7660</v>
      </c>
      <c r="S852" s="6">
        <f>FactSales[[#This Row],[Sales_Amount]]-FactSales[[#This Row],[Total_Cost]]</f>
        <v>2980</v>
      </c>
      <c r="T852" s="6" t="str">
        <f>_xlfn.XLOOKUP(FactSales[[#This Row],[Customer_ID]],DimCustomer[Customer_ID],DimCustomer[Customer_Name])</f>
        <v>Sadia Sultana</v>
      </c>
      <c r="U852" s="6" t="str">
        <f>_xlfn.XLOOKUP(FactSales[[#This Row],[Salesperson_ID]],DimSalesman[Salesperson_ID],DimSalesman[Salesperson_Name])</f>
        <v>Fahim Mia</v>
      </c>
      <c r="V852" s="6" t="str">
        <f>_xlfn.XLOOKUP(FactSales[[#This Row],[Region_ID]],DimRegion[Region_ID],DimRegion[Region_Name])</f>
        <v>Sylhet</v>
      </c>
      <c r="W852" s="6" t="str">
        <f>_xlfn.XLOOKUP(FactSales[[#This Row],[Store_ID]],DimStore[Store_ID],DimStore[Store_Name])</f>
        <v>Sylhet Ambarkhana Store</v>
      </c>
    </row>
    <row r="853" spans="1:23">
      <c r="A853" s="4" t="s">
        <v>1849</v>
      </c>
      <c r="B853" s="5">
        <v>45784</v>
      </c>
      <c r="C853" s="4" t="s">
        <v>553</v>
      </c>
      <c r="D853" s="4" t="s">
        <v>62</v>
      </c>
      <c r="E853" s="4" t="s">
        <v>731</v>
      </c>
      <c r="F853" s="4" t="s">
        <v>981</v>
      </c>
      <c r="G853" s="4" t="s">
        <v>871</v>
      </c>
      <c r="H853" s="4">
        <v>1</v>
      </c>
      <c r="I853" s="7">
        <v>0.03</v>
      </c>
      <c r="J853" s="6">
        <v>367</v>
      </c>
      <c r="K853" s="4">
        <v>5</v>
      </c>
      <c r="L853" s="8">
        <f t="shared" si="13"/>
        <v>3.5</v>
      </c>
      <c r="M853" s="6" t="str">
        <f>_xlfn.XLOOKUP(FactSales[[#This Row],[Product_ID]],DimProduct[Product_ID],DimProduct[Product_Name])</f>
        <v>Office File Set</v>
      </c>
      <c r="N853" s="6" t="str">
        <f>_xlfn.XLOOKUP(FactSales[[#This Row],[Product_ID]],DimProduct[Product_ID],DimProduct[Category])</f>
        <v>Stationery</v>
      </c>
      <c r="O853" s="6">
        <f>_xlfn.XLOOKUP(FactSales[[#This Row],[Product_ID]],DimProduct[Product_ID],DimProduct[Unit_Price])</f>
        <v>340</v>
      </c>
      <c r="P853" s="6">
        <f>_xlfn.XLOOKUP(FactSales[[#This Row],[Product_ID]],DimProduct[Product_ID],DimProduct[Unit_Cost])</f>
        <v>170</v>
      </c>
      <c r="Q853" s="6">
        <f>FactSales[[#This Row],[Unit_Price]]*FactSales[[#This Row],[Quantity_Sold]]</f>
        <v>340</v>
      </c>
      <c r="R853" s="6">
        <f>FactSales[[#This Row],[Unit_Cost]]*FactSales[[#This Row],[Quantity_Sold]]</f>
        <v>170</v>
      </c>
      <c r="S853" s="6">
        <f>FactSales[[#This Row],[Sales_Amount]]-FactSales[[#This Row],[Total_Cost]]</f>
        <v>170</v>
      </c>
      <c r="T853" s="6" t="str">
        <f>_xlfn.XLOOKUP(FactSales[[#This Row],[Customer_ID]],DimCustomer[Customer_ID],DimCustomer[Customer_Name])</f>
        <v>Karim Chowdhury</v>
      </c>
      <c r="U853" s="6" t="str">
        <f>_xlfn.XLOOKUP(FactSales[[#This Row],[Salesperson_ID]],DimSalesman[Salesperson_ID],DimSalesman[Salesperson_Name])</f>
        <v>Morshed Islam</v>
      </c>
      <c r="V853" s="6" t="str">
        <f>_xlfn.XLOOKUP(FactSales[[#This Row],[Region_ID]],DimRegion[Region_ID],DimRegion[Region_Name])</f>
        <v>Mymensingh</v>
      </c>
      <c r="W853" s="6" t="str">
        <f>_xlfn.XLOOKUP(FactSales[[#This Row],[Store_ID]],DimStore[Store_ID],DimStore[Store_Name])</f>
        <v>Mymensingh Town Hall Store</v>
      </c>
    </row>
    <row r="854" spans="1:23">
      <c r="A854" s="4" t="s">
        <v>1850</v>
      </c>
      <c r="B854" s="5">
        <v>45709</v>
      </c>
      <c r="C854" s="4" t="s">
        <v>112</v>
      </c>
      <c r="D854" s="4" t="s">
        <v>27</v>
      </c>
      <c r="E854" s="4" t="s">
        <v>626</v>
      </c>
      <c r="F854" s="4" t="s">
        <v>920</v>
      </c>
      <c r="G854" s="4" t="s">
        <v>874</v>
      </c>
      <c r="H854" s="4">
        <v>2</v>
      </c>
      <c r="I854" s="7">
        <v>0.03</v>
      </c>
      <c r="J854" s="6">
        <v>2205</v>
      </c>
      <c r="K854" s="4">
        <v>4</v>
      </c>
      <c r="L854" s="8">
        <f t="shared" si="13"/>
        <v>3.9</v>
      </c>
      <c r="M854" s="6" t="str">
        <f>_xlfn.XLOOKUP(FactSales[[#This Row],[Product_ID]],DimProduct[Product_ID],DimProduct[Product_Name])</f>
        <v>Marker Set</v>
      </c>
      <c r="N854" s="6" t="str">
        <f>_xlfn.XLOOKUP(FactSales[[#This Row],[Product_ID]],DimProduct[Product_ID],DimProduct[Category])</f>
        <v>Stationery</v>
      </c>
      <c r="O854" s="6">
        <f>_xlfn.XLOOKUP(FactSales[[#This Row],[Product_ID]],DimProduct[Product_ID],DimProduct[Unit_Price])</f>
        <v>1040</v>
      </c>
      <c r="P854" s="6">
        <f>_xlfn.XLOOKUP(FactSales[[#This Row],[Product_ID]],DimProduct[Product_ID],DimProduct[Unit_Cost])</f>
        <v>520</v>
      </c>
      <c r="Q854" s="6">
        <f>FactSales[[#This Row],[Unit_Price]]*FactSales[[#This Row],[Quantity_Sold]]</f>
        <v>2080</v>
      </c>
      <c r="R854" s="6">
        <f>FactSales[[#This Row],[Unit_Cost]]*FactSales[[#This Row],[Quantity_Sold]]</f>
        <v>1040</v>
      </c>
      <c r="S854" s="6">
        <f>FactSales[[#This Row],[Sales_Amount]]-FactSales[[#This Row],[Total_Cost]]</f>
        <v>1040</v>
      </c>
      <c r="T854" s="6" t="str">
        <f>_xlfn.XLOOKUP(FactSales[[#This Row],[Customer_ID]],DimCustomer[Customer_ID],DimCustomer[Customer_Name])</f>
        <v>Shaila Ahmed</v>
      </c>
      <c r="U854" s="6" t="str">
        <f>_xlfn.XLOOKUP(FactSales[[#This Row],[Salesperson_ID]],DimSalesman[Salesperson_ID],DimSalesman[Salesperson_Name])</f>
        <v>Rahim Hossain</v>
      </c>
      <c r="V854" s="6" t="str">
        <f>_xlfn.XLOOKUP(FactSales[[#This Row],[Region_ID]],DimRegion[Region_ID],DimRegion[Region_Name])</f>
        <v>Dhaka</v>
      </c>
      <c r="W854" s="6" t="str">
        <f>_xlfn.XLOOKUP(FactSales[[#This Row],[Store_ID]],DimStore[Store_ID],DimStore[Store_Name])</f>
        <v>Dhaka Mirpur Store</v>
      </c>
    </row>
    <row r="855" spans="1:23">
      <c r="A855" s="4" t="s">
        <v>1851</v>
      </c>
      <c r="B855" s="5">
        <v>45859</v>
      </c>
      <c r="C855" s="4" t="s">
        <v>222</v>
      </c>
      <c r="D855" s="4" t="s">
        <v>37</v>
      </c>
      <c r="E855" s="4" t="s">
        <v>659</v>
      </c>
      <c r="F855" s="4" t="s">
        <v>934</v>
      </c>
      <c r="G855" s="4" t="s">
        <v>905</v>
      </c>
      <c r="H855" s="4">
        <v>2</v>
      </c>
      <c r="I855" s="7">
        <v>0.03</v>
      </c>
      <c r="J855" s="6">
        <v>12562</v>
      </c>
      <c r="K855" s="4">
        <v>3</v>
      </c>
      <c r="L855" s="8">
        <f t="shared" si="13"/>
        <v>4.2</v>
      </c>
      <c r="M855" s="6" t="str">
        <f>_xlfn.XLOOKUP(FactSales[[#This Row],[Product_ID]],DimProduct[Product_ID],DimProduct[Product_Name])</f>
        <v>Bedside Table</v>
      </c>
      <c r="N855" s="6" t="str">
        <f>_xlfn.XLOOKUP(FactSales[[#This Row],[Product_ID]],DimProduct[Product_ID],DimProduct[Category])</f>
        <v>Furniture</v>
      </c>
      <c r="O855" s="6">
        <f>_xlfn.XLOOKUP(FactSales[[#This Row],[Product_ID]],DimProduct[Product_ID],DimProduct[Unit_Price])</f>
        <v>5870</v>
      </c>
      <c r="P855" s="6">
        <f>_xlfn.XLOOKUP(FactSales[[#This Row],[Product_ID]],DimProduct[Product_ID],DimProduct[Unit_Cost])</f>
        <v>4230</v>
      </c>
      <c r="Q855" s="6">
        <f>FactSales[[#This Row],[Unit_Price]]*FactSales[[#This Row],[Quantity_Sold]]</f>
        <v>11740</v>
      </c>
      <c r="R855" s="6">
        <f>FactSales[[#This Row],[Unit_Cost]]*FactSales[[#This Row],[Quantity_Sold]]</f>
        <v>8460</v>
      </c>
      <c r="S855" s="6">
        <f>FactSales[[#This Row],[Sales_Amount]]-FactSales[[#This Row],[Total_Cost]]</f>
        <v>3280</v>
      </c>
      <c r="T855" s="6" t="str">
        <f>_xlfn.XLOOKUP(FactSales[[#This Row],[Customer_ID]],DimCustomer[Customer_ID],DimCustomer[Customer_Name])</f>
        <v>Farhana Khan</v>
      </c>
      <c r="U855" s="6" t="str">
        <f>_xlfn.XLOOKUP(FactSales[[#This Row],[Salesperson_ID]],DimSalesman[Salesperson_ID],DimSalesman[Salesperson_Name])</f>
        <v>Hasan Mia</v>
      </c>
      <c r="V855" s="6" t="str">
        <f>_xlfn.XLOOKUP(FactSales[[#This Row],[Region_ID]],DimRegion[Region_ID],DimRegion[Region_Name])</f>
        <v>Sylhet</v>
      </c>
      <c r="W855" s="6" t="str">
        <f>_xlfn.XLOOKUP(FactSales[[#This Row],[Store_ID]],DimStore[Store_ID],DimStore[Store_Name])</f>
        <v>Sylhet South Surma Store</v>
      </c>
    </row>
    <row r="856" spans="1:23">
      <c r="A856" s="4" t="s">
        <v>1852</v>
      </c>
      <c r="B856" s="5">
        <v>45912</v>
      </c>
      <c r="C856" s="4" t="s">
        <v>375</v>
      </c>
      <c r="D856" s="4" t="s">
        <v>47</v>
      </c>
      <c r="E856" s="4" t="s">
        <v>683</v>
      </c>
      <c r="F856" s="4" t="s">
        <v>955</v>
      </c>
      <c r="G856" s="4" t="s">
        <v>893</v>
      </c>
      <c r="H856" s="4">
        <v>5</v>
      </c>
      <c r="I856" s="7">
        <v>0.1</v>
      </c>
      <c r="J856" s="6">
        <v>23871</v>
      </c>
      <c r="K856" s="4">
        <v>1</v>
      </c>
      <c r="L856" s="8">
        <f t="shared" si="13"/>
        <v>4.7</v>
      </c>
      <c r="M856" s="6" t="str">
        <f>_xlfn.XLOOKUP(FactSales[[#This Row],[Product_ID]],DimProduct[Product_ID],DimProduct[Product_Name])</f>
        <v>Office Chair</v>
      </c>
      <c r="N856" s="6" t="str">
        <f>_xlfn.XLOOKUP(FactSales[[#This Row],[Product_ID]],DimProduct[Product_ID],DimProduct[Category])</f>
        <v>Furniture</v>
      </c>
      <c r="O856" s="6">
        <f>_xlfn.XLOOKUP(FactSales[[#This Row],[Product_ID]],DimProduct[Product_ID],DimProduct[Unit_Price])</f>
        <v>4380</v>
      </c>
      <c r="P856" s="6">
        <f>_xlfn.XLOOKUP(FactSales[[#This Row],[Product_ID]],DimProduct[Product_ID],DimProduct[Unit_Cost])</f>
        <v>3150</v>
      </c>
      <c r="Q856" s="6">
        <f>FactSales[[#This Row],[Unit_Price]]*FactSales[[#This Row],[Quantity_Sold]]</f>
        <v>21900</v>
      </c>
      <c r="R856" s="6">
        <f>FactSales[[#This Row],[Unit_Cost]]*FactSales[[#This Row],[Quantity_Sold]]</f>
        <v>15750</v>
      </c>
      <c r="S856" s="6">
        <f>FactSales[[#This Row],[Sales_Amount]]-FactSales[[#This Row],[Total_Cost]]</f>
        <v>6150</v>
      </c>
      <c r="T856" s="6" t="str">
        <f>_xlfn.XLOOKUP(FactSales[[#This Row],[Customer_ID]],DimCustomer[Customer_ID],DimCustomer[Customer_Name])</f>
        <v>Jannat Rahman</v>
      </c>
      <c r="U856" s="6" t="str">
        <f>_xlfn.XLOOKUP(FactSales[[#This Row],[Salesperson_ID]],DimSalesman[Salesperson_ID],DimSalesman[Salesperson_Name])</f>
        <v>Tania Chowdhury</v>
      </c>
      <c r="V856" s="6" t="str">
        <f>_xlfn.XLOOKUP(FactSales[[#This Row],[Region_ID]],DimRegion[Region_ID],DimRegion[Region_Name])</f>
        <v>Khulna</v>
      </c>
      <c r="W856" s="6" t="str">
        <f>_xlfn.XLOOKUP(FactSales[[#This Row],[Store_ID]],DimStore[Store_ID],DimStore[Store_Name])</f>
        <v>Khulna Sonadanga Store</v>
      </c>
    </row>
    <row r="857" spans="1:23">
      <c r="A857" s="4" t="s">
        <v>1853</v>
      </c>
      <c r="B857" s="5">
        <v>46104</v>
      </c>
      <c r="C857" s="4" t="s">
        <v>171</v>
      </c>
      <c r="D857" s="4" t="s">
        <v>32</v>
      </c>
      <c r="E857" s="4" t="s">
        <v>644</v>
      </c>
      <c r="F857" s="4" t="s">
        <v>929</v>
      </c>
      <c r="G857" s="4" t="s">
        <v>773</v>
      </c>
      <c r="H857" s="4">
        <v>4</v>
      </c>
      <c r="I857" s="7">
        <v>0.18</v>
      </c>
      <c r="J857" s="6">
        <v>33881</v>
      </c>
      <c r="K857" s="4">
        <v>9</v>
      </c>
      <c r="L857" s="8">
        <f t="shared" si="13"/>
        <v>1.9</v>
      </c>
      <c r="M857" s="6" t="str">
        <f>_xlfn.XLOOKUP(FactSales[[#This Row],[Product_ID]],DimProduct[Product_ID],DimProduct[Product_Name])</f>
        <v>Rice Cooker</v>
      </c>
      <c r="N857" s="6" t="str">
        <f>_xlfn.XLOOKUP(FactSales[[#This Row],[Product_ID]],DimProduct[Product_ID],DimProduct[Category])</f>
        <v>Home Appliance</v>
      </c>
      <c r="O857" s="6">
        <f>_xlfn.XLOOKUP(FactSales[[#This Row],[Product_ID]],DimProduct[Product_ID],DimProduct[Unit_Price])</f>
        <v>7430</v>
      </c>
      <c r="P857" s="6">
        <f>_xlfn.XLOOKUP(FactSales[[#This Row],[Product_ID]],DimProduct[Product_ID],DimProduct[Unit_Cost])</f>
        <v>5200</v>
      </c>
      <c r="Q857" s="6">
        <f>FactSales[[#This Row],[Unit_Price]]*FactSales[[#This Row],[Quantity_Sold]]</f>
        <v>29720</v>
      </c>
      <c r="R857" s="6">
        <f>FactSales[[#This Row],[Unit_Cost]]*FactSales[[#This Row],[Quantity_Sold]]</f>
        <v>20800</v>
      </c>
      <c r="S857" s="6">
        <f>FactSales[[#This Row],[Sales_Amount]]-FactSales[[#This Row],[Total_Cost]]</f>
        <v>8920</v>
      </c>
      <c r="T857" s="6" t="str">
        <f>_xlfn.XLOOKUP(FactSales[[#This Row],[Customer_ID]],DimCustomer[Customer_ID],DimCustomer[Customer_Name])</f>
        <v>Mim Hossain</v>
      </c>
      <c r="U857" s="6" t="str">
        <f>_xlfn.XLOOKUP(FactSales[[#This Row],[Salesperson_ID]],DimSalesman[Salesperson_ID],DimSalesman[Salesperson_Name])</f>
        <v>Nabila Mia</v>
      </c>
      <c r="V857" s="6" t="str">
        <f>_xlfn.XLOOKUP(FactSales[[#This Row],[Region_ID]],DimRegion[Region_ID],DimRegion[Region_Name])</f>
        <v>Chattogram</v>
      </c>
      <c r="W857" s="6" t="str">
        <f>_xlfn.XLOOKUP(FactSales[[#This Row],[Store_ID]],DimStore[Store_ID],DimStore[Store_Name])</f>
        <v>Chattogram Panchlaish Store</v>
      </c>
    </row>
    <row r="858" spans="1:23">
      <c r="A858" s="4" t="s">
        <v>1854</v>
      </c>
      <c r="B858" s="5">
        <v>45862</v>
      </c>
      <c r="C858" s="4" t="s">
        <v>276</v>
      </c>
      <c r="D858" s="4" t="s">
        <v>37</v>
      </c>
      <c r="E858" s="4" t="s">
        <v>656</v>
      </c>
      <c r="F858" s="4" t="s">
        <v>936</v>
      </c>
      <c r="G858" s="4" t="s">
        <v>758</v>
      </c>
      <c r="H858" s="4">
        <v>2</v>
      </c>
      <c r="I858" s="7">
        <v>0.08</v>
      </c>
      <c r="J858" s="6">
        <v>6078</v>
      </c>
      <c r="K858" s="4">
        <v>2</v>
      </c>
      <c r="L858" s="8">
        <f t="shared" si="13"/>
        <v>4.4000000000000004</v>
      </c>
      <c r="M858" s="6" t="str">
        <f>_xlfn.XLOOKUP(FactSales[[#This Row],[Product_ID]],DimProduct[Product_ID],DimProduct[Product_Name])</f>
        <v>Power Bank</v>
      </c>
      <c r="N858" s="6" t="str">
        <f>_xlfn.XLOOKUP(FactSales[[#This Row],[Product_ID]],DimProduct[Product_ID],DimProduct[Category])</f>
        <v>Electronics</v>
      </c>
      <c r="O858" s="6">
        <f>_xlfn.XLOOKUP(FactSales[[#This Row],[Product_ID]],DimProduct[Product_ID],DimProduct[Unit_Price])</f>
        <v>2840</v>
      </c>
      <c r="P858" s="6">
        <f>_xlfn.XLOOKUP(FactSales[[#This Row],[Product_ID]],DimProduct[Product_ID],DimProduct[Unit_Cost])</f>
        <v>1930</v>
      </c>
      <c r="Q858" s="6">
        <f>FactSales[[#This Row],[Unit_Price]]*FactSales[[#This Row],[Quantity_Sold]]</f>
        <v>5680</v>
      </c>
      <c r="R858" s="6">
        <f>FactSales[[#This Row],[Unit_Cost]]*FactSales[[#This Row],[Quantity_Sold]]</f>
        <v>3860</v>
      </c>
      <c r="S858" s="6">
        <f>FactSales[[#This Row],[Sales_Amount]]-FactSales[[#This Row],[Total_Cost]]</f>
        <v>1820</v>
      </c>
      <c r="T858" s="6" t="str">
        <f>_xlfn.XLOOKUP(FactSales[[#This Row],[Customer_ID]],DimCustomer[Customer_ID],DimCustomer[Customer_Name])</f>
        <v>Samiha Ahmed</v>
      </c>
      <c r="U858" s="6" t="str">
        <f>_xlfn.XLOOKUP(FactSales[[#This Row],[Salesperson_ID]],DimSalesman[Salesperson_ID],DimSalesman[Salesperson_Name])</f>
        <v>Mehedi Chowdhury</v>
      </c>
      <c r="V858" s="6" t="str">
        <f>_xlfn.XLOOKUP(FactSales[[#This Row],[Region_ID]],DimRegion[Region_ID],DimRegion[Region_Name])</f>
        <v>Sylhet</v>
      </c>
      <c r="W858" s="6" t="str">
        <f>_xlfn.XLOOKUP(FactSales[[#This Row],[Store_ID]],DimStore[Store_ID],DimStore[Store_Name])</f>
        <v>Sylhet Ambarkhana Store</v>
      </c>
    </row>
    <row r="859" spans="1:23">
      <c r="A859" s="4" t="s">
        <v>1855</v>
      </c>
      <c r="B859" s="5">
        <v>46105</v>
      </c>
      <c r="C859" s="4" t="s">
        <v>593</v>
      </c>
      <c r="D859" s="4" t="s">
        <v>62</v>
      </c>
      <c r="E859" s="4" t="s">
        <v>731</v>
      </c>
      <c r="F859" s="4" t="s">
        <v>983</v>
      </c>
      <c r="G859" s="4" t="s">
        <v>862</v>
      </c>
      <c r="H859" s="4">
        <v>3</v>
      </c>
      <c r="I859" s="7">
        <v>0.1</v>
      </c>
      <c r="J859" s="6">
        <v>3596</v>
      </c>
      <c r="K859" s="4">
        <v>8</v>
      </c>
      <c r="L859" s="8">
        <f t="shared" si="13"/>
        <v>2.4</v>
      </c>
      <c r="M859" s="6" t="str">
        <f>_xlfn.XLOOKUP(FactSales[[#This Row],[Product_ID]],DimProduct[Product_ID],DimProduct[Product_Name])</f>
        <v>Dumbbell Set</v>
      </c>
      <c r="N859" s="6" t="str">
        <f>_xlfn.XLOOKUP(FactSales[[#This Row],[Product_ID]],DimProduct[Product_ID],DimProduct[Category])</f>
        <v>Sports</v>
      </c>
      <c r="O859" s="6">
        <f>_xlfn.XLOOKUP(FactSales[[#This Row],[Product_ID]],DimProduct[Product_ID],DimProduct[Unit_Price])</f>
        <v>1110</v>
      </c>
      <c r="P859" s="6">
        <f>_xlfn.XLOOKUP(FactSales[[#This Row],[Product_ID]],DimProduct[Product_ID],DimProduct[Unit_Cost])</f>
        <v>690</v>
      </c>
      <c r="Q859" s="6">
        <f>FactSales[[#This Row],[Unit_Price]]*FactSales[[#This Row],[Quantity_Sold]]</f>
        <v>3330</v>
      </c>
      <c r="R859" s="6">
        <f>FactSales[[#This Row],[Unit_Cost]]*FactSales[[#This Row],[Quantity_Sold]]</f>
        <v>2070</v>
      </c>
      <c r="S859" s="6">
        <f>FactSales[[#This Row],[Sales_Amount]]-FactSales[[#This Row],[Total_Cost]]</f>
        <v>1260</v>
      </c>
      <c r="T859" s="6" t="str">
        <f>_xlfn.XLOOKUP(FactSales[[#This Row],[Customer_ID]],DimCustomer[Customer_ID],DimCustomer[Customer_Name])</f>
        <v>Nusrat Akter</v>
      </c>
      <c r="U859" s="6" t="str">
        <f>_xlfn.XLOOKUP(FactSales[[#This Row],[Salesperson_ID]],DimSalesman[Salesperson_ID],DimSalesman[Salesperson_Name])</f>
        <v>Fahim Hossain</v>
      </c>
      <c r="V859" s="6" t="str">
        <f>_xlfn.XLOOKUP(FactSales[[#This Row],[Region_ID]],DimRegion[Region_ID],DimRegion[Region_Name])</f>
        <v>Mymensingh</v>
      </c>
      <c r="W859" s="6" t="str">
        <f>_xlfn.XLOOKUP(FactSales[[#This Row],[Store_ID]],DimStore[Store_ID],DimStore[Store_Name])</f>
        <v>Mymensingh Town Hall Store</v>
      </c>
    </row>
    <row r="860" spans="1:23">
      <c r="A860" s="4" t="s">
        <v>1856</v>
      </c>
      <c r="B860" s="5">
        <v>46135</v>
      </c>
      <c r="C860" s="4" t="s">
        <v>465</v>
      </c>
      <c r="D860" s="4" t="s">
        <v>52</v>
      </c>
      <c r="E860" s="4" t="s">
        <v>704</v>
      </c>
      <c r="F860" s="4" t="s">
        <v>964</v>
      </c>
      <c r="G860" s="4" t="s">
        <v>775</v>
      </c>
      <c r="H860" s="4">
        <v>3</v>
      </c>
      <c r="I860" s="7">
        <v>0.15</v>
      </c>
      <c r="J860" s="6">
        <v>8165</v>
      </c>
      <c r="K860" s="4">
        <v>9</v>
      </c>
      <c r="L860" s="8">
        <f t="shared" si="13"/>
        <v>2</v>
      </c>
      <c r="M860" s="6" t="str">
        <f>_xlfn.XLOOKUP(FactSales[[#This Row],[Product_ID]],DimProduct[Product_ID],DimProduct[Product_Name])</f>
        <v>Blender Machine</v>
      </c>
      <c r="N860" s="6" t="str">
        <f>_xlfn.XLOOKUP(FactSales[[#This Row],[Product_ID]],DimProduct[Product_ID],DimProduct[Category])</f>
        <v>Home Appliance</v>
      </c>
      <c r="O860" s="6">
        <f>_xlfn.XLOOKUP(FactSales[[#This Row],[Product_ID]],DimProduct[Product_ID],DimProduct[Unit_Price])</f>
        <v>2430</v>
      </c>
      <c r="P860" s="6">
        <f>_xlfn.XLOOKUP(FactSales[[#This Row],[Product_ID]],DimProduct[Product_ID],DimProduct[Unit_Cost])</f>
        <v>1700</v>
      </c>
      <c r="Q860" s="6">
        <f>FactSales[[#This Row],[Unit_Price]]*FactSales[[#This Row],[Quantity_Sold]]</f>
        <v>7290</v>
      </c>
      <c r="R860" s="6">
        <f>FactSales[[#This Row],[Unit_Cost]]*FactSales[[#This Row],[Quantity_Sold]]</f>
        <v>5100</v>
      </c>
      <c r="S860" s="6">
        <f>FactSales[[#This Row],[Sales_Amount]]-FactSales[[#This Row],[Total_Cost]]</f>
        <v>2190</v>
      </c>
      <c r="T860" s="6" t="str">
        <f>_xlfn.XLOOKUP(FactSales[[#This Row],[Customer_ID]],DimCustomer[Customer_ID],DimCustomer[Customer_Name])</f>
        <v>Shuvo Chowdhury</v>
      </c>
      <c r="U860" s="6" t="str">
        <f>_xlfn.XLOOKUP(FactSales[[#This Row],[Salesperson_ID]],DimSalesman[Salesperson_ID],DimSalesman[Salesperson_Name])</f>
        <v>Shaila Uddin</v>
      </c>
      <c r="V860" s="6" t="str">
        <f>_xlfn.XLOOKUP(FactSales[[#This Row],[Region_ID]],DimRegion[Region_ID],DimRegion[Region_Name])</f>
        <v>Barishal</v>
      </c>
      <c r="W860" s="6" t="str">
        <f>_xlfn.XLOOKUP(FactSales[[#This Row],[Store_ID]],DimStore[Store_ID],DimStore[Store_Name])</f>
        <v>Barishal Rupatali Store</v>
      </c>
    </row>
    <row r="861" spans="1:23">
      <c r="A861" s="4" t="s">
        <v>1857</v>
      </c>
      <c r="B861" s="5">
        <v>45906</v>
      </c>
      <c r="C861" s="4" t="s">
        <v>493</v>
      </c>
      <c r="D861" s="4" t="s">
        <v>57</v>
      </c>
      <c r="E861" s="4" t="s">
        <v>716</v>
      </c>
      <c r="F861" s="4" t="s">
        <v>976</v>
      </c>
      <c r="G861" s="4" t="s">
        <v>887</v>
      </c>
      <c r="H861" s="4">
        <v>3</v>
      </c>
      <c r="I861" s="7">
        <v>7.0000000000000007E-2</v>
      </c>
      <c r="J861" s="6">
        <v>7762</v>
      </c>
      <c r="K861" s="4">
        <v>6</v>
      </c>
      <c r="L861" s="8">
        <f t="shared" si="13"/>
        <v>3.1</v>
      </c>
      <c r="M861" s="6" t="str">
        <f>_xlfn.XLOOKUP(FactSales[[#This Row],[Product_ID]],DimProduct[Product_ID],DimProduct[Product_Name])</f>
        <v>Color Pencil Set</v>
      </c>
      <c r="N861" s="6" t="str">
        <f>_xlfn.XLOOKUP(FactSales[[#This Row],[Product_ID]],DimProduct[Product_ID],DimProduct[Category])</f>
        <v>Kids &amp; Toys</v>
      </c>
      <c r="O861" s="6">
        <f>_xlfn.XLOOKUP(FactSales[[#This Row],[Product_ID]],DimProduct[Product_ID],DimProduct[Unit_Price])</f>
        <v>2250</v>
      </c>
      <c r="P861" s="6">
        <f>_xlfn.XLOOKUP(FactSales[[#This Row],[Product_ID]],DimProduct[Product_ID],DimProduct[Unit_Cost])</f>
        <v>1240</v>
      </c>
      <c r="Q861" s="6">
        <f>FactSales[[#This Row],[Unit_Price]]*FactSales[[#This Row],[Quantity_Sold]]</f>
        <v>6750</v>
      </c>
      <c r="R861" s="6">
        <f>FactSales[[#This Row],[Unit_Cost]]*FactSales[[#This Row],[Quantity_Sold]]</f>
        <v>3720</v>
      </c>
      <c r="S861" s="6">
        <f>FactSales[[#This Row],[Sales_Amount]]-FactSales[[#This Row],[Total_Cost]]</f>
        <v>3030</v>
      </c>
      <c r="T861" s="6" t="str">
        <f>_xlfn.XLOOKUP(FactSales[[#This Row],[Customer_ID]],DimCustomer[Customer_ID],DimCustomer[Customer_Name])</f>
        <v>Mim Sultana</v>
      </c>
      <c r="U861" s="6" t="str">
        <f>_xlfn.XLOOKUP(FactSales[[#This Row],[Salesperson_ID]],DimSalesman[Salesperson_ID],DimSalesman[Salesperson_Name])</f>
        <v>Nayeem Rahman</v>
      </c>
      <c r="V861" s="6" t="str">
        <f>_xlfn.XLOOKUP(FactSales[[#This Row],[Region_ID]],DimRegion[Region_ID],DimRegion[Region_Name])</f>
        <v>Rangpur</v>
      </c>
      <c r="W861" s="6" t="str">
        <f>_xlfn.XLOOKUP(FactSales[[#This Row],[Store_ID]],DimStore[Store_ID],DimStore[Store_Name])</f>
        <v>Rangpur Shapla Chattar Store</v>
      </c>
    </row>
    <row r="862" spans="1:23">
      <c r="A862" s="4" t="s">
        <v>1858</v>
      </c>
      <c r="B862" s="5">
        <v>45712</v>
      </c>
      <c r="C862" s="4" t="s">
        <v>270</v>
      </c>
      <c r="D862" s="4" t="s">
        <v>37</v>
      </c>
      <c r="E862" s="4" t="s">
        <v>665</v>
      </c>
      <c r="F862" s="4" t="s">
        <v>939</v>
      </c>
      <c r="G862" s="4" t="s">
        <v>882</v>
      </c>
      <c r="H862" s="4">
        <v>4</v>
      </c>
      <c r="I862" s="7">
        <v>0.1</v>
      </c>
      <c r="J862" s="6">
        <v>7790</v>
      </c>
      <c r="K862" s="4">
        <v>5</v>
      </c>
      <c r="L862" s="8">
        <f t="shared" si="13"/>
        <v>3.4</v>
      </c>
      <c r="M862" s="6" t="str">
        <f>_xlfn.XLOOKUP(FactSales[[#This Row],[Product_ID]],DimProduct[Product_ID],DimProduct[Product_Name])</f>
        <v>Toy Car Set</v>
      </c>
      <c r="N862" s="6" t="str">
        <f>_xlfn.XLOOKUP(FactSales[[#This Row],[Product_ID]],DimProduct[Product_ID],DimProduct[Category])</f>
        <v>Kids &amp; Toys</v>
      </c>
      <c r="O862" s="6">
        <f>_xlfn.XLOOKUP(FactSales[[#This Row],[Product_ID]],DimProduct[Product_ID],DimProduct[Unit_Price])</f>
        <v>1820</v>
      </c>
      <c r="P862" s="6">
        <f>_xlfn.XLOOKUP(FactSales[[#This Row],[Product_ID]],DimProduct[Product_ID],DimProduct[Unit_Cost])</f>
        <v>1000</v>
      </c>
      <c r="Q862" s="6">
        <f>FactSales[[#This Row],[Unit_Price]]*FactSales[[#This Row],[Quantity_Sold]]</f>
        <v>7280</v>
      </c>
      <c r="R862" s="6">
        <f>FactSales[[#This Row],[Unit_Cost]]*FactSales[[#This Row],[Quantity_Sold]]</f>
        <v>4000</v>
      </c>
      <c r="S862" s="6">
        <f>FactSales[[#This Row],[Sales_Amount]]-FactSales[[#This Row],[Total_Cost]]</f>
        <v>3280</v>
      </c>
      <c r="T862" s="6" t="str">
        <f>_xlfn.XLOOKUP(FactSales[[#This Row],[Customer_ID]],DimCustomer[Customer_ID],DimCustomer[Customer_Name])</f>
        <v>Shaila Uddin</v>
      </c>
      <c r="U862" s="6" t="str">
        <f>_xlfn.XLOOKUP(FactSales[[#This Row],[Salesperson_ID]],DimSalesman[Salesperson_ID],DimSalesman[Salesperson_Name])</f>
        <v>Fahim Mia</v>
      </c>
      <c r="V862" s="6" t="str">
        <f>_xlfn.XLOOKUP(FactSales[[#This Row],[Region_ID]],DimRegion[Region_ID],DimRegion[Region_Name])</f>
        <v>Sylhet</v>
      </c>
      <c r="W862" s="6" t="str">
        <f>_xlfn.XLOOKUP(FactSales[[#This Row],[Store_ID]],DimStore[Store_ID],DimStore[Store_Name])</f>
        <v>Sylhet Upashahar Store</v>
      </c>
    </row>
    <row r="863" spans="1:23">
      <c r="A863" s="4" t="s">
        <v>1859</v>
      </c>
      <c r="B863" s="5">
        <v>45744</v>
      </c>
      <c r="C863" s="4" t="s">
        <v>612</v>
      </c>
      <c r="D863" s="4" t="s">
        <v>62</v>
      </c>
      <c r="E863" s="4" t="s">
        <v>740</v>
      </c>
      <c r="F863" s="4" t="s">
        <v>983</v>
      </c>
      <c r="G863" s="4" t="s">
        <v>874</v>
      </c>
      <c r="H863" s="4">
        <v>3</v>
      </c>
      <c r="I863" s="7">
        <v>0</v>
      </c>
      <c r="J863" s="6">
        <v>3370</v>
      </c>
      <c r="K863" s="4">
        <v>6</v>
      </c>
      <c r="L863" s="8">
        <f t="shared" si="13"/>
        <v>3.3</v>
      </c>
      <c r="M863" s="6" t="str">
        <f>_xlfn.XLOOKUP(FactSales[[#This Row],[Product_ID]],DimProduct[Product_ID],DimProduct[Product_Name])</f>
        <v>Marker Set</v>
      </c>
      <c r="N863" s="6" t="str">
        <f>_xlfn.XLOOKUP(FactSales[[#This Row],[Product_ID]],DimProduct[Product_ID],DimProduct[Category])</f>
        <v>Stationery</v>
      </c>
      <c r="O863" s="6">
        <f>_xlfn.XLOOKUP(FactSales[[#This Row],[Product_ID]],DimProduct[Product_ID],DimProduct[Unit_Price])</f>
        <v>1040</v>
      </c>
      <c r="P863" s="6">
        <f>_xlfn.XLOOKUP(FactSales[[#This Row],[Product_ID]],DimProduct[Product_ID],DimProduct[Unit_Cost])</f>
        <v>520</v>
      </c>
      <c r="Q863" s="6">
        <f>FactSales[[#This Row],[Unit_Price]]*FactSales[[#This Row],[Quantity_Sold]]</f>
        <v>3120</v>
      </c>
      <c r="R863" s="6">
        <f>FactSales[[#This Row],[Unit_Cost]]*FactSales[[#This Row],[Quantity_Sold]]</f>
        <v>1560</v>
      </c>
      <c r="S863" s="6">
        <f>FactSales[[#This Row],[Sales_Amount]]-FactSales[[#This Row],[Total_Cost]]</f>
        <v>1560</v>
      </c>
      <c r="T863" s="6" t="str">
        <f>_xlfn.XLOOKUP(FactSales[[#This Row],[Customer_ID]],DimCustomer[Customer_ID],DimCustomer[Customer_Name])</f>
        <v>Shaila Ahmed</v>
      </c>
      <c r="U863" s="6" t="str">
        <f>_xlfn.XLOOKUP(FactSales[[#This Row],[Salesperson_ID]],DimSalesman[Salesperson_ID],DimSalesman[Salesperson_Name])</f>
        <v>Fahim Hossain</v>
      </c>
      <c r="V863" s="6" t="str">
        <f>_xlfn.XLOOKUP(FactSales[[#This Row],[Region_ID]],DimRegion[Region_ID],DimRegion[Region_Name])</f>
        <v>Mymensingh</v>
      </c>
      <c r="W863" s="6" t="str">
        <f>_xlfn.XLOOKUP(FactSales[[#This Row],[Store_ID]],DimStore[Store_ID],DimStore[Store_Name])</f>
        <v>Mymensingh Maskanda Store</v>
      </c>
    </row>
    <row r="864" spans="1:23">
      <c r="A864" s="4" t="s">
        <v>1860</v>
      </c>
      <c r="B864" s="5">
        <v>45997</v>
      </c>
      <c r="C864" s="4" t="s">
        <v>472</v>
      </c>
      <c r="D864" s="4" t="s">
        <v>52</v>
      </c>
      <c r="E864" s="4" t="s">
        <v>698</v>
      </c>
      <c r="F864" s="4" t="s">
        <v>963</v>
      </c>
      <c r="G864" s="4" t="s">
        <v>810</v>
      </c>
      <c r="H864" s="4">
        <v>5</v>
      </c>
      <c r="I864" s="7">
        <v>0</v>
      </c>
      <c r="J864" s="6">
        <v>2464</v>
      </c>
      <c r="K864" s="4">
        <v>4</v>
      </c>
      <c r="L864" s="8">
        <f t="shared" si="13"/>
        <v>3.9</v>
      </c>
      <c r="M864" s="6" t="str">
        <f>_xlfn.XLOOKUP(FactSales[[#This Row],[Product_ID]],DimProduct[Product_ID],DimProduct[Product_Name])</f>
        <v>Flour 2kg</v>
      </c>
      <c r="N864" s="6" t="str">
        <f>_xlfn.XLOOKUP(FactSales[[#This Row],[Product_ID]],DimProduct[Product_ID],DimProduct[Category])</f>
        <v>Grocery</v>
      </c>
      <c r="O864" s="6">
        <f>_xlfn.XLOOKUP(FactSales[[#This Row],[Product_ID]],DimProduct[Product_ID],DimProduct[Unit_Price])</f>
        <v>440</v>
      </c>
      <c r="P864" s="6">
        <f>_xlfn.XLOOKUP(FactSales[[#This Row],[Product_ID]],DimProduct[Product_ID],DimProduct[Unit_Cost])</f>
        <v>340</v>
      </c>
      <c r="Q864" s="6">
        <f>FactSales[[#This Row],[Unit_Price]]*FactSales[[#This Row],[Quantity_Sold]]</f>
        <v>2200</v>
      </c>
      <c r="R864" s="6">
        <f>FactSales[[#This Row],[Unit_Cost]]*FactSales[[#This Row],[Quantity_Sold]]</f>
        <v>1700</v>
      </c>
      <c r="S864" s="6">
        <f>FactSales[[#This Row],[Sales_Amount]]-FactSales[[#This Row],[Total_Cost]]</f>
        <v>500</v>
      </c>
      <c r="T864" s="6" t="str">
        <f>_xlfn.XLOOKUP(FactSales[[#This Row],[Customer_ID]],DimCustomer[Customer_ID],DimCustomer[Customer_Name])</f>
        <v>Rumana Akter</v>
      </c>
      <c r="U864" s="6" t="str">
        <f>_xlfn.XLOOKUP(FactSales[[#This Row],[Salesperson_ID]],DimSalesman[Salesperson_ID],DimSalesman[Salesperson_Name])</f>
        <v>Rasel Uddin</v>
      </c>
      <c r="V864" s="6" t="str">
        <f>_xlfn.XLOOKUP(FactSales[[#This Row],[Region_ID]],DimRegion[Region_ID],DimRegion[Region_Name])</f>
        <v>Barishal</v>
      </c>
      <c r="W864" s="6" t="str">
        <f>_xlfn.XLOOKUP(FactSales[[#This Row],[Store_ID]],DimStore[Store_ID],DimStore[Store_Name])</f>
        <v>Barishal Nathullabad Store</v>
      </c>
    </row>
    <row r="865" spans="1:23">
      <c r="A865" s="4" t="s">
        <v>1861</v>
      </c>
      <c r="B865" s="5">
        <v>45816</v>
      </c>
      <c r="C865" s="4" t="s">
        <v>562</v>
      </c>
      <c r="D865" s="4" t="s">
        <v>62</v>
      </c>
      <c r="E865" s="4" t="s">
        <v>731</v>
      </c>
      <c r="F865" s="4" t="s">
        <v>987</v>
      </c>
      <c r="G865" s="4" t="s">
        <v>831</v>
      </c>
      <c r="H865" s="4">
        <v>2</v>
      </c>
      <c r="I865" s="7">
        <v>7.0000000000000007E-2</v>
      </c>
      <c r="J865" s="6">
        <v>2722</v>
      </c>
      <c r="K865" s="4">
        <v>2</v>
      </c>
      <c r="L865" s="8">
        <f t="shared" si="13"/>
        <v>4.4000000000000004</v>
      </c>
      <c r="M865" s="6" t="str">
        <f>_xlfn.XLOOKUP(FactSales[[#This Row],[Product_ID]],DimProduct[Product_ID],DimProduct[Product_Name])</f>
        <v>Perfume Spray</v>
      </c>
      <c r="N865" s="6" t="str">
        <f>_xlfn.XLOOKUP(FactSales[[#This Row],[Product_ID]],DimProduct[Product_ID],DimProduct[Category])</f>
        <v>Beauty &amp; Personal Care</v>
      </c>
      <c r="O865" s="6">
        <f>_xlfn.XLOOKUP(FactSales[[#This Row],[Product_ID]],DimProduct[Product_ID],DimProduct[Unit_Price])</f>
        <v>1260</v>
      </c>
      <c r="P865" s="6">
        <f>_xlfn.XLOOKUP(FactSales[[#This Row],[Product_ID]],DimProduct[Product_ID],DimProduct[Unit_Cost])</f>
        <v>730</v>
      </c>
      <c r="Q865" s="6">
        <f>FactSales[[#This Row],[Unit_Price]]*FactSales[[#This Row],[Quantity_Sold]]</f>
        <v>2520</v>
      </c>
      <c r="R865" s="6">
        <f>FactSales[[#This Row],[Unit_Cost]]*FactSales[[#This Row],[Quantity_Sold]]</f>
        <v>1460</v>
      </c>
      <c r="S865" s="6">
        <f>FactSales[[#This Row],[Sales_Amount]]-FactSales[[#This Row],[Total_Cost]]</f>
        <v>1060</v>
      </c>
      <c r="T865" s="6" t="str">
        <f>_xlfn.XLOOKUP(FactSales[[#This Row],[Customer_ID]],DimCustomer[Customer_ID],DimCustomer[Customer_Name])</f>
        <v>Shamim Hossain</v>
      </c>
      <c r="U865" s="6" t="str">
        <f>_xlfn.XLOOKUP(FactSales[[#This Row],[Salesperson_ID]],DimSalesman[Salesperson_ID],DimSalesman[Salesperson_Name])</f>
        <v>Tanvir Chowdhury</v>
      </c>
      <c r="V865" s="6" t="str">
        <f>_xlfn.XLOOKUP(FactSales[[#This Row],[Region_ID]],DimRegion[Region_ID],DimRegion[Region_Name])</f>
        <v>Mymensingh</v>
      </c>
      <c r="W865" s="6" t="str">
        <f>_xlfn.XLOOKUP(FactSales[[#This Row],[Store_ID]],DimStore[Store_ID],DimStore[Store_Name])</f>
        <v>Mymensingh Town Hall Store</v>
      </c>
    </row>
    <row r="866" spans="1:23">
      <c r="A866" s="4" t="s">
        <v>1862</v>
      </c>
      <c r="B866" s="5">
        <v>45726</v>
      </c>
      <c r="C866" s="4" t="s">
        <v>118</v>
      </c>
      <c r="D866" s="4" t="s">
        <v>27</v>
      </c>
      <c r="E866" s="4" t="s">
        <v>634</v>
      </c>
      <c r="F866" s="4" t="s">
        <v>920</v>
      </c>
      <c r="G866" s="4" t="s">
        <v>762</v>
      </c>
      <c r="H866" s="4">
        <v>3</v>
      </c>
      <c r="I866" s="7">
        <v>0.08</v>
      </c>
      <c r="J866" s="6">
        <v>12307</v>
      </c>
      <c r="K866" s="4">
        <v>1</v>
      </c>
      <c r="L866" s="8">
        <f t="shared" si="13"/>
        <v>4.7</v>
      </c>
      <c r="M866" s="6" t="str">
        <f>_xlfn.XLOOKUP(FactSales[[#This Row],[Product_ID]],DimProduct[Product_ID],DimProduct[Product_Name])</f>
        <v>Smart Watch</v>
      </c>
      <c r="N866" s="6" t="str">
        <f>_xlfn.XLOOKUP(FactSales[[#This Row],[Product_ID]],DimProduct[Product_ID],DimProduct[Category])</f>
        <v>Electronics</v>
      </c>
      <c r="O866" s="6">
        <f>_xlfn.XLOOKUP(FactSales[[#This Row],[Product_ID]],DimProduct[Product_ID],DimProduct[Unit_Price])</f>
        <v>3870</v>
      </c>
      <c r="P866" s="6">
        <f>_xlfn.XLOOKUP(FactSales[[#This Row],[Product_ID]],DimProduct[Product_ID],DimProduct[Unit_Cost])</f>
        <v>2630</v>
      </c>
      <c r="Q866" s="6">
        <f>FactSales[[#This Row],[Unit_Price]]*FactSales[[#This Row],[Quantity_Sold]]</f>
        <v>11610</v>
      </c>
      <c r="R866" s="6">
        <f>FactSales[[#This Row],[Unit_Cost]]*FactSales[[#This Row],[Quantity_Sold]]</f>
        <v>7890</v>
      </c>
      <c r="S866" s="6">
        <f>FactSales[[#This Row],[Sales_Amount]]-FactSales[[#This Row],[Total_Cost]]</f>
        <v>3720</v>
      </c>
      <c r="T866" s="6" t="str">
        <f>_xlfn.XLOOKUP(FactSales[[#This Row],[Customer_ID]],DimCustomer[Customer_ID],DimCustomer[Customer_Name])</f>
        <v>Rafi Hossain</v>
      </c>
      <c r="U866" s="6" t="str">
        <f>_xlfn.XLOOKUP(FactSales[[#This Row],[Salesperson_ID]],DimSalesman[Salesperson_ID],DimSalesman[Salesperson_Name])</f>
        <v>Rahim Hossain</v>
      </c>
      <c r="V866" s="6" t="str">
        <f>_xlfn.XLOOKUP(FactSales[[#This Row],[Region_ID]],DimRegion[Region_ID],DimRegion[Region_Name])</f>
        <v>Dhaka</v>
      </c>
      <c r="W866" s="6" t="str">
        <f>_xlfn.XLOOKUP(FactSales[[#This Row],[Store_ID]],DimStore[Store_ID],DimStore[Store_Name])</f>
        <v>Dhaka Motijheel Store</v>
      </c>
    </row>
    <row r="867" spans="1:23">
      <c r="A867" s="4" t="s">
        <v>1863</v>
      </c>
      <c r="B867" s="5">
        <v>45714</v>
      </c>
      <c r="C867" s="4" t="s">
        <v>192</v>
      </c>
      <c r="D867" s="4" t="s">
        <v>32</v>
      </c>
      <c r="E867" s="4" t="s">
        <v>638</v>
      </c>
      <c r="F867" s="4" t="s">
        <v>929</v>
      </c>
      <c r="G867" s="4" t="s">
        <v>784</v>
      </c>
      <c r="H867" s="4">
        <v>6</v>
      </c>
      <c r="I867" s="7">
        <v>7.0000000000000007E-2</v>
      </c>
      <c r="J867" s="6">
        <v>12791</v>
      </c>
      <c r="K867" s="4">
        <v>5</v>
      </c>
      <c r="L867" s="8">
        <f t="shared" si="13"/>
        <v>3.4</v>
      </c>
      <c r="M867" s="6" t="str">
        <f>_xlfn.XLOOKUP(FactSales[[#This Row],[Product_ID]],DimProduct[Product_ID],DimProduct[Product_Name])</f>
        <v>Cotton T-Shirt</v>
      </c>
      <c r="N867" s="6" t="str">
        <f>_xlfn.XLOOKUP(FactSales[[#This Row],[Product_ID]],DimProduct[Product_ID],DimProduct[Category])</f>
        <v>Fashion</v>
      </c>
      <c r="O867" s="6">
        <f>_xlfn.XLOOKUP(FactSales[[#This Row],[Product_ID]],DimProduct[Product_ID],DimProduct[Unit_Price])</f>
        <v>1870</v>
      </c>
      <c r="P867" s="6">
        <f>_xlfn.XLOOKUP(FactSales[[#This Row],[Product_ID]],DimProduct[Product_ID],DimProduct[Unit_Cost])</f>
        <v>1030</v>
      </c>
      <c r="Q867" s="6">
        <f>FactSales[[#This Row],[Unit_Price]]*FactSales[[#This Row],[Quantity_Sold]]</f>
        <v>11220</v>
      </c>
      <c r="R867" s="6">
        <f>FactSales[[#This Row],[Unit_Cost]]*FactSales[[#This Row],[Quantity_Sold]]</f>
        <v>6180</v>
      </c>
      <c r="S867" s="6">
        <f>FactSales[[#This Row],[Sales_Amount]]-FactSales[[#This Row],[Total_Cost]]</f>
        <v>5040</v>
      </c>
      <c r="T867" s="6" t="str">
        <f>_xlfn.XLOOKUP(FactSales[[#This Row],[Customer_ID]],DimCustomer[Customer_ID],DimCustomer[Customer_Name])</f>
        <v>Arif Ahmed</v>
      </c>
      <c r="U867" s="6" t="str">
        <f>_xlfn.XLOOKUP(FactSales[[#This Row],[Salesperson_ID]],DimSalesman[Salesperson_ID],DimSalesman[Salesperson_Name])</f>
        <v>Nabila Mia</v>
      </c>
      <c r="V867" s="6" t="str">
        <f>_xlfn.XLOOKUP(FactSales[[#This Row],[Region_ID]],DimRegion[Region_ID],DimRegion[Region_Name])</f>
        <v>Chattogram</v>
      </c>
      <c r="W867" s="6" t="str">
        <f>_xlfn.XLOOKUP(FactSales[[#This Row],[Store_ID]],DimStore[Store_ID],DimStore[Store_Name])</f>
        <v>Chattogram Agrabad Store</v>
      </c>
    </row>
    <row r="868" spans="1:23">
      <c r="A868" s="4" t="s">
        <v>1864</v>
      </c>
      <c r="B868" s="5">
        <v>45924</v>
      </c>
      <c r="C868" s="4" t="s">
        <v>525</v>
      </c>
      <c r="D868" s="4" t="s">
        <v>57</v>
      </c>
      <c r="E868" s="4" t="s">
        <v>716</v>
      </c>
      <c r="F868" s="4" t="s">
        <v>970</v>
      </c>
      <c r="G868" s="4" t="s">
        <v>874</v>
      </c>
      <c r="H868" s="4">
        <v>5</v>
      </c>
      <c r="I868" s="7">
        <v>0.05</v>
      </c>
      <c r="J868" s="6">
        <v>5980</v>
      </c>
      <c r="K868" s="4">
        <v>8</v>
      </c>
      <c r="L868" s="8">
        <f t="shared" si="13"/>
        <v>2.5</v>
      </c>
      <c r="M868" s="6" t="str">
        <f>_xlfn.XLOOKUP(FactSales[[#This Row],[Product_ID]],DimProduct[Product_ID],DimProduct[Product_Name])</f>
        <v>Marker Set</v>
      </c>
      <c r="N868" s="6" t="str">
        <f>_xlfn.XLOOKUP(FactSales[[#This Row],[Product_ID]],DimProduct[Product_ID],DimProduct[Category])</f>
        <v>Stationery</v>
      </c>
      <c r="O868" s="6">
        <f>_xlfn.XLOOKUP(FactSales[[#This Row],[Product_ID]],DimProduct[Product_ID],DimProduct[Unit_Price])</f>
        <v>1040</v>
      </c>
      <c r="P868" s="6">
        <f>_xlfn.XLOOKUP(FactSales[[#This Row],[Product_ID]],DimProduct[Product_ID],DimProduct[Unit_Cost])</f>
        <v>520</v>
      </c>
      <c r="Q868" s="6">
        <f>FactSales[[#This Row],[Unit_Price]]*FactSales[[#This Row],[Quantity_Sold]]</f>
        <v>5200</v>
      </c>
      <c r="R868" s="6">
        <f>FactSales[[#This Row],[Unit_Cost]]*FactSales[[#This Row],[Quantity_Sold]]</f>
        <v>2600</v>
      </c>
      <c r="S868" s="6">
        <f>FactSales[[#This Row],[Sales_Amount]]-FactSales[[#This Row],[Total_Cost]]</f>
        <v>2600</v>
      </c>
      <c r="T868" s="6" t="str">
        <f>_xlfn.XLOOKUP(FactSales[[#This Row],[Customer_ID]],DimCustomer[Customer_ID],DimCustomer[Customer_Name])</f>
        <v>Tamanna Mia</v>
      </c>
      <c r="U868" s="6" t="str">
        <f>_xlfn.XLOOKUP(FactSales[[#This Row],[Salesperson_ID]],DimSalesman[Salesperson_ID],DimSalesman[Salesperson_Name])</f>
        <v>Tanvir Islam</v>
      </c>
      <c r="V868" s="6" t="str">
        <f>_xlfn.XLOOKUP(FactSales[[#This Row],[Region_ID]],DimRegion[Region_ID],DimRegion[Region_Name])</f>
        <v>Rangpur</v>
      </c>
      <c r="W868" s="6" t="str">
        <f>_xlfn.XLOOKUP(FactSales[[#This Row],[Store_ID]],DimStore[Store_ID],DimStore[Store_Name])</f>
        <v>Rangpur Shapla Chattar Store</v>
      </c>
    </row>
    <row r="869" spans="1:23">
      <c r="A869" s="4" t="s">
        <v>1865</v>
      </c>
      <c r="B869" s="5">
        <v>45904</v>
      </c>
      <c r="C869" s="4" t="s">
        <v>498</v>
      </c>
      <c r="D869" s="4" t="s">
        <v>57</v>
      </c>
      <c r="E869" s="4" t="s">
        <v>713</v>
      </c>
      <c r="F869" s="4" t="s">
        <v>970</v>
      </c>
      <c r="G869" s="4" t="s">
        <v>758</v>
      </c>
      <c r="H869" s="4">
        <v>1</v>
      </c>
      <c r="I869" s="7">
        <v>0.18</v>
      </c>
      <c r="J869" s="6">
        <v>3266</v>
      </c>
      <c r="K869" s="4">
        <v>4</v>
      </c>
      <c r="L869" s="8">
        <f t="shared" si="13"/>
        <v>3.5</v>
      </c>
      <c r="M869" s="6" t="str">
        <f>_xlfn.XLOOKUP(FactSales[[#This Row],[Product_ID]],DimProduct[Product_ID],DimProduct[Product_Name])</f>
        <v>Power Bank</v>
      </c>
      <c r="N869" s="6" t="str">
        <f>_xlfn.XLOOKUP(FactSales[[#This Row],[Product_ID]],DimProduct[Product_ID],DimProduct[Category])</f>
        <v>Electronics</v>
      </c>
      <c r="O869" s="6">
        <f>_xlfn.XLOOKUP(FactSales[[#This Row],[Product_ID]],DimProduct[Product_ID],DimProduct[Unit_Price])</f>
        <v>2840</v>
      </c>
      <c r="P869" s="6">
        <f>_xlfn.XLOOKUP(FactSales[[#This Row],[Product_ID]],DimProduct[Product_ID],DimProduct[Unit_Cost])</f>
        <v>1930</v>
      </c>
      <c r="Q869" s="6">
        <f>FactSales[[#This Row],[Unit_Price]]*FactSales[[#This Row],[Quantity_Sold]]</f>
        <v>2840</v>
      </c>
      <c r="R869" s="6">
        <f>FactSales[[#This Row],[Unit_Cost]]*FactSales[[#This Row],[Quantity_Sold]]</f>
        <v>1930</v>
      </c>
      <c r="S869" s="6">
        <f>FactSales[[#This Row],[Sales_Amount]]-FactSales[[#This Row],[Total_Cost]]</f>
        <v>910</v>
      </c>
      <c r="T869" s="6" t="str">
        <f>_xlfn.XLOOKUP(FactSales[[#This Row],[Customer_ID]],DimCustomer[Customer_ID],DimCustomer[Customer_Name])</f>
        <v>Shakib Mia</v>
      </c>
      <c r="U869" s="6" t="str">
        <f>_xlfn.XLOOKUP(FactSales[[#This Row],[Salesperson_ID]],DimSalesman[Salesperson_ID],DimSalesman[Salesperson_Name])</f>
        <v>Tanvir Islam</v>
      </c>
      <c r="V869" s="6" t="str">
        <f>_xlfn.XLOOKUP(FactSales[[#This Row],[Region_ID]],DimRegion[Region_ID],DimRegion[Region_Name])</f>
        <v>Rangpur</v>
      </c>
      <c r="W869" s="6" t="str">
        <f>_xlfn.XLOOKUP(FactSales[[#This Row],[Store_ID]],DimStore[Store_ID],DimStore[Store_Name])</f>
        <v>Rangpur Jahaj Company Store</v>
      </c>
    </row>
    <row r="870" spans="1:23">
      <c r="A870" s="4" t="s">
        <v>1866</v>
      </c>
      <c r="B870" s="5">
        <v>45760</v>
      </c>
      <c r="C870" s="4" t="s">
        <v>326</v>
      </c>
      <c r="D870" s="4" t="s">
        <v>42</v>
      </c>
      <c r="E870" s="4" t="s">
        <v>677</v>
      </c>
      <c r="F870" s="4" t="s">
        <v>945</v>
      </c>
      <c r="G870" s="4" t="s">
        <v>768</v>
      </c>
      <c r="H870" s="4">
        <v>9</v>
      </c>
      <c r="I870" s="7">
        <v>0.12</v>
      </c>
      <c r="J870" s="6">
        <v>69984</v>
      </c>
      <c r="K870" s="4">
        <v>5</v>
      </c>
      <c r="L870" s="8">
        <f t="shared" si="13"/>
        <v>3.3</v>
      </c>
      <c r="M870" s="6" t="str">
        <f>_xlfn.XLOOKUP(FactSales[[#This Row],[Product_ID]],DimProduct[Product_ID],DimProduct[Product_Name])</f>
        <v>Electric Kettle</v>
      </c>
      <c r="N870" s="6" t="str">
        <f>_xlfn.XLOOKUP(FactSales[[#This Row],[Product_ID]],DimProduct[Product_ID],DimProduct[Category])</f>
        <v>Home Appliance</v>
      </c>
      <c r="O870" s="6">
        <f>_xlfn.XLOOKUP(FactSales[[#This Row],[Product_ID]],DimProduct[Product_ID],DimProduct[Unit_Price])</f>
        <v>7200</v>
      </c>
      <c r="P870" s="6">
        <f>_xlfn.XLOOKUP(FactSales[[#This Row],[Product_ID]],DimProduct[Product_ID],DimProduct[Unit_Cost])</f>
        <v>5040</v>
      </c>
      <c r="Q870" s="6">
        <f>FactSales[[#This Row],[Unit_Price]]*FactSales[[#This Row],[Quantity_Sold]]</f>
        <v>64800</v>
      </c>
      <c r="R870" s="6">
        <f>FactSales[[#This Row],[Unit_Cost]]*FactSales[[#This Row],[Quantity_Sold]]</f>
        <v>45360</v>
      </c>
      <c r="S870" s="6">
        <f>FactSales[[#This Row],[Sales_Amount]]-FactSales[[#This Row],[Total_Cost]]</f>
        <v>19440</v>
      </c>
      <c r="T870" s="6" t="str">
        <f>_xlfn.XLOOKUP(FactSales[[#This Row],[Customer_ID]],DimCustomer[Customer_ID],DimCustomer[Customer_Name])</f>
        <v>Hasan Rahman</v>
      </c>
      <c r="U870" s="6" t="str">
        <f>_xlfn.XLOOKUP(FactSales[[#This Row],[Salesperson_ID]],DimSalesman[Salesperson_ID],DimSalesman[Salesperson_Name])</f>
        <v>Hasan Khan</v>
      </c>
      <c r="V870" s="6" t="str">
        <f>_xlfn.XLOOKUP(FactSales[[#This Row],[Region_ID]],DimRegion[Region_ID],DimRegion[Region_Name])</f>
        <v>Rajshahi</v>
      </c>
      <c r="W870" s="6" t="str">
        <f>_xlfn.XLOOKUP(FactSales[[#This Row],[Store_ID]],DimStore[Store_ID],DimStore[Store_Name])</f>
        <v>Rajshahi Railgate Store</v>
      </c>
    </row>
    <row r="871" spans="1:23">
      <c r="A871" s="4" t="s">
        <v>1867</v>
      </c>
      <c r="B871" s="5">
        <v>45948</v>
      </c>
      <c r="C871" s="4" t="s">
        <v>189</v>
      </c>
      <c r="D871" s="4" t="s">
        <v>32</v>
      </c>
      <c r="E871" s="4" t="s">
        <v>647</v>
      </c>
      <c r="F871" s="4" t="s">
        <v>927</v>
      </c>
      <c r="G871" s="4" t="s">
        <v>758</v>
      </c>
      <c r="H871" s="4">
        <v>2</v>
      </c>
      <c r="I871" s="7">
        <v>0.18</v>
      </c>
      <c r="J871" s="6">
        <v>6475</v>
      </c>
      <c r="K871" s="4">
        <v>3</v>
      </c>
      <c r="L871" s="8">
        <f t="shared" si="13"/>
        <v>3.8</v>
      </c>
      <c r="M871" s="6" t="str">
        <f>_xlfn.XLOOKUP(FactSales[[#This Row],[Product_ID]],DimProduct[Product_ID],DimProduct[Product_Name])</f>
        <v>Power Bank</v>
      </c>
      <c r="N871" s="6" t="str">
        <f>_xlfn.XLOOKUP(FactSales[[#This Row],[Product_ID]],DimProduct[Product_ID],DimProduct[Category])</f>
        <v>Electronics</v>
      </c>
      <c r="O871" s="6">
        <f>_xlfn.XLOOKUP(FactSales[[#This Row],[Product_ID]],DimProduct[Product_ID],DimProduct[Unit_Price])</f>
        <v>2840</v>
      </c>
      <c r="P871" s="6">
        <f>_xlfn.XLOOKUP(FactSales[[#This Row],[Product_ID]],DimProduct[Product_ID],DimProduct[Unit_Cost])</f>
        <v>1930</v>
      </c>
      <c r="Q871" s="6">
        <f>FactSales[[#This Row],[Unit_Price]]*FactSales[[#This Row],[Quantity_Sold]]</f>
        <v>5680</v>
      </c>
      <c r="R871" s="6">
        <f>FactSales[[#This Row],[Unit_Cost]]*FactSales[[#This Row],[Quantity_Sold]]</f>
        <v>3860</v>
      </c>
      <c r="S871" s="6">
        <f>FactSales[[#This Row],[Sales_Amount]]-FactSales[[#This Row],[Total_Cost]]</f>
        <v>1820</v>
      </c>
      <c r="T871" s="6" t="str">
        <f>_xlfn.XLOOKUP(FactSales[[#This Row],[Customer_ID]],DimCustomer[Customer_ID],DimCustomer[Customer_Name])</f>
        <v>Sajib Sultana</v>
      </c>
      <c r="U871" s="6" t="str">
        <f>_xlfn.XLOOKUP(FactSales[[#This Row],[Salesperson_ID]],DimSalesman[Salesperson_ID],DimSalesman[Salesperson_Name])</f>
        <v>Shakib Ahmed</v>
      </c>
      <c r="V871" s="6" t="str">
        <f>_xlfn.XLOOKUP(FactSales[[#This Row],[Region_ID]],DimRegion[Region_ID],DimRegion[Region_Name])</f>
        <v>Chattogram</v>
      </c>
      <c r="W871" s="6" t="str">
        <f>_xlfn.XLOOKUP(FactSales[[#This Row],[Store_ID]],DimStore[Store_ID],DimStore[Store_Name])</f>
        <v>Chattogram Nasirabad Store</v>
      </c>
    </row>
    <row r="872" spans="1:23">
      <c r="A872" s="4" t="s">
        <v>1868</v>
      </c>
      <c r="B872" s="5">
        <v>46113</v>
      </c>
      <c r="C872" s="4" t="s">
        <v>488</v>
      </c>
      <c r="D872" s="4" t="s">
        <v>57</v>
      </c>
      <c r="E872" s="4" t="s">
        <v>725</v>
      </c>
      <c r="F872" s="4" t="s">
        <v>972</v>
      </c>
      <c r="G872" s="4" t="s">
        <v>750</v>
      </c>
      <c r="H872" s="4">
        <v>2</v>
      </c>
      <c r="I872" s="7">
        <v>0.1</v>
      </c>
      <c r="J872" s="6">
        <v>7452</v>
      </c>
      <c r="K872" s="4">
        <v>3</v>
      </c>
      <c r="L872" s="8">
        <f t="shared" si="13"/>
        <v>4</v>
      </c>
      <c r="M872" s="6" t="str">
        <f>_xlfn.XLOOKUP(FactSales[[#This Row],[Product_ID]],DimProduct[Product_ID],DimProduct[Product_Name])</f>
        <v>Bluetooth Speaker</v>
      </c>
      <c r="N872" s="6" t="str">
        <f>_xlfn.XLOOKUP(FactSales[[#This Row],[Product_ID]],DimProduct[Product_ID],DimProduct[Category])</f>
        <v>Electronics</v>
      </c>
      <c r="O872" s="6">
        <f>_xlfn.XLOOKUP(FactSales[[#This Row],[Product_ID]],DimProduct[Product_ID],DimProduct[Unit_Price])</f>
        <v>3240</v>
      </c>
      <c r="P872" s="6">
        <f>_xlfn.XLOOKUP(FactSales[[#This Row],[Product_ID]],DimProduct[Product_ID],DimProduct[Unit_Cost])</f>
        <v>2200</v>
      </c>
      <c r="Q872" s="6">
        <f>FactSales[[#This Row],[Unit_Price]]*FactSales[[#This Row],[Quantity_Sold]]</f>
        <v>6480</v>
      </c>
      <c r="R872" s="6">
        <f>FactSales[[#This Row],[Unit_Cost]]*FactSales[[#This Row],[Quantity_Sold]]</f>
        <v>4400</v>
      </c>
      <c r="S872" s="6">
        <f>FactSales[[#This Row],[Sales_Amount]]-FactSales[[#This Row],[Total_Cost]]</f>
        <v>2080</v>
      </c>
      <c r="T872" s="6" t="str">
        <f>_xlfn.XLOOKUP(FactSales[[#This Row],[Customer_ID]],DimCustomer[Customer_ID],DimCustomer[Customer_Name])</f>
        <v>Jannat Khan</v>
      </c>
      <c r="U872" s="6" t="str">
        <f>_xlfn.XLOOKUP(FactSales[[#This Row],[Salesperson_ID]],DimSalesman[Salesperson_ID],DimSalesman[Salesperson_Name])</f>
        <v>Samiha Hossain</v>
      </c>
      <c r="V872" s="6" t="str">
        <f>_xlfn.XLOOKUP(FactSales[[#This Row],[Region_ID]],DimRegion[Region_ID],DimRegion[Region_Name])</f>
        <v>Rangpur</v>
      </c>
      <c r="W872" s="6" t="str">
        <f>_xlfn.XLOOKUP(FactSales[[#This Row],[Store_ID]],DimStore[Store_ID],DimStore[Store_Name])</f>
        <v>Rangpur Central Road Store</v>
      </c>
    </row>
    <row r="873" spans="1:23">
      <c r="A873" s="4" t="s">
        <v>1869</v>
      </c>
      <c r="B873" s="5">
        <v>46173</v>
      </c>
      <c r="C873" s="4" t="s">
        <v>354</v>
      </c>
      <c r="D873" s="4" t="s">
        <v>47</v>
      </c>
      <c r="E873" s="4" t="s">
        <v>686</v>
      </c>
      <c r="F873" s="4" t="s">
        <v>954</v>
      </c>
      <c r="G873" s="4" t="s">
        <v>797</v>
      </c>
      <c r="H873" s="4">
        <v>1</v>
      </c>
      <c r="I873" s="7">
        <v>0.12</v>
      </c>
      <c r="J873" s="6">
        <v>2856</v>
      </c>
      <c r="K873" s="4">
        <v>4</v>
      </c>
      <c r="L873" s="8">
        <f t="shared" si="13"/>
        <v>3.7</v>
      </c>
      <c r="M873" s="6" t="str">
        <f>_xlfn.XLOOKUP(FactSales[[#This Row],[Product_ID]],DimProduct[Product_ID],DimProduct[Product_Name])</f>
        <v>Leather Belt</v>
      </c>
      <c r="N873" s="6" t="str">
        <f>_xlfn.XLOOKUP(FactSales[[#This Row],[Product_ID]],DimProduct[Product_ID],DimProduct[Category])</f>
        <v>Fashion</v>
      </c>
      <c r="O873" s="6">
        <f>_xlfn.XLOOKUP(FactSales[[#This Row],[Product_ID]],DimProduct[Product_ID],DimProduct[Unit_Price])</f>
        <v>2620</v>
      </c>
      <c r="P873" s="6">
        <f>_xlfn.XLOOKUP(FactSales[[#This Row],[Product_ID]],DimProduct[Product_ID],DimProduct[Unit_Cost])</f>
        <v>1440</v>
      </c>
      <c r="Q873" s="6">
        <f>FactSales[[#This Row],[Unit_Price]]*FactSales[[#This Row],[Quantity_Sold]]</f>
        <v>2620</v>
      </c>
      <c r="R873" s="6">
        <f>FactSales[[#This Row],[Unit_Cost]]*FactSales[[#This Row],[Quantity_Sold]]</f>
        <v>1440</v>
      </c>
      <c r="S873" s="6">
        <f>FactSales[[#This Row],[Sales_Amount]]-FactSales[[#This Row],[Total_Cost]]</f>
        <v>1180</v>
      </c>
      <c r="T873" s="6" t="str">
        <f>_xlfn.XLOOKUP(FactSales[[#This Row],[Customer_ID]],DimCustomer[Customer_ID],DimCustomer[Customer_Name])</f>
        <v>Karim Mia</v>
      </c>
      <c r="U873" s="6" t="str">
        <f>_xlfn.XLOOKUP(FactSales[[#This Row],[Salesperson_ID]],DimSalesman[Salesperson_ID],DimSalesman[Salesperson_Name])</f>
        <v>Sadia Sultana</v>
      </c>
      <c r="V873" s="6" t="str">
        <f>_xlfn.XLOOKUP(FactSales[[#This Row],[Region_ID]],DimRegion[Region_ID],DimRegion[Region_Name])</f>
        <v>Khulna</v>
      </c>
      <c r="W873" s="6" t="str">
        <f>_xlfn.XLOOKUP(FactSales[[#This Row],[Store_ID]],DimStore[Store_ID],DimStore[Store_Name])</f>
        <v>Khulna Khalishpur Store</v>
      </c>
    </row>
    <row r="874" spans="1:23">
      <c r="A874" s="4" t="s">
        <v>1870</v>
      </c>
      <c r="B874" s="5">
        <v>46018</v>
      </c>
      <c r="C874" s="4" t="s">
        <v>528</v>
      </c>
      <c r="D874" s="4" t="s">
        <v>57</v>
      </c>
      <c r="E874" s="4" t="s">
        <v>713</v>
      </c>
      <c r="F874" s="4" t="s">
        <v>970</v>
      </c>
      <c r="G874" s="4" t="s">
        <v>834</v>
      </c>
      <c r="H874" s="4">
        <v>5</v>
      </c>
      <c r="I874" s="7">
        <v>7.0000000000000007E-2</v>
      </c>
      <c r="J874" s="6">
        <v>20182</v>
      </c>
      <c r="K874" s="4">
        <v>3</v>
      </c>
      <c r="L874" s="8">
        <f t="shared" si="13"/>
        <v>4.0999999999999996</v>
      </c>
      <c r="M874" s="6" t="str">
        <f>_xlfn.XLOOKUP(FactSales[[#This Row],[Product_ID]],DimProduct[Product_ID],DimProduct[Product_Name])</f>
        <v>Running Shoe</v>
      </c>
      <c r="N874" s="6" t="str">
        <f>_xlfn.XLOOKUP(FactSales[[#This Row],[Product_ID]],DimProduct[Product_ID],DimProduct[Category])</f>
        <v>Footwear</v>
      </c>
      <c r="O874" s="6">
        <f>_xlfn.XLOOKUP(FactSales[[#This Row],[Product_ID]],DimProduct[Product_ID],DimProduct[Unit_Price])</f>
        <v>3510</v>
      </c>
      <c r="P874" s="6">
        <f>_xlfn.XLOOKUP(FactSales[[#This Row],[Product_ID]],DimProduct[Product_ID],DimProduct[Unit_Cost])</f>
        <v>2110</v>
      </c>
      <c r="Q874" s="6">
        <f>FactSales[[#This Row],[Unit_Price]]*FactSales[[#This Row],[Quantity_Sold]]</f>
        <v>17550</v>
      </c>
      <c r="R874" s="6">
        <f>FactSales[[#This Row],[Unit_Cost]]*FactSales[[#This Row],[Quantity_Sold]]</f>
        <v>10550</v>
      </c>
      <c r="S874" s="6">
        <f>FactSales[[#This Row],[Sales_Amount]]-FactSales[[#This Row],[Total_Cost]]</f>
        <v>7000</v>
      </c>
      <c r="T874" s="6" t="str">
        <f>_xlfn.XLOOKUP(FactSales[[#This Row],[Customer_ID]],DimCustomer[Customer_ID],DimCustomer[Customer_Name])</f>
        <v>Tamanna Mia</v>
      </c>
      <c r="U874" s="6" t="str">
        <f>_xlfn.XLOOKUP(FactSales[[#This Row],[Salesperson_ID]],DimSalesman[Salesperson_ID],DimSalesman[Salesperson_Name])</f>
        <v>Tanvir Islam</v>
      </c>
      <c r="V874" s="6" t="str">
        <f>_xlfn.XLOOKUP(FactSales[[#This Row],[Region_ID]],DimRegion[Region_ID],DimRegion[Region_Name])</f>
        <v>Rangpur</v>
      </c>
      <c r="W874" s="6" t="str">
        <f>_xlfn.XLOOKUP(FactSales[[#This Row],[Store_ID]],DimStore[Store_ID],DimStore[Store_Name])</f>
        <v>Rangpur Jahaj Company Store</v>
      </c>
    </row>
    <row r="875" spans="1:23">
      <c r="A875" s="4" t="s">
        <v>1871</v>
      </c>
      <c r="B875" s="5">
        <v>46153</v>
      </c>
      <c r="C875" s="4" t="s">
        <v>240</v>
      </c>
      <c r="D875" s="4" t="s">
        <v>37</v>
      </c>
      <c r="E875" s="4" t="s">
        <v>659</v>
      </c>
      <c r="F875" s="4" t="s">
        <v>938</v>
      </c>
      <c r="G875" s="4" t="s">
        <v>755</v>
      </c>
      <c r="H875" s="4">
        <v>2</v>
      </c>
      <c r="I875" s="7">
        <v>0.15</v>
      </c>
      <c r="J875" s="6">
        <v>7148</v>
      </c>
      <c r="K875" s="4">
        <v>4</v>
      </c>
      <c r="L875" s="8">
        <f t="shared" si="13"/>
        <v>3.6</v>
      </c>
      <c r="M875" s="6" t="str">
        <f>_xlfn.XLOOKUP(FactSales[[#This Row],[Product_ID]],DimProduct[Product_ID],DimProduct[Product_Name])</f>
        <v>Wireless Mouse</v>
      </c>
      <c r="N875" s="6" t="str">
        <f>_xlfn.XLOOKUP(FactSales[[#This Row],[Product_ID]],DimProduct[Product_ID],DimProduct[Category])</f>
        <v>Electronics</v>
      </c>
      <c r="O875" s="6">
        <f>_xlfn.XLOOKUP(FactSales[[#This Row],[Product_ID]],DimProduct[Product_ID],DimProduct[Unit_Price])</f>
        <v>3340</v>
      </c>
      <c r="P875" s="6">
        <f>_xlfn.XLOOKUP(FactSales[[#This Row],[Product_ID]],DimProduct[Product_ID],DimProduct[Unit_Cost])</f>
        <v>2270</v>
      </c>
      <c r="Q875" s="6">
        <f>FactSales[[#This Row],[Unit_Price]]*FactSales[[#This Row],[Quantity_Sold]]</f>
        <v>6680</v>
      </c>
      <c r="R875" s="6">
        <f>FactSales[[#This Row],[Unit_Cost]]*FactSales[[#This Row],[Quantity_Sold]]</f>
        <v>4540</v>
      </c>
      <c r="S875" s="6">
        <f>FactSales[[#This Row],[Sales_Amount]]-FactSales[[#This Row],[Total_Cost]]</f>
        <v>2140</v>
      </c>
      <c r="T875" s="6" t="str">
        <f>_xlfn.XLOOKUP(FactSales[[#This Row],[Customer_ID]],DimCustomer[Customer_ID],DimCustomer[Customer_Name])</f>
        <v>Imran Islam</v>
      </c>
      <c r="U875" s="6" t="str">
        <f>_xlfn.XLOOKUP(FactSales[[#This Row],[Salesperson_ID]],DimSalesman[Salesperson_ID],DimSalesman[Salesperson_Name])</f>
        <v>Rasel Akter</v>
      </c>
      <c r="V875" s="6" t="str">
        <f>_xlfn.XLOOKUP(FactSales[[#This Row],[Region_ID]],DimRegion[Region_ID],DimRegion[Region_Name])</f>
        <v>Sylhet</v>
      </c>
      <c r="W875" s="6" t="str">
        <f>_xlfn.XLOOKUP(FactSales[[#This Row],[Store_ID]],DimStore[Store_ID],DimStore[Store_Name])</f>
        <v>Sylhet South Surma Store</v>
      </c>
    </row>
    <row r="876" spans="1:23">
      <c r="A876" s="4" t="s">
        <v>1872</v>
      </c>
      <c r="B876" s="5">
        <v>45790</v>
      </c>
      <c r="C876" s="4" t="s">
        <v>267</v>
      </c>
      <c r="D876" s="4" t="s">
        <v>37</v>
      </c>
      <c r="E876" s="4" t="s">
        <v>665</v>
      </c>
      <c r="F876" s="4" t="s">
        <v>941</v>
      </c>
      <c r="G876" s="4" t="s">
        <v>800</v>
      </c>
      <c r="H876" s="4">
        <v>4</v>
      </c>
      <c r="I876" s="7">
        <v>0.03</v>
      </c>
      <c r="J876" s="6">
        <v>4751</v>
      </c>
      <c r="K876" s="4">
        <v>1</v>
      </c>
      <c r="L876" s="8">
        <f t="shared" si="13"/>
        <v>4.8</v>
      </c>
      <c r="M876" s="6" t="str">
        <f>_xlfn.XLOOKUP(FactSales[[#This Row],[Product_ID]],DimProduct[Product_ID],DimProduct[Product_Name])</f>
        <v>Premium Rice 5kg</v>
      </c>
      <c r="N876" s="6" t="str">
        <f>_xlfn.XLOOKUP(FactSales[[#This Row],[Product_ID]],DimProduct[Product_ID],DimProduct[Category])</f>
        <v>Grocery</v>
      </c>
      <c r="O876" s="6">
        <f>_xlfn.XLOOKUP(FactSales[[#This Row],[Product_ID]],DimProduct[Product_ID],DimProduct[Unit_Price])</f>
        <v>1110</v>
      </c>
      <c r="P876" s="6">
        <f>_xlfn.XLOOKUP(FactSales[[#This Row],[Product_ID]],DimProduct[Product_ID],DimProduct[Unit_Cost])</f>
        <v>870</v>
      </c>
      <c r="Q876" s="6">
        <f>FactSales[[#This Row],[Unit_Price]]*FactSales[[#This Row],[Quantity_Sold]]</f>
        <v>4440</v>
      </c>
      <c r="R876" s="6">
        <f>FactSales[[#This Row],[Unit_Cost]]*FactSales[[#This Row],[Quantity_Sold]]</f>
        <v>3480</v>
      </c>
      <c r="S876" s="6">
        <f>FactSales[[#This Row],[Sales_Amount]]-FactSales[[#This Row],[Total_Cost]]</f>
        <v>960</v>
      </c>
      <c r="T876" s="6" t="str">
        <f>_xlfn.XLOOKUP(FactSales[[#This Row],[Customer_ID]],DimCustomer[Customer_ID],DimCustomer[Customer_Name])</f>
        <v>Rahim Ahmed</v>
      </c>
      <c r="U876" s="6" t="str">
        <f>_xlfn.XLOOKUP(FactSales[[#This Row],[Salesperson_ID]],DimSalesman[Salesperson_ID],DimSalesman[Salesperson_Name])</f>
        <v>Rumana Rahman</v>
      </c>
      <c r="V876" s="6" t="str">
        <f>_xlfn.XLOOKUP(FactSales[[#This Row],[Region_ID]],DimRegion[Region_ID],DimRegion[Region_Name])</f>
        <v>Sylhet</v>
      </c>
      <c r="W876" s="6" t="str">
        <f>_xlfn.XLOOKUP(FactSales[[#This Row],[Store_ID]],DimStore[Store_ID],DimStore[Store_Name])</f>
        <v>Sylhet Upashahar Store</v>
      </c>
    </row>
    <row r="877" spans="1:23">
      <c r="A877" s="4" t="s">
        <v>1873</v>
      </c>
      <c r="B877" s="5">
        <v>45756</v>
      </c>
      <c r="C877" s="4" t="s">
        <v>151</v>
      </c>
      <c r="D877" s="4" t="s">
        <v>32</v>
      </c>
      <c r="E877" s="4" t="s">
        <v>638</v>
      </c>
      <c r="F877" s="4" t="s">
        <v>931</v>
      </c>
      <c r="G877" s="4" t="s">
        <v>758</v>
      </c>
      <c r="H877" s="4">
        <v>4</v>
      </c>
      <c r="I877" s="7">
        <v>0.15</v>
      </c>
      <c r="J877" s="6">
        <v>12950</v>
      </c>
      <c r="K877" s="4">
        <v>3</v>
      </c>
      <c r="L877" s="8">
        <f t="shared" si="13"/>
        <v>3.9</v>
      </c>
      <c r="M877" s="6" t="str">
        <f>_xlfn.XLOOKUP(FactSales[[#This Row],[Product_ID]],DimProduct[Product_ID],DimProduct[Product_Name])</f>
        <v>Power Bank</v>
      </c>
      <c r="N877" s="6" t="str">
        <f>_xlfn.XLOOKUP(FactSales[[#This Row],[Product_ID]],DimProduct[Product_ID],DimProduct[Category])</f>
        <v>Electronics</v>
      </c>
      <c r="O877" s="6">
        <f>_xlfn.XLOOKUP(FactSales[[#This Row],[Product_ID]],DimProduct[Product_ID],DimProduct[Unit_Price])</f>
        <v>2840</v>
      </c>
      <c r="P877" s="6">
        <f>_xlfn.XLOOKUP(FactSales[[#This Row],[Product_ID]],DimProduct[Product_ID],DimProduct[Unit_Cost])</f>
        <v>1930</v>
      </c>
      <c r="Q877" s="6">
        <f>FactSales[[#This Row],[Unit_Price]]*FactSales[[#This Row],[Quantity_Sold]]</f>
        <v>11360</v>
      </c>
      <c r="R877" s="6">
        <f>FactSales[[#This Row],[Unit_Cost]]*FactSales[[#This Row],[Quantity_Sold]]</f>
        <v>7720</v>
      </c>
      <c r="S877" s="6">
        <f>FactSales[[#This Row],[Sales_Amount]]-FactSales[[#This Row],[Total_Cost]]</f>
        <v>3640</v>
      </c>
      <c r="T877" s="6" t="str">
        <f>_xlfn.XLOOKUP(FactSales[[#This Row],[Customer_ID]],DimCustomer[Customer_ID],DimCustomer[Customer_Name])</f>
        <v>Arif Khan</v>
      </c>
      <c r="U877" s="6" t="str">
        <f>_xlfn.XLOOKUP(FactSales[[#This Row],[Salesperson_ID]],DimSalesman[Salesperson_ID],DimSalesman[Salesperson_Name])</f>
        <v>Sadia Islam</v>
      </c>
      <c r="V877" s="6" t="str">
        <f>_xlfn.XLOOKUP(FactSales[[#This Row],[Region_ID]],DimRegion[Region_ID],DimRegion[Region_Name])</f>
        <v>Chattogram</v>
      </c>
      <c r="W877" s="6" t="str">
        <f>_xlfn.XLOOKUP(FactSales[[#This Row],[Store_ID]],DimStore[Store_ID],DimStore[Store_Name])</f>
        <v>Chattogram Agrabad Store</v>
      </c>
    </row>
    <row r="878" spans="1:23">
      <c r="A878" s="4" t="s">
        <v>1874</v>
      </c>
      <c r="B878" s="5">
        <v>45765</v>
      </c>
      <c r="C878" s="4" t="s">
        <v>486</v>
      </c>
      <c r="D878" s="4" t="s">
        <v>52</v>
      </c>
      <c r="E878" s="4" t="s">
        <v>701</v>
      </c>
      <c r="F878" s="4" t="s">
        <v>966</v>
      </c>
      <c r="G878" s="4" t="s">
        <v>864</v>
      </c>
      <c r="H878" s="4">
        <v>6</v>
      </c>
      <c r="I878" s="7">
        <v>0.05</v>
      </c>
      <c r="J878" s="6">
        <v>2688</v>
      </c>
      <c r="K878" s="4">
        <v>5</v>
      </c>
      <c r="L878" s="8">
        <f t="shared" si="13"/>
        <v>3.5</v>
      </c>
      <c r="M878" s="6" t="str">
        <f>_xlfn.XLOOKUP(FactSales[[#This Row],[Product_ID]],DimProduct[Product_ID],DimProduct[Product_Name])</f>
        <v>Notebook Pack</v>
      </c>
      <c r="N878" s="6" t="str">
        <f>_xlfn.XLOOKUP(FactSales[[#This Row],[Product_ID]],DimProduct[Product_ID],DimProduct[Category])</f>
        <v>Stationery</v>
      </c>
      <c r="O878" s="6">
        <f>_xlfn.XLOOKUP(FactSales[[#This Row],[Product_ID]],DimProduct[Product_ID],DimProduct[Unit_Price])</f>
        <v>400</v>
      </c>
      <c r="P878" s="6">
        <f>_xlfn.XLOOKUP(FactSales[[#This Row],[Product_ID]],DimProduct[Product_ID],DimProduct[Unit_Cost])</f>
        <v>200</v>
      </c>
      <c r="Q878" s="6">
        <f>FactSales[[#This Row],[Unit_Price]]*FactSales[[#This Row],[Quantity_Sold]]</f>
        <v>2400</v>
      </c>
      <c r="R878" s="6">
        <f>FactSales[[#This Row],[Unit_Cost]]*FactSales[[#This Row],[Quantity_Sold]]</f>
        <v>1200</v>
      </c>
      <c r="S878" s="6">
        <f>FactSales[[#This Row],[Sales_Amount]]-FactSales[[#This Row],[Total_Cost]]</f>
        <v>1200</v>
      </c>
      <c r="T878" s="6" t="str">
        <f>_xlfn.XLOOKUP(FactSales[[#This Row],[Customer_ID]],DimCustomer[Customer_ID],DimCustomer[Customer_Name])</f>
        <v>Fahim Khan</v>
      </c>
      <c r="U878" s="6" t="str">
        <f>_xlfn.XLOOKUP(FactSales[[#This Row],[Salesperson_ID]],DimSalesman[Salesperson_ID],DimSalesman[Salesperson_Name])</f>
        <v>Nayeem Akter</v>
      </c>
      <c r="V878" s="6" t="str">
        <f>_xlfn.XLOOKUP(FactSales[[#This Row],[Region_ID]],DimRegion[Region_ID],DimRegion[Region_Name])</f>
        <v>Barishal</v>
      </c>
      <c r="W878" s="6" t="str">
        <f>_xlfn.XLOOKUP(FactSales[[#This Row],[Store_ID]],DimStore[Store_ID],DimStore[Store_Name])</f>
        <v>Barishal Sadar Road Store</v>
      </c>
    </row>
    <row r="879" spans="1:23">
      <c r="A879" s="4" t="s">
        <v>1875</v>
      </c>
      <c r="B879" s="5">
        <v>45732</v>
      </c>
      <c r="C879" s="4" t="s">
        <v>151</v>
      </c>
      <c r="D879" s="4" t="s">
        <v>32</v>
      </c>
      <c r="E879" s="4" t="s">
        <v>650</v>
      </c>
      <c r="F879" s="4" t="s">
        <v>926</v>
      </c>
      <c r="G879" s="4" t="s">
        <v>758</v>
      </c>
      <c r="H879" s="4">
        <v>3</v>
      </c>
      <c r="I879" s="7">
        <v>0.18</v>
      </c>
      <c r="J879" s="6">
        <v>9713</v>
      </c>
      <c r="K879" s="4">
        <v>3</v>
      </c>
      <c r="L879" s="8">
        <f t="shared" si="13"/>
        <v>3.8</v>
      </c>
      <c r="M879" s="6" t="str">
        <f>_xlfn.XLOOKUP(FactSales[[#This Row],[Product_ID]],DimProduct[Product_ID],DimProduct[Product_Name])</f>
        <v>Power Bank</v>
      </c>
      <c r="N879" s="6" t="str">
        <f>_xlfn.XLOOKUP(FactSales[[#This Row],[Product_ID]],DimProduct[Product_ID],DimProduct[Category])</f>
        <v>Electronics</v>
      </c>
      <c r="O879" s="6">
        <f>_xlfn.XLOOKUP(FactSales[[#This Row],[Product_ID]],DimProduct[Product_ID],DimProduct[Unit_Price])</f>
        <v>2840</v>
      </c>
      <c r="P879" s="6">
        <f>_xlfn.XLOOKUP(FactSales[[#This Row],[Product_ID]],DimProduct[Product_ID],DimProduct[Unit_Cost])</f>
        <v>1930</v>
      </c>
      <c r="Q879" s="6">
        <f>FactSales[[#This Row],[Unit_Price]]*FactSales[[#This Row],[Quantity_Sold]]</f>
        <v>8520</v>
      </c>
      <c r="R879" s="6">
        <f>FactSales[[#This Row],[Unit_Cost]]*FactSales[[#This Row],[Quantity_Sold]]</f>
        <v>5790</v>
      </c>
      <c r="S879" s="6">
        <f>FactSales[[#This Row],[Sales_Amount]]-FactSales[[#This Row],[Total_Cost]]</f>
        <v>2730</v>
      </c>
      <c r="T879" s="6" t="str">
        <f>_xlfn.XLOOKUP(FactSales[[#This Row],[Customer_ID]],DimCustomer[Customer_ID],DimCustomer[Customer_Name])</f>
        <v>Arif Khan</v>
      </c>
      <c r="U879" s="6" t="str">
        <f>_xlfn.XLOOKUP(FactSales[[#This Row],[Salesperson_ID]],DimSalesman[Salesperson_ID],DimSalesman[Salesperson_Name])</f>
        <v>Rafi Akter</v>
      </c>
      <c r="V879" s="6" t="str">
        <f>_xlfn.XLOOKUP(FactSales[[#This Row],[Region_ID]],DimRegion[Region_ID],DimRegion[Region_Name])</f>
        <v>Chattogram</v>
      </c>
      <c r="W879" s="6" t="str">
        <f>_xlfn.XLOOKUP(FactSales[[#This Row],[Store_ID]],DimStore[Store_ID],DimStore[Store_Name])</f>
        <v>Chattogram Halishahar Store</v>
      </c>
    </row>
    <row r="880" spans="1:23">
      <c r="A880" s="4" t="s">
        <v>1876</v>
      </c>
      <c r="B880" s="5">
        <v>46044</v>
      </c>
      <c r="C880" s="4" t="s">
        <v>89</v>
      </c>
      <c r="D880" s="4" t="s">
        <v>27</v>
      </c>
      <c r="E880" s="4" t="s">
        <v>626</v>
      </c>
      <c r="F880" s="4" t="s">
        <v>912</v>
      </c>
      <c r="G880" s="4" t="s">
        <v>844</v>
      </c>
      <c r="H880" s="4">
        <v>1</v>
      </c>
      <c r="I880" s="7">
        <v>0.12</v>
      </c>
      <c r="J880" s="6">
        <v>2841</v>
      </c>
      <c r="K880" s="4">
        <v>1</v>
      </c>
      <c r="L880" s="8">
        <f t="shared" si="13"/>
        <v>4.5999999999999996</v>
      </c>
      <c r="M880" s="6" t="str">
        <f>_xlfn.XLOOKUP(FactSales[[#This Row],[Product_ID]],DimProduct[Product_ID],DimProduct[Product_Name])</f>
        <v>Kids Sneaker</v>
      </c>
      <c r="N880" s="6" t="str">
        <f>_xlfn.XLOOKUP(FactSales[[#This Row],[Product_ID]],DimProduct[Product_ID],DimProduct[Category])</f>
        <v>Footwear</v>
      </c>
      <c r="O880" s="6">
        <f>_xlfn.XLOOKUP(FactSales[[#This Row],[Product_ID]],DimProduct[Product_ID],DimProduct[Unit_Price])</f>
        <v>2680</v>
      </c>
      <c r="P880" s="6">
        <f>_xlfn.XLOOKUP(FactSales[[#This Row],[Product_ID]],DimProduct[Product_ID],DimProduct[Unit_Cost])</f>
        <v>1610</v>
      </c>
      <c r="Q880" s="6">
        <f>FactSales[[#This Row],[Unit_Price]]*FactSales[[#This Row],[Quantity_Sold]]</f>
        <v>2680</v>
      </c>
      <c r="R880" s="6">
        <f>FactSales[[#This Row],[Unit_Cost]]*FactSales[[#This Row],[Quantity_Sold]]</f>
        <v>1610</v>
      </c>
      <c r="S880" s="6">
        <f>FactSales[[#This Row],[Sales_Amount]]-FactSales[[#This Row],[Total_Cost]]</f>
        <v>1070</v>
      </c>
      <c r="T880" s="6" t="str">
        <f>_xlfn.XLOOKUP(FactSales[[#This Row],[Customer_ID]],DimCustomer[Customer_ID],DimCustomer[Customer_Name])</f>
        <v>Tania Hossain</v>
      </c>
      <c r="U880" s="6" t="str">
        <f>_xlfn.XLOOKUP(FactSales[[#This Row],[Salesperson_ID]],DimSalesman[Salesperson_ID],DimSalesman[Salesperson_Name])</f>
        <v>Mahmud Hossain</v>
      </c>
      <c r="V880" s="6" t="str">
        <f>_xlfn.XLOOKUP(FactSales[[#This Row],[Region_ID]],DimRegion[Region_ID],DimRegion[Region_Name])</f>
        <v>Dhaka</v>
      </c>
      <c r="W880" s="6" t="str">
        <f>_xlfn.XLOOKUP(FactSales[[#This Row],[Store_ID]],DimStore[Store_ID],DimStore[Store_Name])</f>
        <v>Dhaka Mirpur Store</v>
      </c>
    </row>
    <row r="881" spans="1:23">
      <c r="A881" s="4" t="s">
        <v>1877</v>
      </c>
      <c r="B881" s="5">
        <v>45823</v>
      </c>
      <c r="C881" s="4" t="s">
        <v>585</v>
      </c>
      <c r="D881" s="4" t="s">
        <v>62</v>
      </c>
      <c r="E881" s="4" t="s">
        <v>734</v>
      </c>
      <c r="F881" s="4" t="s">
        <v>979</v>
      </c>
      <c r="G881" s="4" t="s">
        <v>762</v>
      </c>
      <c r="H881" s="4">
        <v>2</v>
      </c>
      <c r="I881" s="7">
        <v>0.18</v>
      </c>
      <c r="J881" s="6">
        <v>8359</v>
      </c>
      <c r="K881" s="4">
        <v>4</v>
      </c>
      <c r="L881" s="8">
        <f t="shared" si="13"/>
        <v>3.5</v>
      </c>
      <c r="M881" s="6" t="str">
        <f>_xlfn.XLOOKUP(FactSales[[#This Row],[Product_ID]],DimProduct[Product_ID],DimProduct[Product_Name])</f>
        <v>Smart Watch</v>
      </c>
      <c r="N881" s="6" t="str">
        <f>_xlfn.XLOOKUP(FactSales[[#This Row],[Product_ID]],DimProduct[Product_ID],DimProduct[Category])</f>
        <v>Electronics</v>
      </c>
      <c r="O881" s="6">
        <f>_xlfn.XLOOKUP(FactSales[[#This Row],[Product_ID]],DimProduct[Product_ID],DimProduct[Unit_Price])</f>
        <v>3870</v>
      </c>
      <c r="P881" s="6">
        <f>_xlfn.XLOOKUP(FactSales[[#This Row],[Product_ID]],DimProduct[Product_ID],DimProduct[Unit_Cost])</f>
        <v>2630</v>
      </c>
      <c r="Q881" s="6">
        <f>FactSales[[#This Row],[Unit_Price]]*FactSales[[#This Row],[Quantity_Sold]]</f>
        <v>7740</v>
      </c>
      <c r="R881" s="6">
        <f>FactSales[[#This Row],[Unit_Cost]]*FactSales[[#This Row],[Quantity_Sold]]</f>
        <v>5260</v>
      </c>
      <c r="S881" s="6">
        <f>FactSales[[#This Row],[Sales_Amount]]-FactSales[[#This Row],[Total_Cost]]</f>
        <v>2480</v>
      </c>
      <c r="T881" s="6" t="str">
        <f>_xlfn.XLOOKUP(FactSales[[#This Row],[Customer_ID]],DimCustomer[Customer_ID],DimCustomer[Customer_Name])</f>
        <v>Shaila Hossain</v>
      </c>
      <c r="U881" s="6" t="str">
        <f>_xlfn.XLOOKUP(FactSales[[#This Row],[Salesperson_ID]],DimSalesman[Salesperson_ID],DimSalesman[Salesperson_Name])</f>
        <v>Rahim Rahman</v>
      </c>
      <c r="V881" s="6" t="str">
        <f>_xlfn.XLOOKUP(FactSales[[#This Row],[Region_ID]],DimRegion[Region_ID],DimRegion[Region_Name])</f>
        <v>Mymensingh</v>
      </c>
      <c r="W881" s="6" t="str">
        <f>_xlfn.XLOOKUP(FactSales[[#This Row],[Store_ID]],DimStore[Store_ID],DimStore[Store_Name])</f>
        <v>Mymensingh Charpara Store</v>
      </c>
    </row>
    <row r="882" spans="1:23">
      <c r="A882" s="4" t="s">
        <v>1878</v>
      </c>
      <c r="B882" s="5">
        <v>45756</v>
      </c>
      <c r="C882" s="4" t="s">
        <v>292</v>
      </c>
      <c r="D882" s="4" t="s">
        <v>42</v>
      </c>
      <c r="E882" s="4" t="s">
        <v>680</v>
      </c>
      <c r="F882" s="4" t="s">
        <v>943</v>
      </c>
      <c r="G882" s="4" t="s">
        <v>828</v>
      </c>
      <c r="H882" s="4">
        <v>1</v>
      </c>
      <c r="I882" s="7">
        <v>0.03</v>
      </c>
      <c r="J882" s="6">
        <v>1523</v>
      </c>
      <c r="K882" s="4">
        <v>3</v>
      </c>
      <c r="L882" s="8">
        <f t="shared" si="13"/>
        <v>4.2</v>
      </c>
      <c r="M882" s="6" t="str">
        <f>_xlfn.XLOOKUP(FactSales[[#This Row],[Product_ID]],DimProduct[Product_ID],DimProduct[Product_Name])</f>
        <v>Toothpaste Twin Pack</v>
      </c>
      <c r="N882" s="6" t="str">
        <f>_xlfn.XLOOKUP(FactSales[[#This Row],[Product_ID]],DimProduct[Product_ID],DimProduct[Category])</f>
        <v>Beauty &amp; Personal Care</v>
      </c>
      <c r="O882" s="6">
        <f>_xlfn.XLOOKUP(FactSales[[#This Row],[Product_ID]],DimProduct[Product_ID],DimProduct[Unit_Price])</f>
        <v>1410</v>
      </c>
      <c r="P882" s="6">
        <f>_xlfn.XLOOKUP(FactSales[[#This Row],[Product_ID]],DimProduct[Product_ID],DimProduct[Unit_Cost])</f>
        <v>820</v>
      </c>
      <c r="Q882" s="6">
        <f>FactSales[[#This Row],[Unit_Price]]*FactSales[[#This Row],[Quantity_Sold]]</f>
        <v>1410</v>
      </c>
      <c r="R882" s="6">
        <f>FactSales[[#This Row],[Unit_Cost]]*FactSales[[#This Row],[Quantity_Sold]]</f>
        <v>820</v>
      </c>
      <c r="S882" s="6">
        <f>FactSales[[#This Row],[Sales_Amount]]-FactSales[[#This Row],[Total_Cost]]</f>
        <v>590</v>
      </c>
      <c r="T882" s="6" t="str">
        <f>_xlfn.XLOOKUP(FactSales[[#This Row],[Customer_ID]],DimCustomer[Customer_ID],DimCustomer[Customer_Name])</f>
        <v>Morshed Rahman</v>
      </c>
      <c r="U882" s="6" t="str">
        <f>_xlfn.XLOOKUP(FactSales[[#This Row],[Salesperson_ID]],DimSalesman[Salesperson_ID],DimSalesman[Salesperson_Name])</f>
        <v>Imran Khan</v>
      </c>
      <c r="V882" s="6" t="str">
        <f>_xlfn.XLOOKUP(FactSales[[#This Row],[Region_ID]],DimRegion[Region_ID],DimRegion[Region_Name])</f>
        <v>Rajshahi</v>
      </c>
      <c r="W882" s="6" t="str">
        <f>_xlfn.XLOOKUP(FactSales[[#This Row],[Store_ID]],DimStore[Store_ID],DimStore[Store_Name])</f>
        <v>Rajshahi Lakshmipur Store</v>
      </c>
    </row>
    <row r="883" spans="1:23">
      <c r="A883" s="4" t="s">
        <v>1879</v>
      </c>
      <c r="B883" s="5">
        <v>46166</v>
      </c>
      <c r="C883" s="4" t="s">
        <v>177</v>
      </c>
      <c r="D883" s="4" t="s">
        <v>32</v>
      </c>
      <c r="E883" s="4" t="s">
        <v>641</v>
      </c>
      <c r="F883" s="4" t="s">
        <v>931</v>
      </c>
      <c r="G883" s="4" t="s">
        <v>850</v>
      </c>
      <c r="H883" s="4">
        <v>1</v>
      </c>
      <c r="I883" s="7">
        <v>0.05</v>
      </c>
      <c r="J883" s="6">
        <v>3010</v>
      </c>
      <c r="K883" s="4">
        <v>6</v>
      </c>
      <c r="L883" s="8">
        <f t="shared" si="13"/>
        <v>3.2</v>
      </c>
      <c r="M883" s="6" t="str">
        <f>_xlfn.XLOOKUP(FactSales[[#This Row],[Product_ID]],DimProduct[Product_ID],DimProduct[Product_Name])</f>
        <v>Cricket Bat</v>
      </c>
      <c r="N883" s="6" t="str">
        <f>_xlfn.XLOOKUP(FactSales[[#This Row],[Product_ID]],DimProduct[Product_ID],DimProduct[Category])</f>
        <v>Sports</v>
      </c>
      <c r="O883" s="6">
        <f>_xlfn.XLOOKUP(FactSales[[#This Row],[Product_ID]],DimProduct[Product_ID],DimProduct[Unit_Price])</f>
        <v>2640</v>
      </c>
      <c r="P883" s="6">
        <f>_xlfn.XLOOKUP(FactSales[[#This Row],[Product_ID]],DimProduct[Product_ID],DimProduct[Unit_Cost])</f>
        <v>1640</v>
      </c>
      <c r="Q883" s="6">
        <f>FactSales[[#This Row],[Unit_Price]]*FactSales[[#This Row],[Quantity_Sold]]</f>
        <v>2640</v>
      </c>
      <c r="R883" s="6">
        <f>FactSales[[#This Row],[Unit_Cost]]*FactSales[[#This Row],[Quantity_Sold]]</f>
        <v>1640</v>
      </c>
      <c r="S883" s="6">
        <f>FactSales[[#This Row],[Sales_Amount]]-FactSales[[#This Row],[Total_Cost]]</f>
        <v>1000</v>
      </c>
      <c r="T883" s="6" t="str">
        <f>_xlfn.XLOOKUP(FactSales[[#This Row],[Customer_ID]],DimCustomer[Customer_ID],DimCustomer[Customer_Name])</f>
        <v>Rasel Uddin</v>
      </c>
      <c r="U883" s="6" t="str">
        <f>_xlfn.XLOOKUP(FactSales[[#This Row],[Salesperson_ID]],DimSalesman[Salesperson_ID],DimSalesman[Salesperson_Name])</f>
        <v>Sadia Islam</v>
      </c>
      <c r="V883" s="6" t="str">
        <f>_xlfn.XLOOKUP(FactSales[[#This Row],[Region_ID]],DimRegion[Region_ID],DimRegion[Region_Name])</f>
        <v>Chattogram</v>
      </c>
      <c r="W883" s="6" t="str">
        <f>_xlfn.XLOOKUP(FactSales[[#This Row],[Store_ID]],DimStore[Store_ID],DimStore[Store_Name])</f>
        <v>Chattogram GEC Store</v>
      </c>
    </row>
    <row r="884" spans="1:23">
      <c r="A884" s="4" t="s">
        <v>1880</v>
      </c>
      <c r="B884" s="5">
        <v>45799</v>
      </c>
      <c r="C884" s="4" t="s">
        <v>590</v>
      </c>
      <c r="D884" s="4" t="s">
        <v>62</v>
      </c>
      <c r="E884" s="4" t="s">
        <v>734</v>
      </c>
      <c r="F884" s="4" t="s">
        <v>981</v>
      </c>
      <c r="G884" s="4" t="s">
        <v>825</v>
      </c>
      <c r="H884" s="4">
        <v>5</v>
      </c>
      <c r="I884" s="7">
        <v>0.1</v>
      </c>
      <c r="J884" s="6">
        <v>6264</v>
      </c>
      <c r="K884" s="4">
        <v>2</v>
      </c>
      <c r="L884" s="8">
        <f t="shared" si="13"/>
        <v>4.3</v>
      </c>
      <c r="M884" s="6" t="str">
        <f>_xlfn.XLOOKUP(FactSales[[#This Row],[Product_ID]],DimProduct[Product_ID],DimProduct[Product_Name])</f>
        <v>Body Lotion</v>
      </c>
      <c r="N884" s="6" t="str">
        <f>_xlfn.XLOOKUP(FactSales[[#This Row],[Product_ID]],DimProduct[Product_ID],DimProduct[Category])</f>
        <v>Beauty &amp; Personal Care</v>
      </c>
      <c r="O884" s="6">
        <f>_xlfn.XLOOKUP(FactSales[[#This Row],[Product_ID]],DimProduct[Product_ID],DimProduct[Unit_Price])</f>
        <v>1160</v>
      </c>
      <c r="P884" s="6">
        <f>_xlfn.XLOOKUP(FactSales[[#This Row],[Product_ID]],DimProduct[Product_ID],DimProduct[Unit_Cost])</f>
        <v>670</v>
      </c>
      <c r="Q884" s="6">
        <f>FactSales[[#This Row],[Unit_Price]]*FactSales[[#This Row],[Quantity_Sold]]</f>
        <v>5800</v>
      </c>
      <c r="R884" s="6">
        <f>FactSales[[#This Row],[Unit_Cost]]*FactSales[[#This Row],[Quantity_Sold]]</f>
        <v>3350</v>
      </c>
      <c r="S884" s="6">
        <f>FactSales[[#This Row],[Sales_Amount]]-FactSales[[#This Row],[Total_Cost]]</f>
        <v>2450</v>
      </c>
      <c r="T884" s="6" t="str">
        <f>_xlfn.XLOOKUP(FactSales[[#This Row],[Customer_ID]],DimCustomer[Customer_ID],DimCustomer[Customer_Name])</f>
        <v>Rafi Akter</v>
      </c>
      <c r="U884" s="6" t="str">
        <f>_xlfn.XLOOKUP(FactSales[[#This Row],[Salesperson_ID]],DimSalesman[Salesperson_ID],DimSalesman[Salesperson_Name])</f>
        <v>Morshed Islam</v>
      </c>
      <c r="V884" s="6" t="str">
        <f>_xlfn.XLOOKUP(FactSales[[#This Row],[Region_ID]],DimRegion[Region_ID],DimRegion[Region_Name])</f>
        <v>Mymensingh</v>
      </c>
      <c r="W884" s="6" t="str">
        <f>_xlfn.XLOOKUP(FactSales[[#This Row],[Store_ID]],DimStore[Store_ID],DimStore[Store_Name])</f>
        <v>Mymensingh Charpara Store</v>
      </c>
    </row>
    <row r="885" spans="1:23">
      <c r="A885" s="4" t="s">
        <v>1881</v>
      </c>
      <c r="B885" s="5">
        <v>45963</v>
      </c>
      <c r="C885" s="4" t="s">
        <v>199</v>
      </c>
      <c r="D885" s="4" t="s">
        <v>32</v>
      </c>
      <c r="E885" s="4" t="s">
        <v>638</v>
      </c>
      <c r="F885" s="4" t="s">
        <v>924</v>
      </c>
      <c r="G885" s="4" t="s">
        <v>862</v>
      </c>
      <c r="H885" s="4">
        <v>1</v>
      </c>
      <c r="I885" s="7">
        <v>0.1</v>
      </c>
      <c r="J885" s="6">
        <v>1265</v>
      </c>
      <c r="K885" s="4">
        <v>6</v>
      </c>
      <c r="L885" s="8">
        <f t="shared" si="13"/>
        <v>3.1</v>
      </c>
      <c r="M885" s="6" t="str">
        <f>_xlfn.XLOOKUP(FactSales[[#This Row],[Product_ID]],DimProduct[Product_ID],DimProduct[Product_Name])</f>
        <v>Dumbbell Set</v>
      </c>
      <c r="N885" s="6" t="str">
        <f>_xlfn.XLOOKUP(FactSales[[#This Row],[Product_ID]],DimProduct[Product_ID],DimProduct[Category])</f>
        <v>Sports</v>
      </c>
      <c r="O885" s="6">
        <f>_xlfn.XLOOKUP(FactSales[[#This Row],[Product_ID]],DimProduct[Product_ID],DimProduct[Unit_Price])</f>
        <v>1110</v>
      </c>
      <c r="P885" s="6">
        <f>_xlfn.XLOOKUP(FactSales[[#This Row],[Product_ID]],DimProduct[Product_ID],DimProduct[Unit_Cost])</f>
        <v>690</v>
      </c>
      <c r="Q885" s="6">
        <f>FactSales[[#This Row],[Unit_Price]]*FactSales[[#This Row],[Quantity_Sold]]</f>
        <v>1110</v>
      </c>
      <c r="R885" s="6">
        <f>FactSales[[#This Row],[Unit_Cost]]*FactSales[[#This Row],[Quantity_Sold]]</f>
        <v>690</v>
      </c>
      <c r="S885" s="6">
        <f>FactSales[[#This Row],[Sales_Amount]]-FactSales[[#This Row],[Total_Cost]]</f>
        <v>420</v>
      </c>
      <c r="T885" s="6" t="str">
        <f>_xlfn.XLOOKUP(FactSales[[#This Row],[Customer_ID]],DimCustomer[Customer_ID],DimCustomer[Customer_Name])</f>
        <v>Tanjim Rahman</v>
      </c>
      <c r="U885" s="6" t="str">
        <f>_xlfn.XLOOKUP(FactSales[[#This Row],[Salesperson_ID]],DimSalesman[Salesperson_ID],DimSalesman[Salesperson_Name])</f>
        <v>Rumana Khan</v>
      </c>
      <c r="V885" s="6" t="str">
        <f>_xlfn.XLOOKUP(FactSales[[#This Row],[Region_ID]],DimRegion[Region_ID],DimRegion[Region_Name])</f>
        <v>Chattogram</v>
      </c>
      <c r="W885" s="6" t="str">
        <f>_xlfn.XLOOKUP(FactSales[[#This Row],[Store_ID]],DimStore[Store_ID],DimStore[Store_Name])</f>
        <v>Chattogram Agrabad Store</v>
      </c>
    </row>
    <row r="886" spans="1:23">
      <c r="A886" s="4" t="s">
        <v>1882</v>
      </c>
      <c r="B886" s="5">
        <v>45887</v>
      </c>
      <c r="C886" s="4" t="s">
        <v>289</v>
      </c>
      <c r="D886" s="4" t="s">
        <v>42</v>
      </c>
      <c r="E886" s="4" t="s">
        <v>680</v>
      </c>
      <c r="F886" s="4" t="s">
        <v>949</v>
      </c>
      <c r="G886" s="4" t="s">
        <v>773</v>
      </c>
      <c r="H886" s="4">
        <v>5</v>
      </c>
      <c r="I886" s="7">
        <v>0.12</v>
      </c>
      <c r="J886" s="6">
        <v>40122</v>
      </c>
      <c r="K886" s="4">
        <v>7</v>
      </c>
      <c r="L886" s="8">
        <f t="shared" si="13"/>
        <v>2.7</v>
      </c>
      <c r="M886" s="6" t="str">
        <f>_xlfn.XLOOKUP(FactSales[[#This Row],[Product_ID]],DimProduct[Product_ID],DimProduct[Product_Name])</f>
        <v>Rice Cooker</v>
      </c>
      <c r="N886" s="6" t="str">
        <f>_xlfn.XLOOKUP(FactSales[[#This Row],[Product_ID]],DimProduct[Product_ID],DimProduct[Category])</f>
        <v>Home Appliance</v>
      </c>
      <c r="O886" s="6">
        <f>_xlfn.XLOOKUP(FactSales[[#This Row],[Product_ID]],DimProduct[Product_ID],DimProduct[Unit_Price])</f>
        <v>7430</v>
      </c>
      <c r="P886" s="6">
        <f>_xlfn.XLOOKUP(FactSales[[#This Row],[Product_ID]],DimProduct[Product_ID],DimProduct[Unit_Cost])</f>
        <v>5200</v>
      </c>
      <c r="Q886" s="6">
        <f>FactSales[[#This Row],[Unit_Price]]*FactSales[[#This Row],[Quantity_Sold]]</f>
        <v>37150</v>
      </c>
      <c r="R886" s="6">
        <f>FactSales[[#This Row],[Unit_Cost]]*FactSales[[#This Row],[Quantity_Sold]]</f>
        <v>26000</v>
      </c>
      <c r="S886" s="6">
        <f>FactSales[[#This Row],[Sales_Amount]]-FactSales[[#This Row],[Total_Cost]]</f>
        <v>11150</v>
      </c>
      <c r="T886" s="6" t="str">
        <f>_xlfn.XLOOKUP(FactSales[[#This Row],[Customer_ID]],DimCustomer[Customer_ID],DimCustomer[Customer_Name])</f>
        <v>Mehedi Hossain</v>
      </c>
      <c r="U886" s="6" t="str">
        <f>_xlfn.XLOOKUP(FactSales[[#This Row],[Salesperson_ID]],DimSalesman[Salesperson_ID],DimSalesman[Salesperson_Name])</f>
        <v>Mahmud Chowdhury</v>
      </c>
      <c r="V886" s="6" t="str">
        <f>_xlfn.XLOOKUP(FactSales[[#This Row],[Region_ID]],DimRegion[Region_ID],DimRegion[Region_Name])</f>
        <v>Rajshahi</v>
      </c>
      <c r="W886" s="6" t="str">
        <f>_xlfn.XLOOKUP(FactSales[[#This Row],[Store_ID]],DimStore[Store_ID],DimStore[Store_Name])</f>
        <v>Rajshahi Lakshmipur Store</v>
      </c>
    </row>
    <row r="887" spans="1:23">
      <c r="A887" s="4" t="s">
        <v>1883</v>
      </c>
      <c r="B887" s="5">
        <v>45905</v>
      </c>
      <c r="C887" s="4" t="s">
        <v>429</v>
      </c>
      <c r="D887" s="4" t="s">
        <v>52</v>
      </c>
      <c r="E887" s="4" t="s">
        <v>701</v>
      </c>
      <c r="F887" s="4" t="s">
        <v>963</v>
      </c>
      <c r="G887" s="4" t="s">
        <v>755</v>
      </c>
      <c r="H887" s="4">
        <v>5</v>
      </c>
      <c r="I887" s="7">
        <v>0.18</v>
      </c>
      <c r="J887" s="6">
        <v>18704</v>
      </c>
      <c r="K887" s="4">
        <v>4</v>
      </c>
      <c r="L887" s="8">
        <f t="shared" si="13"/>
        <v>3.5</v>
      </c>
      <c r="M887" s="6" t="str">
        <f>_xlfn.XLOOKUP(FactSales[[#This Row],[Product_ID]],DimProduct[Product_ID],DimProduct[Product_Name])</f>
        <v>Wireless Mouse</v>
      </c>
      <c r="N887" s="6" t="str">
        <f>_xlfn.XLOOKUP(FactSales[[#This Row],[Product_ID]],DimProduct[Product_ID],DimProduct[Category])</f>
        <v>Electronics</v>
      </c>
      <c r="O887" s="6">
        <f>_xlfn.XLOOKUP(FactSales[[#This Row],[Product_ID]],DimProduct[Product_ID],DimProduct[Unit_Price])</f>
        <v>3340</v>
      </c>
      <c r="P887" s="6">
        <f>_xlfn.XLOOKUP(FactSales[[#This Row],[Product_ID]],DimProduct[Product_ID],DimProduct[Unit_Cost])</f>
        <v>2270</v>
      </c>
      <c r="Q887" s="6">
        <f>FactSales[[#This Row],[Unit_Price]]*FactSales[[#This Row],[Quantity_Sold]]</f>
        <v>16700</v>
      </c>
      <c r="R887" s="6">
        <f>FactSales[[#This Row],[Unit_Cost]]*FactSales[[#This Row],[Quantity_Sold]]</f>
        <v>11350</v>
      </c>
      <c r="S887" s="6">
        <f>FactSales[[#This Row],[Sales_Amount]]-FactSales[[#This Row],[Total_Cost]]</f>
        <v>5350</v>
      </c>
      <c r="T887" s="6" t="str">
        <f>_xlfn.XLOOKUP(FactSales[[#This Row],[Customer_ID]],DimCustomer[Customer_ID],DimCustomer[Customer_Name])</f>
        <v>Arif Ahmed</v>
      </c>
      <c r="U887" s="6" t="str">
        <f>_xlfn.XLOOKUP(FactSales[[#This Row],[Salesperson_ID]],DimSalesman[Salesperson_ID],DimSalesman[Salesperson_Name])</f>
        <v>Rasel Uddin</v>
      </c>
      <c r="V887" s="6" t="str">
        <f>_xlfn.XLOOKUP(FactSales[[#This Row],[Region_ID]],DimRegion[Region_ID],DimRegion[Region_Name])</f>
        <v>Barishal</v>
      </c>
      <c r="W887" s="6" t="str">
        <f>_xlfn.XLOOKUP(FactSales[[#This Row],[Store_ID]],DimStore[Store_ID],DimStore[Store_Name])</f>
        <v>Barishal Sadar Road Store</v>
      </c>
    </row>
    <row r="888" spans="1:23">
      <c r="A888" s="4" t="s">
        <v>1884</v>
      </c>
      <c r="B888" s="5">
        <v>45771</v>
      </c>
      <c r="C888" s="4" t="s">
        <v>390</v>
      </c>
      <c r="D888" s="4" t="s">
        <v>47</v>
      </c>
      <c r="E888" s="4" t="s">
        <v>695</v>
      </c>
      <c r="F888" s="4" t="s">
        <v>952</v>
      </c>
      <c r="G888" s="4" t="s">
        <v>808</v>
      </c>
      <c r="H888" s="4">
        <v>4</v>
      </c>
      <c r="I888" s="7">
        <v>0</v>
      </c>
      <c r="J888" s="6">
        <v>7456</v>
      </c>
      <c r="K888" s="4">
        <v>5</v>
      </c>
      <c r="L888" s="8">
        <f t="shared" si="13"/>
        <v>3.6</v>
      </c>
      <c r="M888" s="6" t="str">
        <f>_xlfn.XLOOKUP(FactSales[[#This Row],[Product_ID]],DimProduct[Product_ID],DimProduct[Product_Name])</f>
        <v>Lentil 1kg</v>
      </c>
      <c r="N888" s="6" t="str">
        <f>_xlfn.XLOOKUP(FactSales[[#This Row],[Product_ID]],DimProduct[Product_ID],DimProduct[Category])</f>
        <v>Grocery</v>
      </c>
      <c r="O888" s="6">
        <f>_xlfn.XLOOKUP(FactSales[[#This Row],[Product_ID]],DimProduct[Product_ID],DimProduct[Unit_Price])</f>
        <v>1710</v>
      </c>
      <c r="P888" s="6">
        <f>_xlfn.XLOOKUP(FactSales[[#This Row],[Product_ID]],DimProduct[Product_ID],DimProduct[Unit_Cost])</f>
        <v>1330</v>
      </c>
      <c r="Q888" s="6">
        <f>FactSales[[#This Row],[Unit_Price]]*FactSales[[#This Row],[Quantity_Sold]]</f>
        <v>6840</v>
      </c>
      <c r="R888" s="6">
        <f>FactSales[[#This Row],[Unit_Cost]]*FactSales[[#This Row],[Quantity_Sold]]</f>
        <v>5320</v>
      </c>
      <c r="S888" s="6">
        <f>FactSales[[#This Row],[Sales_Amount]]-FactSales[[#This Row],[Total_Cost]]</f>
        <v>1520</v>
      </c>
      <c r="T888" s="6" t="str">
        <f>_xlfn.XLOOKUP(FactSales[[#This Row],[Customer_ID]],DimCustomer[Customer_ID],DimCustomer[Customer_Name])</f>
        <v>Fahim Khan</v>
      </c>
      <c r="U888" s="6" t="str">
        <f>_xlfn.XLOOKUP(FactSales[[#This Row],[Salesperson_ID]],DimSalesman[Salesperson_ID],DimSalesman[Salesperson_Name])</f>
        <v>Samiha Islam</v>
      </c>
      <c r="V888" s="6" t="str">
        <f>_xlfn.XLOOKUP(FactSales[[#This Row],[Region_ID]],DimRegion[Region_ID],DimRegion[Region_Name])</f>
        <v>Khulna</v>
      </c>
      <c r="W888" s="6" t="str">
        <f>_xlfn.XLOOKUP(FactSales[[#This Row],[Store_ID]],DimStore[Store_ID],DimStore[Store_Name])</f>
        <v>Khulna Shibbari Store</v>
      </c>
    </row>
    <row r="889" spans="1:23">
      <c r="A889" s="4" t="s">
        <v>1885</v>
      </c>
      <c r="B889" s="5">
        <v>45995</v>
      </c>
      <c r="C889" s="4" t="s">
        <v>312</v>
      </c>
      <c r="D889" s="4" t="s">
        <v>42</v>
      </c>
      <c r="E889" s="4" t="s">
        <v>668</v>
      </c>
      <c r="F889" s="4" t="s">
        <v>944</v>
      </c>
      <c r="G889" s="4" t="s">
        <v>762</v>
      </c>
      <c r="H889" s="4">
        <v>8</v>
      </c>
      <c r="I889" s="7">
        <v>0.08</v>
      </c>
      <c r="J889" s="6">
        <v>33437</v>
      </c>
      <c r="K889" s="4">
        <v>4</v>
      </c>
      <c r="L889" s="8">
        <f t="shared" si="13"/>
        <v>3.7</v>
      </c>
      <c r="M889" s="6" t="str">
        <f>_xlfn.XLOOKUP(FactSales[[#This Row],[Product_ID]],DimProduct[Product_ID],DimProduct[Product_Name])</f>
        <v>Smart Watch</v>
      </c>
      <c r="N889" s="6" t="str">
        <f>_xlfn.XLOOKUP(FactSales[[#This Row],[Product_ID]],DimProduct[Product_ID],DimProduct[Category])</f>
        <v>Electronics</v>
      </c>
      <c r="O889" s="6">
        <f>_xlfn.XLOOKUP(FactSales[[#This Row],[Product_ID]],DimProduct[Product_ID],DimProduct[Unit_Price])</f>
        <v>3870</v>
      </c>
      <c r="P889" s="6">
        <f>_xlfn.XLOOKUP(FactSales[[#This Row],[Product_ID]],DimProduct[Product_ID],DimProduct[Unit_Cost])</f>
        <v>2630</v>
      </c>
      <c r="Q889" s="6">
        <f>FactSales[[#This Row],[Unit_Price]]*FactSales[[#This Row],[Quantity_Sold]]</f>
        <v>30960</v>
      </c>
      <c r="R889" s="6">
        <f>FactSales[[#This Row],[Unit_Cost]]*FactSales[[#This Row],[Quantity_Sold]]</f>
        <v>21040</v>
      </c>
      <c r="S889" s="6">
        <f>FactSales[[#This Row],[Sales_Amount]]-FactSales[[#This Row],[Total_Cost]]</f>
        <v>9920</v>
      </c>
      <c r="T889" s="6" t="str">
        <f>_xlfn.XLOOKUP(FactSales[[#This Row],[Customer_ID]],DimCustomer[Customer_ID],DimCustomer[Customer_Name])</f>
        <v>Imran Uddin</v>
      </c>
      <c r="U889" s="6" t="str">
        <f>_xlfn.XLOOKUP(FactSales[[#This Row],[Salesperson_ID]],DimSalesman[Salesperson_ID],DimSalesman[Salesperson_Name])</f>
        <v>Karim Khan</v>
      </c>
      <c r="V889" s="6" t="str">
        <f>_xlfn.XLOOKUP(FactSales[[#This Row],[Region_ID]],DimRegion[Region_ID],DimRegion[Region_Name])</f>
        <v>Rajshahi</v>
      </c>
      <c r="W889" s="6" t="str">
        <f>_xlfn.XLOOKUP(FactSales[[#This Row],[Store_ID]],DimStore[Store_ID],DimStore[Store_Name])</f>
        <v>Rajshahi Shaheb Bazar Store</v>
      </c>
    </row>
    <row r="890" spans="1:23">
      <c r="A890" s="4" t="s">
        <v>1886</v>
      </c>
      <c r="B890" s="5">
        <v>45694</v>
      </c>
      <c r="C890" s="4" t="s">
        <v>326</v>
      </c>
      <c r="D890" s="4" t="s">
        <v>42</v>
      </c>
      <c r="E890" s="4" t="s">
        <v>668</v>
      </c>
      <c r="F890" s="4" t="s">
        <v>949</v>
      </c>
      <c r="G890" s="4" t="s">
        <v>887</v>
      </c>
      <c r="H890" s="4">
        <v>2</v>
      </c>
      <c r="I890" s="7">
        <v>0.03</v>
      </c>
      <c r="J890" s="6">
        <v>4860</v>
      </c>
      <c r="K890" s="4">
        <v>6</v>
      </c>
      <c r="L890" s="8">
        <f t="shared" si="13"/>
        <v>3.2</v>
      </c>
      <c r="M890" s="6" t="str">
        <f>_xlfn.XLOOKUP(FactSales[[#This Row],[Product_ID]],DimProduct[Product_ID],DimProduct[Product_Name])</f>
        <v>Color Pencil Set</v>
      </c>
      <c r="N890" s="6" t="str">
        <f>_xlfn.XLOOKUP(FactSales[[#This Row],[Product_ID]],DimProduct[Product_ID],DimProduct[Category])</f>
        <v>Kids &amp; Toys</v>
      </c>
      <c r="O890" s="6">
        <f>_xlfn.XLOOKUP(FactSales[[#This Row],[Product_ID]],DimProduct[Product_ID],DimProduct[Unit_Price])</f>
        <v>2250</v>
      </c>
      <c r="P890" s="6">
        <f>_xlfn.XLOOKUP(FactSales[[#This Row],[Product_ID]],DimProduct[Product_ID],DimProduct[Unit_Cost])</f>
        <v>1240</v>
      </c>
      <c r="Q890" s="6">
        <f>FactSales[[#This Row],[Unit_Price]]*FactSales[[#This Row],[Quantity_Sold]]</f>
        <v>4500</v>
      </c>
      <c r="R890" s="6">
        <f>FactSales[[#This Row],[Unit_Cost]]*FactSales[[#This Row],[Quantity_Sold]]</f>
        <v>2480</v>
      </c>
      <c r="S890" s="6">
        <f>FactSales[[#This Row],[Sales_Amount]]-FactSales[[#This Row],[Total_Cost]]</f>
        <v>2020</v>
      </c>
      <c r="T890" s="6" t="str">
        <f>_xlfn.XLOOKUP(FactSales[[#This Row],[Customer_ID]],DimCustomer[Customer_ID],DimCustomer[Customer_Name])</f>
        <v>Hasan Rahman</v>
      </c>
      <c r="U890" s="6" t="str">
        <f>_xlfn.XLOOKUP(FactSales[[#This Row],[Salesperson_ID]],DimSalesman[Salesperson_ID],DimSalesman[Salesperson_Name])</f>
        <v>Mahmud Chowdhury</v>
      </c>
      <c r="V890" s="6" t="str">
        <f>_xlfn.XLOOKUP(FactSales[[#This Row],[Region_ID]],DimRegion[Region_ID],DimRegion[Region_Name])</f>
        <v>Rajshahi</v>
      </c>
      <c r="W890" s="6" t="str">
        <f>_xlfn.XLOOKUP(FactSales[[#This Row],[Store_ID]],DimStore[Store_ID],DimStore[Store_Name])</f>
        <v>Rajshahi Shaheb Bazar Store</v>
      </c>
    </row>
    <row r="891" spans="1:23">
      <c r="A891" s="4" t="s">
        <v>1887</v>
      </c>
      <c r="B891" s="5">
        <v>45700</v>
      </c>
      <c r="C891" s="4" t="s">
        <v>197</v>
      </c>
      <c r="D891" s="4" t="s">
        <v>32</v>
      </c>
      <c r="E891" s="4" t="s">
        <v>647</v>
      </c>
      <c r="F891" s="4" t="s">
        <v>924</v>
      </c>
      <c r="G891" s="4" t="s">
        <v>765</v>
      </c>
      <c r="H891" s="4">
        <v>1</v>
      </c>
      <c r="I891" s="7">
        <v>0.15</v>
      </c>
      <c r="J891" s="6">
        <v>5575</v>
      </c>
      <c r="K891" s="4">
        <v>4</v>
      </c>
      <c r="L891" s="8">
        <f t="shared" si="13"/>
        <v>3.6</v>
      </c>
      <c r="M891" s="6" t="str">
        <f>_xlfn.XLOOKUP(FactSales[[#This Row],[Product_ID]],DimProduct[Product_ID],DimProduct[Product_Name])</f>
        <v>USB-C Hub</v>
      </c>
      <c r="N891" s="6" t="str">
        <f>_xlfn.XLOOKUP(FactSales[[#This Row],[Product_ID]],DimProduct[Product_ID],DimProduct[Category])</f>
        <v>Electronics</v>
      </c>
      <c r="O891" s="6">
        <f>_xlfn.XLOOKUP(FactSales[[#This Row],[Product_ID]],DimProduct[Product_ID],DimProduct[Unit_Price])</f>
        <v>4890</v>
      </c>
      <c r="P891" s="6">
        <f>_xlfn.XLOOKUP(FactSales[[#This Row],[Product_ID]],DimProduct[Product_ID],DimProduct[Unit_Cost])</f>
        <v>3330</v>
      </c>
      <c r="Q891" s="6">
        <f>FactSales[[#This Row],[Unit_Price]]*FactSales[[#This Row],[Quantity_Sold]]</f>
        <v>4890</v>
      </c>
      <c r="R891" s="6">
        <f>FactSales[[#This Row],[Unit_Cost]]*FactSales[[#This Row],[Quantity_Sold]]</f>
        <v>3330</v>
      </c>
      <c r="S891" s="6">
        <f>FactSales[[#This Row],[Sales_Amount]]-FactSales[[#This Row],[Total_Cost]]</f>
        <v>1560</v>
      </c>
      <c r="T891" s="6" t="str">
        <f>_xlfn.XLOOKUP(FactSales[[#This Row],[Customer_ID]],DimCustomer[Customer_ID],DimCustomer[Customer_Name])</f>
        <v>Arif Hossain</v>
      </c>
      <c r="U891" s="6" t="str">
        <f>_xlfn.XLOOKUP(FactSales[[#This Row],[Salesperson_ID]],DimSalesman[Salesperson_ID],DimSalesman[Salesperson_Name])</f>
        <v>Rumana Khan</v>
      </c>
      <c r="V891" s="6" t="str">
        <f>_xlfn.XLOOKUP(FactSales[[#This Row],[Region_ID]],DimRegion[Region_ID],DimRegion[Region_Name])</f>
        <v>Chattogram</v>
      </c>
      <c r="W891" s="6" t="str">
        <f>_xlfn.XLOOKUP(FactSales[[#This Row],[Store_ID]],DimStore[Store_ID],DimStore[Store_Name])</f>
        <v>Chattogram Nasirabad Store</v>
      </c>
    </row>
    <row r="892" spans="1:23">
      <c r="A892" s="4" t="s">
        <v>1888</v>
      </c>
      <c r="B892" s="5">
        <v>45891</v>
      </c>
      <c r="C892" s="4" t="s">
        <v>341</v>
      </c>
      <c r="D892" s="4" t="s">
        <v>42</v>
      </c>
      <c r="E892" s="4" t="s">
        <v>674</v>
      </c>
      <c r="F892" s="4" t="s">
        <v>947</v>
      </c>
      <c r="G892" s="4" t="s">
        <v>790</v>
      </c>
      <c r="H892" s="4">
        <v>1</v>
      </c>
      <c r="I892" s="7">
        <v>0.03</v>
      </c>
      <c r="J892" s="6">
        <v>2149</v>
      </c>
      <c r="K892" s="4">
        <v>7</v>
      </c>
      <c r="L892" s="8">
        <f t="shared" si="13"/>
        <v>2.9</v>
      </c>
      <c r="M892" s="6" t="str">
        <f>_xlfn.XLOOKUP(FactSales[[#This Row],[Product_ID]],DimProduct[Product_ID],DimProduct[Product_Name])</f>
        <v>Women Kurti</v>
      </c>
      <c r="N892" s="6" t="str">
        <f>_xlfn.XLOOKUP(FactSales[[#This Row],[Product_ID]],DimProduct[Product_ID],DimProduct[Category])</f>
        <v>Fashion</v>
      </c>
      <c r="O892" s="6">
        <f>_xlfn.XLOOKUP(FactSales[[#This Row],[Product_ID]],DimProduct[Product_ID],DimProduct[Unit_Price])</f>
        <v>1990</v>
      </c>
      <c r="P892" s="6">
        <f>_xlfn.XLOOKUP(FactSales[[#This Row],[Product_ID]],DimProduct[Product_ID],DimProduct[Unit_Cost])</f>
        <v>1090</v>
      </c>
      <c r="Q892" s="6">
        <f>FactSales[[#This Row],[Unit_Price]]*FactSales[[#This Row],[Quantity_Sold]]</f>
        <v>1990</v>
      </c>
      <c r="R892" s="6">
        <f>FactSales[[#This Row],[Unit_Cost]]*FactSales[[#This Row],[Quantity_Sold]]</f>
        <v>1090</v>
      </c>
      <c r="S892" s="6">
        <f>FactSales[[#This Row],[Sales_Amount]]-FactSales[[#This Row],[Total_Cost]]</f>
        <v>900</v>
      </c>
      <c r="T892" s="6" t="str">
        <f>_xlfn.XLOOKUP(FactSales[[#This Row],[Customer_ID]],DimCustomer[Customer_ID],DimCustomer[Customer_Name])</f>
        <v>Nayeem Islam</v>
      </c>
      <c r="U892" s="6" t="str">
        <f>_xlfn.XLOOKUP(FactSales[[#This Row],[Salesperson_ID]],DimSalesman[Salesperson_ID],DimSalesman[Salesperson_Name])</f>
        <v>Farhana Rahman</v>
      </c>
      <c r="V892" s="6" t="str">
        <f>_xlfn.XLOOKUP(FactSales[[#This Row],[Region_ID]],DimRegion[Region_ID],DimRegion[Region_Name])</f>
        <v>Rajshahi</v>
      </c>
      <c r="W892" s="6" t="str">
        <f>_xlfn.XLOOKUP(FactSales[[#This Row],[Store_ID]],DimStore[Store_ID],DimStore[Store_Name])</f>
        <v>Rajshahi Uposhohor Store</v>
      </c>
    </row>
    <row r="893" spans="1:23">
      <c r="A893" s="4" t="s">
        <v>1889</v>
      </c>
      <c r="B893" s="5">
        <v>45676</v>
      </c>
      <c r="C893" s="4" t="s">
        <v>332</v>
      </c>
      <c r="D893" s="4" t="s">
        <v>42</v>
      </c>
      <c r="E893" s="4" t="s">
        <v>680</v>
      </c>
      <c r="F893" s="4" t="s">
        <v>947</v>
      </c>
      <c r="G893" s="4" t="s">
        <v>841</v>
      </c>
      <c r="H893" s="4">
        <v>3</v>
      </c>
      <c r="I893" s="7">
        <v>0.03</v>
      </c>
      <c r="J893" s="6">
        <v>10433</v>
      </c>
      <c r="K893" s="4">
        <v>5</v>
      </c>
      <c r="L893" s="8">
        <f t="shared" si="13"/>
        <v>3.5</v>
      </c>
      <c r="M893" s="6" t="str">
        <f>_xlfn.XLOOKUP(FactSales[[#This Row],[Product_ID]],DimProduct[Product_ID],DimProduct[Product_Name])</f>
        <v>Ladies Sandal</v>
      </c>
      <c r="N893" s="6" t="str">
        <f>_xlfn.XLOOKUP(FactSales[[#This Row],[Product_ID]],DimProduct[Product_ID],DimProduct[Category])</f>
        <v>Footwear</v>
      </c>
      <c r="O893" s="6">
        <f>_xlfn.XLOOKUP(FactSales[[#This Row],[Product_ID]],DimProduct[Product_ID],DimProduct[Unit_Price])</f>
        <v>3220</v>
      </c>
      <c r="P893" s="6">
        <f>_xlfn.XLOOKUP(FactSales[[#This Row],[Product_ID]],DimProduct[Product_ID],DimProduct[Unit_Cost])</f>
        <v>1930</v>
      </c>
      <c r="Q893" s="6">
        <f>FactSales[[#This Row],[Unit_Price]]*FactSales[[#This Row],[Quantity_Sold]]</f>
        <v>9660</v>
      </c>
      <c r="R893" s="6">
        <f>FactSales[[#This Row],[Unit_Cost]]*FactSales[[#This Row],[Quantity_Sold]]</f>
        <v>5790</v>
      </c>
      <c r="S893" s="6">
        <f>FactSales[[#This Row],[Sales_Amount]]-FactSales[[#This Row],[Total_Cost]]</f>
        <v>3870</v>
      </c>
      <c r="T893" s="6" t="str">
        <f>_xlfn.XLOOKUP(FactSales[[#This Row],[Customer_ID]],DimCustomer[Customer_ID],DimCustomer[Customer_Name])</f>
        <v>Samiha Mia</v>
      </c>
      <c r="U893" s="6" t="str">
        <f>_xlfn.XLOOKUP(FactSales[[#This Row],[Salesperson_ID]],DimSalesman[Salesperson_ID],DimSalesman[Salesperson_Name])</f>
        <v>Farhana Rahman</v>
      </c>
      <c r="V893" s="6" t="str">
        <f>_xlfn.XLOOKUP(FactSales[[#This Row],[Region_ID]],DimRegion[Region_ID],DimRegion[Region_Name])</f>
        <v>Rajshahi</v>
      </c>
      <c r="W893" s="6" t="str">
        <f>_xlfn.XLOOKUP(FactSales[[#This Row],[Store_ID]],DimStore[Store_ID],DimStore[Store_Name])</f>
        <v>Rajshahi Lakshmipur Store</v>
      </c>
    </row>
    <row r="894" spans="1:23">
      <c r="A894" s="4" t="s">
        <v>1890</v>
      </c>
      <c r="B894" s="5">
        <v>46095</v>
      </c>
      <c r="C894" s="4" t="s">
        <v>548</v>
      </c>
      <c r="D894" s="4" t="s">
        <v>57</v>
      </c>
      <c r="E894" s="4" t="s">
        <v>722</v>
      </c>
      <c r="F894" s="4" t="s">
        <v>977</v>
      </c>
      <c r="G894" s="4" t="s">
        <v>758</v>
      </c>
      <c r="H894" s="4">
        <v>3</v>
      </c>
      <c r="I894" s="7">
        <v>0.15</v>
      </c>
      <c r="J894" s="6">
        <v>9798</v>
      </c>
      <c r="K894" s="4">
        <v>8</v>
      </c>
      <c r="L894" s="8">
        <f t="shared" si="13"/>
        <v>2.2999999999999998</v>
      </c>
      <c r="M894" s="6" t="str">
        <f>_xlfn.XLOOKUP(FactSales[[#This Row],[Product_ID]],DimProduct[Product_ID],DimProduct[Product_Name])</f>
        <v>Power Bank</v>
      </c>
      <c r="N894" s="6" t="str">
        <f>_xlfn.XLOOKUP(FactSales[[#This Row],[Product_ID]],DimProduct[Product_ID],DimProduct[Category])</f>
        <v>Electronics</v>
      </c>
      <c r="O894" s="6">
        <f>_xlfn.XLOOKUP(FactSales[[#This Row],[Product_ID]],DimProduct[Product_ID],DimProduct[Unit_Price])</f>
        <v>2840</v>
      </c>
      <c r="P894" s="6">
        <f>_xlfn.XLOOKUP(FactSales[[#This Row],[Product_ID]],DimProduct[Product_ID],DimProduct[Unit_Cost])</f>
        <v>1930</v>
      </c>
      <c r="Q894" s="6">
        <f>FactSales[[#This Row],[Unit_Price]]*FactSales[[#This Row],[Quantity_Sold]]</f>
        <v>8520</v>
      </c>
      <c r="R894" s="6">
        <f>FactSales[[#This Row],[Unit_Cost]]*FactSales[[#This Row],[Quantity_Sold]]</f>
        <v>5790</v>
      </c>
      <c r="S894" s="6">
        <f>FactSales[[#This Row],[Sales_Amount]]-FactSales[[#This Row],[Total_Cost]]</f>
        <v>2730</v>
      </c>
      <c r="T894" s="6" t="str">
        <f>_xlfn.XLOOKUP(FactSales[[#This Row],[Customer_ID]],DimCustomer[Customer_ID],DimCustomer[Customer_Name])</f>
        <v>Samiha Islam</v>
      </c>
      <c r="U894" s="6" t="str">
        <f>_xlfn.XLOOKUP(FactSales[[#This Row],[Salesperson_ID]],DimSalesman[Salesperson_ID],DimSalesman[Salesperson_Name])</f>
        <v>Tania Hossain</v>
      </c>
      <c r="V894" s="6" t="str">
        <f>_xlfn.XLOOKUP(FactSales[[#This Row],[Region_ID]],DimRegion[Region_ID],DimRegion[Region_Name])</f>
        <v>Rangpur</v>
      </c>
      <c r="W894" s="6" t="str">
        <f>_xlfn.XLOOKUP(FactSales[[#This Row],[Store_ID]],DimStore[Store_ID],DimStore[Store_Name])</f>
        <v>Rangpur Dhap Store</v>
      </c>
    </row>
    <row r="895" spans="1:23">
      <c r="A895" s="4" t="s">
        <v>1891</v>
      </c>
      <c r="B895" s="5">
        <v>45717</v>
      </c>
      <c r="C895" s="4" t="s">
        <v>451</v>
      </c>
      <c r="D895" s="4" t="s">
        <v>52</v>
      </c>
      <c r="E895" s="4" t="s">
        <v>701</v>
      </c>
      <c r="F895" s="4" t="s">
        <v>963</v>
      </c>
      <c r="G895" s="4" t="s">
        <v>784</v>
      </c>
      <c r="H895" s="4">
        <v>1</v>
      </c>
      <c r="I895" s="7">
        <v>0.12</v>
      </c>
      <c r="J895" s="6">
        <v>2094</v>
      </c>
      <c r="K895" s="4">
        <v>7</v>
      </c>
      <c r="L895" s="8">
        <f t="shared" si="13"/>
        <v>2.7</v>
      </c>
      <c r="M895" s="6" t="str">
        <f>_xlfn.XLOOKUP(FactSales[[#This Row],[Product_ID]],DimProduct[Product_ID],DimProduct[Product_Name])</f>
        <v>Cotton T-Shirt</v>
      </c>
      <c r="N895" s="6" t="str">
        <f>_xlfn.XLOOKUP(FactSales[[#This Row],[Product_ID]],DimProduct[Product_ID],DimProduct[Category])</f>
        <v>Fashion</v>
      </c>
      <c r="O895" s="6">
        <f>_xlfn.XLOOKUP(FactSales[[#This Row],[Product_ID]],DimProduct[Product_ID],DimProduct[Unit_Price])</f>
        <v>1870</v>
      </c>
      <c r="P895" s="6">
        <f>_xlfn.XLOOKUP(FactSales[[#This Row],[Product_ID]],DimProduct[Product_ID],DimProduct[Unit_Cost])</f>
        <v>1030</v>
      </c>
      <c r="Q895" s="6">
        <f>FactSales[[#This Row],[Unit_Price]]*FactSales[[#This Row],[Quantity_Sold]]</f>
        <v>1870</v>
      </c>
      <c r="R895" s="6">
        <f>FactSales[[#This Row],[Unit_Cost]]*FactSales[[#This Row],[Quantity_Sold]]</f>
        <v>1030</v>
      </c>
      <c r="S895" s="6">
        <f>FactSales[[#This Row],[Sales_Amount]]-FactSales[[#This Row],[Total_Cost]]</f>
        <v>840</v>
      </c>
      <c r="T895" s="6" t="str">
        <f>_xlfn.XLOOKUP(FactSales[[#This Row],[Customer_ID]],DimCustomer[Customer_ID],DimCustomer[Customer_Name])</f>
        <v>Hasan Uddin</v>
      </c>
      <c r="U895" s="6" t="str">
        <f>_xlfn.XLOOKUP(FactSales[[#This Row],[Salesperson_ID]],DimSalesman[Salesperson_ID],DimSalesman[Salesperson_Name])</f>
        <v>Rasel Uddin</v>
      </c>
      <c r="V895" s="6" t="str">
        <f>_xlfn.XLOOKUP(FactSales[[#This Row],[Region_ID]],DimRegion[Region_ID],DimRegion[Region_Name])</f>
        <v>Barishal</v>
      </c>
      <c r="W895" s="6" t="str">
        <f>_xlfn.XLOOKUP(FactSales[[#This Row],[Store_ID]],DimStore[Store_ID],DimStore[Store_Name])</f>
        <v>Barishal Sadar Road Store</v>
      </c>
    </row>
    <row r="896" spans="1:23">
      <c r="A896" s="4" t="s">
        <v>1892</v>
      </c>
      <c r="B896" s="5">
        <v>45704</v>
      </c>
      <c r="C896" s="4" t="s">
        <v>95</v>
      </c>
      <c r="D896" s="4" t="s">
        <v>27</v>
      </c>
      <c r="E896" s="4" t="s">
        <v>630</v>
      </c>
      <c r="F896" s="4" t="s">
        <v>920</v>
      </c>
      <c r="G896" s="4" t="s">
        <v>856</v>
      </c>
      <c r="H896" s="4">
        <v>10</v>
      </c>
      <c r="I896" s="7">
        <v>0.03</v>
      </c>
      <c r="J896" s="6">
        <v>32860</v>
      </c>
      <c r="K896" s="4">
        <v>3</v>
      </c>
      <c r="L896" s="8">
        <f t="shared" si="13"/>
        <v>4.2</v>
      </c>
      <c r="M896" s="6" t="str">
        <f>_xlfn.XLOOKUP(FactSales[[#This Row],[Product_ID]],DimProduct[Product_ID],DimProduct[Product_Name])</f>
        <v>Badminton Racket</v>
      </c>
      <c r="N896" s="6" t="str">
        <f>_xlfn.XLOOKUP(FactSales[[#This Row],[Product_ID]],DimProduct[Product_ID],DimProduct[Category])</f>
        <v>Sports</v>
      </c>
      <c r="O896" s="6">
        <f>_xlfn.XLOOKUP(FactSales[[#This Row],[Product_ID]],DimProduct[Product_ID],DimProduct[Unit_Price])</f>
        <v>3100</v>
      </c>
      <c r="P896" s="6">
        <f>_xlfn.XLOOKUP(FactSales[[#This Row],[Product_ID]],DimProduct[Product_ID],DimProduct[Unit_Cost])</f>
        <v>1920</v>
      </c>
      <c r="Q896" s="6">
        <f>FactSales[[#This Row],[Unit_Price]]*FactSales[[#This Row],[Quantity_Sold]]</f>
        <v>31000</v>
      </c>
      <c r="R896" s="6">
        <f>FactSales[[#This Row],[Unit_Cost]]*FactSales[[#This Row],[Quantity_Sold]]</f>
        <v>19200</v>
      </c>
      <c r="S896" s="6">
        <f>FactSales[[#This Row],[Sales_Amount]]-FactSales[[#This Row],[Total_Cost]]</f>
        <v>11800</v>
      </c>
      <c r="T896" s="6" t="str">
        <f>_xlfn.XLOOKUP(FactSales[[#This Row],[Customer_ID]],DimCustomer[Customer_ID],DimCustomer[Customer_Name])</f>
        <v>Karim Islam</v>
      </c>
      <c r="U896" s="6" t="str">
        <f>_xlfn.XLOOKUP(FactSales[[#This Row],[Salesperson_ID]],DimSalesman[Salesperson_ID],DimSalesman[Salesperson_Name])</f>
        <v>Rahim Hossain</v>
      </c>
      <c r="V896" s="6" t="str">
        <f>_xlfn.XLOOKUP(FactSales[[#This Row],[Region_ID]],DimRegion[Region_ID],DimRegion[Region_Name])</f>
        <v>Dhaka</v>
      </c>
      <c r="W896" s="6" t="str">
        <f>_xlfn.XLOOKUP(FactSales[[#This Row],[Store_ID]],DimStore[Store_ID],DimStore[Store_Name])</f>
        <v>Dhaka Uttara Store</v>
      </c>
    </row>
    <row r="897" spans="1:23">
      <c r="A897" s="4" t="s">
        <v>1893</v>
      </c>
      <c r="B897" s="5">
        <v>45947</v>
      </c>
      <c r="C897" s="4" t="s">
        <v>79</v>
      </c>
      <c r="D897" s="4" t="s">
        <v>27</v>
      </c>
      <c r="E897" s="4" t="s">
        <v>618</v>
      </c>
      <c r="F897" s="4" t="s">
        <v>914</v>
      </c>
      <c r="G897" s="4" t="s">
        <v>784</v>
      </c>
      <c r="H897" s="4">
        <v>1</v>
      </c>
      <c r="I897" s="7">
        <v>7.0000000000000007E-2</v>
      </c>
      <c r="J897" s="6">
        <v>1982</v>
      </c>
      <c r="K897" s="4">
        <v>1</v>
      </c>
      <c r="L897" s="8">
        <f t="shared" si="13"/>
        <v>4.7</v>
      </c>
      <c r="M897" s="6" t="str">
        <f>_xlfn.XLOOKUP(FactSales[[#This Row],[Product_ID]],DimProduct[Product_ID],DimProduct[Product_Name])</f>
        <v>Cotton T-Shirt</v>
      </c>
      <c r="N897" s="6" t="str">
        <f>_xlfn.XLOOKUP(FactSales[[#This Row],[Product_ID]],DimProduct[Product_ID],DimProduct[Category])</f>
        <v>Fashion</v>
      </c>
      <c r="O897" s="6">
        <f>_xlfn.XLOOKUP(FactSales[[#This Row],[Product_ID]],DimProduct[Product_ID],DimProduct[Unit_Price])</f>
        <v>1870</v>
      </c>
      <c r="P897" s="6">
        <f>_xlfn.XLOOKUP(FactSales[[#This Row],[Product_ID]],DimProduct[Product_ID],DimProduct[Unit_Cost])</f>
        <v>1030</v>
      </c>
      <c r="Q897" s="6">
        <f>FactSales[[#This Row],[Unit_Price]]*FactSales[[#This Row],[Quantity_Sold]]</f>
        <v>1870</v>
      </c>
      <c r="R897" s="6">
        <f>FactSales[[#This Row],[Unit_Cost]]*FactSales[[#This Row],[Quantity_Sold]]</f>
        <v>1030</v>
      </c>
      <c r="S897" s="6">
        <f>FactSales[[#This Row],[Sales_Amount]]-FactSales[[#This Row],[Total_Cost]]</f>
        <v>840</v>
      </c>
      <c r="T897" s="6" t="str">
        <f>_xlfn.XLOOKUP(FactSales[[#This Row],[Customer_ID]],DimCustomer[Customer_ID],DimCustomer[Customer_Name])</f>
        <v>Tania Chowdhury</v>
      </c>
      <c r="U897" s="6" t="str">
        <f>_xlfn.XLOOKUP(FactSales[[#This Row],[Salesperson_ID]],DimSalesman[Salesperson_ID],DimSalesman[Salesperson_Name])</f>
        <v>Rasel Rahman</v>
      </c>
      <c r="V897" s="6" t="str">
        <f>_xlfn.XLOOKUP(FactSales[[#This Row],[Region_ID]],DimRegion[Region_ID],DimRegion[Region_Name])</f>
        <v>Dhaka</v>
      </c>
      <c r="W897" s="6" t="str">
        <f>_xlfn.XLOOKUP(FactSales[[#This Row],[Store_ID]],DimStore[Store_ID],DimStore[Store_Name])</f>
        <v>Dhaka Gulshan Store</v>
      </c>
    </row>
    <row r="898" spans="1:23">
      <c r="A898" s="4" t="s">
        <v>1894</v>
      </c>
      <c r="B898" s="5">
        <v>45783</v>
      </c>
      <c r="C898" s="4" t="s">
        <v>310</v>
      </c>
      <c r="D898" s="4" t="s">
        <v>42</v>
      </c>
      <c r="E898" s="4" t="s">
        <v>671</v>
      </c>
      <c r="F898" s="4" t="s">
        <v>949</v>
      </c>
      <c r="G898" s="4" t="s">
        <v>781</v>
      </c>
      <c r="H898" s="4">
        <v>3</v>
      </c>
      <c r="I898" s="7">
        <v>0.08</v>
      </c>
      <c r="J898" s="6">
        <v>10076</v>
      </c>
      <c r="K898" s="4">
        <v>6</v>
      </c>
      <c r="L898" s="8">
        <f t="shared" ref="L898:L961" si="14">MAX(1,MIN(5,ROUND(5.2-(K898*0.32)-(I898*2.2),1)))</f>
        <v>3.1</v>
      </c>
      <c r="M898" s="6" t="str">
        <f>_xlfn.XLOOKUP(FactSales[[#This Row],[Product_ID]],DimProduct[Product_ID],DimProduct[Product_Name])</f>
        <v>Table Fan</v>
      </c>
      <c r="N898" s="6" t="str">
        <f>_xlfn.XLOOKUP(FactSales[[#This Row],[Product_ID]],DimProduct[Product_ID],DimProduct[Category])</f>
        <v>Home Appliance</v>
      </c>
      <c r="O898" s="6">
        <f>_xlfn.XLOOKUP(FactSales[[#This Row],[Product_ID]],DimProduct[Product_ID],DimProduct[Unit_Price])</f>
        <v>3110</v>
      </c>
      <c r="P898" s="6">
        <f>_xlfn.XLOOKUP(FactSales[[#This Row],[Product_ID]],DimProduct[Product_ID],DimProduct[Unit_Cost])</f>
        <v>2180</v>
      </c>
      <c r="Q898" s="6">
        <f>FactSales[[#This Row],[Unit_Price]]*FactSales[[#This Row],[Quantity_Sold]]</f>
        <v>9330</v>
      </c>
      <c r="R898" s="6">
        <f>FactSales[[#This Row],[Unit_Cost]]*FactSales[[#This Row],[Quantity_Sold]]</f>
        <v>6540</v>
      </c>
      <c r="S898" s="6">
        <f>FactSales[[#This Row],[Sales_Amount]]-FactSales[[#This Row],[Total_Cost]]</f>
        <v>2790</v>
      </c>
      <c r="T898" s="6" t="str">
        <f>_xlfn.XLOOKUP(FactSales[[#This Row],[Customer_ID]],DimCustomer[Customer_ID],DimCustomer[Customer_Name])</f>
        <v>Rasel Islam</v>
      </c>
      <c r="U898" s="6" t="str">
        <f>_xlfn.XLOOKUP(FactSales[[#This Row],[Salesperson_ID]],DimSalesman[Salesperson_ID],DimSalesman[Salesperson_Name])</f>
        <v>Mahmud Chowdhury</v>
      </c>
      <c r="V898" s="6" t="str">
        <f>_xlfn.XLOOKUP(FactSales[[#This Row],[Region_ID]],DimRegion[Region_ID],DimRegion[Region_Name])</f>
        <v>Rajshahi</v>
      </c>
      <c r="W898" s="6" t="str">
        <f>_xlfn.XLOOKUP(FactSales[[#This Row],[Store_ID]],DimStore[Store_ID],DimStore[Store_Name])</f>
        <v>Rajshahi Kazla Store</v>
      </c>
    </row>
    <row r="899" spans="1:23">
      <c r="A899" s="4" t="s">
        <v>1895</v>
      </c>
      <c r="B899" s="5">
        <v>45967</v>
      </c>
      <c r="C899" s="4" t="s">
        <v>607</v>
      </c>
      <c r="D899" s="4" t="s">
        <v>62</v>
      </c>
      <c r="E899" s="4" t="s">
        <v>734</v>
      </c>
      <c r="F899" s="4" t="s">
        <v>979</v>
      </c>
      <c r="G899" s="4" t="s">
        <v>784</v>
      </c>
      <c r="H899" s="4">
        <v>8</v>
      </c>
      <c r="I899" s="7">
        <v>0.12</v>
      </c>
      <c r="J899" s="6">
        <v>16157</v>
      </c>
      <c r="K899" s="4">
        <v>6</v>
      </c>
      <c r="L899" s="8">
        <f t="shared" si="14"/>
        <v>3</v>
      </c>
      <c r="M899" s="6" t="str">
        <f>_xlfn.XLOOKUP(FactSales[[#This Row],[Product_ID]],DimProduct[Product_ID],DimProduct[Product_Name])</f>
        <v>Cotton T-Shirt</v>
      </c>
      <c r="N899" s="6" t="str">
        <f>_xlfn.XLOOKUP(FactSales[[#This Row],[Product_ID]],DimProduct[Product_ID],DimProduct[Category])</f>
        <v>Fashion</v>
      </c>
      <c r="O899" s="6">
        <f>_xlfn.XLOOKUP(FactSales[[#This Row],[Product_ID]],DimProduct[Product_ID],DimProduct[Unit_Price])</f>
        <v>1870</v>
      </c>
      <c r="P899" s="6">
        <f>_xlfn.XLOOKUP(FactSales[[#This Row],[Product_ID]],DimProduct[Product_ID],DimProduct[Unit_Cost])</f>
        <v>1030</v>
      </c>
      <c r="Q899" s="6">
        <f>FactSales[[#This Row],[Unit_Price]]*FactSales[[#This Row],[Quantity_Sold]]</f>
        <v>14960</v>
      </c>
      <c r="R899" s="6">
        <f>FactSales[[#This Row],[Unit_Cost]]*FactSales[[#This Row],[Quantity_Sold]]</f>
        <v>8240</v>
      </c>
      <c r="S899" s="6">
        <f>FactSales[[#This Row],[Sales_Amount]]-FactSales[[#This Row],[Total_Cost]]</f>
        <v>6720</v>
      </c>
      <c r="T899" s="6" t="str">
        <f>_xlfn.XLOOKUP(FactSales[[#This Row],[Customer_ID]],DimCustomer[Customer_ID],DimCustomer[Customer_Name])</f>
        <v>Ayesha Uddin</v>
      </c>
      <c r="U899" s="6" t="str">
        <f>_xlfn.XLOOKUP(FactSales[[#This Row],[Salesperson_ID]],DimSalesman[Salesperson_ID],DimSalesman[Salesperson_Name])</f>
        <v>Rahim Rahman</v>
      </c>
      <c r="V899" s="6" t="str">
        <f>_xlfn.XLOOKUP(FactSales[[#This Row],[Region_ID]],DimRegion[Region_ID],DimRegion[Region_Name])</f>
        <v>Mymensingh</v>
      </c>
      <c r="W899" s="6" t="str">
        <f>_xlfn.XLOOKUP(FactSales[[#This Row],[Store_ID]],DimStore[Store_ID],DimStore[Store_Name])</f>
        <v>Mymensingh Charpara Store</v>
      </c>
    </row>
    <row r="900" spans="1:23">
      <c r="A900" s="4" t="s">
        <v>1896</v>
      </c>
      <c r="B900" s="5">
        <v>45984</v>
      </c>
      <c r="C900" s="4" t="s">
        <v>411</v>
      </c>
      <c r="D900" s="4" t="s">
        <v>47</v>
      </c>
      <c r="E900" s="4" t="s">
        <v>686</v>
      </c>
      <c r="F900" s="4" t="s">
        <v>956</v>
      </c>
      <c r="G900" s="4" t="s">
        <v>885</v>
      </c>
      <c r="H900" s="4">
        <v>4</v>
      </c>
      <c r="I900" s="7">
        <v>0.12</v>
      </c>
      <c r="J900" s="6">
        <v>9592</v>
      </c>
      <c r="K900" s="4">
        <v>4</v>
      </c>
      <c r="L900" s="8">
        <f t="shared" si="14"/>
        <v>3.7</v>
      </c>
      <c r="M900" s="6" t="str">
        <f>_xlfn.XLOOKUP(FactSales[[#This Row],[Product_ID]],DimProduct[Product_ID],DimProduct[Product_Name])</f>
        <v>Puzzle Board</v>
      </c>
      <c r="N900" s="6" t="str">
        <f>_xlfn.XLOOKUP(FactSales[[#This Row],[Product_ID]],DimProduct[Product_ID],DimProduct[Category])</f>
        <v>Kids &amp; Toys</v>
      </c>
      <c r="O900" s="6">
        <f>_xlfn.XLOOKUP(FactSales[[#This Row],[Product_ID]],DimProduct[Product_ID],DimProduct[Unit_Price])</f>
        <v>2200</v>
      </c>
      <c r="P900" s="6">
        <f>_xlfn.XLOOKUP(FactSales[[#This Row],[Product_ID]],DimProduct[Product_ID],DimProduct[Unit_Cost])</f>
        <v>1210</v>
      </c>
      <c r="Q900" s="6">
        <f>FactSales[[#This Row],[Unit_Price]]*FactSales[[#This Row],[Quantity_Sold]]</f>
        <v>8800</v>
      </c>
      <c r="R900" s="6">
        <f>FactSales[[#This Row],[Unit_Cost]]*FactSales[[#This Row],[Quantity_Sold]]</f>
        <v>4840</v>
      </c>
      <c r="S900" s="6">
        <f>FactSales[[#This Row],[Sales_Amount]]-FactSales[[#This Row],[Total_Cost]]</f>
        <v>3960</v>
      </c>
      <c r="T900" s="6" t="str">
        <f>_xlfn.XLOOKUP(FactSales[[#This Row],[Customer_ID]],DimCustomer[Customer_ID],DimCustomer[Customer_Name])</f>
        <v>Jannat Sultana</v>
      </c>
      <c r="U900" s="6" t="str">
        <f>_xlfn.XLOOKUP(FactSales[[#This Row],[Salesperson_ID]],DimSalesman[Salesperson_ID],DimSalesman[Salesperson_Name])</f>
        <v>Rafi Ahmed</v>
      </c>
      <c r="V900" s="6" t="str">
        <f>_xlfn.XLOOKUP(FactSales[[#This Row],[Region_ID]],DimRegion[Region_ID],DimRegion[Region_Name])</f>
        <v>Khulna</v>
      </c>
      <c r="W900" s="6" t="str">
        <f>_xlfn.XLOOKUP(FactSales[[#This Row],[Store_ID]],DimStore[Store_ID],DimStore[Store_Name])</f>
        <v>Khulna Khalishpur Store</v>
      </c>
    </row>
    <row r="901" spans="1:23">
      <c r="A901" s="4" t="s">
        <v>1897</v>
      </c>
      <c r="B901" s="5">
        <v>45866</v>
      </c>
      <c r="C901" s="4" t="s">
        <v>542</v>
      </c>
      <c r="D901" s="4" t="s">
        <v>57</v>
      </c>
      <c r="E901" s="4" t="s">
        <v>725</v>
      </c>
      <c r="F901" s="4" t="s">
        <v>974</v>
      </c>
      <c r="G901" s="4" t="s">
        <v>768</v>
      </c>
      <c r="H901" s="4">
        <v>6</v>
      </c>
      <c r="I901" s="7">
        <v>0.18</v>
      </c>
      <c r="J901" s="6">
        <v>49680</v>
      </c>
      <c r="K901" s="4">
        <v>9</v>
      </c>
      <c r="L901" s="8">
        <f t="shared" si="14"/>
        <v>1.9</v>
      </c>
      <c r="M901" s="6" t="str">
        <f>_xlfn.XLOOKUP(FactSales[[#This Row],[Product_ID]],DimProduct[Product_ID],DimProduct[Product_Name])</f>
        <v>Electric Kettle</v>
      </c>
      <c r="N901" s="6" t="str">
        <f>_xlfn.XLOOKUP(FactSales[[#This Row],[Product_ID]],DimProduct[Product_ID],DimProduct[Category])</f>
        <v>Home Appliance</v>
      </c>
      <c r="O901" s="6">
        <f>_xlfn.XLOOKUP(FactSales[[#This Row],[Product_ID]],DimProduct[Product_ID],DimProduct[Unit_Price])</f>
        <v>7200</v>
      </c>
      <c r="P901" s="6">
        <f>_xlfn.XLOOKUP(FactSales[[#This Row],[Product_ID]],DimProduct[Product_ID],DimProduct[Unit_Cost])</f>
        <v>5040</v>
      </c>
      <c r="Q901" s="6">
        <f>FactSales[[#This Row],[Unit_Price]]*FactSales[[#This Row],[Quantity_Sold]]</f>
        <v>43200</v>
      </c>
      <c r="R901" s="6">
        <f>FactSales[[#This Row],[Unit_Cost]]*FactSales[[#This Row],[Quantity_Sold]]</f>
        <v>30240</v>
      </c>
      <c r="S901" s="6">
        <f>FactSales[[#This Row],[Sales_Amount]]-FactSales[[#This Row],[Total_Cost]]</f>
        <v>12960</v>
      </c>
      <c r="T901" s="6" t="str">
        <f>_xlfn.XLOOKUP(FactSales[[#This Row],[Customer_ID]],DimCustomer[Customer_ID],DimCustomer[Customer_Name])</f>
        <v>Farhana Ahmed</v>
      </c>
      <c r="U901" s="6" t="str">
        <f>_xlfn.XLOOKUP(FactSales[[#This Row],[Salesperson_ID]],DimSalesman[Salesperson_ID],DimSalesman[Salesperson_Name])</f>
        <v>Farhana Uddin</v>
      </c>
      <c r="V901" s="6" t="str">
        <f>_xlfn.XLOOKUP(FactSales[[#This Row],[Region_ID]],DimRegion[Region_ID],DimRegion[Region_Name])</f>
        <v>Rangpur</v>
      </c>
      <c r="W901" s="6" t="str">
        <f>_xlfn.XLOOKUP(FactSales[[#This Row],[Store_ID]],DimStore[Store_ID],DimStore[Store_Name])</f>
        <v>Rangpur Central Road Store</v>
      </c>
    </row>
    <row r="902" spans="1:23">
      <c r="A902" s="4" t="s">
        <v>1898</v>
      </c>
      <c r="B902" s="5">
        <v>45803</v>
      </c>
      <c r="C902" s="4" t="s">
        <v>310</v>
      </c>
      <c r="D902" s="4" t="s">
        <v>42</v>
      </c>
      <c r="E902" s="4" t="s">
        <v>680</v>
      </c>
      <c r="F902" s="4" t="s">
        <v>944</v>
      </c>
      <c r="G902" s="4" t="s">
        <v>758</v>
      </c>
      <c r="H902" s="4">
        <v>1</v>
      </c>
      <c r="I902" s="7">
        <v>0.1</v>
      </c>
      <c r="J902" s="6">
        <v>3067</v>
      </c>
      <c r="K902" s="4">
        <v>3</v>
      </c>
      <c r="L902" s="8">
        <f t="shared" si="14"/>
        <v>4</v>
      </c>
      <c r="M902" s="6" t="str">
        <f>_xlfn.XLOOKUP(FactSales[[#This Row],[Product_ID]],DimProduct[Product_ID],DimProduct[Product_Name])</f>
        <v>Power Bank</v>
      </c>
      <c r="N902" s="6" t="str">
        <f>_xlfn.XLOOKUP(FactSales[[#This Row],[Product_ID]],DimProduct[Product_ID],DimProduct[Category])</f>
        <v>Electronics</v>
      </c>
      <c r="O902" s="6">
        <f>_xlfn.XLOOKUP(FactSales[[#This Row],[Product_ID]],DimProduct[Product_ID],DimProduct[Unit_Price])</f>
        <v>2840</v>
      </c>
      <c r="P902" s="6">
        <f>_xlfn.XLOOKUP(FactSales[[#This Row],[Product_ID]],DimProduct[Product_ID],DimProduct[Unit_Cost])</f>
        <v>1930</v>
      </c>
      <c r="Q902" s="6">
        <f>FactSales[[#This Row],[Unit_Price]]*FactSales[[#This Row],[Quantity_Sold]]</f>
        <v>2840</v>
      </c>
      <c r="R902" s="6">
        <f>FactSales[[#This Row],[Unit_Cost]]*FactSales[[#This Row],[Quantity_Sold]]</f>
        <v>1930</v>
      </c>
      <c r="S902" s="6">
        <f>FactSales[[#This Row],[Sales_Amount]]-FactSales[[#This Row],[Total_Cost]]</f>
        <v>910</v>
      </c>
      <c r="T902" s="6" t="str">
        <f>_xlfn.XLOOKUP(FactSales[[#This Row],[Customer_ID]],DimCustomer[Customer_ID],DimCustomer[Customer_Name])</f>
        <v>Rasel Islam</v>
      </c>
      <c r="U902" s="6" t="str">
        <f>_xlfn.XLOOKUP(FactSales[[#This Row],[Salesperson_ID]],DimSalesman[Salesperson_ID],DimSalesman[Salesperson_Name])</f>
        <v>Karim Khan</v>
      </c>
      <c r="V902" s="6" t="str">
        <f>_xlfn.XLOOKUP(FactSales[[#This Row],[Region_ID]],DimRegion[Region_ID],DimRegion[Region_Name])</f>
        <v>Rajshahi</v>
      </c>
      <c r="W902" s="6" t="str">
        <f>_xlfn.XLOOKUP(FactSales[[#This Row],[Store_ID]],DimStore[Store_ID],DimStore[Store_Name])</f>
        <v>Rajshahi Lakshmipur Store</v>
      </c>
    </row>
    <row r="903" spans="1:23">
      <c r="A903" s="4" t="s">
        <v>1899</v>
      </c>
      <c r="B903" s="5">
        <v>45934</v>
      </c>
      <c r="C903" s="4" t="s">
        <v>559</v>
      </c>
      <c r="D903" s="4" t="s">
        <v>62</v>
      </c>
      <c r="E903" s="4" t="s">
        <v>728</v>
      </c>
      <c r="F903" s="4" t="s">
        <v>983</v>
      </c>
      <c r="G903" s="4" t="s">
        <v>874</v>
      </c>
      <c r="H903" s="4">
        <v>2</v>
      </c>
      <c r="I903" s="7">
        <v>0.05</v>
      </c>
      <c r="J903" s="6">
        <v>2246</v>
      </c>
      <c r="K903" s="4">
        <v>2</v>
      </c>
      <c r="L903" s="8">
        <f t="shared" si="14"/>
        <v>4.5</v>
      </c>
      <c r="M903" s="6" t="str">
        <f>_xlfn.XLOOKUP(FactSales[[#This Row],[Product_ID]],DimProduct[Product_ID],DimProduct[Product_Name])</f>
        <v>Marker Set</v>
      </c>
      <c r="N903" s="6" t="str">
        <f>_xlfn.XLOOKUP(FactSales[[#This Row],[Product_ID]],DimProduct[Product_ID],DimProduct[Category])</f>
        <v>Stationery</v>
      </c>
      <c r="O903" s="6">
        <f>_xlfn.XLOOKUP(FactSales[[#This Row],[Product_ID]],DimProduct[Product_ID],DimProduct[Unit_Price])</f>
        <v>1040</v>
      </c>
      <c r="P903" s="6">
        <f>_xlfn.XLOOKUP(FactSales[[#This Row],[Product_ID]],DimProduct[Product_ID],DimProduct[Unit_Cost])</f>
        <v>520</v>
      </c>
      <c r="Q903" s="6">
        <f>FactSales[[#This Row],[Unit_Price]]*FactSales[[#This Row],[Quantity_Sold]]</f>
        <v>2080</v>
      </c>
      <c r="R903" s="6">
        <f>FactSales[[#This Row],[Unit_Cost]]*FactSales[[#This Row],[Quantity_Sold]]</f>
        <v>1040</v>
      </c>
      <c r="S903" s="6">
        <f>FactSales[[#This Row],[Sales_Amount]]-FactSales[[#This Row],[Total_Cost]]</f>
        <v>1040</v>
      </c>
      <c r="T903" s="6" t="str">
        <f>_xlfn.XLOOKUP(FactSales[[#This Row],[Customer_ID]],DimCustomer[Customer_ID],DimCustomer[Customer_Name])</f>
        <v>Morshed Sultana</v>
      </c>
      <c r="U903" s="6" t="str">
        <f>_xlfn.XLOOKUP(FactSales[[#This Row],[Salesperson_ID]],DimSalesman[Salesperson_ID],DimSalesman[Salesperson_Name])</f>
        <v>Fahim Hossain</v>
      </c>
      <c r="V903" s="6" t="str">
        <f>_xlfn.XLOOKUP(FactSales[[#This Row],[Region_ID]],DimRegion[Region_ID],DimRegion[Region_Name])</f>
        <v>Mymensingh</v>
      </c>
      <c r="W903" s="6" t="str">
        <f>_xlfn.XLOOKUP(FactSales[[#This Row],[Store_ID]],DimStore[Store_ID],DimStore[Store_Name])</f>
        <v>Mymensingh Ganginarpar Store</v>
      </c>
    </row>
    <row r="904" spans="1:23">
      <c r="A904" s="4" t="s">
        <v>1900</v>
      </c>
      <c r="B904" s="5">
        <v>46051</v>
      </c>
      <c r="C904" s="4" t="s">
        <v>360</v>
      </c>
      <c r="D904" s="4" t="s">
        <v>47</v>
      </c>
      <c r="E904" s="4" t="s">
        <v>683</v>
      </c>
      <c r="F904" s="4" t="s">
        <v>954</v>
      </c>
      <c r="G904" s="4" t="s">
        <v>876</v>
      </c>
      <c r="H904" s="4">
        <v>2</v>
      </c>
      <c r="I904" s="7">
        <v>0.05</v>
      </c>
      <c r="J904" s="6">
        <v>1657</v>
      </c>
      <c r="K904" s="4">
        <v>3</v>
      </c>
      <c r="L904" s="8">
        <f t="shared" si="14"/>
        <v>4.0999999999999996</v>
      </c>
      <c r="M904" s="6" t="str">
        <f>_xlfn.XLOOKUP(FactSales[[#This Row],[Product_ID]],DimProduct[Product_ID],DimProduct[Product_Name])</f>
        <v>Sticky Notes</v>
      </c>
      <c r="N904" s="6" t="str">
        <f>_xlfn.XLOOKUP(FactSales[[#This Row],[Product_ID]],DimProduct[Product_ID],DimProduct[Category])</f>
        <v>Stationery</v>
      </c>
      <c r="O904" s="6">
        <f>_xlfn.XLOOKUP(FactSales[[#This Row],[Product_ID]],DimProduct[Product_ID],DimProduct[Unit_Price])</f>
        <v>760</v>
      </c>
      <c r="P904" s="6">
        <f>_xlfn.XLOOKUP(FactSales[[#This Row],[Product_ID]],DimProduct[Product_ID],DimProduct[Unit_Cost])</f>
        <v>380</v>
      </c>
      <c r="Q904" s="6">
        <f>FactSales[[#This Row],[Unit_Price]]*FactSales[[#This Row],[Quantity_Sold]]</f>
        <v>1520</v>
      </c>
      <c r="R904" s="6">
        <f>FactSales[[#This Row],[Unit_Cost]]*FactSales[[#This Row],[Quantity_Sold]]</f>
        <v>760</v>
      </c>
      <c r="S904" s="6">
        <f>FactSales[[#This Row],[Sales_Amount]]-FactSales[[#This Row],[Total_Cost]]</f>
        <v>760</v>
      </c>
      <c r="T904" s="6" t="str">
        <f>_xlfn.XLOOKUP(FactSales[[#This Row],[Customer_ID]],DimCustomer[Customer_ID],DimCustomer[Customer_Name])</f>
        <v>Arif Sultana</v>
      </c>
      <c r="U904" s="6" t="str">
        <f>_xlfn.XLOOKUP(FactSales[[#This Row],[Salesperson_ID]],DimSalesman[Salesperson_ID],DimSalesman[Salesperson_Name])</f>
        <v>Sadia Sultana</v>
      </c>
      <c r="V904" s="6" t="str">
        <f>_xlfn.XLOOKUP(FactSales[[#This Row],[Region_ID]],DimRegion[Region_ID],DimRegion[Region_Name])</f>
        <v>Khulna</v>
      </c>
      <c r="W904" s="6" t="str">
        <f>_xlfn.XLOOKUP(FactSales[[#This Row],[Store_ID]],DimStore[Store_ID],DimStore[Store_Name])</f>
        <v>Khulna Sonadanga Store</v>
      </c>
    </row>
    <row r="905" spans="1:23">
      <c r="A905" s="4" t="s">
        <v>1901</v>
      </c>
      <c r="B905" s="5">
        <v>45711</v>
      </c>
      <c r="C905" s="4" t="s">
        <v>317</v>
      </c>
      <c r="D905" s="4" t="s">
        <v>42</v>
      </c>
      <c r="E905" s="4" t="s">
        <v>671</v>
      </c>
      <c r="F905" s="4" t="s">
        <v>950</v>
      </c>
      <c r="G905" s="4" t="s">
        <v>784</v>
      </c>
      <c r="H905" s="4">
        <v>3</v>
      </c>
      <c r="I905" s="7">
        <v>0.03</v>
      </c>
      <c r="J905" s="6">
        <v>6059</v>
      </c>
      <c r="K905" s="4">
        <v>4</v>
      </c>
      <c r="L905" s="8">
        <f t="shared" si="14"/>
        <v>3.9</v>
      </c>
      <c r="M905" s="6" t="str">
        <f>_xlfn.XLOOKUP(FactSales[[#This Row],[Product_ID]],DimProduct[Product_ID],DimProduct[Product_Name])</f>
        <v>Cotton T-Shirt</v>
      </c>
      <c r="N905" s="6" t="str">
        <f>_xlfn.XLOOKUP(FactSales[[#This Row],[Product_ID]],DimProduct[Product_ID],DimProduct[Category])</f>
        <v>Fashion</v>
      </c>
      <c r="O905" s="6">
        <f>_xlfn.XLOOKUP(FactSales[[#This Row],[Product_ID]],DimProduct[Product_ID],DimProduct[Unit_Price])</f>
        <v>1870</v>
      </c>
      <c r="P905" s="6">
        <f>_xlfn.XLOOKUP(FactSales[[#This Row],[Product_ID]],DimProduct[Product_ID],DimProduct[Unit_Cost])</f>
        <v>1030</v>
      </c>
      <c r="Q905" s="6">
        <f>FactSales[[#This Row],[Unit_Price]]*FactSales[[#This Row],[Quantity_Sold]]</f>
        <v>5610</v>
      </c>
      <c r="R905" s="6">
        <f>FactSales[[#This Row],[Unit_Cost]]*FactSales[[#This Row],[Quantity_Sold]]</f>
        <v>3090</v>
      </c>
      <c r="S905" s="6">
        <f>FactSales[[#This Row],[Sales_Amount]]-FactSales[[#This Row],[Total_Cost]]</f>
        <v>2520</v>
      </c>
      <c r="T905" s="6" t="str">
        <f>_xlfn.XLOOKUP(FactSales[[#This Row],[Customer_ID]],DimCustomer[Customer_ID],DimCustomer[Customer_Name])</f>
        <v>Imran Khan</v>
      </c>
      <c r="U905" s="6" t="str">
        <f>_xlfn.XLOOKUP(FactSales[[#This Row],[Salesperson_ID]],DimSalesman[Salesperson_ID],DimSalesman[Salesperson_Name])</f>
        <v>Mim Rahman</v>
      </c>
      <c r="V905" s="6" t="str">
        <f>_xlfn.XLOOKUP(FactSales[[#This Row],[Region_ID]],DimRegion[Region_ID],DimRegion[Region_Name])</f>
        <v>Rajshahi</v>
      </c>
      <c r="W905" s="6" t="str">
        <f>_xlfn.XLOOKUP(FactSales[[#This Row],[Store_ID]],DimStore[Store_ID],DimStore[Store_Name])</f>
        <v>Rajshahi Kazla Store</v>
      </c>
    </row>
    <row r="906" spans="1:23">
      <c r="A906" s="4" t="s">
        <v>1902</v>
      </c>
      <c r="B906" s="5">
        <v>45926</v>
      </c>
      <c r="C906" s="4" t="s">
        <v>425</v>
      </c>
      <c r="D906" s="4" t="s">
        <v>52</v>
      </c>
      <c r="E906" s="4" t="s">
        <v>710</v>
      </c>
      <c r="F906" s="4" t="s">
        <v>963</v>
      </c>
      <c r="G906" s="4" t="s">
        <v>890</v>
      </c>
      <c r="H906" s="4">
        <v>5</v>
      </c>
      <c r="I906" s="7">
        <v>0.12</v>
      </c>
      <c r="J906" s="6">
        <v>4704</v>
      </c>
      <c r="K906" s="4">
        <v>5</v>
      </c>
      <c r="L906" s="8">
        <f t="shared" si="14"/>
        <v>3.3</v>
      </c>
      <c r="M906" s="6" t="str">
        <f>_xlfn.XLOOKUP(FactSales[[#This Row],[Product_ID]],DimProduct[Product_ID],DimProduct[Product_Name])</f>
        <v>Kids Story Book</v>
      </c>
      <c r="N906" s="6" t="str">
        <f>_xlfn.XLOOKUP(FactSales[[#This Row],[Product_ID]],DimProduct[Product_ID],DimProduct[Category])</f>
        <v>Kids &amp; Toys</v>
      </c>
      <c r="O906" s="6">
        <f>_xlfn.XLOOKUP(FactSales[[#This Row],[Product_ID]],DimProduct[Product_ID],DimProduct[Unit_Price])</f>
        <v>840</v>
      </c>
      <c r="P906" s="6">
        <f>_xlfn.XLOOKUP(FactSales[[#This Row],[Product_ID]],DimProduct[Product_ID],DimProduct[Unit_Cost])</f>
        <v>460</v>
      </c>
      <c r="Q906" s="6">
        <f>FactSales[[#This Row],[Unit_Price]]*FactSales[[#This Row],[Quantity_Sold]]</f>
        <v>4200</v>
      </c>
      <c r="R906" s="6">
        <f>FactSales[[#This Row],[Unit_Cost]]*FactSales[[#This Row],[Quantity_Sold]]</f>
        <v>2300</v>
      </c>
      <c r="S906" s="6">
        <f>FactSales[[#This Row],[Sales_Amount]]-FactSales[[#This Row],[Total_Cost]]</f>
        <v>1900</v>
      </c>
      <c r="T906" s="6" t="str">
        <f>_xlfn.XLOOKUP(FactSales[[#This Row],[Customer_ID]],DimCustomer[Customer_ID],DimCustomer[Customer_Name])</f>
        <v>Shuvo Sultana</v>
      </c>
      <c r="U906" s="6" t="str">
        <f>_xlfn.XLOOKUP(FactSales[[#This Row],[Salesperson_ID]],DimSalesman[Salesperson_ID],DimSalesman[Salesperson_Name])</f>
        <v>Rasel Uddin</v>
      </c>
      <c r="V906" s="6" t="str">
        <f>_xlfn.XLOOKUP(FactSales[[#This Row],[Region_ID]],DimRegion[Region_ID],DimRegion[Region_Name])</f>
        <v>Barishal</v>
      </c>
      <c r="W906" s="6" t="str">
        <f>_xlfn.XLOOKUP(FactSales[[#This Row],[Store_ID]],DimStore[Store_ID],DimStore[Store_Name])</f>
        <v>Barishal Kawnia Store</v>
      </c>
    </row>
    <row r="907" spans="1:23">
      <c r="A907" s="4" t="s">
        <v>1903</v>
      </c>
      <c r="B907" s="5">
        <v>45952</v>
      </c>
      <c r="C907" s="4" t="s">
        <v>520</v>
      </c>
      <c r="D907" s="4" t="s">
        <v>57</v>
      </c>
      <c r="E907" s="4" t="s">
        <v>713</v>
      </c>
      <c r="F907" s="4" t="s">
        <v>968</v>
      </c>
      <c r="G907" s="4" t="s">
        <v>808</v>
      </c>
      <c r="H907" s="4">
        <v>5</v>
      </c>
      <c r="I907" s="7">
        <v>0.05</v>
      </c>
      <c r="J907" s="6">
        <v>9832</v>
      </c>
      <c r="K907" s="4">
        <v>6</v>
      </c>
      <c r="L907" s="8">
        <f t="shared" si="14"/>
        <v>3.2</v>
      </c>
      <c r="M907" s="6" t="str">
        <f>_xlfn.XLOOKUP(FactSales[[#This Row],[Product_ID]],DimProduct[Product_ID],DimProduct[Product_Name])</f>
        <v>Lentil 1kg</v>
      </c>
      <c r="N907" s="6" t="str">
        <f>_xlfn.XLOOKUP(FactSales[[#This Row],[Product_ID]],DimProduct[Product_ID],DimProduct[Category])</f>
        <v>Grocery</v>
      </c>
      <c r="O907" s="6">
        <f>_xlfn.XLOOKUP(FactSales[[#This Row],[Product_ID]],DimProduct[Product_ID],DimProduct[Unit_Price])</f>
        <v>1710</v>
      </c>
      <c r="P907" s="6">
        <f>_xlfn.XLOOKUP(FactSales[[#This Row],[Product_ID]],DimProduct[Product_ID],DimProduct[Unit_Cost])</f>
        <v>1330</v>
      </c>
      <c r="Q907" s="6">
        <f>FactSales[[#This Row],[Unit_Price]]*FactSales[[#This Row],[Quantity_Sold]]</f>
        <v>8550</v>
      </c>
      <c r="R907" s="6">
        <f>FactSales[[#This Row],[Unit_Cost]]*FactSales[[#This Row],[Quantity_Sold]]</f>
        <v>6650</v>
      </c>
      <c r="S907" s="6">
        <f>FactSales[[#This Row],[Sales_Amount]]-FactSales[[#This Row],[Total_Cost]]</f>
        <v>1900</v>
      </c>
      <c r="T907" s="6" t="str">
        <f>_xlfn.XLOOKUP(FactSales[[#This Row],[Customer_ID]],DimCustomer[Customer_ID],DimCustomer[Customer_Name])</f>
        <v>Samiha Uddin</v>
      </c>
      <c r="U907" s="6" t="str">
        <f>_xlfn.XLOOKUP(FactSales[[#This Row],[Salesperson_ID]],DimSalesman[Salesperson_ID],DimSalesman[Salesperson_Name])</f>
        <v>Morshed Ahmed</v>
      </c>
      <c r="V907" s="6" t="str">
        <f>_xlfn.XLOOKUP(FactSales[[#This Row],[Region_ID]],DimRegion[Region_ID],DimRegion[Region_Name])</f>
        <v>Rangpur</v>
      </c>
      <c r="W907" s="6" t="str">
        <f>_xlfn.XLOOKUP(FactSales[[#This Row],[Store_ID]],DimStore[Store_ID],DimStore[Store_Name])</f>
        <v>Rangpur Jahaj Company Store</v>
      </c>
    </row>
    <row r="908" spans="1:23">
      <c r="A908" s="4" t="s">
        <v>1904</v>
      </c>
      <c r="B908" s="5">
        <v>46048</v>
      </c>
      <c r="C908" s="4" t="s">
        <v>533</v>
      </c>
      <c r="D908" s="4" t="s">
        <v>57</v>
      </c>
      <c r="E908" s="4" t="s">
        <v>725</v>
      </c>
      <c r="F908" s="4" t="s">
        <v>976</v>
      </c>
      <c r="G908" s="4" t="s">
        <v>765</v>
      </c>
      <c r="H908" s="4">
        <v>2</v>
      </c>
      <c r="I908" s="7">
        <v>0.1</v>
      </c>
      <c r="J908" s="6">
        <v>11247</v>
      </c>
      <c r="K908" s="4">
        <v>6</v>
      </c>
      <c r="L908" s="8">
        <f t="shared" si="14"/>
        <v>3.1</v>
      </c>
      <c r="M908" s="6" t="str">
        <f>_xlfn.XLOOKUP(FactSales[[#This Row],[Product_ID]],DimProduct[Product_ID],DimProduct[Product_Name])</f>
        <v>USB-C Hub</v>
      </c>
      <c r="N908" s="6" t="str">
        <f>_xlfn.XLOOKUP(FactSales[[#This Row],[Product_ID]],DimProduct[Product_ID],DimProduct[Category])</f>
        <v>Electronics</v>
      </c>
      <c r="O908" s="6">
        <f>_xlfn.XLOOKUP(FactSales[[#This Row],[Product_ID]],DimProduct[Product_ID],DimProduct[Unit_Price])</f>
        <v>4890</v>
      </c>
      <c r="P908" s="6">
        <f>_xlfn.XLOOKUP(FactSales[[#This Row],[Product_ID]],DimProduct[Product_ID],DimProduct[Unit_Cost])</f>
        <v>3330</v>
      </c>
      <c r="Q908" s="6">
        <f>FactSales[[#This Row],[Unit_Price]]*FactSales[[#This Row],[Quantity_Sold]]</f>
        <v>9780</v>
      </c>
      <c r="R908" s="6">
        <f>FactSales[[#This Row],[Unit_Cost]]*FactSales[[#This Row],[Quantity_Sold]]</f>
        <v>6660</v>
      </c>
      <c r="S908" s="6">
        <f>FactSales[[#This Row],[Sales_Amount]]-FactSales[[#This Row],[Total_Cost]]</f>
        <v>3120</v>
      </c>
      <c r="T908" s="6" t="str">
        <f>_xlfn.XLOOKUP(FactSales[[#This Row],[Customer_ID]],DimCustomer[Customer_ID],DimCustomer[Customer_Name])</f>
        <v>Tania Mia</v>
      </c>
      <c r="U908" s="6" t="str">
        <f>_xlfn.XLOOKUP(FactSales[[#This Row],[Salesperson_ID]],DimSalesman[Salesperson_ID],DimSalesman[Salesperson_Name])</f>
        <v>Nayeem Rahman</v>
      </c>
      <c r="V908" s="6" t="str">
        <f>_xlfn.XLOOKUP(FactSales[[#This Row],[Region_ID]],DimRegion[Region_ID],DimRegion[Region_Name])</f>
        <v>Rangpur</v>
      </c>
      <c r="W908" s="6" t="str">
        <f>_xlfn.XLOOKUP(FactSales[[#This Row],[Store_ID]],DimStore[Store_ID],DimStore[Store_Name])</f>
        <v>Rangpur Central Road Store</v>
      </c>
    </row>
    <row r="909" spans="1:23">
      <c r="A909" s="4" t="s">
        <v>1905</v>
      </c>
      <c r="B909" s="5">
        <v>46062</v>
      </c>
      <c r="C909" s="4" t="s">
        <v>360</v>
      </c>
      <c r="D909" s="4" t="s">
        <v>47</v>
      </c>
      <c r="E909" s="4" t="s">
        <v>686</v>
      </c>
      <c r="F909" s="4" t="s">
        <v>956</v>
      </c>
      <c r="G909" s="4" t="s">
        <v>768</v>
      </c>
      <c r="H909" s="4">
        <v>1</v>
      </c>
      <c r="I909" s="7">
        <v>0.12</v>
      </c>
      <c r="J909" s="6">
        <v>7848</v>
      </c>
      <c r="K909" s="4">
        <v>5</v>
      </c>
      <c r="L909" s="8">
        <f t="shared" si="14"/>
        <v>3.3</v>
      </c>
      <c r="M909" s="6" t="str">
        <f>_xlfn.XLOOKUP(FactSales[[#This Row],[Product_ID]],DimProduct[Product_ID],DimProduct[Product_Name])</f>
        <v>Electric Kettle</v>
      </c>
      <c r="N909" s="6" t="str">
        <f>_xlfn.XLOOKUP(FactSales[[#This Row],[Product_ID]],DimProduct[Product_ID],DimProduct[Category])</f>
        <v>Home Appliance</v>
      </c>
      <c r="O909" s="6">
        <f>_xlfn.XLOOKUP(FactSales[[#This Row],[Product_ID]],DimProduct[Product_ID],DimProduct[Unit_Price])</f>
        <v>7200</v>
      </c>
      <c r="P909" s="6">
        <f>_xlfn.XLOOKUP(FactSales[[#This Row],[Product_ID]],DimProduct[Product_ID],DimProduct[Unit_Cost])</f>
        <v>5040</v>
      </c>
      <c r="Q909" s="6">
        <f>FactSales[[#This Row],[Unit_Price]]*FactSales[[#This Row],[Quantity_Sold]]</f>
        <v>7200</v>
      </c>
      <c r="R909" s="6">
        <f>FactSales[[#This Row],[Unit_Cost]]*FactSales[[#This Row],[Quantity_Sold]]</f>
        <v>5040</v>
      </c>
      <c r="S909" s="6">
        <f>FactSales[[#This Row],[Sales_Amount]]-FactSales[[#This Row],[Total_Cost]]</f>
        <v>2160</v>
      </c>
      <c r="T909" s="6" t="str">
        <f>_xlfn.XLOOKUP(FactSales[[#This Row],[Customer_ID]],DimCustomer[Customer_ID],DimCustomer[Customer_Name])</f>
        <v>Arif Sultana</v>
      </c>
      <c r="U909" s="6" t="str">
        <f>_xlfn.XLOOKUP(FactSales[[#This Row],[Salesperson_ID]],DimSalesman[Salesperson_ID],DimSalesman[Salesperson_Name])</f>
        <v>Rafi Ahmed</v>
      </c>
      <c r="V909" s="6" t="str">
        <f>_xlfn.XLOOKUP(FactSales[[#This Row],[Region_ID]],DimRegion[Region_ID],DimRegion[Region_Name])</f>
        <v>Khulna</v>
      </c>
      <c r="W909" s="6" t="str">
        <f>_xlfn.XLOOKUP(FactSales[[#This Row],[Store_ID]],DimStore[Store_ID],DimStore[Store_Name])</f>
        <v>Khulna Khalishpur Store</v>
      </c>
    </row>
    <row r="910" spans="1:23">
      <c r="A910" s="4" t="s">
        <v>1906</v>
      </c>
      <c r="B910" s="5">
        <v>45670</v>
      </c>
      <c r="C910" s="4" t="s">
        <v>445</v>
      </c>
      <c r="D910" s="4" t="s">
        <v>52</v>
      </c>
      <c r="E910" s="4" t="s">
        <v>704</v>
      </c>
      <c r="F910" s="4" t="s">
        <v>966</v>
      </c>
      <c r="G910" s="4" t="s">
        <v>868</v>
      </c>
      <c r="H910" s="4">
        <v>1</v>
      </c>
      <c r="I910" s="7">
        <v>0.03</v>
      </c>
      <c r="J910" s="6">
        <v>381</v>
      </c>
      <c r="K910" s="4">
        <v>7</v>
      </c>
      <c r="L910" s="8">
        <f t="shared" si="14"/>
        <v>2.9</v>
      </c>
      <c r="M910" s="6" t="str">
        <f>_xlfn.XLOOKUP(FactSales[[#This Row],[Product_ID]],DimProduct[Product_ID],DimProduct[Product_Name])</f>
        <v>Ball Pen Box</v>
      </c>
      <c r="N910" s="6" t="str">
        <f>_xlfn.XLOOKUP(FactSales[[#This Row],[Product_ID]],DimProduct[Product_ID],DimProduct[Category])</f>
        <v>Stationery</v>
      </c>
      <c r="O910" s="6">
        <f>_xlfn.XLOOKUP(FactSales[[#This Row],[Product_ID]],DimProduct[Product_ID],DimProduct[Unit_Price])</f>
        <v>340</v>
      </c>
      <c r="P910" s="6">
        <f>_xlfn.XLOOKUP(FactSales[[#This Row],[Product_ID]],DimProduct[Product_ID],DimProduct[Unit_Cost])</f>
        <v>170</v>
      </c>
      <c r="Q910" s="6">
        <f>FactSales[[#This Row],[Unit_Price]]*FactSales[[#This Row],[Quantity_Sold]]</f>
        <v>340</v>
      </c>
      <c r="R910" s="6">
        <f>FactSales[[#This Row],[Unit_Cost]]*FactSales[[#This Row],[Quantity_Sold]]</f>
        <v>170</v>
      </c>
      <c r="S910" s="6">
        <f>FactSales[[#This Row],[Sales_Amount]]-FactSales[[#This Row],[Total_Cost]]</f>
        <v>170</v>
      </c>
      <c r="T910" s="6" t="str">
        <f>_xlfn.XLOOKUP(FactSales[[#This Row],[Customer_ID]],DimCustomer[Customer_ID],DimCustomer[Customer_Name])</f>
        <v>Tanvir Akter</v>
      </c>
      <c r="U910" s="6" t="str">
        <f>_xlfn.XLOOKUP(FactSales[[#This Row],[Salesperson_ID]],DimSalesman[Salesperson_ID],DimSalesman[Salesperson_Name])</f>
        <v>Nayeem Akter</v>
      </c>
      <c r="V910" s="6" t="str">
        <f>_xlfn.XLOOKUP(FactSales[[#This Row],[Region_ID]],DimRegion[Region_ID],DimRegion[Region_Name])</f>
        <v>Barishal</v>
      </c>
      <c r="W910" s="6" t="str">
        <f>_xlfn.XLOOKUP(FactSales[[#This Row],[Store_ID]],DimStore[Store_ID],DimStore[Store_Name])</f>
        <v>Barishal Rupatali Store</v>
      </c>
    </row>
    <row r="911" spans="1:23">
      <c r="A911" s="4" t="s">
        <v>1907</v>
      </c>
      <c r="B911" s="5">
        <v>45695</v>
      </c>
      <c r="C911" s="4" t="s">
        <v>585</v>
      </c>
      <c r="D911" s="4" t="s">
        <v>62</v>
      </c>
      <c r="E911" s="4" t="s">
        <v>728</v>
      </c>
      <c r="F911" s="4" t="s">
        <v>983</v>
      </c>
      <c r="G911" s="4" t="s">
        <v>750</v>
      </c>
      <c r="H911" s="4">
        <v>8</v>
      </c>
      <c r="I911" s="7">
        <v>0.15</v>
      </c>
      <c r="J911" s="6">
        <v>27994</v>
      </c>
      <c r="K911" s="4">
        <v>1</v>
      </c>
      <c r="L911" s="8">
        <f t="shared" si="14"/>
        <v>4.5999999999999996</v>
      </c>
      <c r="M911" s="6" t="str">
        <f>_xlfn.XLOOKUP(FactSales[[#This Row],[Product_ID]],DimProduct[Product_ID],DimProduct[Product_Name])</f>
        <v>Bluetooth Speaker</v>
      </c>
      <c r="N911" s="6" t="str">
        <f>_xlfn.XLOOKUP(FactSales[[#This Row],[Product_ID]],DimProduct[Product_ID],DimProduct[Category])</f>
        <v>Electronics</v>
      </c>
      <c r="O911" s="6">
        <f>_xlfn.XLOOKUP(FactSales[[#This Row],[Product_ID]],DimProduct[Product_ID],DimProduct[Unit_Price])</f>
        <v>3240</v>
      </c>
      <c r="P911" s="6">
        <f>_xlfn.XLOOKUP(FactSales[[#This Row],[Product_ID]],DimProduct[Product_ID],DimProduct[Unit_Cost])</f>
        <v>2200</v>
      </c>
      <c r="Q911" s="6">
        <f>FactSales[[#This Row],[Unit_Price]]*FactSales[[#This Row],[Quantity_Sold]]</f>
        <v>25920</v>
      </c>
      <c r="R911" s="6">
        <f>FactSales[[#This Row],[Unit_Cost]]*FactSales[[#This Row],[Quantity_Sold]]</f>
        <v>17600</v>
      </c>
      <c r="S911" s="6">
        <f>FactSales[[#This Row],[Sales_Amount]]-FactSales[[#This Row],[Total_Cost]]</f>
        <v>8320</v>
      </c>
      <c r="T911" s="6" t="str">
        <f>_xlfn.XLOOKUP(FactSales[[#This Row],[Customer_ID]],DimCustomer[Customer_ID],DimCustomer[Customer_Name])</f>
        <v>Shaila Hossain</v>
      </c>
      <c r="U911" s="6" t="str">
        <f>_xlfn.XLOOKUP(FactSales[[#This Row],[Salesperson_ID]],DimSalesman[Salesperson_ID],DimSalesman[Salesperson_Name])</f>
        <v>Fahim Hossain</v>
      </c>
      <c r="V911" s="6" t="str">
        <f>_xlfn.XLOOKUP(FactSales[[#This Row],[Region_ID]],DimRegion[Region_ID],DimRegion[Region_Name])</f>
        <v>Mymensingh</v>
      </c>
      <c r="W911" s="6" t="str">
        <f>_xlfn.XLOOKUP(FactSales[[#This Row],[Store_ID]],DimStore[Store_ID],DimStore[Store_Name])</f>
        <v>Mymensingh Ganginarpar Store</v>
      </c>
    </row>
    <row r="912" spans="1:23">
      <c r="A912" s="4" t="s">
        <v>1908</v>
      </c>
      <c r="B912" s="5">
        <v>45941</v>
      </c>
      <c r="C912" s="4" t="s">
        <v>320</v>
      </c>
      <c r="D912" s="4" t="s">
        <v>42</v>
      </c>
      <c r="E912" s="4" t="s">
        <v>668</v>
      </c>
      <c r="F912" s="4" t="s">
        <v>949</v>
      </c>
      <c r="G912" s="4" t="s">
        <v>893</v>
      </c>
      <c r="H912" s="4">
        <v>6</v>
      </c>
      <c r="I912" s="7">
        <v>0.12</v>
      </c>
      <c r="J912" s="6">
        <v>28382</v>
      </c>
      <c r="K912" s="4">
        <v>6</v>
      </c>
      <c r="L912" s="8">
        <f t="shared" si="14"/>
        <v>3</v>
      </c>
      <c r="M912" s="6" t="str">
        <f>_xlfn.XLOOKUP(FactSales[[#This Row],[Product_ID]],DimProduct[Product_ID],DimProduct[Product_Name])</f>
        <v>Office Chair</v>
      </c>
      <c r="N912" s="6" t="str">
        <f>_xlfn.XLOOKUP(FactSales[[#This Row],[Product_ID]],DimProduct[Product_ID],DimProduct[Category])</f>
        <v>Furniture</v>
      </c>
      <c r="O912" s="6">
        <f>_xlfn.XLOOKUP(FactSales[[#This Row],[Product_ID]],DimProduct[Product_ID],DimProduct[Unit_Price])</f>
        <v>4380</v>
      </c>
      <c r="P912" s="6">
        <f>_xlfn.XLOOKUP(FactSales[[#This Row],[Product_ID]],DimProduct[Product_ID],DimProduct[Unit_Cost])</f>
        <v>3150</v>
      </c>
      <c r="Q912" s="6">
        <f>FactSales[[#This Row],[Unit_Price]]*FactSales[[#This Row],[Quantity_Sold]]</f>
        <v>26280</v>
      </c>
      <c r="R912" s="6">
        <f>FactSales[[#This Row],[Unit_Cost]]*FactSales[[#This Row],[Quantity_Sold]]</f>
        <v>18900</v>
      </c>
      <c r="S912" s="6">
        <f>FactSales[[#This Row],[Sales_Amount]]-FactSales[[#This Row],[Total_Cost]]</f>
        <v>7380</v>
      </c>
      <c r="T912" s="6" t="str">
        <f>_xlfn.XLOOKUP(FactSales[[#This Row],[Customer_ID]],DimCustomer[Customer_ID],DimCustomer[Customer_Name])</f>
        <v>Shuvo Sultana</v>
      </c>
      <c r="U912" s="6" t="str">
        <f>_xlfn.XLOOKUP(FactSales[[#This Row],[Salesperson_ID]],DimSalesman[Salesperson_ID],DimSalesman[Salesperson_Name])</f>
        <v>Mahmud Chowdhury</v>
      </c>
      <c r="V912" s="6" t="str">
        <f>_xlfn.XLOOKUP(FactSales[[#This Row],[Region_ID]],DimRegion[Region_ID],DimRegion[Region_Name])</f>
        <v>Rajshahi</v>
      </c>
      <c r="W912" s="6" t="str">
        <f>_xlfn.XLOOKUP(FactSales[[#This Row],[Store_ID]],DimStore[Store_ID],DimStore[Store_Name])</f>
        <v>Rajshahi Shaheb Bazar Store</v>
      </c>
    </row>
    <row r="913" spans="1:23">
      <c r="A913" s="4" t="s">
        <v>1909</v>
      </c>
      <c r="B913" s="5">
        <v>45788</v>
      </c>
      <c r="C913" s="4" t="s">
        <v>240</v>
      </c>
      <c r="D913" s="4" t="s">
        <v>37</v>
      </c>
      <c r="E913" s="4" t="s">
        <v>659</v>
      </c>
      <c r="F913" s="4" t="s">
        <v>936</v>
      </c>
      <c r="G913" s="4" t="s">
        <v>878</v>
      </c>
      <c r="H913" s="4">
        <v>1</v>
      </c>
      <c r="I913" s="7">
        <v>0.05</v>
      </c>
      <c r="J913" s="6">
        <v>899</v>
      </c>
      <c r="K913" s="4">
        <v>4</v>
      </c>
      <c r="L913" s="8">
        <f t="shared" si="14"/>
        <v>3.8</v>
      </c>
      <c r="M913" s="6" t="str">
        <f>_xlfn.XLOOKUP(FactSales[[#This Row],[Product_ID]],DimProduct[Product_ID],DimProduct[Product_Name])</f>
        <v>Building Blocks</v>
      </c>
      <c r="N913" s="6" t="str">
        <f>_xlfn.XLOOKUP(FactSales[[#This Row],[Product_ID]],DimProduct[Product_ID],DimProduct[Category])</f>
        <v>Kids &amp; Toys</v>
      </c>
      <c r="O913" s="6">
        <f>_xlfn.XLOOKUP(FactSales[[#This Row],[Product_ID]],DimProduct[Product_ID],DimProduct[Unit_Price])</f>
        <v>840</v>
      </c>
      <c r="P913" s="6">
        <f>_xlfn.XLOOKUP(FactSales[[#This Row],[Product_ID]],DimProduct[Product_ID],DimProduct[Unit_Cost])</f>
        <v>460</v>
      </c>
      <c r="Q913" s="6">
        <f>FactSales[[#This Row],[Unit_Price]]*FactSales[[#This Row],[Quantity_Sold]]</f>
        <v>840</v>
      </c>
      <c r="R913" s="6">
        <f>FactSales[[#This Row],[Unit_Cost]]*FactSales[[#This Row],[Quantity_Sold]]</f>
        <v>460</v>
      </c>
      <c r="S913" s="6">
        <f>FactSales[[#This Row],[Sales_Amount]]-FactSales[[#This Row],[Total_Cost]]</f>
        <v>380</v>
      </c>
      <c r="T913" s="6" t="str">
        <f>_xlfn.XLOOKUP(FactSales[[#This Row],[Customer_ID]],DimCustomer[Customer_ID],DimCustomer[Customer_Name])</f>
        <v>Imran Islam</v>
      </c>
      <c r="U913" s="6" t="str">
        <f>_xlfn.XLOOKUP(FactSales[[#This Row],[Salesperson_ID]],DimSalesman[Salesperson_ID],DimSalesman[Salesperson_Name])</f>
        <v>Mehedi Chowdhury</v>
      </c>
      <c r="V913" s="6" t="str">
        <f>_xlfn.XLOOKUP(FactSales[[#This Row],[Region_ID]],DimRegion[Region_ID],DimRegion[Region_Name])</f>
        <v>Sylhet</v>
      </c>
      <c r="W913" s="6" t="str">
        <f>_xlfn.XLOOKUP(FactSales[[#This Row],[Store_ID]],DimStore[Store_ID],DimStore[Store_Name])</f>
        <v>Sylhet South Surma Store</v>
      </c>
    </row>
    <row r="914" spans="1:23">
      <c r="A914" s="4" t="s">
        <v>1910</v>
      </c>
      <c r="B914" s="5">
        <v>45697</v>
      </c>
      <c r="C914" s="4" t="s">
        <v>270</v>
      </c>
      <c r="D914" s="4" t="s">
        <v>37</v>
      </c>
      <c r="E914" s="4" t="s">
        <v>653</v>
      </c>
      <c r="F914" s="4" t="s">
        <v>934</v>
      </c>
      <c r="G914" s="4" t="s">
        <v>758</v>
      </c>
      <c r="H914" s="4">
        <v>1</v>
      </c>
      <c r="I914" s="7">
        <v>0.18</v>
      </c>
      <c r="J914" s="6">
        <v>3039</v>
      </c>
      <c r="K914" s="4">
        <v>5</v>
      </c>
      <c r="L914" s="8">
        <f t="shared" si="14"/>
        <v>3.2</v>
      </c>
      <c r="M914" s="6" t="str">
        <f>_xlfn.XLOOKUP(FactSales[[#This Row],[Product_ID]],DimProduct[Product_ID],DimProduct[Product_Name])</f>
        <v>Power Bank</v>
      </c>
      <c r="N914" s="6" t="str">
        <f>_xlfn.XLOOKUP(FactSales[[#This Row],[Product_ID]],DimProduct[Product_ID],DimProduct[Category])</f>
        <v>Electronics</v>
      </c>
      <c r="O914" s="6">
        <f>_xlfn.XLOOKUP(FactSales[[#This Row],[Product_ID]],DimProduct[Product_ID],DimProduct[Unit_Price])</f>
        <v>2840</v>
      </c>
      <c r="P914" s="6">
        <f>_xlfn.XLOOKUP(FactSales[[#This Row],[Product_ID]],DimProduct[Product_ID],DimProduct[Unit_Cost])</f>
        <v>1930</v>
      </c>
      <c r="Q914" s="6">
        <f>FactSales[[#This Row],[Unit_Price]]*FactSales[[#This Row],[Quantity_Sold]]</f>
        <v>2840</v>
      </c>
      <c r="R914" s="6">
        <f>FactSales[[#This Row],[Unit_Cost]]*FactSales[[#This Row],[Quantity_Sold]]</f>
        <v>1930</v>
      </c>
      <c r="S914" s="6">
        <f>FactSales[[#This Row],[Sales_Amount]]-FactSales[[#This Row],[Total_Cost]]</f>
        <v>910</v>
      </c>
      <c r="T914" s="6" t="str">
        <f>_xlfn.XLOOKUP(FactSales[[#This Row],[Customer_ID]],DimCustomer[Customer_ID],DimCustomer[Customer_Name])</f>
        <v>Shaila Uddin</v>
      </c>
      <c r="U914" s="6" t="str">
        <f>_xlfn.XLOOKUP(FactSales[[#This Row],[Salesperson_ID]],DimSalesman[Salesperson_ID],DimSalesman[Salesperson_Name])</f>
        <v>Hasan Mia</v>
      </c>
      <c r="V914" s="6" t="str">
        <f>_xlfn.XLOOKUP(FactSales[[#This Row],[Region_ID]],DimRegion[Region_ID],DimRegion[Region_Name])</f>
        <v>Sylhet</v>
      </c>
      <c r="W914" s="6" t="str">
        <f>_xlfn.XLOOKUP(FactSales[[#This Row],[Store_ID]],DimStore[Store_ID],DimStore[Store_Name])</f>
        <v>Sylhet Zindabazar Store</v>
      </c>
    </row>
    <row r="915" spans="1:23">
      <c r="A915" s="4" t="s">
        <v>1911</v>
      </c>
      <c r="B915" s="5">
        <v>45923</v>
      </c>
      <c r="C915" s="4" t="s">
        <v>124</v>
      </c>
      <c r="D915" s="4" t="s">
        <v>27</v>
      </c>
      <c r="E915" s="4" t="s">
        <v>622</v>
      </c>
      <c r="F915" s="4" t="s">
        <v>912</v>
      </c>
      <c r="G915" s="4" t="s">
        <v>897</v>
      </c>
      <c r="H915" s="4">
        <v>8</v>
      </c>
      <c r="I915" s="7">
        <v>0.03</v>
      </c>
      <c r="J915" s="6">
        <v>99046</v>
      </c>
      <c r="K915" s="4">
        <v>2</v>
      </c>
      <c r="L915" s="8">
        <f t="shared" si="14"/>
        <v>4.5</v>
      </c>
      <c r="M915" s="6" t="str">
        <f>_xlfn.XLOOKUP(FactSales[[#This Row],[Product_ID]],DimProduct[Product_ID],DimProduct[Product_Name])</f>
        <v>Study Table</v>
      </c>
      <c r="N915" s="6" t="str">
        <f>_xlfn.XLOOKUP(FactSales[[#This Row],[Product_ID]],DimProduct[Product_ID],DimProduct[Category])</f>
        <v>Furniture</v>
      </c>
      <c r="O915" s="6">
        <f>_xlfn.XLOOKUP(FactSales[[#This Row],[Product_ID]],DimProduct[Product_ID],DimProduct[Unit_Price])</f>
        <v>11680</v>
      </c>
      <c r="P915" s="6">
        <f>_xlfn.XLOOKUP(FactSales[[#This Row],[Product_ID]],DimProduct[Product_ID],DimProduct[Unit_Cost])</f>
        <v>8410</v>
      </c>
      <c r="Q915" s="6">
        <f>FactSales[[#This Row],[Unit_Price]]*FactSales[[#This Row],[Quantity_Sold]]</f>
        <v>93440</v>
      </c>
      <c r="R915" s="6">
        <f>FactSales[[#This Row],[Unit_Cost]]*FactSales[[#This Row],[Quantity_Sold]]</f>
        <v>67280</v>
      </c>
      <c r="S915" s="6">
        <f>FactSales[[#This Row],[Sales_Amount]]-FactSales[[#This Row],[Total_Cost]]</f>
        <v>26160</v>
      </c>
      <c r="T915" s="6" t="str">
        <f>_xlfn.XLOOKUP(FactSales[[#This Row],[Customer_ID]],DimCustomer[Customer_ID],DimCustomer[Customer_Name])</f>
        <v>Rafi Khan</v>
      </c>
      <c r="U915" s="6" t="str">
        <f>_xlfn.XLOOKUP(FactSales[[#This Row],[Salesperson_ID]],DimSalesman[Salesperson_ID],DimSalesman[Salesperson_Name])</f>
        <v>Mahmud Hossain</v>
      </c>
      <c r="V915" s="6" t="str">
        <f>_xlfn.XLOOKUP(FactSales[[#This Row],[Region_ID]],DimRegion[Region_ID],DimRegion[Region_Name])</f>
        <v>Dhaka</v>
      </c>
      <c r="W915" s="6" t="str">
        <f>_xlfn.XLOOKUP(FactSales[[#This Row],[Store_ID]],DimStore[Store_ID],DimStore[Store_Name])</f>
        <v>Dhaka Dhanmondi Store</v>
      </c>
    </row>
    <row r="916" spans="1:23">
      <c r="A916" s="4" t="s">
        <v>1912</v>
      </c>
      <c r="B916" s="5">
        <v>45769</v>
      </c>
      <c r="C916" s="4" t="s">
        <v>468</v>
      </c>
      <c r="D916" s="4" t="s">
        <v>52</v>
      </c>
      <c r="E916" s="4" t="s">
        <v>698</v>
      </c>
      <c r="F916" s="4" t="s">
        <v>965</v>
      </c>
      <c r="G916" s="4" t="s">
        <v>765</v>
      </c>
      <c r="H916" s="4">
        <v>2</v>
      </c>
      <c r="I916" s="7">
        <v>0.08</v>
      </c>
      <c r="J916" s="6">
        <v>10954</v>
      </c>
      <c r="K916" s="4">
        <v>4</v>
      </c>
      <c r="L916" s="8">
        <f t="shared" si="14"/>
        <v>3.7</v>
      </c>
      <c r="M916" s="6" t="str">
        <f>_xlfn.XLOOKUP(FactSales[[#This Row],[Product_ID]],DimProduct[Product_ID],DimProduct[Product_Name])</f>
        <v>USB-C Hub</v>
      </c>
      <c r="N916" s="6" t="str">
        <f>_xlfn.XLOOKUP(FactSales[[#This Row],[Product_ID]],DimProduct[Product_ID],DimProduct[Category])</f>
        <v>Electronics</v>
      </c>
      <c r="O916" s="6">
        <f>_xlfn.XLOOKUP(FactSales[[#This Row],[Product_ID]],DimProduct[Product_ID],DimProduct[Unit_Price])</f>
        <v>4890</v>
      </c>
      <c r="P916" s="6">
        <f>_xlfn.XLOOKUP(FactSales[[#This Row],[Product_ID]],DimProduct[Product_ID],DimProduct[Unit_Cost])</f>
        <v>3330</v>
      </c>
      <c r="Q916" s="6">
        <f>FactSales[[#This Row],[Unit_Price]]*FactSales[[#This Row],[Quantity_Sold]]</f>
        <v>9780</v>
      </c>
      <c r="R916" s="6">
        <f>FactSales[[#This Row],[Unit_Cost]]*FactSales[[#This Row],[Quantity_Sold]]</f>
        <v>6660</v>
      </c>
      <c r="S916" s="6">
        <f>FactSales[[#This Row],[Sales_Amount]]-FactSales[[#This Row],[Total_Cost]]</f>
        <v>3120</v>
      </c>
      <c r="T916" s="6" t="str">
        <f>_xlfn.XLOOKUP(FactSales[[#This Row],[Customer_ID]],DimCustomer[Customer_ID],DimCustomer[Customer_Name])</f>
        <v>Samiha Ahmed</v>
      </c>
      <c r="U916" s="6" t="str">
        <f>_xlfn.XLOOKUP(FactSales[[#This Row],[Salesperson_ID]],DimSalesman[Salesperson_ID],DimSalesman[Salesperson_Name])</f>
        <v>Mehedi Khan</v>
      </c>
      <c r="V916" s="6" t="str">
        <f>_xlfn.XLOOKUP(FactSales[[#This Row],[Region_ID]],DimRegion[Region_ID],DimRegion[Region_Name])</f>
        <v>Barishal</v>
      </c>
      <c r="W916" s="6" t="str">
        <f>_xlfn.XLOOKUP(FactSales[[#This Row],[Store_ID]],DimStore[Store_ID],DimStore[Store_Name])</f>
        <v>Barishal Nathullabad Store</v>
      </c>
    </row>
    <row r="917" spans="1:23">
      <c r="A917" s="4" t="s">
        <v>1913</v>
      </c>
      <c r="B917" s="5">
        <v>46094</v>
      </c>
      <c r="C917" s="4" t="s">
        <v>470</v>
      </c>
      <c r="D917" s="4" t="s">
        <v>52</v>
      </c>
      <c r="E917" s="4" t="s">
        <v>704</v>
      </c>
      <c r="F917" s="4" t="s">
        <v>966</v>
      </c>
      <c r="G917" s="4" t="s">
        <v>781</v>
      </c>
      <c r="H917" s="4">
        <v>5</v>
      </c>
      <c r="I917" s="7">
        <v>0.08</v>
      </c>
      <c r="J917" s="6">
        <v>17416</v>
      </c>
      <c r="K917" s="4">
        <v>7</v>
      </c>
      <c r="L917" s="8">
        <f t="shared" si="14"/>
        <v>2.8</v>
      </c>
      <c r="M917" s="6" t="str">
        <f>_xlfn.XLOOKUP(FactSales[[#This Row],[Product_ID]],DimProduct[Product_ID],DimProduct[Product_Name])</f>
        <v>Table Fan</v>
      </c>
      <c r="N917" s="6" t="str">
        <f>_xlfn.XLOOKUP(FactSales[[#This Row],[Product_ID]],DimProduct[Product_ID],DimProduct[Category])</f>
        <v>Home Appliance</v>
      </c>
      <c r="O917" s="6">
        <f>_xlfn.XLOOKUP(FactSales[[#This Row],[Product_ID]],DimProduct[Product_ID],DimProduct[Unit_Price])</f>
        <v>3110</v>
      </c>
      <c r="P917" s="6">
        <f>_xlfn.XLOOKUP(FactSales[[#This Row],[Product_ID]],DimProduct[Product_ID],DimProduct[Unit_Cost])</f>
        <v>2180</v>
      </c>
      <c r="Q917" s="6">
        <f>FactSales[[#This Row],[Unit_Price]]*FactSales[[#This Row],[Quantity_Sold]]</f>
        <v>15550</v>
      </c>
      <c r="R917" s="6">
        <f>FactSales[[#This Row],[Unit_Cost]]*FactSales[[#This Row],[Quantity_Sold]]</f>
        <v>10900</v>
      </c>
      <c r="S917" s="6">
        <f>FactSales[[#This Row],[Sales_Amount]]-FactSales[[#This Row],[Total_Cost]]</f>
        <v>4650</v>
      </c>
      <c r="T917" s="6" t="str">
        <f>_xlfn.XLOOKUP(FactSales[[#This Row],[Customer_ID]],DimCustomer[Customer_ID],DimCustomer[Customer_Name])</f>
        <v>Imran Chowdhury</v>
      </c>
      <c r="U917" s="6" t="str">
        <f>_xlfn.XLOOKUP(FactSales[[#This Row],[Salesperson_ID]],DimSalesman[Salesperson_ID],DimSalesman[Salesperson_Name])</f>
        <v>Nayeem Akter</v>
      </c>
      <c r="V917" s="6" t="str">
        <f>_xlfn.XLOOKUP(FactSales[[#This Row],[Region_ID]],DimRegion[Region_ID],DimRegion[Region_Name])</f>
        <v>Barishal</v>
      </c>
      <c r="W917" s="6" t="str">
        <f>_xlfn.XLOOKUP(FactSales[[#This Row],[Store_ID]],DimStore[Store_ID],DimStore[Store_Name])</f>
        <v>Barishal Rupatali Store</v>
      </c>
    </row>
    <row r="918" spans="1:23">
      <c r="A918" s="4" t="s">
        <v>1914</v>
      </c>
      <c r="B918" s="5">
        <v>46041</v>
      </c>
      <c r="C918" s="4" t="s">
        <v>472</v>
      </c>
      <c r="D918" s="4" t="s">
        <v>52</v>
      </c>
      <c r="E918" s="4" t="s">
        <v>704</v>
      </c>
      <c r="F918" s="4" t="s">
        <v>963</v>
      </c>
      <c r="G918" s="4" t="s">
        <v>903</v>
      </c>
      <c r="H918" s="4">
        <v>2</v>
      </c>
      <c r="I918" s="7">
        <v>7.0000000000000007E-2</v>
      </c>
      <c r="J918" s="6">
        <v>9475</v>
      </c>
      <c r="K918" s="4">
        <v>6</v>
      </c>
      <c r="L918" s="8">
        <f t="shared" si="14"/>
        <v>3.1</v>
      </c>
      <c r="M918" s="6" t="str">
        <f>_xlfn.XLOOKUP(FactSales[[#This Row],[Product_ID]],DimProduct[Product_ID],DimProduct[Product_Name])</f>
        <v>Bookshelf</v>
      </c>
      <c r="N918" s="6" t="str">
        <f>_xlfn.XLOOKUP(FactSales[[#This Row],[Product_ID]],DimProduct[Product_ID],DimProduct[Category])</f>
        <v>Furniture</v>
      </c>
      <c r="O918" s="6">
        <f>_xlfn.XLOOKUP(FactSales[[#This Row],[Product_ID]],DimProduct[Product_ID],DimProduct[Unit_Price])</f>
        <v>4230</v>
      </c>
      <c r="P918" s="6">
        <f>_xlfn.XLOOKUP(FactSales[[#This Row],[Product_ID]],DimProduct[Product_ID],DimProduct[Unit_Cost])</f>
        <v>3050</v>
      </c>
      <c r="Q918" s="6">
        <f>FactSales[[#This Row],[Unit_Price]]*FactSales[[#This Row],[Quantity_Sold]]</f>
        <v>8460</v>
      </c>
      <c r="R918" s="6">
        <f>FactSales[[#This Row],[Unit_Cost]]*FactSales[[#This Row],[Quantity_Sold]]</f>
        <v>6100</v>
      </c>
      <c r="S918" s="6">
        <f>FactSales[[#This Row],[Sales_Amount]]-FactSales[[#This Row],[Total_Cost]]</f>
        <v>2360</v>
      </c>
      <c r="T918" s="6" t="str">
        <f>_xlfn.XLOOKUP(FactSales[[#This Row],[Customer_ID]],DimCustomer[Customer_ID],DimCustomer[Customer_Name])</f>
        <v>Rumana Akter</v>
      </c>
      <c r="U918" s="6" t="str">
        <f>_xlfn.XLOOKUP(FactSales[[#This Row],[Salesperson_ID]],DimSalesman[Salesperson_ID],DimSalesman[Salesperson_Name])</f>
        <v>Rasel Uddin</v>
      </c>
      <c r="V918" s="6" t="str">
        <f>_xlfn.XLOOKUP(FactSales[[#This Row],[Region_ID]],DimRegion[Region_ID],DimRegion[Region_Name])</f>
        <v>Barishal</v>
      </c>
      <c r="W918" s="6" t="str">
        <f>_xlfn.XLOOKUP(FactSales[[#This Row],[Store_ID]],DimStore[Store_ID],DimStore[Store_Name])</f>
        <v>Barishal Rupatali Store</v>
      </c>
    </row>
    <row r="919" spans="1:23">
      <c r="A919" s="4" t="s">
        <v>1915</v>
      </c>
      <c r="B919" s="5">
        <v>45874</v>
      </c>
      <c r="C919" s="4" t="s">
        <v>101</v>
      </c>
      <c r="D919" s="4" t="s">
        <v>27</v>
      </c>
      <c r="E919" s="4" t="s">
        <v>622</v>
      </c>
      <c r="F919" s="4" t="s">
        <v>919</v>
      </c>
      <c r="G919" s="4" t="s">
        <v>750</v>
      </c>
      <c r="H919" s="4">
        <v>5</v>
      </c>
      <c r="I919" s="7">
        <v>0.18</v>
      </c>
      <c r="J919" s="6">
        <v>17172</v>
      </c>
      <c r="K919" s="4">
        <v>1</v>
      </c>
      <c r="L919" s="8">
        <f t="shared" si="14"/>
        <v>4.5</v>
      </c>
      <c r="M919" s="6" t="str">
        <f>_xlfn.XLOOKUP(FactSales[[#This Row],[Product_ID]],DimProduct[Product_ID],DimProduct[Product_Name])</f>
        <v>Bluetooth Speaker</v>
      </c>
      <c r="N919" s="6" t="str">
        <f>_xlfn.XLOOKUP(FactSales[[#This Row],[Product_ID]],DimProduct[Product_ID],DimProduct[Category])</f>
        <v>Electronics</v>
      </c>
      <c r="O919" s="6">
        <f>_xlfn.XLOOKUP(FactSales[[#This Row],[Product_ID]],DimProduct[Product_ID],DimProduct[Unit_Price])</f>
        <v>3240</v>
      </c>
      <c r="P919" s="6">
        <f>_xlfn.XLOOKUP(FactSales[[#This Row],[Product_ID]],DimProduct[Product_ID],DimProduct[Unit_Cost])</f>
        <v>2200</v>
      </c>
      <c r="Q919" s="6">
        <f>FactSales[[#This Row],[Unit_Price]]*FactSales[[#This Row],[Quantity_Sold]]</f>
        <v>16200</v>
      </c>
      <c r="R919" s="6">
        <f>FactSales[[#This Row],[Unit_Cost]]*FactSales[[#This Row],[Quantity_Sold]]</f>
        <v>11000</v>
      </c>
      <c r="S919" s="6">
        <f>FactSales[[#This Row],[Sales_Amount]]-FactSales[[#This Row],[Total_Cost]]</f>
        <v>5200</v>
      </c>
      <c r="T919" s="6" t="str">
        <f>_xlfn.XLOOKUP(FactSales[[#This Row],[Customer_ID]],DimCustomer[Customer_ID],DimCustomer[Customer_Name])</f>
        <v>Shamim Khan</v>
      </c>
      <c r="U919" s="6" t="str">
        <f>_xlfn.XLOOKUP(FactSales[[#This Row],[Salesperson_ID]],DimSalesman[Salesperson_ID],DimSalesman[Salesperson_Name])</f>
        <v>Imran Mia</v>
      </c>
      <c r="V919" s="6" t="str">
        <f>_xlfn.XLOOKUP(FactSales[[#This Row],[Region_ID]],DimRegion[Region_ID],DimRegion[Region_Name])</f>
        <v>Dhaka</v>
      </c>
      <c r="W919" s="6" t="str">
        <f>_xlfn.XLOOKUP(FactSales[[#This Row],[Store_ID]],DimStore[Store_ID],DimStore[Store_Name])</f>
        <v>Dhaka Dhanmondi Store</v>
      </c>
    </row>
    <row r="920" spans="1:23">
      <c r="A920" s="4" t="s">
        <v>1916</v>
      </c>
      <c r="B920" s="5">
        <v>45811</v>
      </c>
      <c r="C920" s="4" t="s">
        <v>439</v>
      </c>
      <c r="D920" s="4" t="s">
        <v>52</v>
      </c>
      <c r="E920" s="4" t="s">
        <v>707</v>
      </c>
      <c r="F920" s="4" t="s">
        <v>965</v>
      </c>
      <c r="G920" s="4" t="s">
        <v>750</v>
      </c>
      <c r="H920" s="4">
        <v>2</v>
      </c>
      <c r="I920" s="7">
        <v>0.08</v>
      </c>
      <c r="J920" s="6">
        <v>7258</v>
      </c>
      <c r="K920" s="4">
        <v>9</v>
      </c>
      <c r="L920" s="8">
        <f t="shared" si="14"/>
        <v>2.1</v>
      </c>
      <c r="M920" s="6" t="str">
        <f>_xlfn.XLOOKUP(FactSales[[#This Row],[Product_ID]],DimProduct[Product_ID],DimProduct[Product_Name])</f>
        <v>Bluetooth Speaker</v>
      </c>
      <c r="N920" s="6" t="str">
        <f>_xlfn.XLOOKUP(FactSales[[#This Row],[Product_ID]],DimProduct[Product_ID],DimProduct[Category])</f>
        <v>Electronics</v>
      </c>
      <c r="O920" s="6">
        <f>_xlfn.XLOOKUP(FactSales[[#This Row],[Product_ID]],DimProduct[Product_ID],DimProduct[Unit_Price])</f>
        <v>3240</v>
      </c>
      <c r="P920" s="6">
        <f>_xlfn.XLOOKUP(FactSales[[#This Row],[Product_ID]],DimProduct[Product_ID],DimProduct[Unit_Cost])</f>
        <v>2200</v>
      </c>
      <c r="Q920" s="6">
        <f>FactSales[[#This Row],[Unit_Price]]*FactSales[[#This Row],[Quantity_Sold]]</f>
        <v>6480</v>
      </c>
      <c r="R920" s="6">
        <f>FactSales[[#This Row],[Unit_Cost]]*FactSales[[#This Row],[Quantity_Sold]]</f>
        <v>4400</v>
      </c>
      <c r="S920" s="6">
        <f>FactSales[[#This Row],[Sales_Amount]]-FactSales[[#This Row],[Total_Cost]]</f>
        <v>2080</v>
      </c>
      <c r="T920" s="6" t="str">
        <f>_xlfn.XLOOKUP(FactSales[[#This Row],[Customer_ID]],DimCustomer[Customer_ID],DimCustomer[Customer_Name])</f>
        <v>Mahmud Sultana</v>
      </c>
      <c r="U920" s="6" t="str">
        <f>_xlfn.XLOOKUP(FactSales[[#This Row],[Salesperson_ID]],DimSalesman[Salesperson_ID],DimSalesman[Salesperson_Name])</f>
        <v>Mehedi Khan</v>
      </c>
      <c r="V920" s="6" t="str">
        <f>_xlfn.XLOOKUP(FactSales[[#This Row],[Region_ID]],DimRegion[Region_ID],DimRegion[Region_Name])</f>
        <v>Barishal</v>
      </c>
      <c r="W920" s="6" t="str">
        <f>_xlfn.XLOOKUP(FactSales[[#This Row],[Store_ID]],DimStore[Store_ID],DimStore[Store_Name])</f>
        <v>Barishal Chowmatha Store</v>
      </c>
    </row>
    <row r="921" spans="1:23">
      <c r="A921" s="4" t="s">
        <v>1917</v>
      </c>
      <c r="B921" s="5">
        <v>46086</v>
      </c>
      <c r="C921" s="4" t="s">
        <v>335</v>
      </c>
      <c r="D921" s="4" t="s">
        <v>42</v>
      </c>
      <c r="E921" s="4" t="s">
        <v>680</v>
      </c>
      <c r="F921" s="4" t="s">
        <v>949</v>
      </c>
      <c r="G921" s="4" t="s">
        <v>828</v>
      </c>
      <c r="H921" s="4">
        <v>3</v>
      </c>
      <c r="I921" s="7">
        <v>0.12</v>
      </c>
      <c r="J921" s="6">
        <v>4568</v>
      </c>
      <c r="K921" s="4">
        <v>3</v>
      </c>
      <c r="L921" s="8">
        <f t="shared" si="14"/>
        <v>4</v>
      </c>
      <c r="M921" s="6" t="str">
        <f>_xlfn.XLOOKUP(FactSales[[#This Row],[Product_ID]],DimProduct[Product_ID],DimProduct[Product_Name])</f>
        <v>Toothpaste Twin Pack</v>
      </c>
      <c r="N921" s="6" t="str">
        <f>_xlfn.XLOOKUP(FactSales[[#This Row],[Product_ID]],DimProduct[Product_ID],DimProduct[Category])</f>
        <v>Beauty &amp; Personal Care</v>
      </c>
      <c r="O921" s="6">
        <f>_xlfn.XLOOKUP(FactSales[[#This Row],[Product_ID]],DimProduct[Product_ID],DimProduct[Unit_Price])</f>
        <v>1410</v>
      </c>
      <c r="P921" s="6">
        <f>_xlfn.XLOOKUP(FactSales[[#This Row],[Product_ID]],DimProduct[Product_ID],DimProduct[Unit_Cost])</f>
        <v>820</v>
      </c>
      <c r="Q921" s="6">
        <f>FactSales[[#This Row],[Unit_Price]]*FactSales[[#This Row],[Quantity_Sold]]</f>
        <v>4230</v>
      </c>
      <c r="R921" s="6">
        <f>FactSales[[#This Row],[Unit_Cost]]*FactSales[[#This Row],[Quantity_Sold]]</f>
        <v>2460</v>
      </c>
      <c r="S921" s="6">
        <f>FactSales[[#This Row],[Sales_Amount]]-FactSales[[#This Row],[Total_Cost]]</f>
        <v>1770</v>
      </c>
      <c r="T921" s="6" t="str">
        <f>_xlfn.XLOOKUP(FactSales[[#This Row],[Customer_ID]],DimCustomer[Customer_ID],DimCustomer[Customer_Name])</f>
        <v>Shuvo Khan</v>
      </c>
      <c r="U921" s="6" t="str">
        <f>_xlfn.XLOOKUP(FactSales[[#This Row],[Salesperson_ID]],DimSalesman[Salesperson_ID],DimSalesman[Salesperson_Name])</f>
        <v>Mahmud Chowdhury</v>
      </c>
      <c r="V921" s="6" t="str">
        <f>_xlfn.XLOOKUP(FactSales[[#This Row],[Region_ID]],DimRegion[Region_ID],DimRegion[Region_Name])</f>
        <v>Rajshahi</v>
      </c>
      <c r="W921" s="6" t="str">
        <f>_xlfn.XLOOKUP(FactSales[[#This Row],[Store_ID]],DimStore[Store_ID],DimStore[Store_Name])</f>
        <v>Rajshahi Lakshmipur Store</v>
      </c>
    </row>
    <row r="922" spans="1:23">
      <c r="A922" s="4" t="s">
        <v>1918</v>
      </c>
      <c r="B922" s="5">
        <v>46109</v>
      </c>
      <c r="C922" s="4" t="s">
        <v>130</v>
      </c>
      <c r="D922" s="4" t="s">
        <v>27</v>
      </c>
      <c r="E922" s="4" t="s">
        <v>630</v>
      </c>
      <c r="F922" s="4" t="s">
        <v>920</v>
      </c>
      <c r="G922" s="4" t="s">
        <v>800</v>
      </c>
      <c r="H922" s="4">
        <v>2</v>
      </c>
      <c r="I922" s="7">
        <v>0.03</v>
      </c>
      <c r="J922" s="6">
        <v>2353</v>
      </c>
      <c r="K922" s="4">
        <v>3</v>
      </c>
      <c r="L922" s="8">
        <f t="shared" si="14"/>
        <v>4.2</v>
      </c>
      <c r="M922" s="6" t="str">
        <f>_xlfn.XLOOKUP(FactSales[[#This Row],[Product_ID]],DimProduct[Product_ID],DimProduct[Product_Name])</f>
        <v>Premium Rice 5kg</v>
      </c>
      <c r="N922" s="6" t="str">
        <f>_xlfn.XLOOKUP(FactSales[[#This Row],[Product_ID]],DimProduct[Product_ID],DimProduct[Category])</f>
        <v>Grocery</v>
      </c>
      <c r="O922" s="6">
        <f>_xlfn.XLOOKUP(FactSales[[#This Row],[Product_ID]],DimProduct[Product_ID],DimProduct[Unit_Price])</f>
        <v>1110</v>
      </c>
      <c r="P922" s="6">
        <f>_xlfn.XLOOKUP(FactSales[[#This Row],[Product_ID]],DimProduct[Product_ID],DimProduct[Unit_Cost])</f>
        <v>870</v>
      </c>
      <c r="Q922" s="6">
        <f>FactSales[[#This Row],[Unit_Price]]*FactSales[[#This Row],[Quantity_Sold]]</f>
        <v>2220</v>
      </c>
      <c r="R922" s="6">
        <f>FactSales[[#This Row],[Unit_Cost]]*FactSales[[#This Row],[Quantity_Sold]]</f>
        <v>1740</v>
      </c>
      <c r="S922" s="6">
        <f>FactSales[[#This Row],[Sales_Amount]]-FactSales[[#This Row],[Total_Cost]]</f>
        <v>480</v>
      </c>
      <c r="T922" s="6" t="str">
        <f>_xlfn.XLOOKUP(FactSales[[#This Row],[Customer_ID]],DimCustomer[Customer_ID],DimCustomer[Customer_Name])</f>
        <v>Tanjim Ahmed</v>
      </c>
      <c r="U922" s="6" t="str">
        <f>_xlfn.XLOOKUP(FactSales[[#This Row],[Salesperson_ID]],DimSalesman[Salesperson_ID],DimSalesman[Salesperson_Name])</f>
        <v>Rahim Hossain</v>
      </c>
      <c r="V922" s="6" t="str">
        <f>_xlfn.XLOOKUP(FactSales[[#This Row],[Region_ID]],DimRegion[Region_ID],DimRegion[Region_Name])</f>
        <v>Dhaka</v>
      </c>
      <c r="W922" s="6" t="str">
        <f>_xlfn.XLOOKUP(FactSales[[#This Row],[Store_ID]],DimStore[Store_ID],DimStore[Store_Name])</f>
        <v>Dhaka Uttara Store</v>
      </c>
    </row>
    <row r="923" spans="1:23">
      <c r="A923" s="4" t="s">
        <v>1919</v>
      </c>
      <c r="B923" s="5">
        <v>45776</v>
      </c>
      <c r="C923" s="4" t="s">
        <v>442</v>
      </c>
      <c r="D923" s="4" t="s">
        <v>52</v>
      </c>
      <c r="E923" s="4" t="s">
        <v>707</v>
      </c>
      <c r="F923" s="4" t="s">
        <v>963</v>
      </c>
      <c r="G923" s="4" t="s">
        <v>854</v>
      </c>
      <c r="H923" s="4">
        <v>5</v>
      </c>
      <c r="I923" s="7">
        <v>0.1</v>
      </c>
      <c r="J923" s="6">
        <v>20832</v>
      </c>
      <c r="K923" s="4">
        <v>4</v>
      </c>
      <c r="L923" s="8">
        <f t="shared" si="14"/>
        <v>3.7</v>
      </c>
      <c r="M923" s="6" t="str">
        <f>_xlfn.XLOOKUP(FactSales[[#This Row],[Product_ID]],DimProduct[Product_ID],DimProduct[Product_Name])</f>
        <v>Football</v>
      </c>
      <c r="N923" s="6" t="str">
        <f>_xlfn.XLOOKUP(FactSales[[#This Row],[Product_ID]],DimProduct[Product_ID],DimProduct[Category])</f>
        <v>Sports</v>
      </c>
      <c r="O923" s="6">
        <f>_xlfn.XLOOKUP(FactSales[[#This Row],[Product_ID]],DimProduct[Product_ID],DimProduct[Unit_Price])</f>
        <v>3720</v>
      </c>
      <c r="P923" s="6">
        <f>_xlfn.XLOOKUP(FactSales[[#This Row],[Product_ID]],DimProduct[Product_ID],DimProduct[Unit_Cost])</f>
        <v>2310</v>
      </c>
      <c r="Q923" s="6">
        <f>FactSales[[#This Row],[Unit_Price]]*FactSales[[#This Row],[Quantity_Sold]]</f>
        <v>18600</v>
      </c>
      <c r="R923" s="6">
        <f>FactSales[[#This Row],[Unit_Cost]]*FactSales[[#This Row],[Quantity_Sold]]</f>
        <v>11550</v>
      </c>
      <c r="S923" s="6">
        <f>FactSales[[#This Row],[Sales_Amount]]-FactSales[[#This Row],[Total_Cost]]</f>
        <v>7050</v>
      </c>
      <c r="T923" s="6" t="str">
        <f>_xlfn.XLOOKUP(FactSales[[#This Row],[Customer_ID]],DimCustomer[Customer_ID],DimCustomer[Customer_Name])</f>
        <v>Rasel Chowdhury</v>
      </c>
      <c r="U923" s="6" t="str">
        <f>_xlfn.XLOOKUP(FactSales[[#This Row],[Salesperson_ID]],DimSalesman[Salesperson_ID],DimSalesman[Salesperson_Name])</f>
        <v>Rasel Uddin</v>
      </c>
      <c r="V923" s="6" t="str">
        <f>_xlfn.XLOOKUP(FactSales[[#This Row],[Region_ID]],DimRegion[Region_ID],DimRegion[Region_Name])</f>
        <v>Barishal</v>
      </c>
      <c r="W923" s="6" t="str">
        <f>_xlfn.XLOOKUP(FactSales[[#This Row],[Store_ID]],DimStore[Store_ID],DimStore[Store_Name])</f>
        <v>Barishal Chowmatha Store</v>
      </c>
    </row>
    <row r="924" spans="1:23">
      <c r="A924" s="4" t="s">
        <v>1920</v>
      </c>
      <c r="B924" s="5">
        <v>46028</v>
      </c>
      <c r="C924" s="4" t="s">
        <v>429</v>
      </c>
      <c r="D924" s="4" t="s">
        <v>52</v>
      </c>
      <c r="E924" s="4" t="s">
        <v>704</v>
      </c>
      <c r="F924" s="4" t="s">
        <v>965</v>
      </c>
      <c r="G924" s="4" t="s">
        <v>797</v>
      </c>
      <c r="H924" s="4">
        <v>3</v>
      </c>
      <c r="I924" s="7">
        <v>0.12</v>
      </c>
      <c r="J924" s="6">
        <v>8803</v>
      </c>
      <c r="K924" s="4">
        <v>5</v>
      </c>
      <c r="L924" s="8">
        <f t="shared" si="14"/>
        <v>3.3</v>
      </c>
      <c r="M924" s="6" t="str">
        <f>_xlfn.XLOOKUP(FactSales[[#This Row],[Product_ID]],DimProduct[Product_ID],DimProduct[Product_Name])</f>
        <v>Leather Belt</v>
      </c>
      <c r="N924" s="6" t="str">
        <f>_xlfn.XLOOKUP(FactSales[[#This Row],[Product_ID]],DimProduct[Product_ID],DimProduct[Category])</f>
        <v>Fashion</v>
      </c>
      <c r="O924" s="6">
        <f>_xlfn.XLOOKUP(FactSales[[#This Row],[Product_ID]],DimProduct[Product_ID],DimProduct[Unit_Price])</f>
        <v>2620</v>
      </c>
      <c r="P924" s="6">
        <f>_xlfn.XLOOKUP(FactSales[[#This Row],[Product_ID]],DimProduct[Product_ID],DimProduct[Unit_Cost])</f>
        <v>1440</v>
      </c>
      <c r="Q924" s="6">
        <f>FactSales[[#This Row],[Unit_Price]]*FactSales[[#This Row],[Quantity_Sold]]</f>
        <v>7860</v>
      </c>
      <c r="R924" s="6">
        <f>FactSales[[#This Row],[Unit_Cost]]*FactSales[[#This Row],[Quantity_Sold]]</f>
        <v>4320</v>
      </c>
      <c r="S924" s="6">
        <f>FactSales[[#This Row],[Sales_Amount]]-FactSales[[#This Row],[Total_Cost]]</f>
        <v>3540</v>
      </c>
      <c r="T924" s="6" t="str">
        <f>_xlfn.XLOOKUP(FactSales[[#This Row],[Customer_ID]],DimCustomer[Customer_ID],DimCustomer[Customer_Name])</f>
        <v>Arif Ahmed</v>
      </c>
      <c r="U924" s="6" t="str">
        <f>_xlfn.XLOOKUP(FactSales[[#This Row],[Salesperson_ID]],DimSalesman[Salesperson_ID],DimSalesman[Salesperson_Name])</f>
        <v>Mehedi Khan</v>
      </c>
      <c r="V924" s="6" t="str">
        <f>_xlfn.XLOOKUP(FactSales[[#This Row],[Region_ID]],DimRegion[Region_ID],DimRegion[Region_Name])</f>
        <v>Barishal</v>
      </c>
      <c r="W924" s="6" t="str">
        <f>_xlfn.XLOOKUP(FactSales[[#This Row],[Store_ID]],DimStore[Store_ID],DimStore[Store_Name])</f>
        <v>Barishal Rupatali Store</v>
      </c>
    </row>
    <row r="925" spans="1:23">
      <c r="A925" s="4" t="s">
        <v>1921</v>
      </c>
      <c r="B925" s="5">
        <v>46075</v>
      </c>
      <c r="C925" s="4" t="s">
        <v>335</v>
      </c>
      <c r="D925" s="4" t="s">
        <v>42</v>
      </c>
      <c r="E925" s="4" t="s">
        <v>671</v>
      </c>
      <c r="F925" s="4" t="s">
        <v>949</v>
      </c>
      <c r="G925" s="4" t="s">
        <v>765</v>
      </c>
      <c r="H925" s="4">
        <v>3</v>
      </c>
      <c r="I925" s="7">
        <v>0.1</v>
      </c>
      <c r="J925" s="6">
        <v>15844</v>
      </c>
      <c r="K925" s="4">
        <v>7</v>
      </c>
      <c r="L925" s="8">
        <f t="shared" si="14"/>
        <v>2.7</v>
      </c>
      <c r="M925" s="6" t="str">
        <f>_xlfn.XLOOKUP(FactSales[[#This Row],[Product_ID]],DimProduct[Product_ID],DimProduct[Product_Name])</f>
        <v>USB-C Hub</v>
      </c>
      <c r="N925" s="6" t="str">
        <f>_xlfn.XLOOKUP(FactSales[[#This Row],[Product_ID]],DimProduct[Product_ID],DimProduct[Category])</f>
        <v>Electronics</v>
      </c>
      <c r="O925" s="6">
        <f>_xlfn.XLOOKUP(FactSales[[#This Row],[Product_ID]],DimProduct[Product_ID],DimProduct[Unit_Price])</f>
        <v>4890</v>
      </c>
      <c r="P925" s="6">
        <f>_xlfn.XLOOKUP(FactSales[[#This Row],[Product_ID]],DimProduct[Product_ID],DimProduct[Unit_Cost])</f>
        <v>3330</v>
      </c>
      <c r="Q925" s="6">
        <f>FactSales[[#This Row],[Unit_Price]]*FactSales[[#This Row],[Quantity_Sold]]</f>
        <v>14670</v>
      </c>
      <c r="R925" s="6">
        <f>FactSales[[#This Row],[Unit_Cost]]*FactSales[[#This Row],[Quantity_Sold]]</f>
        <v>9990</v>
      </c>
      <c r="S925" s="6">
        <f>FactSales[[#This Row],[Sales_Amount]]-FactSales[[#This Row],[Total_Cost]]</f>
        <v>4680</v>
      </c>
      <c r="T925" s="6" t="str">
        <f>_xlfn.XLOOKUP(FactSales[[#This Row],[Customer_ID]],DimCustomer[Customer_ID],DimCustomer[Customer_Name])</f>
        <v>Shuvo Khan</v>
      </c>
      <c r="U925" s="6" t="str">
        <f>_xlfn.XLOOKUP(FactSales[[#This Row],[Salesperson_ID]],DimSalesman[Salesperson_ID],DimSalesman[Salesperson_Name])</f>
        <v>Mahmud Chowdhury</v>
      </c>
      <c r="V925" s="6" t="str">
        <f>_xlfn.XLOOKUP(FactSales[[#This Row],[Region_ID]],DimRegion[Region_ID],DimRegion[Region_Name])</f>
        <v>Rajshahi</v>
      </c>
      <c r="W925" s="6" t="str">
        <f>_xlfn.XLOOKUP(FactSales[[#This Row],[Store_ID]],DimStore[Store_ID],DimStore[Store_Name])</f>
        <v>Rajshahi Kazla Store</v>
      </c>
    </row>
    <row r="926" spans="1:23">
      <c r="A926" s="4" t="s">
        <v>1922</v>
      </c>
      <c r="B926" s="5">
        <v>46076</v>
      </c>
      <c r="C926" s="4" t="s">
        <v>381</v>
      </c>
      <c r="D926" s="4" t="s">
        <v>47</v>
      </c>
      <c r="E926" s="4" t="s">
        <v>689</v>
      </c>
      <c r="F926" s="4" t="s">
        <v>954</v>
      </c>
      <c r="G926" s="4" t="s">
        <v>758</v>
      </c>
      <c r="H926" s="4">
        <v>2</v>
      </c>
      <c r="I926" s="7">
        <v>0.1</v>
      </c>
      <c r="J926" s="6">
        <v>6191</v>
      </c>
      <c r="K926" s="4">
        <v>1</v>
      </c>
      <c r="L926" s="8">
        <f t="shared" si="14"/>
        <v>4.7</v>
      </c>
      <c r="M926" s="6" t="str">
        <f>_xlfn.XLOOKUP(FactSales[[#This Row],[Product_ID]],DimProduct[Product_ID],DimProduct[Product_Name])</f>
        <v>Power Bank</v>
      </c>
      <c r="N926" s="6" t="str">
        <f>_xlfn.XLOOKUP(FactSales[[#This Row],[Product_ID]],DimProduct[Product_ID],DimProduct[Category])</f>
        <v>Electronics</v>
      </c>
      <c r="O926" s="6">
        <f>_xlfn.XLOOKUP(FactSales[[#This Row],[Product_ID]],DimProduct[Product_ID],DimProduct[Unit_Price])</f>
        <v>2840</v>
      </c>
      <c r="P926" s="6">
        <f>_xlfn.XLOOKUP(FactSales[[#This Row],[Product_ID]],DimProduct[Product_ID],DimProduct[Unit_Cost])</f>
        <v>1930</v>
      </c>
      <c r="Q926" s="6">
        <f>FactSales[[#This Row],[Unit_Price]]*FactSales[[#This Row],[Quantity_Sold]]</f>
        <v>5680</v>
      </c>
      <c r="R926" s="6">
        <f>FactSales[[#This Row],[Unit_Cost]]*FactSales[[#This Row],[Quantity_Sold]]</f>
        <v>3860</v>
      </c>
      <c r="S926" s="6">
        <f>FactSales[[#This Row],[Sales_Amount]]-FactSales[[#This Row],[Total_Cost]]</f>
        <v>1820</v>
      </c>
      <c r="T926" s="6" t="str">
        <f>_xlfn.XLOOKUP(FactSales[[#This Row],[Customer_ID]],DimCustomer[Customer_ID],DimCustomer[Customer_Name])</f>
        <v>Nabila Islam</v>
      </c>
      <c r="U926" s="6" t="str">
        <f>_xlfn.XLOOKUP(FactSales[[#This Row],[Salesperson_ID]],DimSalesman[Salesperson_ID],DimSalesman[Salesperson_Name])</f>
        <v>Sadia Sultana</v>
      </c>
      <c r="V926" s="6" t="str">
        <f>_xlfn.XLOOKUP(FactSales[[#This Row],[Region_ID]],DimRegion[Region_ID],DimRegion[Region_Name])</f>
        <v>Khulna</v>
      </c>
      <c r="W926" s="6" t="str">
        <f>_xlfn.XLOOKUP(FactSales[[#This Row],[Store_ID]],DimStore[Store_ID],DimStore[Store_Name])</f>
        <v>Khulna Daulatpur Store</v>
      </c>
    </row>
    <row r="927" spans="1:23">
      <c r="A927" s="4" t="s">
        <v>1923</v>
      </c>
      <c r="B927" s="5">
        <v>46086</v>
      </c>
      <c r="C927" s="4" t="s">
        <v>299</v>
      </c>
      <c r="D927" s="4" t="s">
        <v>42</v>
      </c>
      <c r="E927" s="4" t="s">
        <v>677</v>
      </c>
      <c r="F927" s="4" t="s">
        <v>943</v>
      </c>
      <c r="G927" s="4" t="s">
        <v>762</v>
      </c>
      <c r="H927" s="4">
        <v>4</v>
      </c>
      <c r="I927" s="7">
        <v>0.15</v>
      </c>
      <c r="J927" s="6">
        <v>16718</v>
      </c>
      <c r="K927" s="4">
        <v>3</v>
      </c>
      <c r="L927" s="8">
        <f t="shared" si="14"/>
        <v>3.9</v>
      </c>
      <c r="M927" s="6" t="str">
        <f>_xlfn.XLOOKUP(FactSales[[#This Row],[Product_ID]],DimProduct[Product_ID],DimProduct[Product_Name])</f>
        <v>Smart Watch</v>
      </c>
      <c r="N927" s="6" t="str">
        <f>_xlfn.XLOOKUP(FactSales[[#This Row],[Product_ID]],DimProduct[Product_ID],DimProduct[Category])</f>
        <v>Electronics</v>
      </c>
      <c r="O927" s="6">
        <f>_xlfn.XLOOKUP(FactSales[[#This Row],[Product_ID]],DimProduct[Product_ID],DimProduct[Unit_Price])</f>
        <v>3870</v>
      </c>
      <c r="P927" s="6">
        <f>_xlfn.XLOOKUP(FactSales[[#This Row],[Product_ID]],DimProduct[Product_ID],DimProduct[Unit_Cost])</f>
        <v>2630</v>
      </c>
      <c r="Q927" s="6">
        <f>FactSales[[#This Row],[Unit_Price]]*FactSales[[#This Row],[Quantity_Sold]]</f>
        <v>15480</v>
      </c>
      <c r="R927" s="6">
        <f>FactSales[[#This Row],[Unit_Cost]]*FactSales[[#This Row],[Quantity_Sold]]</f>
        <v>10520</v>
      </c>
      <c r="S927" s="6">
        <f>FactSales[[#This Row],[Sales_Amount]]-FactSales[[#This Row],[Total_Cost]]</f>
        <v>4960</v>
      </c>
      <c r="T927" s="6" t="str">
        <f>_xlfn.XLOOKUP(FactSales[[#This Row],[Customer_ID]],DimCustomer[Customer_ID],DimCustomer[Customer_Name])</f>
        <v>Samiha Ahmed</v>
      </c>
      <c r="U927" s="6" t="str">
        <f>_xlfn.XLOOKUP(FactSales[[#This Row],[Salesperson_ID]],DimSalesman[Salesperson_ID],DimSalesman[Salesperson_Name])</f>
        <v>Imran Khan</v>
      </c>
      <c r="V927" s="6" t="str">
        <f>_xlfn.XLOOKUP(FactSales[[#This Row],[Region_ID]],DimRegion[Region_ID],DimRegion[Region_Name])</f>
        <v>Rajshahi</v>
      </c>
      <c r="W927" s="6" t="str">
        <f>_xlfn.XLOOKUP(FactSales[[#This Row],[Store_ID]],DimStore[Store_ID],DimStore[Store_Name])</f>
        <v>Rajshahi Railgate Store</v>
      </c>
    </row>
    <row r="928" spans="1:23">
      <c r="A928" s="4" t="s">
        <v>1924</v>
      </c>
      <c r="B928" s="5">
        <v>45828</v>
      </c>
      <c r="C928" s="4" t="s">
        <v>159</v>
      </c>
      <c r="D928" s="4" t="s">
        <v>32</v>
      </c>
      <c r="E928" s="4" t="s">
        <v>638</v>
      </c>
      <c r="F928" s="4" t="s">
        <v>927</v>
      </c>
      <c r="G928" s="4" t="s">
        <v>750</v>
      </c>
      <c r="H928" s="4">
        <v>10</v>
      </c>
      <c r="I928" s="7">
        <v>0.1</v>
      </c>
      <c r="J928" s="6">
        <v>36936</v>
      </c>
      <c r="K928" s="4">
        <v>3</v>
      </c>
      <c r="L928" s="8">
        <f t="shared" si="14"/>
        <v>4</v>
      </c>
      <c r="M928" s="6" t="str">
        <f>_xlfn.XLOOKUP(FactSales[[#This Row],[Product_ID]],DimProduct[Product_ID],DimProduct[Product_Name])</f>
        <v>Bluetooth Speaker</v>
      </c>
      <c r="N928" s="6" t="str">
        <f>_xlfn.XLOOKUP(FactSales[[#This Row],[Product_ID]],DimProduct[Product_ID],DimProduct[Category])</f>
        <v>Electronics</v>
      </c>
      <c r="O928" s="6">
        <f>_xlfn.XLOOKUP(FactSales[[#This Row],[Product_ID]],DimProduct[Product_ID],DimProduct[Unit_Price])</f>
        <v>3240</v>
      </c>
      <c r="P928" s="6">
        <f>_xlfn.XLOOKUP(FactSales[[#This Row],[Product_ID]],DimProduct[Product_ID],DimProduct[Unit_Cost])</f>
        <v>2200</v>
      </c>
      <c r="Q928" s="6">
        <f>FactSales[[#This Row],[Unit_Price]]*FactSales[[#This Row],[Quantity_Sold]]</f>
        <v>32400</v>
      </c>
      <c r="R928" s="6">
        <f>FactSales[[#This Row],[Unit_Cost]]*FactSales[[#This Row],[Quantity_Sold]]</f>
        <v>22000</v>
      </c>
      <c r="S928" s="6">
        <f>FactSales[[#This Row],[Sales_Amount]]-FactSales[[#This Row],[Total_Cost]]</f>
        <v>10400</v>
      </c>
      <c r="T928" s="6" t="str">
        <f>_xlfn.XLOOKUP(FactSales[[#This Row],[Customer_ID]],DimCustomer[Customer_ID],DimCustomer[Customer_Name])</f>
        <v>Shakib Mia</v>
      </c>
      <c r="U928" s="6" t="str">
        <f>_xlfn.XLOOKUP(FactSales[[#This Row],[Salesperson_ID]],DimSalesman[Salesperson_ID],DimSalesman[Salesperson_Name])</f>
        <v>Shakib Ahmed</v>
      </c>
      <c r="V928" s="6" t="str">
        <f>_xlfn.XLOOKUP(FactSales[[#This Row],[Region_ID]],DimRegion[Region_ID],DimRegion[Region_Name])</f>
        <v>Chattogram</v>
      </c>
      <c r="W928" s="6" t="str">
        <f>_xlfn.XLOOKUP(FactSales[[#This Row],[Store_ID]],DimStore[Store_ID],DimStore[Store_Name])</f>
        <v>Chattogram Agrabad Store</v>
      </c>
    </row>
    <row r="929" spans="1:23">
      <c r="A929" s="4" t="s">
        <v>1925</v>
      </c>
      <c r="B929" s="5">
        <v>45905</v>
      </c>
      <c r="C929" s="4" t="s">
        <v>520</v>
      </c>
      <c r="D929" s="4" t="s">
        <v>57</v>
      </c>
      <c r="E929" s="4" t="s">
        <v>719</v>
      </c>
      <c r="F929" s="4" t="s">
        <v>970</v>
      </c>
      <c r="G929" s="4" t="s">
        <v>781</v>
      </c>
      <c r="H929" s="4">
        <v>4</v>
      </c>
      <c r="I929" s="7">
        <v>0.08</v>
      </c>
      <c r="J929" s="6">
        <v>14306</v>
      </c>
      <c r="K929" s="4">
        <v>8</v>
      </c>
      <c r="L929" s="8">
        <f t="shared" si="14"/>
        <v>2.5</v>
      </c>
      <c r="M929" s="6" t="str">
        <f>_xlfn.XLOOKUP(FactSales[[#This Row],[Product_ID]],DimProduct[Product_ID],DimProduct[Product_Name])</f>
        <v>Table Fan</v>
      </c>
      <c r="N929" s="6" t="str">
        <f>_xlfn.XLOOKUP(FactSales[[#This Row],[Product_ID]],DimProduct[Product_ID],DimProduct[Category])</f>
        <v>Home Appliance</v>
      </c>
      <c r="O929" s="6">
        <f>_xlfn.XLOOKUP(FactSales[[#This Row],[Product_ID]],DimProduct[Product_ID],DimProduct[Unit_Price])</f>
        <v>3110</v>
      </c>
      <c r="P929" s="6">
        <f>_xlfn.XLOOKUP(FactSales[[#This Row],[Product_ID]],DimProduct[Product_ID],DimProduct[Unit_Cost])</f>
        <v>2180</v>
      </c>
      <c r="Q929" s="6">
        <f>FactSales[[#This Row],[Unit_Price]]*FactSales[[#This Row],[Quantity_Sold]]</f>
        <v>12440</v>
      </c>
      <c r="R929" s="6">
        <f>FactSales[[#This Row],[Unit_Cost]]*FactSales[[#This Row],[Quantity_Sold]]</f>
        <v>8720</v>
      </c>
      <c r="S929" s="6">
        <f>FactSales[[#This Row],[Sales_Amount]]-FactSales[[#This Row],[Total_Cost]]</f>
        <v>3720</v>
      </c>
      <c r="T929" s="6" t="str">
        <f>_xlfn.XLOOKUP(FactSales[[#This Row],[Customer_ID]],DimCustomer[Customer_ID],DimCustomer[Customer_Name])</f>
        <v>Samiha Uddin</v>
      </c>
      <c r="U929" s="6" t="str">
        <f>_xlfn.XLOOKUP(FactSales[[#This Row],[Salesperson_ID]],DimSalesman[Salesperson_ID],DimSalesman[Salesperson_Name])</f>
        <v>Tanvir Islam</v>
      </c>
      <c r="V929" s="6" t="str">
        <f>_xlfn.XLOOKUP(FactSales[[#This Row],[Region_ID]],DimRegion[Region_ID],DimRegion[Region_Name])</f>
        <v>Rangpur</v>
      </c>
      <c r="W929" s="6" t="str">
        <f>_xlfn.XLOOKUP(FactSales[[#This Row],[Store_ID]],DimStore[Store_ID],DimStore[Store_Name])</f>
        <v>Rangpur Modern More Store</v>
      </c>
    </row>
    <row r="930" spans="1:23">
      <c r="A930" s="4" t="s">
        <v>1926</v>
      </c>
      <c r="B930" s="5">
        <v>45704</v>
      </c>
      <c r="C930" s="4" t="s">
        <v>449</v>
      </c>
      <c r="D930" s="4" t="s">
        <v>52</v>
      </c>
      <c r="E930" s="4" t="s">
        <v>710</v>
      </c>
      <c r="F930" s="4" t="s">
        <v>965</v>
      </c>
      <c r="G930" s="4" t="s">
        <v>825</v>
      </c>
      <c r="H930" s="4">
        <v>1</v>
      </c>
      <c r="I930" s="7">
        <v>7.0000000000000007E-2</v>
      </c>
      <c r="J930" s="6">
        <v>1299</v>
      </c>
      <c r="K930" s="4">
        <v>9</v>
      </c>
      <c r="L930" s="8">
        <f t="shared" si="14"/>
        <v>2.2000000000000002</v>
      </c>
      <c r="M930" s="6" t="str">
        <f>_xlfn.XLOOKUP(FactSales[[#This Row],[Product_ID]],DimProduct[Product_ID],DimProduct[Product_Name])</f>
        <v>Body Lotion</v>
      </c>
      <c r="N930" s="6" t="str">
        <f>_xlfn.XLOOKUP(FactSales[[#This Row],[Product_ID]],DimProduct[Product_ID],DimProduct[Category])</f>
        <v>Beauty &amp; Personal Care</v>
      </c>
      <c r="O930" s="6">
        <f>_xlfn.XLOOKUP(FactSales[[#This Row],[Product_ID]],DimProduct[Product_ID],DimProduct[Unit_Price])</f>
        <v>1160</v>
      </c>
      <c r="P930" s="6">
        <f>_xlfn.XLOOKUP(FactSales[[#This Row],[Product_ID]],DimProduct[Product_ID],DimProduct[Unit_Cost])</f>
        <v>670</v>
      </c>
      <c r="Q930" s="6">
        <f>FactSales[[#This Row],[Unit_Price]]*FactSales[[#This Row],[Quantity_Sold]]</f>
        <v>1160</v>
      </c>
      <c r="R930" s="6">
        <f>FactSales[[#This Row],[Unit_Cost]]*FactSales[[#This Row],[Quantity_Sold]]</f>
        <v>670</v>
      </c>
      <c r="S930" s="6">
        <f>FactSales[[#This Row],[Sales_Amount]]-FactSales[[#This Row],[Total_Cost]]</f>
        <v>490</v>
      </c>
      <c r="T930" s="6" t="str">
        <f>_xlfn.XLOOKUP(FactSales[[#This Row],[Customer_ID]],DimCustomer[Customer_ID],DimCustomer[Customer_Name])</f>
        <v>Ayesha Islam</v>
      </c>
      <c r="U930" s="6" t="str">
        <f>_xlfn.XLOOKUP(FactSales[[#This Row],[Salesperson_ID]],DimSalesman[Salesperson_ID],DimSalesman[Salesperson_Name])</f>
        <v>Mehedi Khan</v>
      </c>
      <c r="V930" s="6" t="str">
        <f>_xlfn.XLOOKUP(FactSales[[#This Row],[Region_ID]],DimRegion[Region_ID],DimRegion[Region_Name])</f>
        <v>Barishal</v>
      </c>
      <c r="W930" s="6" t="str">
        <f>_xlfn.XLOOKUP(FactSales[[#This Row],[Store_ID]],DimStore[Store_ID],DimStore[Store_Name])</f>
        <v>Barishal Kawnia Store</v>
      </c>
    </row>
    <row r="931" spans="1:23">
      <c r="A931" s="4" t="s">
        <v>1927</v>
      </c>
      <c r="B931" s="5">
        <v>45795</v>
      </c>
      <c r="C931" s="4" t="s">
        <v>609</v>
      </c>
      <c r="D931" s="4" t="s">
        <v>62</v>
      </c>
      <c r="E931" s="4" t="s">
        <v>737</v>
      </c>
      <c r="F931" s="4" t="s">
        <v>981</v>
      </c>
      <c r="G931" s="4" t="s">
        <v>856</v>
      </c>
      <c r="H931" s="4">
        <v>4</v>
      </c>
      <c r="I931" s="7">
        <v>0.12</v>
      </c>
      <c r="J931" s="6">
        <v>13392</v>
      </c>
      <c r="K931" s="4">
        <v>3</v>
      </c>
      <c r="L931" s="8">
        <f t="shared" si="14"/>
        <v>4</v>
      </c>
      <c r="M931" s="6" t="str">
        <f>_xlfn.XLOOKUP(FactSales[[#This Row],[Product_ID]],DimProduct[Product_ID],DimProduct[Product_Name])</f>
        <v>Badminton Racket</v>
      </c>
      <c r="N931" s="6" t="str">
        <f>_xlfn.XLOOKUP(FactSales[[#This Row],[Product_ID]],DimProduct[Product_ID],DimProduct[Category])</f>
        <v>Sports</v>
      </c>
      <c r="O931" s="6">
        <f>_xlfn.XLOOKUP(FactSales[[#This Row],[Product_ID]],DimProduct[Product_ID],DimProduct[Unit_Price])</f>
        <v>3100</v>
      </c>
      <c r="P931" s="6">
        <f>_xlfn.XLOOKUP(FactSales[[#This Row],[Product_ID]],DimProduct[Product_ID],DimProduct[Unit_Cost])</f>
        <v>1920</v>
      </c>
      <c r="Q931" s="6">
        <f>FactSales[[#This Row],[Unit_Price]]*FactSales[[#This Row],[Quantity_Sold]]</f>
        <v>12400</v>
      </c>
      <c r="R931" s="6">
        <f>FactSales[[#This Row],[Unit_Cost]]*FactSales[[#This Row],[Quantity_Sold]]</f>
        <v>7680</v>
      </c>
      <c r="S931" s="6">
        <f>FactSales[[#This Row],[Sales_Amount]]-FactSales[[#This Row],[Total_Cost]]</f>
        <v>4720</v>
      </c>
      <c r="T931" s="6" t="str">
        <f>_xlfn.XLOOKUP(FactSales[[#This Row],[Customer_ID]],DimCustomer[Customer_ID],DimCustomer[Customer_Name])</f>
        <v>Farhana Islam</v>
      </c>
      <c r="U931" s="6" t="str">
        <f>_xlfn.XLOOKUP(FactSales[[#This Row],[Salesperson_ID]],DimSalesman[Salesperson_ID],DimSalesman[Salesperson_Name])</f>
        <v>Morshed Islam</v>
      </c>
      <c r="V931" s="6" t="str">
        <f>_xlfn.XLOOKUP(FactSales[[#This Row],[Region_ID]],DimRegion[Region_ID],DimRegion[Region_Name])</f>
        <v>Mymensingh</v>
      </c>
      <c r="W931" s="6" t="str">
        <f>_xlfn.XLOOKUP(FactSales[[#This Row],[Store_ID]],DimStore[Store_ID],DimStore[Store_Name])</f>
        <v>Mymensingh Kewatkhali Store</v>
      </c>
    </row>
    <row r="932" spans="1:23">
      <c r="A932" s="4" t="s">
        <v>1928</v>
      </c>
      <c r="B932" s="5">
        <v>46122</v>
      </c>
      <c r="C932" s="4" t="s">
        <v>159</v>
      </c>
      <c r="D932" s="4" t="s">
        <v>32</v>
      </c>
      <c r="E932" s="4" t="s">
        <v>638</v>
      </c>
      <c r="F932" s="4" t="s">
        <v>929</v>
      </c>
      <c r="G932" s="4" t="s">
        <v>816</v>
      </c>
      <c r="H932" s="4">
        <v>3</v>
      </c>
      <c r="I932" s="7">
        <v>0.05</v>
      </c>
      <c r="J932" s="6">
        <v>4378</v>
      </c>
      <c r="K932" s="4">
        <v>3</v>
      </c>
      <c r="L932" s="8">
        <f t="shared" si="14"/>
        <v>4.0999999999999996</v>
      </c>
      <c r="M932" s="6" t="str">
        <f>_xlfn.XLOOKUP(FactSales[[#This Row],[Product_ID]],DimProduct[Product_ID],DimProduct[Product_Name])</f>
        <v>Face Wash</v>
      </c>
      <c r="N932" s="6" t="str">
        <f>_xlfn.XLOOKUP(FactSales[[#This Row],[Product_ID]],DimProduct[Product_ID],DimProduct[Category])</f>
        <v>Beauty &amp; Personal Care</v>
      </c>
      <c r="O932" s="6">
        <f>_xlfn.XLOOKUP(FactSales[[#This Row],[Product_ID]],DimProduct[Product_ID],DimProduct[Unit_Price])</f>
        <v>1280</v>
      </c>
      <c r="P932" s="6">
        <f>_xlfn.XLOOKUP(FactSales[[#This Row],[Product_ID]],DimProduct[Product_ID],DimProduct[Unit_Cost])</f>
        <v>740</v>
      </c>
      <c r="Q932" s="6">
        <f>FactSales[[#This Row],[Unit_Price]]*FactSales[[#This Row],[Quantity_Sold]]</f>
        <v>3840</v>
      </c>
      <c r="R932" s="6">
        <f>FactSales[[#This Row],[Unit_Cost]]*FactSales[[#This Row],[Quantity_Sold]]</f>
        <v>2220</v>
      </c>
      <c r="S932" s="6">
        <f>FactSales[[#This Row],[Sales_Amount]]-FactSales[[#This Row],[Total_Cost]]</f>
        <v>1620</v>
      </c>
      <c r="T932" s="6" t="str">
        <f>_xlfn.XLOOKUP(FactSales[[#This Row],[Customer_ID]],DimCustomer[Customer_ID],DimCustomer[Customer_Name])</f>
        <v>Shakib Mia</v>
      </c>
      <c r="U932" s="6" t="str">
        <f>_xlfn.XLOOKUP(FactSales[[#This Row],[Salesperson_ID]],DimSalesman[Salesperson_ID],DimSalesman[Salesperson_Name])</f>
        <v>Nabila Mia</v>
      </c>
      <c r="V932" s="6" t="str">
        <f>_xlfn.XLOOKUP(FactSales[[#This Row],[Region_ID]],DimRegion[Region_ID],DimRegion[Region_Name])</f>
        <v>Chattogram</v>
      </c>
      <c r="W932" s="6" t="str">
        <f>_xlfn.XLOOKUP(FactSales[[#This Row],[Store_ID]],DimStore[Store_ID],DimStore[Store_Name])</f>
        <v>Chattogram Agrabad Store</v>
      </c>
    </row>
    <row r="933" spans="1:23">
      <c r="A933" s="4" t="s">
        <v>1929</v>
      </c>
      <c r="B933" s="5">
        <v>46188</v>
      </c>
      <c r="C933" s="4" t="s">
        <v>168</v>
      </c>
      <c r="D933" s="4" t="s">
        <v>32</v>
      </c>
      <c r="E933" s="4" t="s">
        <v>644</v>
      </c>
      <c r="F933" s="4" t="s">
        <v>927</v>
      </c>
      <c r="G933" s="4" t="s">
        <v>775</v>
      </c>
      <c r="H933" s="4">
        <v>6</v>
      </c>
      <c r="I933" s="7">
        <v>0.18</v>
      </c>
      <c r="J933" s="6">
        <v>16621</v>
      </c>
      <c r="K933" s="4">
        <v>7</v>
      </c>
      <c r="L933" s="8">
        <f t="shared" si="14"/>
        <v>2.6</v>
      </c>
      <c r="M933" s="6" t="str">
        <f>_xlfn.XLOOKUP(FactSales[[#This Row],[Product_ID]],DimProduct[Product_ID],DimProduct[Product_Name])</f>
        <v>Blender Machine</v>
      </c>
      <c r="N933" s="6" t="str">
        <f>_xlfn.XLOOKUP(FactSales[[#This Row],[Product_ID]],DimProduct[Product_ID],DimProduct[Category])</f>
        <v>Home Appliance</v>
      </c>
      <c r="O933" s="6">
        <f>_xlfn.XLOOKUP(FactSales[[#This Row],[Product_ID]],DimProduct[Product_ID],DimProduct[Unit_Price])</f>
        <v>2430</v>
      </c>
      <c r="P933" s="6">
        <f>_xlfn.XLOOKUP(FactSales[[#This Row],[Product_ID]],DimProduct[Product_ID],DimProduct[Unit_Cost])</f>
        <v>1700</v>
      </c>
      <c r="Q933" s="6">
        <f>FactSales[[#This Row],[Unit_Price]]*FactSales[[#This Row],[Quantity_Sold]]</f>
        <v>14580</v>
      </c>
      <c r="R933" s="6">
        <f>FactSales[[#This Row],[Unit_Cost]]*FactSales[[#This Row],[Quantity_Sold]]</f>
        <v>10200</v>
      </c>
      <c r="S933" s="6">
        <f>FactSales[[#This Row],[Sales_Amount]]-FactSales[[#This Row],[Total_Cost]]</f>
        <v>4380</v>
      </c>
      <c r="T933" s="6" t="str">
        <f>_xlfn.XLOOKUP(FactSales[[#This Row],[Customer_ID]],DimCustomer[Customer_ID],DimCustomer[Customer_Name])</f>
        <v>Mim Akter</v>
      </c>
      <c r="U933" s="6" t="str">
        <f>_xlfn.XLOOKUP(FactSales[[#This Row],[Salesperson_ID]],DimSalesman[Salesperson_ID],DimSalesman[Salesperson_Name])</f>
        <v>Shakib Ahmed</v>
      </c>
      <c r="V933" s="6" t="str">
        <f>_xlfn.XLOOKUP(FactSales[[#This Row],[Region_ID]],DimRegion[Region_ID],DimRegion[Region_Name])</f>
        <v>Chattogram</v>
      </c>
      <c r="W933" s="6" t="str">
        <f>_xlfn.XLOOKUP(FactSales[[#This Row],[Store_ID]],DimStore[Store_ID],DimStore[Store_Name])</f>
        <v>Chattogram Panchlaish Store</v>
      </c>
    </row>
    <row r="934" spans="1:23">
      <c r="A934" s="4" t="s">
        <v>1930</v>
      </c>
      <c r="B934" s="5">
        <v>45840</v>
      </c>
      <c r="C934" s="4" t="s">
        <v>510</v>
      </c>
      <c r="D934" s="4" t="s">
        <v>57</v>
      </c>
      <c r="E934" s="4" t="s">
        <v>719</v>
      </c>
      <c r="F934" s="4" t="s">
        <v>974</v>
      </c>
      <c r="G934" s="4" t="s">
        <v>773</v>
      </c>
      <c r="H934" s="4">
        <v>8</v>
      </c>
      <c r="I934" s="7">
        <v>0.08</v>
      </c>
      <c r="J934" s="6">
        <v>68356</v>
      </c>
      <c r="K934" s="4">
        <v>9</v>
      </c>
      <c r="L934" s="8">
        <f t="shared" si="14"/>
        <v>2.1</v>
      </c>
      <c r="M934" s="6" t="str">
        <f>_xlfn.XLOOKUP(FactSales[[#This Row],[Product_ID]],DimProduct[Product_ID],DimProduct[Product_Name])</f>
        <v>Rice Cooker</v>
      </c>
      <c r="N934" s="6" t="str">
        <f>_xlfn.XLOOKUP(FactSales[[#This Row],[Product_ID]],DimProduct[Product_ID],DimProduct[Category])</f>
        <v>Home Appliance</v>
      </c>
      <c r="O934" s="6">
        <f>_xlfn.XLOOKUP(FactSales[[#This Row],[Product_ID]],DimProduct[Product_ID],DimProduct[Unit_Price])</f>
        <v>7430</v>
      </c>
      <c r="P934" s="6">
        <f>_xlfn.XLOOKUP(FactSales[[#This Row],[Product_ID]],DimProduct[Product_ID],DimProduct[Unit_Cost])</f>
        <v>5200</v>
      </c>
      <c r="Q934" s="6">
        <f>FactSales[[#This Row],[Unit_Price]]*FactSales[[#This Row],[Quantity_Sold]]</f>
        <v>59440</v>
      </c>
      <c r="R934" s="6">
        <f>FactSales[[#This Row],[Unit_Cost]]*FactSales[[#This Row],[Quantity_Sold]]</f>
        <v>41600</v>
      </c>
      <c r="S934" s="6">
        <f>FactSales[[#This Row],[Sales_Amount]]-FactSales[[#This Row],[Total_Cost]]</f>
        <v>17840</v>
      </c>
      <c r="T934" s="6" t="str">
        <f>_xlfn.XLOOKUP(FactSales[[#This Row],[Customer_ID]],DimCustomer[Customer_ID],DimCustomer[Customer_Name])</f>
        <v>Farhana Hossain</v>
      </c>
      <c r="U934" s="6" t="str">
        <f>_xlfn.XLOOKUP(FactSales[[#This Row],[Salesperson_ID]],DimSalesman[Salesperson_ID],DimSalesman[Salesperson_Name])</f>
        <v>Farhana Uddin</v>
      </c>
      <c r="V934" s="6" t="str">
        <f>_xlfn.XLOOKUP(FactSales[[#This Row],[Region_ID]],DimRegion[Region_ID],DimRegion[Region_Name])</f>
        <v>Rangpur</v>
      </c>
      <c r="W934" s="6" t="str">
        <f>_xlfn.XLOOKUP(FactSales[[#This Row],[Store_ID]],DimStore[Store_ID],DimStore[Store_Name])</f>
        <v>Rangpur Modern More Store</v>
      </c>
    </row>
    <row r="935" spans="1:23">
      <c r="A935" s="4" t="s">
        <v>1931</v>
      </c>
      <c r="B935" s="5">
        <v>45979</v>
      </c>
      <c r="C935" s="4" t="s">
        <v>320</v>
      </c>
      <c r="D935" s="4" t="s">
        <v>42</v>
      </c>
      <c r="E935" s="4" t="s">
        <v>680</v>
      </c>
      <c r="F935" s="4" t="s">
        <v>945</v>
      </c>
      <c r="G935" s="4" t="s">
        <v>813</v>
      </c>
      <c r="H935" s="4">
        <v>1</v>
      </c>
      <c r="I935" s="7">
        <v>0.03</v>
      </c>
      <c r="J935" s="6">
        <v>2311</v>
      </c>
      <c r="K935" s="4">
        <v>1</v>
      </c>
      <c r="L935" s="8">
        <f t="shared" si="14"/>
        <v>4.8</v>
      </c>
      <c r="M935" s="6" t="str">
        <f>_xlfn.XLOOKUP(FactSales[[#This Row],[Product_ID]],DimProduct[Product_ID],DimProduct[Product_Name])</f>
        <v>Tea Pack 500g</v>
      </c>
      <c r="N935" s="6" t="str">
        <f>_xlfn.XLOOKUP(FactSales[[#This Row],[Product_ID]],DimProduct[Product_ID],DimProduct[Category])</f>
        <v>Grocery</v>
      </c>
      <c r="O935" s="6">
        <f>_xlfn.XLOOKUP(FactSales[[#This Row],[Product_ID]],DimProduct[Product_ID],DimProduct[Unit_Price])</f>
        <v>2140</v>
      </c>
      <c r="P935" s="6">
        <f>_xlfn.XLOOKUP(FactSales[[#This Row],[Product_ID]],DimProduct[Product_ID],DimProduct[Unit_Cost])</f>
        <v>1670</v>
      </c>
      <c r="Q935" s="6">
        <f>FactSales[[#This Row],[Unit_Price]]*FactSales[[#This Row],[Quantity_Sold]]</f>
        <v>2140</v>
      </c>
      <c r="R935" s="6">
        <f>FactSales[[#This Row],[Unit_Cost]]*FactSales[[#This Row],[Quantity_Sold]]</f>
        <v>1670</v>
      </c>
      <c r="S935" s="6">
        <f>FactSales[[#This Row],[Sales_Amount]]-FactSales[[#This Row],[Total_Cost]]</f>
        <v>470</v>
      </c>
      <c r="T935" s="6" t="str">
        <f>_xlfn.XLOOKUP(FactSales[[#This Row],[Customer_ID]],DimCustomer[Customer_ID],DimCustomer[Customer_Name])</f>
        <v>Shuvo Sultana</v>
      </c>
      <c r="U935" s="6" t="str">
        <f>_xlfn.XLOOKUP(FactSales[[#This Row],[Salesperson_ID]],DimSalesman[Salesperson_ID],DimSalesman[Salesperson_Name])</f>
        <v>Hasan Khan</v>
      </c>
      <c r="V935" s="6" t="str">
        <f>_xlfn.XLOOKUP(FactSales[[#This Row],[Region_ID]],DimRegion[Region_ID],DimRegion[Region_Name])</f>
        <v>Rajshahi</v>
      </c>
      <c r="W935" s="6" t="str">
        <f>_xlfn.XLOOKUP(FactSales[[#This Row],[Store_ID]],DimStore[Store_ID],DimStore[Store_Name])</f>
        <v>Rajshahi Lakshmipur Store</v>
      </c>
    </row>
    <row r="936" spans="1:23">
      <c r="A936" s="4" t="s">
        <v>1932</v>
      </c>
      <c r="B936" s="5">
        <v>45887</v>
      </c>
      <c r="C936" s="4" t="s">
        <v>225</v>
      </c>
      <c r="D936" s="4" t="s">
        <v>37</v>
      </c>
      <c r="E936" s="4" t="s">
        <v>659</v>
      </c>
      <c r="F936" s="4" t="s">
        <v>936</v>
      </c>
      <c r="G936" s="4" t="s">
        <v>794</v>
      </c>
      <c r="H936" s="4">
        <v>6</v>
      </c>
      <c r="I936" s="7">
        <v>7.0000000000000007E-2</v>
      </c>
      <c r="J936" s="6">
        <v>5650</v>
      </c>
      <c r="K936" s="4">
        <v>4</v>
      </c>
      <c r="L936" s="8">
        <f t="shared" si="14"/>
        <v>3.8</v>
      </c>
      <c r="M936" s="6" t="str">
        <f>_xlfn.XLOOKUP(FactSales[[#This Row],[Product_ID]],DimProduct[Product_ID],DimProduct[Product_Name])</f>
        <v>Denim Jeans</v>
      </c>
      <c r="N936" s="6" t="str">
        <f>_xlfn.XLOOKUP(FactSales[[#This Row],[Product_ID]],DimProduct[Product_ID],DimProduct[Category])</f>
        <v>Fashion</v>
      </c>
      <c r="O936" s="6">
        <f>_xlfn.XLOOKUP(FactSales[[#This Row],[Product_ID]],DimProduct[Product_ID],DimProduct[Unit_Price])</f>
        <v>880</v>
      </c>
      <c r="P936" s="6">
        <f>_xlfn.XLOOKUP(FactSales[[#This Row],[Product_ID]],DimProduct[Product_ID],DimProduct[Unit_Cost])</f>
        <v>480</v>
      </c>
      <c r="Q936" s="6">
        <f>FactSales[[#This Row],[Unit_Price]]*FactSales[[#This Row],[Quantity_Sold]]</f>
        <v>5280</v>
      </c>
      <c r="R936" s="6">
        <f>FactSales[[#This Row],[Unit_Cost]]*FactSales[[#This Row],[Quantity_Sold]]</f>
        <v>2880</v>
      </c>
      <c r="S936" s="6">
        <f>FactSales[[#This Row],[Sales_Amount]]-FactSales[[#This Row],[Total_Cost]]</f>
        <v>2400</v>
      </c>
      <c r="T936" s="6" t="str">
        <f>_xlfn.XLOOKUP(FactSales[[#This Row],[Customer_ID]],DimCustomer[Customer_ID],DimCustomer[Customer_Name])</f>
        <v>Tania Akter</v>
      </c>
      <c r="U936" s="6" t="str">
        <f>_xlfn.XLOOKUP(FactSales[[#This Row],[Salesperson_ID]],DimSalesman[Salesperson_ID],DimSalesman[Salesperson_Name])</f>
        <v>Mehedi Chowdhury</v>
      </c>
      <c r="V936" s="6" t="str">
        <f>_xlfn.XLOOKUP(FactSales[[#This Row],[Region_ID]],DimRegion[Region_ID],DimRegion[Region_Name])</f>
        <v>Sylhet</v>
      </c>
      <c r="W936" s="6" t="str">
        <f>_xlfn.XLOOKUP(FactSales[[#This Row],[Store_ID]],DimStore[Store_ID],DimStore[Store_Name])</f>
        <v>Sylhet South Surma Store</v>
      </c>
    </row>
    <row r="937" spans="1:23">
      <c r="A937" s="4" t="s">
        <v>1933</v>
      </c>
      <c r="B937" s="5">
        <v>46178</v>
      </c>
      <c r="C937" s="4" t="s">
        <v>168</v>
      </c>
      <c r="D937" s="4" t="s">
        <v>32</v>
      </c>
      <c r="E937" s="4" t="s">
        <v>644</v>
      </c>
      <c r="F937" s="4" t="s">
        <v>924</v>
      </c>
      <c r="G937" s="4" t="s">
        <v>755</v>
      </c>
      <c r="H937" s="4">
        <v>4</v>
      </c>
      <c r="I937" s="7">
        <v>0.08</v>
      </c>
      <c r="J937" s="6">
        <v>15230</v>
      </c>
      <c r="K937" s="4">
        <v>4</v>
      </c>
      <c r="L937" s="8">
        <f t="shared" si="14"/>
        <v>3.7</v>
      </c>
      <c r="M937" s="6" t="str">
        <f>_xlfn.XLOOKUP(FactSales[[#This Row],[Product_ID]],DimProduct[Product_ID],DimProduct[Product_Name])</f>
        <v>Wireless Mouse</v>
      </c>
      <c r="N937" s="6" t="str">
        <f>_xlfn.XLOOKUP(FactSales[[#This Row],[Product_ID]],DimProduct[Product_ID],DimProduct[Category])</f>
        <v>Electronics</v>
      </c>
      <c r="O937" s="6">
        <f>_xlfn.XLOOKUP(FactSales[[#This Row],[Product_ID]],DimProduct[Product_ID],DimProduct[Unit_Price])</f>
        <v>3340</v>
      </c>
      <c r="P937" s="6">
        <f>_xlfn.XLOOKUP(FactSales[[#This Row],[Product_ID]],DimProduct[Product_ID],DimProduct[Unit_Cost])</f>
        <v>2270</v>
      </c>
      <c r="Q937" s="6">
        <f>FactSales[[#This Row],[Unit_Price]]*FactSales[[#This Row],[Quantity_Sold]]</f>
        <v>13360</v>
      </c>
      <c r="R937" s="6">
        <f>FactSales[[#This Row],[Unit_Cost]]*FactSales[[#This Row],[Quantity_Sold]]</f>
        <v>9080</v>
      </c>
      <c r="S937" s="6">
        <f>FactSales[[#This Row],[Sales_Amount]]-FactSales[[#This Row],[Total_Cost]]</f>
        <v>4280</v>
      </c>
      <c r="T937" s="6" t="str">
        <f>_xlfn.XLOOKUP(FactSales[[#This Row],[Customer_ID]],DimCustomer[Customer_ID],DimCustomer[Customer_Name])</f>
        <v>Mim Akter</v>
      </c>
      <c r="U937" s="6" t="str">
        <f>_xlfn.XLOOKUP(FactSales[[#This Row],[Salesperson_ID]],DimSalesman[Salesperson_ID],DimSalesman[Salesperson_Name])</f>
        <v>Rumana Khan</v>
      </c>
      <c r="V937" s="6" t="str">
        <f>_xlfn.XLOOKUP(FactSales[[#This Row],[Region_ID]],DimRegion[Region_ID],DimRegion[Region_Name])</f>
        <v>Chattogram</v>
      </c>
      <c r="W937" s="6" t="str">
        <f>_xlfn.XLOOKUP(FactSales[[#This Row],[Store_ID]],DimStore[Store_ID],DimStore[Store_Name])</f>
        <v>Chattogram Panchlaish Store</v>
      </c>
    </row>
    <row r="938" spans="1:23">
      <c r="A938" s="4" t="s">
        <v>1934</v>
      </c>
      <c r="B938" s="5">
        <v>45684</v>
      </c>
      <c r="C938" s="4" t="s">
        <v>124</v>
      </c>
      <c r="D938" s="4" t="s">
        <v>27</v>
      </c>
      <c r="E938" s="4" t="s">
        <v>634</v>
      </c>
      <c r="F938" s="4" t="s">
        <v>914</v>
      </c>
      <c r="G938" s="4" t="s">
        <v>750</v>
      </c>
      <c r="H938" s="4">
        <v>2</v>
      </c>
      <c r="I938" s="7">
        <v>0.12</v>
      </c>
      <c r="J938" s="6">
        <v>6869</v>
      </c>
      <c r="K938" s="4">
        <v>4</v>
      </c>
      <c r="L938" s="8">
        <f t="shared" si="14"/>
        <v>3.7</v>
      </c>
      <c r="M938" s="6" t="str">
        <f>_xlfn.XLOOKUP(FactSales[[#This Row],[Product_ID]],DimProduct[Product_ID],DimProduct[Product_Name])</f>
        <v>Bluetooth Speaker</v>
      </c>
      <c r="N938" s="6" t="str">
        <f>_xlfn.XLOOKUP(FactSales[[#This Row],[Product_ID]],DimProduct[Product_ID],DimProduct[Category])</f>
        <v>Electronics</v>
      </c>
      <c r="O938" s="6">
        <f>_xlfn.XLOOKUP(FactSales[[#This Row],[Product_ID]],DimProduct[Product_ID],DimProduct[Unit_Price])</f>
        <v>3240</v>
      </c>
      <c r="P938" s="6">
        <f>_xlfn.XLOOKUP(FactSales[[#This Row],[Product_ID]],DimProduct[Product_ID],DimProduct[Unit_Cost])</f>
        <v>2200</v>
      </c>
      <c r="Q938" s="6">
        <f>FactSales[[#This Row],[Unit_Price]]*FactSales[[#This Row],[Quantity_Sold]]</f>
        <v>6480</v>
      </c>
      <c r="R938" s="6">
        <f>FactSales[[#This Row],[Unit_Cost]]*FactSales[[#This Row],[Quantity_Sold]]</f>
        <v>4400</v>
      </c>
      <c r="S938" s="6">
        <f>FactSales[[#This Row],[Sales_Amount]]-FactSales[[#This Row],[Total_Cost]]</f>
        <v>2080</v>
      </c>
      <c r="T938" s="6" t="str">
        <f>_xlfn.XLOOKUP(FactSales[[#This Row],[Customer_ID]],DimCustomer[Customer_ID],DimCustomer[Customer_Name])</f>
        <v>Rafi Khan</v>
      </c>
      <c r="U938" s="6" t="str">
        <f>_xlfn.XLOOKUP(FactSales[[#This Row],[Salesperson_ID]],DimSalesman[Salesperson_ID],DimSalesman[Salesperson_Name])</f>
        <v>Rasel Rahman</v>
      </c>
      <c r="V938" s="6" t="str">
        <f>_xlfn.XLOOKUP(FactSales[[#This Row],[Region_ID]],DimRegion[Region_ID],DimRegion[Region_Name])</f>
        <v>Dhaka</v>
      </c>
      <c r="W938" s="6" t="str">
        <f>_xlfn.XLOOKUP(FactSales[[#This Row],[Store_ID]],DimStore[Store_ID],DimStore[Store_Name])</f>
        <v>Dhaka Motijheel Store</v>
      </c>
    </row>
    <row r="939" spans="1:23">
      <c r="A939" s="4" t="s">
        <v>1935</v>
      </c>
      <c r="B939" s="5">
        <v>45770</v>
      </c>
      <c r="C939" s="4" t="s">
        <v>590</v>
      </c>
      <c r="D939" s="4" t="s">
        <v>62</v>
      </c>
      <c r="E939" s="4" t="s">
        <v>731</v>
      </c>
      <c r="F939" s="4" t="s">
        <v>983</v>
      </c>
      <c r="G939" s="4" t="s">
        <v>768</v>
      </c>
      <c r="H939" s="4">
        <v>4</v>
      </c>
      <c r="I939" s="7">
        <v>0.15</v>
      </c>
      <c r="J939" s="6">
        <v>31104</v>
      </c>
      <c r="K939" s="4">
        <v>5</v>
      </c>
      <c r="L939" s="8">
        <f t="shared" si="14"/>
        <v>3.3</v>
      </c>
      <c r="M939" s="6" t="str">
        <f>_xlfn.XLOOKUP(FactSales[[#This Row],[Product_ID]],DimProduct[Product_ID],DimProduct[Product_Name])</f>
        <v>Electric Kettle</v>
      </c>
      <c r="N939" s="6" t="str">
        <f>_xlfn.XLOOKUP(FactSales[[#This Row],[Product_ID]],DimProduct[Product_ID],DimProduct[Category])</f>
        <v>Home Appliance</v>
      </c>
      <c r="O939" s="6">
        <f>_xlfn.XLOOKUP(FactSales[[#This Row],[Product_ID]],DimProduct[Product_ID],DimProduct[Unit_Price])</f>
        <v>7200</v>
      </c>
      <c r="P939" s="6">
        <f>_xlfn.XLOOKUP(FactSales[[#This Row],[Product_ID]],DimProduct[Product_ID],DimProduct[Unit_Cost])</f>
        <v>5040</v>
      </c>
      <c r="Q939" s="6">
        <f>FactSales[[#This Row],[Unit_Price]]*FactSales[[#This Row],[Quantity_Sold]]</f>
        <v>28800</v>
      </c>
      <c r="R939" s="6">
        <f>FactSales[[#This Row],[Unit_Cost]]*FactSales[[#This Row],[Quantity_Sold]]</f>
        <v>20160</v>
      </c>
      <c r="S939" s="6">
        <f>FactSales[[#This Row],[Sales_Amount]]-FactSales[[#This Row],[Total_Cost]]</f>
        <v>8640</v>
      </c>
      <c r="T939" s="6" t="str">
        <f>_xlfn.XLOOKUP(FactSales[[#This Row],[Customer_ID]],DimCustomer[Customer_ID],DimCustomer[Customer_Name])</f>
        <v>Rafi Akter</v>
      </c>
      <c r="U939" s="6" t="str">
        <f>_xlfn.XLOOKUP(FactSales[[#This Row],[Salesperson_ID]],DimSalesman[Salesperson_ID],DimSalesman[Salesperson_Name])</f>
        <v>Fahim Hossain</v>
      </c>
      <c r="V939" s="6" t="str">
        <f>_xlfn.XLOOKUP(FactSales[[#This Row],[Region_ID]],DimRegion[Region_ID],DimRegion[Region_Name])</f>
        <v>Mymensingh</v>
      </c>
      <c r="W939" s="6" t="str">
        <f>_xlfn.XLOOKUP(FactSales[[#This Row],[Store_ID]],DimStore[Store_ID],DimStore[Store_Name])</f>
        <v>Mymensingh Town Hall Store</v>
      </c>
    </row>
    <row r="940" spans="1:23">
      <c r="A940" s="4" t="s">
        <v>1936</v>
      </c>
      <c r="B940" s="5">
        <v>45943</v>
      </c>
      <c r="C940" s="4" t="s">
        <v>525</v>
      </c>
      <c r="D940" s="4" t="s">
        <v>57</v>
      </c>
      <c r="E940" s="4" t="s">
        <v>719</v>
      </c>
      <c r="F940" s="4" t="s">
        <v>968</v>
      </c>
      <c r="G940" s="4" t="s">
        <v>878</v>
      </c>
      <c r="H940" s="4">
        <v>4</v>
      </c>
      <c r="I940" s="7">
        <v>0.03</v>
      </c>
      <c r="J940" s="6">
        <v>3864</v>
      </c>
      <c r="K940" s="4">
        <v>9</v>
      </c>
      <c r="L940" s="8">
        <f t="shared" si="14"/>
        <v>2.2999999999999998</v>
      </c>
      <c r="M940" s="6" t="str">
        <f>_xlfn.XLOOKUP(FactSales[[#This Row],[Product_ID]],DimProduct[Product_ID],DimProduct[Product_Name])</f>
        <v>Building Blocks</v>
      </c>
      <c r="N940" s="6" t="str">
        <f>_xlfn.XLOOKUP(FactSales[[#This Row],[Product_ID]],DimProduct[Product_ID],DimProduct[Category])</f>
        <v>Kids &amp; Toys</v>
      </c>
      <c r="O940" s="6">
        <f>_xlfn.XLOOKUP(FactSales[[#This Row],[Product_ID]],DimProduct[Product_ID],DimProduct[Unit_Price])</f>
        <v>840</v>
      </c>
      <c r="P940" s="6">
        <f>_xlfn.XLOOKUP(FactSales[[#This Row],[Product_ID]],DimProduct[Product_ID],DimProduct[Unit_Cost])</f>
        <v>460</v>
      </c>
      <c r="Q940" s="6">
        <f>FactSales[[#This Row],[Unit_Price]]*FactSales[[#This Row],[Quantity_Sold]]</f>
        <v>3360</v>
      </c>
      <c r="R940" s="6">
        <f>FactSales[[#This Row],[Unit_Cost]]*FactSales[[#This Row],[Quantity_Sold]]</f>
        <v>1840</v>
      </c>
      <c r="S940" s="6">
        <f>FactSales[[#This Row],[Sales_Amount]]-FactSales[[#This Row],[Total_Cost]]</f>
        <v>1520</v>
      </c>
      <c r="T940" s="6" t="str">
        <f>_xlfn.XLOOKUP(FactSales[[#This Row],[Customer_ID]],DimCustomer[Customer_ID],DimCustomer[Customer_Name])</f>
        <v>Tamanna Mia</v>
      </c>
      <c r="U940" s="6" t="str">
        <f>_xlfn.XLOOKUP(FactSales[[#This Row],[Salesperson_ID]],DimSalesman[Salesperson_ID],DimSalesman[Salesperson_Name])</f>
        <v>Morshed Ahmed</v>
      </c>
      <c r="V940" s="6" t="str">
        <f>_xlfn.XLOOKUP(FactSales[[#This Row],[Region_ID]],DimRegion[Region_ID],DimRegion[Region_Name])</f>
        <v>Rangpur</v>
      </c>
      <c r="W940" s="6" t="str">
        <f>_xlfn.XLOOKUP(FactSales[[#This Row],[Store_ID]],DimStore[Store_ID],DimStore[Store_Name])</f>
        <v>Rangpur Modern More Store</v>
      </c>
    </row>
    <row r="941" spans="1:23">
      <c r="A941" s="4" t="s">
        <v>1937</v>
      </c>
      <c r="B941" s="5">
        <v>46001</v>
      </c>
      <c r="C941" s="4" t="s">
        <v>349</v>
      </c>
      <c r="D941" s="4" t="s">
        <v>42</v>
      </c>
      <c r="E941" s="4" t="s">
        <v>668</v>
      </c>
      <c r="F941" s="4" t="s">
        <v>945</v>
      </c>
      <c r="G941" s="4" t="s">
        <v>758</v>
      </c>
      <c r="H941" s="4">
        <v>4</v>
      </c>
      <c r="I941" s="7">
        <v>0.18</v>
      </c>
      <c r="J941" s="6">
        <v>12269</v>
      </c>
      <c r="K941" s="4">
        <v>3</v>
      </c>
      <c r="L941" s="8">
        <f t="shared" si="14"/>
        <v>3.8</v>
      </c>
      <c r="M941" s="6" t="str">
        <f>_xlfn.XLOOKUP(FactSales[[#This Row],[Product_ID]],DimProduct[Product_ID],DimProduct[Product_Name])</f>
        <v>Power Bank</v>
      </c>
      <c r="N941" s="6" t="str">
        <f>_xlfn.XLOOKUP(FactSales[[#This Row],[Product_ID]],DimProduct[Product_ID],DimProduct[Category])</f>
        <v>Electronics</v>
      </c>
      <c r="O941" s="6">
        <f>_xlfn.XLOOKUP(FactSales[[#This Row],[Product_ID]],DimProduct[Product_ID],DimProduct[Unit_Price])</f>
        <v>2840</v>
      </c>
      <c r="P941" s="6">
        <f>_xlfn.XLOOKUP(FactSales[[#This Row],[Product_ID]],DimProduct[Product_ID],DimProduct[Unit_Cost])</f>
        <v>1930</v>
      </c>
      <c r="Q941" s="6">
        <f>FactSales[[#This Row],[Unit_Price]]*FactSales[[#This Row],[Quantity_Sold]]</f>
        <v>11360</v>
      </c>
      <c r="R941" s="6">
        <f>FactSales[[#This Row],[Unit_Cost]]*FactSales[[#This Row],[Quantity_Sold]]</f>
        <v>7720</v>
      </c>
      <c r="S941" s="6">
        <f>FactSales[[#This Row],[Sales_Amount]]-FactSales[[#This Row],[Total_Cost]]</f>
        <v>3640</v>
      </c>
      <c r="T941" s="6" t="str">
        <f>_xlfn.XLOOKUP(FactSales[[#This Row],[Customer_ID]],DimCustomer[Customer_ID],DimCustomer[Customer_Name])</f>
        <v>Mahmud Uddin</v>
      </c>
      <c r="U941" s="6" t="str">
        <f>_xlfn.XLOOKUP(FactSales[[#This Row],[Salesperson_ID]],DimSalesman[Salesperson_ID],DimSalesman[Salesperson_Name])</f>
        <v>Hasan Khan</v>
      </c>
      <c r="V941" s="6" t="str">
        <f>_xlfn.XLOOKUP(FactSales[[#This Row],[Region_ID]],DimRegion[Region_ID],DimRegion[Region_Name])</f>
        <v>Rajshahi</v>
      </c>
      <c r="W941" s="6" t="str">
        <f>_xlfn.XLOOKUP(FactSales[[#This Row],[Store_ID]],DimStore[Store_ID],DimStore[Store_Name])</f>
        <v>Rajshahi Shaheb Bazar Store</v>
      </c>
    </row>
    <row r="942" spans="1:23">
      <c r="A942" s="4" t="s">
        <v>1938</v>
      </c>
      <c r="B942" s="5">
        <v>45983</v>
      </c>
      <c r="C942" s="4" t="s">
        <v>210</v>
      </c>
      <c r="D942" s="4" t="s">
        <v>32</v>
      </c>
      <c r="E942" s="4" t="s">
        <v>644</v>
      </c>
      <c r="F942" s="4" t="s">
        <v>922</v>
      </c>
      <c r="G942" s="4" t="s">
        <v>784</v>
      </c>
      <c r="H942" s="4">
        <v>1</v>
      </c>
      <c r="I942" s="7">
        <v>0.12</v>
      </c>
      <c r="J942" s="6">
        <v>2132</v>
      </c>
      <c r="K942" s="4">
        <v>3</v>
      </c>
      <c r="L942" s="8">
        <f t="shared" si="14"/>
        <v>4</v>
      </c>
      <c r="M942" s="6" t="str">
        <f>_xlfn.XLOOKUP(FactSales[[#This Row],[Product_ID]],DimProduct[Product_ID],DimProduct[Product_Name])</f>
        <v>Cotton T-Shirt</v>
      </c>
      <c r="N942" s="6" t="str">
        <f>_xlfn.XLOOKUP(FactSales[[#This Row],[Product_ID]],DimProduct[Product_ID],DimProduct[Category])</f>
        <v>Fashion</v>
      </c>
      <c r="O942" s="6">
        <f>_xlfn.XLOOKUP(FactSales[[#This Row],[Product_ID]],DimProduct[Product_ID],DimProduct[Unit_Price])</f>
        <v>1870</v>
      </c>
      <c r="P942" s="6">
        <f>_xlfn.XLOOKUP(FactSales[[#This Row],[Product_ID]],DimProduct[Product_ID],DimProduct[Unit_Cost])</f>
        <v>1030</v>
      </c>
      <c r="Q942" s="6">
        <f>FactSales[[#This Row],[Unit_Price]]*FactSales[[#This Row],[Quantity_Sold]]</f>
        <v>1870</v>
      </c>
      <c r="R942" s="6">
        <f>FactSales[[#This Row],[Unit_Cost]]*FactSales[[#This Row],[Quantity_Sold]]</f>
        <v>1030</v>
      </c>
      <c r="S942" s="6">
        <f>FactSales[[#This Row],[Sales_Amount]]-FactSales[[#This Row],[Total_Cost]]</f>
        <v>840</v>
      </c>
      <c r="T942" s="6" t="str">
        <f>_xlfn.XLOOKUP(FactSales[[#This Row],[Customer_ID]],DimCustomer[Customer_ID],DimCustomer[Customer_Name])</f>
        <v>Imran Uddin</v>
      </c>
      <c r="U942" s="6" t="str">
        <f>_xlfn.XLOOKUP(FactSales[[#This Row],[Salesperson_ID]],DimSalesman[Salesperson_ID],DimSalesman[Salesperson_Name])</f>
        <v>Rafi Sultana</v>
      </c>
      <c r="V942" s="6" t="str">
        <f>_xlfn.XLOOKUP(FactSales[[#This Row],[Region_ID]],DimRegion[Region_ID],DimRegion[Region_Name])</f>
        <v>Chattogram</v>
      </c>
      <c r="W942" s="6" t="str">
        <f>_xlfn.XLOOKUP(FactSales[[#This Row],[Store_ID]],DimStore[Store_ID],DimStore[Store_Name])</f>
        <v>Chattogram Panchlaish Store</v>
      </c>
    </row>
    <row r="943" spans="1:23">
      <c r="A943" s="4" t="s">
        <v>1939</v>
      </c>
      <c r="B943" s="5">
        <v>46043</v>
      </c>
      <c r="C943" s="4" t="s">
        <v>133</v>
      </c>
      <c r="D943" s="4" t="s">
        <v>27</v>
      </c>
      <c r="E943" s="4" t="s">
        <v>618</v>
      </c>
      <c r="F943" s="4" t="s">
        <v>914</v>
      </c>
      <c r="G943" s="4" t="s">
        <v>758</v>
      </c>
      <c r="H943" s="4">
        <v>5</v>
      </c>
      <c r="I943" s="7">
        <v>0.1</v>
      </c>
      <c r="J943" s="6">
        <v>15052</v>
      </c>
      <c r="K943" s="4">
        <v>1</v>
      </c>
      <c r="L943" s="8">
        <f t="shared" si="14"/>
        <v>4.7</v>
      </c>
      <c r="M943" s="6" t="str">
        <f>_xlfn.XLOOKUP(FactSales[[#This Row],[Product_ID]],DimProduct[Product_ID],DimProduct[Product_Name])</f>
        <v>Power Bank</v>
      </c>
      <c r="N943" s="6" t="str">
        <f>_xlfn.XLOOKUP(FactSales[[#This Row],[Product_ID]],DimProduct[Product_ID],DimProduct[Category])</f>
        <v>Electronics</v>
      </c>
      <c r="O943" s="6">
        <f>_xlfn.XLOOKUP(FactSales[[#This Row],[Product_ID]],DimProduct[Product_ID],DimProduct[Unit_Price])</f>
        <v>2840</v>
      </c>
      <c r="P943" s="6">
        <f>_xlfn.XLOOKUP(FactSales[[#This Row],[Product_ID]],DimProduct[Product_ID],DimProduct[Unit_Cost])</f>
        <v>1930</v>
      </c>
      <c r="Q943" s="6">
        <f>FactSales[[#This Row],[Unit_Price]]*FactSales[[#This Row],[Quantity_Sold]]</f>
        <v>14200</v>
      </c>
      <c r="R943" s="6">
        <f>FactSales[[#This Row],[Unit_Cost]]*FactSales[[#This Row],[Quantity_Sold]]</f>
        <v>9650</v>
      </c>
      <c r="S943" s="6">
        <f>FactSales[[#This Row],[Sales_Amount]]-FactSales[[#This Row],[Total_Cost]]</f>
        <v>4550</v>
      </c>
      <c r="T943" s="6" t="str">
        <f>_xlfn.XLOOKUP(FactSales[[#This Row],[Customer_ID]],DimCustomer[Customer_ID],DimCustomer[Customer_Name])</f>
        <v>Tanjim Chowdhury</v>
      </c>
      <c r="U943" s="6" t="str">
        <f>_xlfn.XLOOKUP(FactSales[[#This Row],[Salesperson_ID]],DimSalesman[Salesperson_ID],DimSalesman[Salesperson_Name])</f>
        <v>Rasel Rahman</v>
      </c>
      <c r="V943" s="6" t="str">
        <f>_xlfn.XLOOKUP(FactSales[[#This Row],[Region_ID]],DimRegion[Region_ID],DimRegion[Region_Name])</f>
        <v>Dhaka</v>
      </c>
      <c r="W943" s="6" t="str">
        <f>_xlfn.XLOOKUP(FactSales[[#This Row],[Store_ID]],DimStore[Store_ID],DimStore[Store_Name])</f>
        <v>Dhaka Gulshan Store</v>
      </c>
    </row>
    <row r="944" spans="1:23">
      <c r="A944" s="4" t="s">
        <v>1940</v>
      </c>
      <c r="B944" s="5">
        <v>45849</v>
      </c>
      <c r="C944" s="4" t="s">
        <v>307</v>
      </c>
      <c r="D944" s="4" t="s">
        <v>42</v>
      </c>
      <c r="E944" s="4" t="s">
        <v>677</v>
      </c>
      <c r="F944" s="4" t="s">
        <v>944</v>
      </c>
      <c r="G944" s="4" t="s">
        <v>790</v>
      </c>
      <c r="H944" s="4">
        <v>4</v>
      </c>
      <c r="I944" s="7">
        <v>7.0000000000000007E-2</v>
      </c>
      <c r="J944" s="6">
        <v>8597</v>
      </c>
      <c r="K944" s="4">
        <v>6</v>
      </c>
      <c r="L944" s="8">
        <f t="shared" si="14"/>
        <v>3.1</v>
      </c>
      <c r="M944" s="6" t="str">
        <f>_xlfn.XLOOKUP(FactSales[[#This Row],[Product_ID]],DimProduct[Product_ID],DimProduct[Product_Name])</f>
        <v>Women Kurti</v>
      </c>
      <c r="N944" s="6" t="str">
        <f>_xlfn.XLOOKUP(FactSales[[#This Row],[Product_ID]],DimProduct[Product_ID],DimProduct[Category])</f>
        <v>Fashion</v>
      </c>
      <c r="O944" s="6">
        <f>_xlfn.XLOOKUP(FactSales[[#This Row],[Product_ID]],DimProduct[Product_ID],DimProduct[Unit_Price])</f>
        <v>1990</v>
      </c>
      <c r="P944" s="6">
        <f>_xlfn.XLOOKUP(FactSales[[#This Row],[Product_ID]],DimProduct[Product_ID],DimProduct[Unit_Cost])</f>
        <v>1090</v>
      </c>
      <c r="Q944" s="6">
        <f>FactSales[[#This Row],[Unit_Price]]*FactSales[[#This Row],[Quantity_Sold]]</f>
        <v>7960</v>
      </c>
      <c r="R944" s="6">
        <f>FactSales[[#This Row],[Unit_Cost]]*FactSales[[#This Row],[Quantity_Sold]]</f>
        <v>4360</v>
      </c>
      <c r="S944" s="6">
        <f>FactSales[[#This Row],[Sales_Amount]]-FactSales[[#This Row],[Total_Cost]]</f>
        <v>3600</v>
      </c>
      <c r="T944" s="6" t="str">
        <f>_xlfn.XLOOKUP(FactSales[[#This Row],[Customer_ID]],DimCustomer[Customer_ID],DimCustomer[Customer_Name])</f>
        <v>Nayeem Hossain</v>
      </c>
      <c r="U944" s="6" t="str">
        <f>_xlfn.XLOOKUP(FactSales[[#This Row],[Salesperson_ID]],DimSalesman[Salesperson_ID],DimSalesman[Salesperson_Name])</f>
        <v>Karim Khan</v>
      </c>
      <c r="V944" s="6" t="str">
        <f>_xlfn.XLOOKUP(FactSales[[#This Row],[Region_ID]],DimRegion[Region_ID],DimRegion[Region_Name])</f>
        <v>Rajshahi</v>
      </c>
      <c r="W944" s="6" t="str">
        <f>_xlfn.XLOOKUP(FactSales[[#This Row],[Store_ID]],DimStore[Store_ID],DimStore[Store_Name])</f>
        <v>Rajshahi Railgate Store</v>
      </c>
    </row>
    <row r="945" spans="1:23">
      <c r="A945" s="4" t="s">
        <v>1941</v>
      </c>
      <c r="B945" s="5">
        <v>46160</v>
      </c>
      <c r="C945" s="4" t="s">
        <v>195</v>
      </c>
      <c r="D945" s="4" t="s">
        <v>32</v>
      </c>
      <c r="E945" s="4" t="s">
        <v>641</v>
      </c>
      <c r="F945" s="4" t="s">
        <v>922</v>
      </c>
      <c r="G945" s="4" t="s">
        <v>784</v>
      </c>
      <c r="H945" s="4">
        <v>3</v>
      </c>
      <c r="I945" s="7">
        <v>0.05</v>
      </c>
      <c r="J945" s="6">
        <v>6395</v>
      </c>
      <c r="K945" s="4">
        <v>7</v>
      </c>
      <c r="L945" s="8">
        <f t="shared" si="14"/>
        <v>2.9</v>
      </c>
      <c r="M945" s="6" t="str">
        <f>_xlfn.XLOOKUP(FactSales[[#This Row],[Product_ID]],DimProduct[Product_ID],DimProduct[Product_Name])</f>
        <v>Cotton T-Shirt</v>
      </c>
      <c r="N945" s="6" t="str">
        <f>_xlfn.XLOOKUP(FactSales[[#This Row],[Product_ID]],DimProduct[Product_ID],DimProduct[Category])</f>
        <v>Fashion</v>
      </c>
      <c r="O945" s="6">
        <f>_xlfn.XLOOKUP(FactSales[[#This Row],[Product_ID]],DimProduct[Product_ID],DimProduct[Unit_Price])</f>
        <v>1870</v>
      </c>
      <c r="P945" s="6">
        <f>_xlfn.XLOOKUP(FactSales[[#This Row],[Product_ID]],DimProduct[Product_ID],DimProduct[Unit_Cost])</f>
        <v>1030</v>
      </c>
      <c r="Q945" s="6">
        <f>FactSales[[#This Row],[Unit_Price]]*FactSales[[#This Row],[Quantity_Sold]]</f>
        <v>5610</v>
      </c>
      <c r="R945" s="6">
        <f>FactSales[[#This Row],[Unit_Cost]]*FactSales[[#This Row],[Quantity_Sold]]</f>
        <v>3090</v>
      </c>
      <c r="S945" s="6">
        <f>FactSales[[#This Row],[Sales_Amount]]-FactSales[[#This Row],[Total_Cost]]</f>
        <v>2520</v>
      </c>
      <c r="T945" s="6" t="str">
        <f>_xlfn.XLOOKUP(FactSales[[#This Row],[Customer_ID]],DimCustomer[Customer_ID],DimCustomer[Customer_Name])</f>
        <v>Jannat Islam</v>
      </c>
      <c r="U945" s="6" t="str">
        <f>_xlfn.XLOOKUP(FactSales[[#This Row],[Salesperson_ID]],DimSalesman[Salesperson_ID],DimSalesman[Salesperson_Name])</f>
        <v>Rafi Sultana</v>
      </c>
      <c r="V945" s="6" t="str">
        <f>_xlfn.XLOOKUP(FactSales[[#This Row],[Region_ID]],DimRegion[Region_ID],DimRegion[Region_Name])</f>
        <v>Chattogram</v>
      </c>
      <c r="W945" s="6" t="str">
        <f>_xlfn.XLOOKUP(FactSales[[#This Row],[Store_ID]],DimStore[Store_ID],DimStore[Store_Name])</f>
        <v>Chattogram GEC Store</v>
      </c>
    </row>
    <row r="946" spans="1:23">
      <c r="A946" s="4" t="s">
        <v>1942</v>
      </c>
      <c r="B946" s="5">
        <v>46047</v>
      </c>
      <c r="C946" s="4" t="s">
        <v>220</v>
      </c>
      <c r="D946" s="4" t="s">
        <v>37</v>
      </c>
      <c r="E946" s="4" t="s">
        <v>662</v>
      </c>
      <c r="F946" s="4" t="s">
        <v>941</v>
      </c>
      <c r="G946" s="4" t="s">
        <v>765</v>
      </c>
      <c r="H946" s="4">
        <v>3</v>
      </c>
      <c r="I946" s="7">
        <v>0.1</v>
      </c>
      <c r="J946" s="6">
        <v>15697</v>
      </c>
      <c r="K946" s="4">
        <v>2</v>
      </c>
      <c r="L946" s="8">
        <f t="shared" si="14"/>
        <v>4.3</v>
      </c>
      <c r="M946" s="6" t="str">
        <f>_xlfn.XLOOKUP(FactSales[[#This Row],[Product_ID]],DimProduct[Product_ID],DimProduct[Product_Name])</f>
        <v>USB-C Hub</v>
      </c>
      <c r="N946" s="6" t="str">
        <f>_xlfn.XLOOKUP(FactSales[[#This Row],[Product_ID]],DimProduct[Product_ID],DimProduct[Category])</f>
        <v>Electronics</v>
      </c>
      <c r="O946" s="6">
        <f>_xlfn.XLOOKUP(FactSales[[#This Row],[Product_ID]],DimProduct[Product_ID],DimProduct[Unit_Price])</f>
        <v>4890</v>
      </c>
      <c r="P946" s="6">
        <f>_xlfn.XLOOKUP(FactSales[[#This Row],[Product_ID]],DimProduct[Product_ID],DimProduct[Unit_Cost])</f>
        <v>3330</v>
      </c>
      <c r="Q946" s="6">
        <f>FactSales[[#This Row],[Unit_Price]]*FactSales[[#This Row],[Quantity_Sold]]</f>
        <v>14670</v>
      </c>
      <c r="R946" s="6">
        <f>FactSales[[#This Row],[Unit_Cost]]*FactSales[[#This Row],[Quantity_Sold]]</f>
        <v>9990</v>
      </c>
      <c r="S946" s="6">
        <f>FactSales[[#This Row],[Sales_Amount]]-FactSales[[#This Row],[Total_Cost]]</f>
        <v>4680</v>
      </c>
      <c r="T946" s="6" t="str">
        <f>_xlfn.XLOOKUP(FactSales[[#This Row],[Customer_ID]],DimCustomer[Customer_ID],DimCustomer[Customer_Name])</f>
        <v>Rafi Hossain</v>
      </c>
      <c r="U946" s="6" t="str">
        <f>_xlfn.XLOOKUP(FactSales[[#This Row],[Salesperson_ID]],DimSalesman[Salesperson_ID],DimSalesman[Salesperson_Name])</f>
        <v>Rumana Rahman</v>
      </c>
      <c r="V946" s="6" t="str">
        <f>_xlfn.XLOOKUP(FactSales[[#This Row],[Region_ID]],DimRegion[Region_ID],DimRegion[Region_Name])</f>
        <v>Sylhet</v>
      </c>
      <c r="W946" s="6" t="str">
        <f>_xlfn.XLOOKUP(FactSales[[#This Row],[Store_ID]],DimStore[Store_ID],DimStore[Store_Name])</f>
        <v>Sylhet Subidbazar Store</v>
      </c>
    </row>
    <row r="947" spans="1:23">
      <c r="A947" s="4" t="s">
        <v>1943</v>
      </c>
      <c r="B947" s="5">
        <v>46159</v>
      </c>
      <c r="C947" s="4" t="s">
        <v>243</v>
      </c>
      <c r="D947" s="4" t="s">
        <v>37</v>
      </c>
      <c r="E947" s="4" t="s">
        <v>656</v>
      </c>
      <c r="F947" s="4" t="s">
        <v>936</v>
      </c>
      <c r="G947" s="4" t="s">
        <v>838</v>
      </c>
      <c r="H947" s="4">
        <v>4</v>
      </c>
      <c r="I947" s="7">
        <v>0.1</v>
      </c>
      <c r="J947" s="6">
        <v>5179</v>
      </c>
      <c r="K947" s="4">
        <v>1</v>
      </c>
      <c r="L947" s="8">
        <f t="shared" si="14"/>
        <v>4.7</v>
      </c>
      <c r="M947" s="6" t="str">
        <f>_xlfn.XLOOKUP(FactSales[[#This Row],[Product_ID]],DimProduct[Product_ID],DimProduct[Product_Name])</f>
        <v>Formal Shoe</v>
      </c>
      <c r="N947" s="6" t="str">
        <f>_xlfn.XLOOKUP(FactSales[[#This Row],[Product_ID]],DimProduct[Product_ID],DimProduct[Category])</f>
        <v>Footwear</v>
      </c>
      <c r="O947" s="6">
        <f>_xlfn.XLOOKUP(FactSales[[#This Row],[Product_ID]],DimProduct[Product_ID],DimProduct[Unit_Price])</f>
        <v>1210</v>
      </c>
      <c r="P947" s="6">
        <f>_xlfn.XLOOKUP(FactSales[[#This Row],[Product_ID]],DimProduct[Product_ID],DimProduct[Unit_Cost])</f>
        <v>730</v>
      </c>
      <c r="Q947" s="6">
        <f>FactSales[[#This Row],[Unit_Price]]*FactSales[[#This Row],[Quantity_Sold]]</f>
        <v>4840</v>
      </c>
      <c r="R947" s="6">
        <f>FactSales[[#This Row],[Unit_Cost]]*FactSales[[#This Row],[Quantity_Sold]]</f>
        <v>2920</v>
      </c>
      <c r="S947" s="6">
        <f>FactSales[[#This Row],[Sales_Amount]]-FactSales[[#This Row],[Total_Cost]]</f>
        <v>1920</v>
      </c>
      <c r="T947" s="6" t="str">
        <f>_xlfn.XLOOKUP(FactSales[[#This Row],[Customer_ID]],DimCustomer[Customer_ID],DimCustomer[Customer_Name])</f>
        <v>Rahim Akter</v>
      </c>
      <c r="U947" s="6" t="str">
        <f>_xlfn.XLOOKUP(FactSales[[#This Row],[Salesperson_ID]],DimSalesman[Salesperson_ID],DimSalesman[Salesperson_Name])</f>
        <v>Mehedi Chowdhury</v>
      </c>
      <c r="V947" s="6" t="str">
        <f>_xlfn.XLOOKUP(FactSales[[#This Row],[Region_ID]],DimRegion[Region_ID],DimRegion[Region_Name])</f>
        <v>Sylhet</v>
      </c>
      <c r="W947" s="6" t="str">
        <f>_xlfn.XLOOKUP(FactSales[[#This Row],[Store_ID]],DimStore[Store_ID],DimStore[Store_Name])</f>
        <v>Sylhet Ambarkhana Store</v>
      </c>
    </row>
    <row r="948" spans="1:23">
      <c r="A948" s="4" t="s">
        <v>1944</v>
      </c>
      <c r="B948" s="5">
        <v>45773</v>
      </c>
      <c r="C948" s="4" t="s">
        <v>468</v>
      </c>
      <c r="D948" s="4" t="s">
        <v>52</v>
      </c>
      <c r="E948" s="4" t="s">
        <v>707</v>
      </c>
      <c r="F948" s="4" t="s">
        <v>963</v>
      </c>
      <c r="G948" s="4" t="s">
        <v>755</v>
      </c>
      <c r="H948" s="4">
        <v>9</v>
      </c>
      <c r="I948" s="7">
        <v>0.15</v>
      </c>
      <c r="J948" s="6">
        <v>33667</v>
      </c>
      <c r="K948" s="4">
        <v>7</v>
      </c>
      <c r="L948" s="8">
        <f t="shared" si="14"/>
        <v>2.6</v>
      </c>
      <c r="M948" s="6" t="str">
        <f>_xlfn.XLOOKUP(FactSales[[#This Row],[Product_ID]],DimProduct[Product_ID],DimProduct[Product_Name])</f>
        <v>Wireless Mouse</v>
      </c>
      <c r="N948" s="6" t="str">
        <f>_xlfn.XLOOKUP(FactSales[[#This Row],[Product_ID]],DimProduct[Product_ID],DimProduct[Category])</f>
        <v>Electronics</v>
      </c>
      <c r="O948" s="6">
        <f>_xlfn.XLOOKUP(FactSales[[#This Row],[Product_ID]],DimProduct[Product_ID],DimProduct[Unit_Price])</f>
        <v>3340</v>
      </c>
      <c r="P948" s="6">
        <f>_xlfn.XLOOKUP(FactSales[[#This Row],[Product_ID]],DimProduct[Product_ID],DimProduct[Unit_Cost])</f>
        <v>2270</v>
      </c>
      <c r="Q948" s="6">
        <f>FactSales[[#This Row],[Unit_Price]]*FactSales[[#This Row],[Quantity_Sold]]</f>
        <v>30060</v>
      </c>
      <c r="R948" s="6">
        <f>FactSales[[#This Row],[Unit_Cost]]*FactSales[[#This Row],[Quantity_Sold]]</f>
        <v>20430</v>
      </c>
      <c r="S948" s="6">
        <f>FactSales[[#This Row],[Sales_Amount]]-FactSales[[#This Row],[Total_Cost]]</f>
        <v>9630</v>
      </c>
      <c r="T948" s="6" t="str">
        <f>_xlfn.XLOOKUP(FactSales[[#This Row],[Customer_ID]],DimCustomer[Customer_ID],DimCustomer[Customer_Name])</f>
        <v>Samiha Ahmed</v>
      </c>
      <c r="U948" s="6" t="str">
        <f>_xlfn.XLOOKUP(FactSales[[#This Row],[Salesperson_ID]],DimSalesman[Salesperson_ID],DimSalesman[Salesperson_Name])</f>
        <v>Rasel Uddin</v>
      </c>
      <c r="V948" s="6" t="str">
        <f>_xlfn.XLOOKUP(FactSales[[#This Row],[Region_ID]],DimRegion[Region_ID],DimRegion[Region_Name])</f>
        <v>Barishal</v>
      </c>
      <c r="W948" s="6" t="str">
        <f>_xlfn.XLOOKUP(FactSales[[#This Row],[Store_ID]],DimStore[Store_ID],DimStore[Store_Name])</f>
        <v>Barishal Chowmatha Store</v>
      </c>
    </row>
    <row r="949" spans="1:23">
      <c r="A949" s="4" t="s">
        <v>1945</v>
      </c>
      <c r="B949" s="5">
        <v>45774</v>
      </c>
      <c r="C949" s="4" t="s">
        <v>496</v>
      </c>
      <c r="D949" s="4" t="s">
        <v>57</v>
      </c>
      <c r="E949" s="4" t="s">
        <v>716</v>
      </c>
      <c r="F949" s="4" t="s">
        <v>974</v>
      </c>
      <c r="G949" s="4" t="s">
        <v>897</v>
      </c>
      <c r="H949" s="4">
        <v>3</v>
      </c>
      <c r="I949" s="7">
        <v>0.05</v>
      </c>
      <c r="J949" s="6">
        <v>40296</v>
      </c>
      <c r="K949" s="4">
        <v>8</v>
      </c>
      <c r="L949" s="8">
        <f t="shared" si="14"/>
        <v>2.5</v>
      </c>
      <c r="M949" s="6" t="str">
        <f>_xlfn.XLOOKUP(FactSales[[#This Row],[Product_ID]],DimProduct[Product_ID],DimProduct[Product_Name])</f>
        <v>Study Table</v>
      </c>
      <c r="N949" s="6" t="str">
        <f>_xlfn.XLOOKUP(FactSales[[#This Row],[Product_ID]],DimProduct[Product_ID],DimProduct[Category])</f>
        <v>Furniture</v>
      </c>
      <c r="O949" s="6">
        <f>_xlfn.XLOOKUP(FactSales[[#This Row],[Product_ID]],DimProduct[Product_ID],DimProduct[Unit_Price])</f>
        <v>11680</v>
      </c>
      <c r="P949" s="6">
        <f>_xlfn.XLOOKUP(FactSales[[#This Row],[Product_ID]],DimProduct[Product_ID],DimProduct[Unit_Cost])</f>
        <v>8410</v>
      </c>
      <c r="Q949" s="6">
        <f>FactSales[[#This Row],[Unit_Price]]*FactSales[[#This Row],[Quantity_Sold]]</f>
        <v>35040</v>
      </c>
      <c r="R949" s="6">
        <f>FactSales[[#This Row],[Unit_Cost]]*FactSales[[#This Row],[Quantity_Sold]]</f>
        <v>25230</v>
      </c>
      <c r="S949" s="6">
        <f>FactSales[[#This Row],[Sales_Amount]]-FactSales[[#This Row],[Total_Cost]]</f>
        <v>9810</v>
      </c>
      <c r="T949" s="6" t="str">
        <f>_xlfn.XLOOKUP(FactSales[[#This Row],[Customer_ID]],DimCustomer[Customer_ID],DimCustomer[Customer_Name])</f>
        <v>Sadia Sultana</v>
      </c>
      <c r="U949" s="6" t="str">
        <f>_xlfn.XLOOKUP(FactSales[[#This Row],[Salesperson_ID]],DimSalesman[Salesperson_ID],DimSalesman[Salesperson_Name])</f>
        <v>Farhana Uddin</v>
      </c>
      <c r="V949" s="6" t="str">
        <f>_xlfn.XLOOKUP(FactSales[[#This Row],[Region_ID]],DimRegion[Region_ID],DimRegion[Region_Name])</f>
        <v>Rangpur</v>
      </c>
      <c r="W949" s="6" t="str">
        <f>_xlfn.XLOOKUP(FactSales[[#This Row],[Store_ID]],DimStore[Store_ID],DimStore[Store_Name])</f>
        <v>Rangpur Shapla Chattar Store</v>
      </c>
    </row>
    <row r="950" spans="1:23">
      <c r="A950" s="4" t="s">
        <v>1946</v>
      </c>
      <c r="B950" s="5">
        <v>45687</v>
      </c>
      <c r="C950" s="4" t="s">
        <v>588</v>
      </c>
      <c r="D950" s="4" t="s">
        <v>62</v>
      </c>
      <c r="E950" s="4" t="s">
        <v>740</v>
      </c>
      <c r="F950" s="4" t="s">
        <v>983</v>
      </c>
      <c r="G950" s="4" t="s">
        <v>841</v>
      </c>
      <c r="H950" s="4">
        <v>2</v>
      </c>
      <c r="I950" s="7">
        <v>0.12</v>
      </c>
      <c r="J950" s="6">
        <v>6955</v>
      </c>
      <c r="K950" s="4">
        <v>5</v>
      </c>
      <c r="L950" s="8">
        <f t="shared" si="14"/>
        <v>3.3</v>
      </c>
      <c r="M950" s="6" t="str">
        <f>_xlfn.XLOOKUP(FactSales[[#This Row],[Product_ID]],DimProduct[Product_ID],DimProduct[Product_Name])</f>
        <v>Ladies Sandal</v>
      </c>
      <c r="N950" s="6" t="str">
        <f>_xlfn.XLOOKUP(FactSales[[#This Row],[Product_ID]],DimProduct[Product_ID],DimProduct[Category])</f>
        <v>Footwear</v>
      </c>
      <c r="O950" s="6">
        <f>_xlfn.XLOOKUP(FactSales[[#This Row],[Product_ID]],DimProduct[Product_ID],DimProduct[Unit_Price])</f>
        <v>3220</v>
      </c>
      <c r="P950" s="6">
        <f>_xlfn.XLOOKUP(FactSales[[#This Row],[Product_ID]],DimProduct[Product_ID],DimProduct[Unit_Cost])</f>
        <v>1930</v>
      </c>
      <c r="Q950" s="6">
        <f>FactSales[[#This Row],[Unit_Price]]*FactSales[[#This Row],[Quantity_Sold]]</f>
        <v>6440</v>
      </c>
      <c r="R950" s="6">
        <f>FactSales[[#This Row],[Unit_Cost]]*FactSales[[#This Row],[Quantity_Sold]]</f>
        <v>3860</v>
      </c>
      <c r="S950" s="6">
        <f>FactSales[[#This Row],[Sales_Amount]]-FactSales[[#This Row],[Total_Cost]]</f>
        <v>2580</v>
      </c>
      <c r="T950" s="6" t="str">
        <f>_xlfn.XLOOKUP(FactSales[[#This Row],[Customer_ID]],DimCustomer[Customer_ID],DimCustomer[Customer_Name])</f>
        <v>Rasel Uddin</v>
      </c>
      <c r="U950" s="6" t="str">
        <f>_xlfn.XLOOKUP(FactSales[[#This Row],[Salesperson_ID]],DimSalesman[Salesperson_ID],DimSalesman[Salesperson_Name])</f>
        <v>Fahim Hossain</v>
      </c>
      <c r="V950" s="6" t="str">
        <f>_xlfn.XLOOKUP(FactSales[[#This Row],[Region_ID]],DimRegion[Region_ID],DimRegion[Region_Name])</f>
        <v>Mymensingh</v>
      </c>
      <c r="W950" s="6" t="str">
        <f>_xlfn.XLOOKUP(FactSales[[#This Row],[Store_ID]],DimStore[Store_ID],DimStore[Store_Name])</f>
        <v>Mymensingh Maskanda Store</v>
      </c>
    </row>
    <row r="951" spans="1:23">
      <c r="A951" s="4" t="s">
        <v>1947</v>
      </c>
      <c r="B951" s="5">
        <v>45983</v>
      </c>
      <c r="C951" s="4" t="s">
        <v>491</v>
      </c>
      <c r="D951" s="4" t="s">
        <v>57</v>
      </c>
      <c r="E951" s="4" t="s">
        <v>725</v>
      </c>
      <c r="F951" s="4" t="s">
        <v>972</v>
      </c>
      <c r="G951" s="4" t="s">
        <v>765</v>
      </c>
      <c r="H951" s="4">
        <v>2</v>
      </c>
      <c r="I951" s="7">
        <v>0.15</v>
      </c>
      <c r="J951" s="6">
        <v>11247</v>
      </c>
      <c r="K951" s="4">
        <v>9</v>
      </c>
      <c r="L951" s="8">
        <f t="shared" si="14"/>
        <v>2</v>
      </c>
      <c r="M951" s="6" t="str">
        <f>_xlfn.XLOOKUP(FactSales[[#This Row],[Product_ID]],DimProduct[Product_ID],DimProduct[Product_Name])</f>
        <v>USB-C Hub</v>
      </c>
      <c r="N951" s="6" t="str">
        <f>_xlfn.XLOOKUP(FactSales[[#This Row],[Product_ID]],DimProduct[Product_ID],DimProduct[Category])</f>
        <v>Electronics</v>
      </c>
      <c r="O951" s="6">
        <f>_xlfn.XLOOKUP(FactSales[[#This Row],[Product_ID]],DimProduct[Product_ID],DimProduct[Unit_Price])</f>
        <v>4890</v>
      </c>
      <c r="P951" s="6">
        <f>_xlfn.XLOOKUP(FactSales[[#This Row],[Product_ID]],DimProduct[Product_ID],DimProduct[Unit_Cost])</f>
        <v>3330</v>
      </c>
      <c r="Q951" s="6">
        <f>FactSales[[#This Row],[Unit_Price]]*FactSales[[#This Row],[Quantity_Sold]]</f>
        <v>9780</v>
      </c>
      <c r="R951" s="6">
        <f>FactSales[[#This Row],[Unit_Cost]]*FactSales[[#This Row],[Quantity_Sold]]</f>
        <v>6660</v>
      </c>
      <c r="S951" s="6">
        <f>FactSales[[#This Row],[Sales_Amount]]-FactSales[[#This Row],[Total_Cost]]</f>
        <v>3120</v>
      </c>
      <c r="T951" s="6" t="str">
        <f>_xlfn.XLOOKUP(FactSales[[#This Row],[Customer_ID]],DimCustomer[Customer_ID],DimCustomer[Customer_Name])</f>
        <v>Rumana Akter</v>
      </c>
      <c r="U951" s="6" t="str">
        <f>_xlfn.XLOOKUP(FactSales[[#This Row],[Salesperson_ID]],DimSalesman[Salesperson_ID],DimSalesman[Salesperson_Name])</f>
        <v>Samiha Hossain</v>
      </c>
      <c r="V951" s="6" t="str">
        <f>_xlfn.XLOOKUP(FactSales[[#This Row],[Region_ID]],DimRegion[Region_ID],DimRegion[Region_Name])</f>
        <v>Rangpur</v>
      </c>
      <c r="W951" s="6" t="str">
        <f>_xlfn.XLOOKUP(FactSales[[#This Row],[Store_ID]],DimStore[Store_ID],DimStore[Store_Name])</f>
        <v>Rangpur Central Road Store</v>
      </c>
    </row>
    <row r="952" spans="1:23">
      <c r="A952" s="4" t="s">
        <v>1948</v>
      </c>
      <c r="B952" s="5">
        <v>45882</v>
      </c>
      <c r="C952" s="4" t="s">
        <v>518</v>
      </c>
      <c r="D952" s="4" t="s">
        <v>57</v>
      </c>
      <c r="E952" s="4" t="s">
        <v>719</v>
      </c>
      <c r="F952" s="4" t="s">
        <v>968</v>
      </c>
      <c r="G952" s="4" t="s">
        <v>765</v>
      </c>
      <c r="H952" s="4">
        <v>2</v>
      </c>
      <c r="I952" s="7">
        <v>0.08</v>
      </c>
      <c r="J952" s="6">
        <v>11247</v>
      </c>
      <c r="K952" s="4">
        <v>5</v>
      </c>
      <c r="L952" s="8">
        <f t="shared" si="14"/>
        <v>3.4</v>
      </c>
      <c r="M952" s="6" t="str">
        <f>_xlfn.XLOOKUP(FactSales[[#This Row],[Product_ID]],DimProduct[Product_ID],DimProduct[Product_Name])</f>
        <v>USB-C Hub</v>
      </c>
      <c r="N952" s="6" t="str">
        <f>_xlfn.XLOOKUP(FactSales[[#This Row],[Product_ID]],DimProduct[Product_ID],DimProduct[Category])</f>
        <v>Electronics</v>
      </c>
      <c r="O952" s="6">
        <f>_xlfn.XLOOKUP(FactSales[[#This Row],[Product_ID]],DimProduct[Product_ID],DimProduct[Unit_Price])</f>
        <v>4890</v>
      </c>
      <c r="P952" s="6">
        <f>_xlfn.XLOOKUP(FactSales[[#This Row],[Product_ID]],DimProduct[Product_ID],DimProduct[Unit_Cost])</f>
        <v>3330</v>
      </c>
      <c r="Q952" s="6">
        <f>FactSales[[#This Row],[Unit_Price]]*FactSales[[#This Row],[Quantity_Sold]]</f>
        <v>9780</v>
      </c>
      <c r="R952" s="6">
        <f>FactSales[[#This Row],[Unit_Cost]]*FactSales[[#This Row],[Quantity_Sold]]</f>
        <v>6660</v>
      </c>
      <c r="S952" s="6">
        <f>FactSales[[#This Row],[Sales_Amount]]-FactSales[[#This Row],[Total_Cost]]</f>
        <v>3120</v>
      </c>
      <c r="T952" s="6" t="str">
        <f>_xlfn.XLOOKUP(FactSales[[#This Row],[Customer_ID]],DimCustomer[Customer_ID],DimCustomer[Customer_Name])</f>
        <v>Arif Rahman</v>
      </c>
      <c r="U952" s="6" t="str">
        <f>_xlfn.XLOOKUP(FactSales[[#This Row],[Salesperson_ID]],DimSalesman[Salesperson_ID],DimSalesman[Salesperson_Name])</f>
        <v>Morshed Ahmed</v>
      </c>
      <c r="V952" s="6" t="str">
        <f>_xlfn.XLOOKUP(FactSales[[#This Row],[Region_ID]],DimRegion[Region_ID],DimRegion[Region_Name])</f>
        <v>Rangpur</v>
      </c>
      <c r="W952" s="6" t="str">
        <f>_xlfn.XLOOKUP(FactSales[[#This Row],[Store_ID]],DimStore[Store_ID],DimStore[Store_Name])</f>
        <v>Rangpur Modern More Store</v>
      </c>
    </row>
    <row r="953" spans="1:23">
      <c r="A953" s="4" t="s">
        <v>1949</v>
      </c>
      <c r="B953" s="5">
        <v>45995</v>
      </c>
      <c r="C953" s="4" t="s">
        <v>264</v>
      </c>
      <c r="D953" s="4" t="s">
        <v>37</v>
      </c>
      <c r="E953" s="4" t="s">
        <v>656</v>
      </c>
      <c r="F953" s="4" t="s">
        <v>941</v>
      </c>
      <c r="G953" s="4" t="s">
        <v>755</v>
      </c>
      <c r="H953" s="4">
        <v>3</v>
      </c>
      <c r="I953" s="7">
        <v>0.08</v>
      </c>
      <c r="J953" s="6">
        <v>10721</v>
      </c>
      <c r="K953" s="4">
        <v>5</v>
      </c>
      <c r="L953" s="8">
        <f t="shared" si="14"/>
        <v>3.4</v>
      </c>
      <c r="M953" s="6" t="str">
        <f>_xlfn.XLOOKUP(FactSales[[#This Row],[Product_ID]],DimProduct[Product_ID],DimProduct[Product_Name])</f>
        <v>Wireless Mouse</v>
      </c>
      <c r="N953" s="6" t="str">
        <f>_xlfn.XLOOKUP(FactSales[[#This Row],[Product_ID]],DimProduct[Product_ID],DimProduct[Category])</f>
        <v>Electronics</v>
      </c>
      <c r="O953" s="6">
        <f>_xlfn.XLOOKUP(FactSales[[#This Row],[Product_ID]],DimProduct[Product_ID],DimProduct[Unit_Price])</f>
        <v>3340</v>
      </c>
      <c r="P953" s="6">
        <f>_xlfn.XLOOKUP(FactSales[[#This Row],[Product_ID]],DimProduct[Product_ID],DimProduct[Unit_Cost])</f>
        <v>2270</v>
      </c>
      <c r="Q953" s="6">
        <f>FactSales[[#This Row],[Unit_Price]]*FactSales[[#This Row],[Quantity_Sold]]</f>
        <v>10020</v>
      </c>
      <c r="R953" s="6">
        <f>FactSales[[#This Row],[Unit_Cost]]*FactSales[[#This Row],[Quantity_Sold]]</f>
        <v>6810</v>
      </c>
      <c r="S953" s="6">
        <f>FactSales[[#This Row],[Sales_Amount]]-FactSales[[#This Row],[Total_Cost]]</f>
        <v>3210</v>
      </c>
      <c r="T953" s="6" t="str">
        <f>_xlfn.XLOOKUP(FactSales[[#This Row],[Customer_ID]],DimCustomer[Customer_ID],DimCustomer[Customer_Name])</f>
        <v>Rafi Chowdhury</v>
      </c>
      <c r="U953" s="6" t="str">
        <f>_xlfn.XLOOKUP(FactSales[[#This Row],[Salesperson_ID]],DimSalesman[Salesperson_ID],DimSalesman[Salesperson_Name])</f>
        <v>Rumana Rahman</v>
      </c>
      <c r="V953" s="6" t="str">
        <f>_xlfn.XLOOKUP(FactSales[[#This Row],[Region_ID]],DimRegion[Region_ID],DimRegion[Region_Name])</f>
        <v>Sylhet</v>
      </c>
      <c r="W953" s="6" t="str">
        <f>_xlfn.XLOOKUP(FactSales[[#This Row],[Store_ID]],DimStore[Store_ID],DimStore[Store_Name])</f>
        <v>Sylhet Ambarkhana Store</v>
      </c>
    </row>
    <row r="954" spans="1:23">
      <c r="A954" s="4" t="s">
        <v>1950</v>
      </c>
      <c r="B954" s="5">
        <v>46019</v>
      </c>
      <c r="C954" s="4" t="s">
        <v>109</v>
      </c>
      <c r="D954" s="4" t="s">
        <v>27</v>
      </c>
      <c r="E954" s="4" t="s">
        <v>618</v>
      </c>
      <c r="F954" s="4" t="s">
        <v>920</v>
      </c>
      <c r="G954" s="4" t="s">
        <v>773</v>
      </c>
      <c r="H954" s="4">
        <v>6</v>
      </c>
      <c r="I954" s="7">
        <v>0.08</v>
      </c>
      <c r="J954" s="6">
        <v>47255</v>
      </c>
      <c r="K954" s="4">
        <v>3</v>
      </c>
      <c r="L954" s="8">
        <f t="shared" si="14"/>
        <v>4.0999999999999996</v>
      </c>
      <c r="M954" s="6" t="str">
        <f>_xlfn.XLOOKUP(FactSales[[#This Row],[Product_ID]],DimProduct[Product_ID],DimProduct[Product_Name])</f>
        <v>Rice Cooker</v>
      </c>
      <c r="N954" s="6" t="str">
        <f>_xlfn.XLOOKUP(FactSales[[#This Row],[Product_ID]],DimProduct[Product_ID],DimProduct[Category])</f>
        <v>Home Appliance</v>
      </c>
      <c r="O954" s="6">
        <f>_xlfn.XLOOKUP(FactSales[[#This Row],[Product_ID]],DimProduct[Product_ID],DimProduct[Unit_Price])</f>
        <v>7430</v>
      </c>
      <c r="P954" s="6">
        <f>_xlfn.XLOOKUP(FactSales[[#This Row],[Product_ID]],DimProduct[Product_ID],DimProduct[Unit_Cost])</f>
        <v>5200</v>
      </c>
      <c r="Q954" s="6">
        <f>FactSales[[#This Row],[Unit_Price]]*FactSales[[#This Row],[Quantity_Sold]]</f>
        <v>44580</v>
      </c>
      <c r="R954" s="6">
        <f>FactSales[[#This Row],[Unit_Cost]]*FactSales[[#This Row],[Quantity_Sold]]</f>
        <v>31200</v>
      </c>
      <c r="S954" s="6">
        <f>FactSales[[#This Row],[Sales_Amount]]-FactSales[[#This Row],[Total_Cost]]</f>
        <v>13380</v>
      </c>
      <c r="T954" s="6" t="str">
        <f>_xlfn.XLOOKUP(FactSales[[#This Row],[Customer_ID]],DimCustomer[Customer_ID],DimCustomer[Customer_Name])</f>
        <v>Arif Hossain</v>
      </c>
      <c r="U954" s="6" t="str">
        <f>_xlfn.XLOOKUP(FactSales[[#This Row],[Salesperson_ID]],DimSalesman[Salesperson_ID],DimSalesman[Salesperson_Name])</f>
        <v>Rahim Hossain</v>
      </c>
      <c r="V954" s="6" t="str">
        <f>_xlfn.XLOOKUP(FactSales[[#This Row],[Region_ID]],DimRegion[Region_ID],DimRegion[Region_Name])</f>
        <v>Dhaka</v>
      </c>
      <c r="W954" s="6" t="str">
        <f>_xlfn.XLOOKUP(FactSales[[#This Row],[Store_ID]],DimStore[Store_ID],DimStore[Store_Name])</f>
        <v>Dhaka Gulshan Store</v>
      </c>
    </row>
    <row r="955" spans="1:23">
      <c r="A955" s="4" t="s">
        <v>1951</v>
      </c>
      <c r="B955" s="5">
        <v>46063</v>
      </c>
      <c r="C955" s="4" t="s">
        <v>468</v>
      </c>
      <c r="D955" s="4" t="s">
        <v>52</v>
      </c>
      <c r="E955" s="4" t="s">
        <v>701</v>
      </c>
      <c r="F955" s="4" t="s">
        <v>961</v>
      </c>
      <c r="G955" s="4" t="s">
        <v>874</v>
      </c>
      <c r="H955" s="4">
        <v>5</v>
      </c>
      <c r="I955" s="7">
        <v>0.02</v>
      </c>
      <c r="J955" s="6">
        <v>5824</v>
      </c>
      <c r="K955" s="4">
        <v>3</v>
      </c>
      <c r="L955" s="8">
        <f t="shared" si="14"/>
        <v>4.2</v>
      </c>
      <c r="M955" s="6" t="str">
        <f>_xlfn.XLOOKUP(FactSales[[#This Row],[Product_ID]],DimProduct[Product_ID],DimProduct[Product_Name])</f>
        <v>Marker Set</v>
      </c>
      <c r="N955" s="6" t="str">
        <f>_xlfn.XLOOKUP(FactSales[[#This Row],[Product_ID]],DimProduct[Product_ID],DimProduct[Category])</f>
        <v>Stationery</v>
      </c>
      <c r="O955" s="6">
        <f>_xlfn.XLOOKUP(FactSales[[#This Row],[Product_ID]],DimProduct[Product_ID],DimProduct[Unit_Price])</f>
        <v>1040</v>
      </c>
      <c r="P955" s="6">
        <f>_xlfn.XLOOKUP(FactSales[[#This Row],[Product_ID]],DimProduct[Product_ID],DimProduct[Unit_Cost])</f>
        <v>520</v>
      </c>
      <c r="Q955" s="6">
        <f>FactSales[[#This Row],[Unit_Price]]*FactSales[[#This Row],[Quantity_Sold]]</f>
        <v>5200</v>
      </c>
      <c r="R955" s="6">
        <f>FactSales[[#This Row],[Unit_Cost]]*FactSales[[#This Row],[Quantity_Sold]]</f>
        <v>2600</v>
      </c>
      <c r="S955" s="6">
        <f>FactSales[[#This Row],[Sales_Amount]]-FactSales[[#This Row],[Total_Cost]]</f>
        <v>2600</v>
      </c>
      <c r="T955" s="6" t="str">
        <f>_xlfn.XLOOKUP(FactSales[[#This Row],[Customer_ID]],DimCustomer[Customer_ID],DimCustomer[Customer_Name])</f>
        <v>Samiha Ahmed</v>
      </c>
      <c r="U955" s="6" t="str">
        <f>_xlfn.XLOOKUP(FactSales[[#This Row],[Salesperson_ID]],DimSalesman[Salesperson_ID],DimSalesman[Salesperson_Name])</f>
        <v>Shaila Akter</v>
      </c>
      <c r="V955" s="6" t="str">
        <f>_xlfn.XLOOKUP(FactSales[[#This Row],[Region_ID]],DimRegion[Region_ID],DimRegion[Region_Name])</f>
        <v>Barishal</v>
      </c>
      <c r="W955" s="6" t="str">
        <f>_xlfn.XLOOKUP(FactSales[[#This Row],[Store_ID]],DimStore[Store_ID],DimStore[Store_Name])</f>
        <v>Barishal Sadar Road Store</v>
      </c>
    </row>
    <row r="956" spans="1:23">
      <c r="A956" s="4" t="s">
        <v>1952</v>
      </c>
      <c r="B956" s="5">
        <v>45912</v>
      </c>
      <c r="C956" s="4" t="s">
        <v>369</v>
      </c>
      <c r="D956" s="4" t="s">
        <v>47</v>
      </c>
      <c r="E956" s="4" t="s">
        <v>689</v>
      </c>
      <c r="F956" s="4" t="s">
        <v>954</v>
      </c>
      <c r="G956" s="4" t="s">
        <v>781</v>
      </c>
      <c r="H956" s="4">
        <v>8</v>
      </c>
      <c r="I956" s="7">
        <v>0.08</v>
      </c>
      <c r="J956" s="6">
        <v>27119</v>
      </c>
      <c r="K956" s="4">
        <v>7</v>
      </c>
      <c r="L956" s="8">
        <f t="shared" si="14"/>
        <v>2.8</v>
      </c>
      <c r="M956" s="6" t="str">
        <f>_xlfn.XLOOKUP(FactSales[[#This Row],[Product_ID]],DimProduct[Product_ID],DimProduct[Product_Name])</f>
        <v>Table Fan</v>
      </c>
      <c r="N956" s="6" t="str">
        <f>_xlfn.XLOOKUP(FactSales[[#This Row],[Product_ID]],DimProduct[Product_ID],DimProduct[Category])</f>
        <v>Home Appliance</v>
      </c>
      <c r="O956" s="6">
        <f>_xlfn.XLOOKUP(FactSales[[#This Row],[Product_ID]],DimProduct[Product_ID],DimProduct[Unit_Price])</f>
        <v>3110</v>
      </c>
      <c r="P956" s="6">
        <f>_xlfn.XLOOKUP(FactSales[[#This Row],[Product_ID]],DimProduct[Product_ID],DimProduct[Unit_Cost])</f>
        <v>2180</v>
      </c>
      <c r="Q956" s="6">
        <f>FactSales[[#This Row],[Unit_Price]]*FactSales[[#This Row],[Quantity_Sold]]</f>
        <v>24880</v>
      </c>
      <c r="R956" s="6">
        <f>FactSales[[#This Row],[Unit_Cost]]*FactSales[[#This Row],[Quantity_Sold]]</f>
        <v>17440</v>
      </c>
      <c r="S956" s="6">
        <f>FactSales[[#This Row],[Sales_Amount]]-FactSales[[#This Row],[Total_Cost]]</f>
        <v>7440</v>
      </c>
      <c r="T956" s="6" t="str">
        <f>_xlfn.XLOOKUP(FactSales[[#This Row],[Customer_ID]],DimCustomer[Customer_ID],DimCustomer[Customer_Name])</f>
        <v>Sadia Ahmed</v>
      </c>
      <c r="U956" s="6" t="str">
        <f>_xlfn.XLOOKUP(FactSales[[#This Row],[Salesperson_ID]],DimSalesman[Salesperson_ID],DimSalesman[Salesperson_Name])</f>
        <v>Sadia Sultana</v>
      </c>
      <c r="V956" s="6" t="str">
        <f>_xlfn.XLOOKUP(FactSales[[#This Row],[Region_ID]],DimRegion[Region_ID],DimRegion[Region_Name])</f>
        <v>Khulna</v>
      </c>
      <c r="W956" s="6" t="str">
        <f>_xlfn.XLOOKUP(FactSales[[#This Row],[Store_ID]],DimStore[Store_ID],DimStore[Store_Name])</f>
        <v>Khulna Daulatpur Store</v>
      </c>
    </row>
    <row r="957" spans="1:23">
      <c r="A957" s="4" t="s">
        <v>1953</v>
      </c>
      <c r="B957" s="5">
        <v>45947</v>
      </c>
      <c r="C957" s="4" t="s">
        <v>195</v>
      </c>
      <c r="D957" s="4" t="s">
        <v>32</v>
      </c>
      <c r="E957" s="4" t="s">
        <v>647</v>
      </c>
      <c r="F957" s="4" t="s">
        <v>927</v>
      </c>
      <c r="G957" s="4" t="s">
        <v>750</v>
      </c>
      <c r="H957" s="4">
        <v>2</v>
      </c>
      <c r="I957" s="7">
        <v>0.1</v>
      </c>
      <c r="J957" s="6">
        <v>7387</v>
      </c>
      <c r="K957" s="4">
        <v>3</v>
      </c>
      <c r="L957" s="8">
        <f t="shared" si="14"/>
        <v>4</v>
      </c>
      <c r="M957" s="6" t="str">
        <f>_xlfn.XLOOKUP(FactSales[[#This Row],[Product_ID]],DimProduct[Product_ID],DimProduct[Product_Name])</f>
        <v>Bluetooth Speaker</v>
      </c>
      <c r="N957" s="6" t="str">
        <f>_xlfn.XLOOKUP(FactSales[[#This Row],[Product_ID]],DimProduct[Product_ID],DimProduct[Category])</f>
        <v>Electronics</v>
      </c>
      <c r="O957" s="6">
        <f>_xlfn.XLOOKUP(FactSales[[#This Row],[Product_ID]],DimProduct[Product_ID],DimProduct[Unit_Price])</f>
        <v>3240</v>
      </c>
      <c r="P957" s="6">
        <f>_xlfn.XLOOKUP(FactSales[[#This Row],[Product_ID]],DimProduct[Product_ID],DimProduct[Unit_Cost])</f>
        <v>2200</v>
      </c>
      <c r="Q957" s="6">
        <f>FactSales[[#This Row],[Unit_Price]]*FactSales[[#This Row],[Quantity_Sold]]</f>
        <v>6480</v>
      </c>
      <c r="R957" s="6">
        <f>FactSales[[#This Row],[Unit_Cost]]*FactSales[[#This Row],[Quantity_Sold]]</f>
        <v>4400</v>
      </c>
      <c r="S957" s="6">
        <f>FactSales[[#This Row],[Sales_Amount]]-FactSales[[#This Row],[Total_Cost]]</f>
        <v>2080</v>
      </c>
      <c r="T957" s="6" t="str">
        <f>_xlfn.XLOOKUP(FactSales[[#This Row],[Customer_ID]],DimCustomer[Customer_ID],DimCustomer[Customer_Name])</f>
        <v>Jannat Islam</v>
      </c>
      <c r="U957" s="6" t="str">
        <f>_xlfn.XLOOKUP(FactSales[[#This Row],[Salesperson_ID]],DimSalesman[Salesperson_ID],DimSalesman[Salesperson_Name])</f>
        <v>Shakib Ahmed</v>
      </c>
      <c r="V957" s="6" t="str">
        <f>_xlfn.XLOOKUP(FactSales[[#This Row],[Region_ID]],DimRegion[Region_ID],DimRegion[Region_Name])</f>
        <v>Chattogram</v>
      </c>
      <c r="W957" s="6" t="str">
        <f>_xlfn.XLOOKUP(FactSales[[#This Row],[Store_ID]],DimStore[Store_ID],DimStore[Store_Name])</f>
        <v>Chattogram Nasirabad Store</v>
      </c>
    </row>
    <row r="958" spans="1:23">
      <c r="A958" s="4" t="s">
        <v>1954</v>
      </c>
      <c r="B958" s="5">
        <v>46044</v>
      </c>
      <c r="C958" s="4" t="s">
        <v>289</v>
      </c>
      <c r="D958" s="4" t="s">
        <v>42</v>
      </c>
      <c r="E958" s="4" t="s">
        <v>674</v>
      </c>
      <c r="F958" s="4" t="s">
        <v>950</v>
      </c>
      <c r="G958" s="4" t="s">
        <v>758</v>
      </c>
      <c r="H958" s="4">
        <v>3</v>
      </c>
      <c r="I958" s="7">
        <v>0.1</v>
      </c>
      <c r="J958" s="6">
        <v>9202</v>
      </c>
      <c r="K958" s="4">
        <v>6</v>
      </c>
      <c r="L958" s="8">
        <f t="shared" si="14"/>
        <v>3.1</v>
      </c>
      <c r="M958" s="6" t="str">
        <f>_xlfn.XLOOKUP(FactSales[[#This Row],[Product_ID]],DimProduct[Product_ID],DimProduct[Product_Name])</f>
        <v>Power Bank</v>
      </c>
      <c r="N958" s="6" t="str">
        <f>_xlfn.XLOOKUP(FactSales[[#This Row],[Product_ID]],DimProduct[Product_ID],DimProduct[Category])</f>
        <v>Electronics</v>
      </c>
      <c r="O958" s="6">
        <f>_xlfn.XLOOKUP(FactSales[[#This Row],[Product_ID]],DimProduct[Product_ID],DimProduct[Unit_Price])</f>
        <v>2840</v>
      </c>
      <c r="P958" s="6">
        <f>_xlfn.XLOOKUP(FactSales[[#This Row],[Product_ID]],DimProduct[Product_ID],DimProduct[Unit_Cost])</f>
        <v>1930</v>
      </c>
      <c r="Q958" s="6">
        <f>FactSales[[#This Row],[Unit_Price]]*FactSales[[#This Row],[Quantity_Sold]]</f>
        <v>8520</v>
      </c>
      <c r="R958" s="6">
        <f>FactSales[[#This Row],[Unit_Cost]]*FactSales[[#This Row],[Quantity_Sold]]</f>
        <v>5790</v>
      </c>
      <c r="S958" s="6">
        <f>FactSales[[#This Row],[Sales_Amount]]-FactSales[[#This Row],[Total_Cost]]</f>
        <v>2730</v>
      </c>
      <c r="T958" s="6" t="str">
        <f>_xlfn.XLOOKUP(FactSales[[#This Row],[Customer_ID]],DimCustomer[Customer_ID],DimCustomer[Customer_Name])</f>
        <v>Mehedi Hossain</v>
      </c>
      <c r="U958" s="6" t="str">
        <f>_xlfn.XLOOKUP(FactSales[[#This Row],[Salesperson_ID]],DimSalesman[Salesperson_ID],DimSalesman[Salesperson_Name])</f>
        <v>Mim Rahman</v>
      </c>
      <c r="V958" s="6" t="str">
        <f>_xlfn.XLOOKUP(FactSales[[#This Row],[Region_ID]],DimRegion[Region_ID],DimRegion[Region_Name])</f>
        <v>Rajshahi</v>
      </c>
      <c r="W958" s="6" t="str">
        <f>_xlfn.XLOOKUP(FactSales[[#This Row],[Store_ID]],DimStore[Store_ID],DimStore[Store_Name])</f>
        <v>Rajshahi Uposhohor Store</v>
      </c>
    </row>
    <row r="959" spans="1:23">
      <c r="A959" s="4" t="s">
        <v>1955</v>
      </c>
      <c r="B959" s="5">
        <v>46083</v>
      </c>
      <c r="C959" s="4" t="s">
        <v>153</v>
      </c>
      <c r="D959" s="4" t="s">
        <v>32</v>
      </c>
      <c r="E959" s="4" t="s">
        <v>638</v>
      </c>
      <c r="F959" s="4" t="s">
        <v>929</v>
      </c>
      <c r="G959" s="4" t="s">
        <v>847</v>
      </c>
      <c r="H959" s="4">
        <v>3</v>
      </c>
      <c r="I959" s="7">
        <v>0.12</v>
      </c>
      <c r="J959" s="6">
        <v>6395</v>
      </c>
      <c r="K959" s="4">
        <v>2</v>
      </c>
      <c r="L959" s="8">
        <f t="shared" si="14"/>
        <v>4.3</v>
      </c>
      <c r="M959" s="6" t="str">
        <f>_xlfn.XLOOKUP(FactSales[[#This Row],[Product_ID]],DimProduct[Product_ID],DimProduct[Product_Name])</f>
        <v>Casual Loafer</v>
      </c>
      <c r="N959" s="6" t="str">
        <f>_xlfn.XLOOKUP(FactSales[[#This Row],[Product_ID]],DimProduct[Product_ID],DimProduct[Category])</f>
        <v>Footwear</v>
      </c>
      <c r="O959" s="6">
        <f>_xlfn.XLOOKUP(FactSales[[#This Row],[Product_ID]],DimProduct[Product_ID],DimProduct[Unit_Price])</f>
        <v>1870</v>
      </c>
      <c r="P959" s="6">
        <f>_xlfn.XLOOKUP(FactSales[[#This Row],[Product_ID]],DimProduct[Product_ID],DimProduct[Unit_Cost])</f>
        <v>1120</v>
      </c>
      <c r="Q959" s="6">
        <f>FactSales[[#This Row],[Unit_Price]]*FactSales[[#This Row],[Quantity_Sold]]</f>
        <v>5610</v>
      </c>
      <c r="R959" s="6">
        <f>FactSales[[#This Row],[Unit_Cost]]*FactSales[[#This Row],[Quantity_Sold]]</f>
        <v>3360</v>
      </c>
      <c r="S959" s="6">
        <f>FactSales[[#This Row],[Sales_Amount]]-FactSales[[#This Row],[Total_Cost]]</f>
        <v>2250</v>
      </c>
      <c r="T959" s="6" t="str">
        <f>_xlfn.XLOOKUP(FactSales[[#This Row],[Customer_ID]],DimCustomer[Customer_ID],DimCustomer[Customer_Name])</f>
        <v>Shuvo Mia</v>
      </c>
      <c r="U959" s="6" t="str">
        <f>_xlfn.XLOOKUP(FactSales[[#This Row],[Salesperson_ID]],DimSalesman[Salesperson_ID],DimSalesman[Salesperson_Name])</f>
        <v>Nabila Mia</v>
      </c>
      <c r="V959" s="6" t="str">
        <f>_xlfn.XLOOKUP(FactSales[[#This Row],[Region_ID]],DimRegion[Region_ID],DimRegion[Region_Name])</f>
        <v>Chattogram</v>
      </c>
      <c r="W959" s="6" t="str">
        <f>_xlfn.XLOOKUP(FactSales[[#This Row],[Store_ID]],DimStore[Store_ID],DimStore[Store_Name])</f>
        <v>Chattogram Agrabad Store</v>
      </c>
    </row>
    <row r="960" spans="1:23">
      <c r="A960" s="4" t="s">
        <v>1956</v>
      </c>
      <c r="B960" s="5">
        <v>45977</v>
      </c>
      <c r="C960" s="4" t="s">
        <v>225</v>
      </c>
      <c r="D960" s="4" t="s">
        <v>37</v>
      </c>
      <c r="E960" s="4" t="s">
        <v>665</v>
      </c>
      <c r="F960" s="4" t="s">
        <v>938</v>
      </c>
      <c r="G960" s="4" t="s">
        <v>762</v>
      </c>
      <c r="H960" s="4">
        <v>4</v>
      </c>
      <c r="I960" s="7">
        <v>0.15</v>
      </c>
      <c r="J960" s="6">
        <v>16564</v>
      </c>
      <c r="K960" s="4">
        <v>3</v>
      </c>
      <c r="L960" s="8">
        <f t="shared" si="14"/>
        <v>3.9</v>
      </c>
      <c r="M960" s="6" t="str">
        <f>_xlfn.XLOOKUP(FactSales[[#This Row],[Product_ID]],DimProduct[Product_ID],DimProduct[Product_Name])</f>
        <v>Smart Watch</v>
      </c>
      <c r="N960" s="6" t="str">
        <f>_xlfn.XLOOKUP(FactSales[[#This Row],[Product_ID]],DimProduct[Product_ID],DimProduct[Category])</f>
        <v>Electronics</v>
      </c>
      <c r="O960" s="6">
        <f>_xlfn.XLOOKUP(FactSales[[#This Row],[Product_ID]],DimProduct[Product_ID],DimProduct[Unit_Price])</f>
        <v>3870</v>
      </c>
      <c r="P960" s="6">
        <f>_xlfn.XLOOKUP(FactSales[[#This Row],[Product_ID]],DimProduct[Product_ID],DimProduct[Unit_Cost])</f>
        <v>2630</v>
      </c>
      <c r="Q960" s="6">
        <f>FactSales[[#This Row],[Unit_Price]]*FactSales[[#This Row],[Quantity_Sold]]</f>
        <v>15480</v>
      </c>
      <c r="R960" s="6">
        <f>FactSales[[#This Row],[Unit_Cost]]*FactSales[[#This Row],[Quantity_Sold]]</f>
        <v>10520</v>
      </c>
      <c r="S960" s="6">
        <f>FactSales[[#This Row],[Sales_Amount]]-FactSales[[#This Row],[Total_Cost]]</f>
        <v>4960</v>
      </c>
      <c r="T960" s="6" t="str">
        <f>_xlfn.XLOOKUP(FactSales[[#This Row],[Customer_ID]],DimCustomer[Customer_ID],DimCustomer[Customer_Name])</f>
        <v>Tania Akter</v>
      </c>
      <c r="U960" s="6" t="str">
        <f>_xlfn.XLOOKUP(FactSales[[#This Row],[Salesperson_ID]],DimSalesman[Salesperson_ID],DimSalesman[Salesperson_Name])</f>
        <v>Rasel Akter</v>
      </c>
      <c r="V960" s="6" t="str">
        <f>_xlfn.XLOOKUP(FactSales[[#This Row],[Region_ID]],DimRegion[Region_ID],DimRegion[Region_Name])</f>
        <v>Sylhet</v>
      </c>
      <c r="W960" s="6" t="str">
        <f>_xlfn.XLOOKUP(FactSales[[#This Row],[Store_ID]],DimStore[Store_ID],DimStore[Store_Name])</f>
        <v>Sylhet Upashahar Store</v>
      </c>
    </row>
    <row r="961" spans="1:23">
      <c r="A961" s="4" t="s">
        <v>1957</v>
      </c>
      <c r="B961" s="5">
        <v>46140</v>
      </c>
      <c r="C961" s="4" t="s">
        <v>395</v>
      </c>
      <c r="D961" s="4" t="s">
        <v>47</v>
      </c>
      <c r="E961" s="4" t="s">
        <v>686</v>
      </c>
      <c r="F961" s="4" t="s">
        <v>952</v>
      </c>
      <c r="G961" s="4" t="s">
        <v>765</v>
      </c>
      <c r="H961" s="4">
        <v>3</v>
      </c>
      <c r="I961" s="7">
        <v>0.08</v>
      </c>
      <c r="J961" s="6">
        <v>15990</v>
      </c>
      <c r="K961" s="4">
        <v>3</v>
      </c>
      <c r="L961" s="8">
        <f t="shared" si="14"/>
        <v>4.0999999999999996</v>
      </c>
      <c r="M961" s="6" t="str">
        <f>_xlfn.XLOOKUP(FactSales[[#This Row],[Product_ID]],DimProduct[Product_ID],DimProduct[Product_Name])</f>
        <v>USB-C Hub</v>
      </c>
      <c r="N961" s="6" t="str">
        <f>_xlfn.XLOOKUP(FactSales[[#This Row],[Product_ID]],DimProduct[Product_ID],DimProduct[Category])</f>
        <v>Electronics</v>
      </c>
      <c r="O961" s="6">
        <f>_xlfn.XLOOKUP(FactSales[[#This Row],[Product_ID]],DimProduct[Product_ID],DimProduct[Unit_Price])</f>
        <v>4890</v>
      </c>
      <c r="P961" s="6">
        <f>_xlfn.XLOOKUP(FactSales[[#This Row],[Product_ID]],DimProduct[Product_ID],DimProduct[Unit_Cost])</f>
        <v>3330</v>
      </c>
      <c r="Q961" s="6">
        <f>FactSales[[#This Row],[Unit_Price]]*FactSales[[#This Row],[Quantity_Sold]]</f>
        <v>14670</v>
      </c>
      <c r="R961" s="6">
        <f>FactSales[[#This Row],[Unit_Cost]]*FactSales[[#This Row],[Quantity_Sold]]</f>
        <v>9990</v>
      </c>
      <c r="S961" s="6">
        <f>FactSales[[#This Row],[Sales_Amount]]-FactSales[[#This Row],[Total_Cost]]</f>
        <v>4680</v>
      </c>
      <c r="T961" s="6" t="str">
        <f>_xlfn.XLOOKUP(FactSales[[#This Row],[Customer_ID]],DimCustomer[Customer_ID],DimCustomer[Customer_Name])</f>
        <v>Imran Mia</v>
      </c>
      <c r="U961" s="6" t="str">
        <f>_xlfn.XLOOKUP(FactSales[[#This Row],[Salesperson_ID]],DimSalesman[Salesperson_ID],DimSalesman[Salesperson_Name])</f>
        <v>Samiha Islam</v>
      </c>
      <c r="V961" s="6" t="str">
        <f>_xlfn.XLOOKUP(FactSales[[#This Row],[Region_ID]],DimRegion[Region_ID],DimRegion[Region_Name])</f>
        <v>Khulna</v>
      </c>
      <c r="W961" s="6" t="str">
        <f>_xlfn.XLOOKUP(FactSales[[#This Row],[Store_ID]],DimStore[Store_ID],DimStore[Store_Name])</f>
        <v>Khulna Khalishpur Store</v>
      </c>
    </row>
    <row r="962" spans="1:23">
      <c r="A962" s="4" t="s">
        <v>1958</v>
      </c>
      <c r="B962" s="5">
        <v>46176</v>
      </c>
      <c r="C962" s="4" t="s">
        <v>320</v>
      </c>
      <c r="D962" s="4" t="s">
        <v>42</v>
      </c>
      <c r="E962" s="4" t="s">
        <v>680</v>
      </c>
      <c r="F962" s="4" t="s">
        <v>945</v>
      </c>
      <c r="G962" s="4" t="s">
        <v>790</v>
      </c>
      <c r="H962" s="4">
        <v>1</v>
      </c>
      <c r="I962" s="7">
        <v>0.03</v>
      </c>
      <c r="J962" s="6">
        <v>2149</v>
      </c>
      <c r="K962" s="4">
        <v>7</v>
      </c>
      <c r="L962" s="8">
        <f t="shared" ref="L962:L1001" si="15">MAX(1,MIN(5,ROUND(5.2-(K962*0.32)-(I962*2.2),1)))</f>
        <v>2.9</v>
      </c>
      <c r="M962" s="6" t="str">
        <f>_xlfn.XLOOKUP(FactSales[[#This Row],[Product_ID]],DimProduct[Product_ID],DimProduct[Product_Name])</f>
        <v>Women Kurti</v>
      </c>
      <c r="N962" s="6" t="str">
        <f>_xlfn.XLOOKUP(FactSales[[#This Row],[Product_ID]],DimProduct[Product_ID],DimProduct[Category])</f>
        <v>Fashion</v>
      </c>
      <c r="O962" s="6">
        <f>_xlfn.XLOOKUP(FactSales[[#This Row],[Product_ID]],DimProduct[Product_ID],DimProduct[Unit_Price])</f>
        <v>1990</v>
      </c>
      <c r="P962" s="6">
        <f>_xlfn.XLOOKUP(FactSales[[#This Row],[Product_ID]],DimProduct[Product_ID],DimProduct[Unit_Cost])</f>
        <v>1090</v>
      </c>
      <c r="Q962" s="6">
        <f>FactSales[[#This Row],[Unit_Price]]*FactSales[[#This Row],[Quantity_Sold]]</f>
        <v>1990</v>
      </c>
      <c r="R962" s="6">
        <f>FactSales[[#This Row],[Unit_Cost]]*FactSales[[#This Row],[Quantity_Sold]]</f>
        <v>1090</v>
      </c>
      <c r="S962" s="6">
        <f>FactSales[[#This Row],[Sales_Amount]]-FactSales[[#This Row],[Total_Cost]]</f>
        <v>900</v>
      </c>
      <c r="T962" s="6" t="str">
        <f>_xlfn.XLOOKUP(FactSales[[#This Row],[Customer_ID]],DimCustomer[Customer_ID],DimCustomer[Customer_Name])</f>
        <v>Shuvo Sultana</v>
      </c>
      <c r="U962" s="6" t="str">
        <f>_xlfn.XLOOKUP(FactSales[[#This Row],[Salesperson_ID]],DimSalesman[Salesperson_ID],DimSalesman[Salesperson_Name])</f>
        <v>Hasan Khan</v>
      </c>
      <c r="V962" s="6" t="str">
        <f>_xlfn.XLOOKUP(FactSales[[#This Row],[Region_ID]],DimRegion[Region_ID],DimRegion[Region_Name])</f>
        <v>Rajshahi</v>
      </c>
      <c r="W962" s="6" t="str">
        <f>_xlfn.XLOOKUP(FactSales[[#This Row],[Store_ID]],DimStore[Store_ID],DimStore[Store_Name])</f>
        <v>Rajshahi Lakshmipur Store</v>
      </c>
    </row>
    <row r="963" spans="1:23">
      <c r="A963" s="4" t="s">
        <v>1959</v>
      </c>
      <c r="B963" s="5">
        <v>45887</v>
      </c>
      <c r="C963" s="4" t="s">
        <v>486</v>
      </c>
      <c r="D963" s="4" t="s">
        <v>52</v>
      </c>
      <c r="E963" s="4" t="s">
        <v>710</v>
      </c>
      <c r="F963" s="4" t="s">
        <v>966</v>
      </c>
      <c r="G963" s="4" t="s">
        <v>755</v>
      </c>
      <c r="H963" s="4">
        <v>3</v>
      </c>
      <c r="I963" s="7">
        <v>0.08</v>
      </c>
      <c r="J963" s="6">
        <v>11222</v>
      </c>
      <c r="K963" s="4">
        <v>5</v>
      </c>
      <c r="L963" s="8">
        <f t="shared" si="15"/>
        <v>3.4</v>
      </c>
      <c r="M963" s="6" t="str">
        <f>_xlfn.XLOOKUP(FactSales[[#This Row],[Product_ID]],DimProduct[Product_ID],DimProduct[Product_Name])</f>
        <v>Wireless Mouse</v>
      </c>
      <c r="N963" s="6" t="str">
        <f>_xlfn.XLOOKUP(FactSales[[#This Row],[Product_ID]],DimProduct[Product_ID],DimProduct[Category])</f>
        <v>Electronics</v>
      </c>
      <c r="O963" s="6">
        <f>_xlfn.XLOOKUP(FactSales[[#This Row],[Product_ID]],DimProduct[Product_ID],DimProduct[Unit_Price])</f>
        <v>3340</v>
      </c>
      <c r="P963" s="6">
        <f>_xlfn.XLOOKUP(FactSales[[#This Row],[Product_ID]],DimProduct[Product_ID],DimProduct[Unit_Cost])</f>
        <v>2270</v>
      </c>
      <c r="Q963" s="6">
        <f>FactSales[[#This Row],[Unit_Price]]*FactSales[[#This Row],[Quantity_Sold]]</f>
        <v>10020</v>
      </c>
      <c r="R963" s="6">
        <f>FactSales[[#This Row],[Unit_Cost]]*FactSales[[#This Row],[Quantity_Sold]]</f>
        <v>6810</v>
      </c>
      <c r="S963" s="6">
        <f>FactSales[[#This Row],[Sales_Amount]]-FactSales[[#This Row],[Total_Cost]]</f>
        <v>3210</v>
      </c>
      <c r="T963" s="6" t="str">
        <f>_xlfn.XLOOKUP(FactSales[[#This Row],[Customer_ID]],DimCustomer[Customer_ID],DimCustomer[Customer_Name])</f>
        <v>Fahim Khan</v>
      </c>
      <c r="U963" s="6" t="str">
        <f>_xlfn.XLOOKUP(FactSales[[#This Row],[Salesperson_ID]],DimSalesman[Salesperson_ID],DimSalesman[Salesperson_Name])</f>
        <v>Nayeem Akter</v>
      </c>
      <c r="V963" s="6" t="str">
        <f>_xlfn.XLOOKUP(FactSales[[#This Row],[Region_ID]],DimRegion[Region_ID],DimRegion[Region_Name])</f>
        <v>Barishal</v>
      </c>
      <c r="W963" s="6" t="str">
        <f>_xlfn.XLOOKUP(FactSales[[#This Row],[Store_ID]],DimStore[Store_ID],DimStore[Store_Name])</f>
        <v>Barishal Kawnia Store</v>
      </c>
    </row>
    <row r="964" spans="1:23">
      <c r="A964" s="4" t="s">
        <v>1960</v>
      </c>
      <c r="B964" s="5">
        <v>45769</v>
      </c>
      <c r="C964" s="4" t="s">
        <v>548</v>
      </c>
      <c r="D964" s="4" t="s">
        <v>57</v>
      </c>
      <c r="E964" s="4" t="s">
        <v>716</v>
      </c>
      <c r="F964" s="4" t="s">
        <v>974</v>
      </c>
      <c r="G964" s="4" t="s">
        <v>778</v>
      </c>
      <c r="H964" s="4">
        <v>4</v>
      </c>
      <c r="I964" s="7">
        <v>0.1</v>
      </c>
      <c r="J964" s="6">
        <v>20976</v>
      </c>
      <c r="K964" s="4">
        <v>10</v>
      </c>
      <c r="L964" s="8">
        <f t="shared" si="15"/>
        <v>1.8</v>
      </c>
      <c r="M964" s="6" t="str">
        <f>_xlfn.XLOOKUP(FactSales[[#This Row],[Product_ID]],DimProduct[Product_ID],DimProduct[Product_Name])</f>
        <v>Steam Iron</v>
      </c>
      <c r="N964" s="6" t="str">
        <f>_xlfn.XLOOKUP(FactSales[[#This Row],[Product_ID]],DimProduct[Product_ID],DimProduct[Category])</f>
        <v>Home Appliance</v>
      </c>
      <c r="O964" s="6">
        <f>_xlfn.XLOOKUP(FactSales[[#This Row],[Product_ID]],DimProduct[Product_ID],DimProduct[Unit_Price])</f>
        <v>4560</v>
      </c>
      <c r="P964" s="6">
        <f>_xlfn.XLOOKUP(FactSales[[#This Row],[Product_ID]],DimProduct[Product_ID],DimProduct[Unit_Cost])</f>
        <v>3190</v>
      </c>
      <c r="Q964" s="6">
        <f>FactSales[[#This Row],[Unit_Price]]*FactSales[[#This Row],[Quantity_Sold]]</f>
        <v>18240</v>
      </c>
      <c r="R964" s="6">
        <f>FactSales[[#This Row],[Unit_Cost]]*FactSales[[#This Row],[Quantity_Sold]]</f>
        <v>12760</v>
      </c>
      <c r="S964" s="6">
        <f>FactSales[[#This Row],[Sales_Amount]]-FactSales[[#This Row],[Total_Cost]]</f>
        <v>5480</v>
      </c>
      <c r="T964" s="6" t="str">
        <f>_xlfn.XLOOKUP(FactSales[[#This Row],[Customer_ID]],DimCustomer[Customer_ID],DimCustomer[Customer_Name])</f>
        <v>Samiha Islam</v>
      </c>
      <c r="U964" s="6" t="str">
        <f>_xlfn.XLOOKUP(FactSales[[#This Row],[Salesperson_ID]],DimSalesman[Salesperson_ID],DimSalesman[Salesperson_Name])</f>
        <v>Farhana Uddin</v>
      </c>
      <c r="V964" s="6" t="str">
        <f>_xlfn.XLOOKUP(FactSales[[#This Row],[Region_ID]],DimRegion[Region_ID],DimRegion[Region_Name])</f>
        <v>Rangpur</v>
      </c>
      <c r="W964" s="6" t="str">
        <f>_xlfn.XLOOKUP(FactSales[[#This Row],[Store_ID]],DimStore[Store_ID],DimStore[Store_Name])</f>
        <v>Rangpur Shapla Chattar Store</v>
      </c>
    </row>
    <row r="965" spans="1:23">
      <c r="A965" s="4" t="s">
        <v>1961</v>
      </c>
      <c r="B965" s="5">
        <v>46159</v>
      </c>
      <c r="C965" s="4" t="s">
        <v>197</v>
      </c>
      <c r="D965" s="4" t="s">
        <v>32</v>
      </c>
      <c r="E965" s="4" t="s">
        <v>641</v>
      </c>
      <c r="F965" s="4" t="s">
        <v>924</v>
      </c>
      <c r="G965" s="4" t="s">
        <v>878</v>
      </c>
      <c r="H965" s="4">
        <v>3</v>
      </c>
      <c r="I965" s="7">
        <v>0.03</v>
      </c>
      <c r="J965" s="6">
        <v>2873</v>
      </c>
      <c r="K965" s="4">
        <v>1</v>
      </c>
      <c r="L965" s="8">
        <f t="shared" si="15"/>
        <v>4.8</v>
      </c>
      <c r="M965" s="6" t="str">
        <f>_xlfn.XLOOKUP(FactSales[[#This Row],[Product_ID]],DimProduct[Product_ID],DimProduct[Product_Name])</f>
        <v>Building Blocks</v>
      </c>
      <c r="N965" s="6" t="str">
        <f>_xlfn.XLOOKUP(FactSales[[#This Row],[Product_ID]],DimProduct[Product_ID],DimProduct[Category])</f>
        <v>Kids &amp; Toys</v>
      </c>
      <c r="O965" s="6">
        <f>_xlfn.XLOOKUP(FactSales[[#This Row],[Product_ID]],DimProduct[Product_ID],DimProduct[Unit_Price])</f>
        <v>840</v>
      </c>
      <c r="P965" s="6">
        <f>_xlfn.XLOOKUP(FactSales[[#This Row],[Product_ID]],DimProduct[Product_ID],DimProduct[Unit_Cost])</f>
        <v>460</v>
      </c>
      <c r="Q965" s="6">
        <f>FactSales[[#This Row],[Unit_Price]]*FactSales[[#This Row],[Quantity_Sold]]</f>
        <v>2520</v>
      </c>
      <c r="R965" s="6">
        <f>FactSales[[#This Row],[Unit_Cost]]*FactSales[[#This Row],[Quantity_Sold]]</f>
        <v>1380</v>
      </c>
      <c r="S965" s="6">
        <f>FactSales[[#This Row],[Sales_Amount]]-FactSales[[#This Row],[Total_Cost]]</f>
        <v>1140</v>
      </c>
      <c r="T965" s="6" t="str">
        <f>_xlfn.XLOOKUP(FactSales[[#This Row],[Customer_ID]],DimCustomer[Customer_ID],DimCustomer[Customer_Name])</f>
        <v>Arif Hossain</v>
      </c>
      <c r="U965" s="6" t="str">
        <f>_xlfn.XLOOKUP(FactSales[[#This Row],[Salesperson_ID]],DimSalesman[Salesperson_ID],DimSalesman[Salesperson_Name])</f>
        <v>Rumana Khan</v>
      </c>
      <c r="V965" s="6" t="str">
        <f>_xlfn.XLOOKUP(FactSales[[#This Row],[Region_ID]],DimRegion[Region_ID],DimRegion[Region_Name])</f>
        <v>Chattogram</v>
      </c>
      <c r="W965" s="6" t="str">
        <f>_xlfn.XLOOKUP(FactSales[[#This Row],[Store_ID]],DimStore[Store_ID],DimStore[Store_Name])</f>
        <v>Chattogram GEC Store</v>
      </c>
    </row>
    <row r="966" spans="1:23">
      <c r="A966" s="4" t="s">
        <v>1962</v>
      </c>
      <c r="B966" s="5">
        <v>45896</v>
      </c>
      <c r="C966" s="4" t="s">
        <v>251</v>
      </c>
      <c r="D966" s="4" t="s">
        <v>37</v>
      </c>
      <c r="E966" s="4" t="s">
        <v>665</v>
      </c>
      <c r="F966" s="4" t="s">
        <v>938</v>
      </c>
      <c r="G966" s="4" t="s">
        <v>800</v>
      </c>
      <c r="H966" s="4">
        <v>1</v>
      </c>
      <c r="I966" s="7">
        <v>0.05</v>
      </c>
      <c r="J966" s="6">
        <v>1188</v>
      </c>
      <c r="K966" s="4">
        <v>3</v>
      </c>
      <c r="L966" s="8">
        <f t="shared" si="15"/>
        <v>4.0999999999999996</v>
      </c>
      <c r="M966" s="6" t="str">
        <f>_xlfn.XLOOKUP(FactSales[[#This Row],[Product_ID]],DimProduct[Product_ID],DimProduct[Product_Name])</f>
        <v>Premium Rice 5kg</v>
      </c>
      <c r="N966" s="6" t="str">
        <f>_xlfn.XLOOKUP(FactSales[[#This Row],[Product_ID]],DimProduct[Product_ID],DimProduct[Category])</f>
        <v>Grocery</v>
      </c>
      <c r="O966" s="6">
        <f>_xlfn.XLOOKUP(FactSales[[#This Row],[Product_ID]],DimProduct[Product_ID],DimProduct[Unit_Price])</f>
        <v>1110</v>
      </c>
      <c r="P966" s="6">
        <f>_xlfn.XLOOKUP(FactSales[[#This Row],[Product_ID]],DimProduct[Product_ID],DimProduct[Unit_Cost])</f>
        <v>870</v>
      </c>
      <c r="Q966" s="6">
        <f>FactSales[[#This Row],[Unit_Price]]*FactSales[[#This Row],[Quantity_Sold]]</f>
        <v>1110</v>
      </c>
      <c r="R966" s="6">
        <f>FactSales[[#This Row],[Unit_Cost]]*FactSales[[#This Row],[Quantity_Sold]]</f>
        <v>870</v>
      </c>
      <c r="S966" s="6">
        <f>FactSales[[#This Row],[Sales_Amount]]-FactSales[[#This Row],[Total_Cost]]</f>
        <v>240</v>
      </c>
      <c r="T966" s="6" t="str">
        <f>_xlfn.XLOOKUP(FactSales[[#This Row],[Customer_ID]],DimCustomer[Customer_ID],DimCustomer[Customer_Name])</f>
        <v>Rasel Islam</v>
      </c>
      <c r="U966" s="6" t="str">
        <f>_xlfn.XLOOKUP(FactSales[[#This Row],[Salesperson_ID]],DimSalesman[Salesperson_ID],DimSalesman[Salesperson_Name])</f>
        <v>Rasel Akter</v>
      </c>
      <c r="V966" s="6" t="str">
        <f>_xlfn.XLOOKUP(FactSales[[#This Row],[Region_ID]],DimRegion[Region_ID],DimRegion[Region_Name])</f>
        <v>Sylhet</v>
      </c>
      <c r="W966" s="6" t="str">
        <f>_xlfn.XLOOKUP(FactSales[[#This Row],[Store_ID]],DimStore[Store_ID],DimStore[Store_Name])</f>
        <v>Sylhet Upashahar Store</v>
      </c>
    </row>
    <row r="967" spans="1:23">
      <c r="A967" s="4" t="s">
        <v>1963</v>
      </c>
      <c r="B967" s="5">
        <v>46074</v>
      </c>
      <c r="C967" s="4" t="s">
        <v>433</v>
      </c>
      <c r="D967" s="4" t="s">
        <v>52</v>
      </c>
      <c r="E967" s="4" t="s">
        <v>698</v>
      </c>
      <c r="F967" s="4" t="s">
        <v>963</v>
      </c>
      <c r="G967" s="4" t="s">
        <v>841</v>
      </c>
      <c r="H967" s="4">
        <v>5</v>
      </c>
      <c r="I967" s="7">
        <v>7.0000000000000007E-2</v>
      </c>
      <c r="J967" s="6">
        <v>18032</v>
      </c>
      <c r="K967" s="4">
        <v>7</v>
      </c>
      <c r="L967" s="8">
        <f t="shared" si="15"/>
        <v>2.8</v>
      </c>
      <c r="M967" s="6" t="str">
        <f>_xlfn.XLOOKUP(FactSales[[#This Row],[Product_ID]],DimProduct[Product_ID],DimProduct[Product_Name])</f>
        <v>Ladies Sandal</v>
      </c>
      <c r="N967" s="6" t="str">
        <f>_xlfn.XLOOKUP(FactSales[[#This Row],[Product_ID]],DimProduct[Product_ID],DimProduct[Category])</f>
        <v>Footwear</v>
      </c>
      <c r="O967" s="6">
        <f>_xlfn.XLOOKUP(FactSales[[#This Row],[Product_ID]],DimProduct[Product_ID],DimProduct[Unit_Price])</f>
        <v>3220</v>
      </c>
      <c r="P967" s="6">
        <f>_xlfn.XLOOKUP(FactSales[[#This Row],[Product_ID]],DimProduct[Product_ID],DimProduct[Unit_Cost])</f>
        <v>1930</v>
      </c>
      <c r="Q967" s="6">
        <f>FactSales[[#This Row],[Unit_Price]]*FactSales[[#This Row],[Quantity_Sold]]</f>
        <v>16100</v>
      </c>
      <c r="R967" s="6">
        <f>FactSales[[#This Row],[Unit_Cost]]*FactSales[[#This Row],[Quantity_Sold]]</f>
        <v>9650</v>
      </c>
      <c r="S967" s="6">
        <f>FactSales[[#This Row],[Sales_Amount]]-FactSales[[#This Row],[Total_Cost]]</f>
        <v>6450</v>
      </c>
      <c r="T967" s="6" t="str">
        <f>_xlfn.XLOOKUP(FactSales[[#This Row],[Customer_ID]],DimCustomer[Customer_ID],DimCustomer[Customer_Name])</f>
        <v>Rahim Sultana</v>
      </c>
      <c r="U967" s="6" t="str">
        <f>_xlfn.XLOOKUP(FactSales[[#This Row],[Salesperson_ID]],DimSalesman[Salesperson_ID],DimSalesman[Salesperson_Name])</f>
        <v>Rasel Uddin</v>
      </c>
      <c r="V967" s="6" t="str">
        <f>_xlfn.XLOOKUP(FactSales[[#This Row],[Region_ID]],DimRegion[Region_ID],DimRegion[Region_Name])</f>
        <v>Barishal</v>
      </c>
      <c r="W967" s="6" t="str">
        <f>_xlfn.XLOOKUP(FactSales[[#This Row],[Store_ID]],DimStore[Store_ID],DimStore[Store_Name])</f>
        <v>Barishal Nathullabad Store</v>
      </c>
    </row>
    <row r="968" spans="1:23">
      <c r="A968" s="4" t="s">
        <v>1964</v>
      </c>
      <c r="B968" s="5">
        <v>45978</v>
      </c>
      <c r="C968" s="4" t="s">
        <v>352</v>
      </c>
      <c r="D968" s="4" t="s">
        <v>42</v>
      </c>
      <c r="E968" s="4" t="s">
        <v>680</v>
      </c>
      <c r="F968" s="4" t="s">
        <v>947</v>
      </c>
      <c r="G968" s="4" t="s">
        <v>808</v>
      </c>
      <c r="H968" s="4">
        <v>8</v>
      </c>
      <c r="I968" s="7">
        <v>0.02</v>
      </c>
      <c r="J968" s="6">
        <v>14774</v>
      </c>
      <c r="K968" s="4">
        <v>3</v>
      </c>
      <c r="L968" s="8">
        <f t="shared" si="15"/>
        <v>4.2</v>
      </c>
      <c r="M968" s="6" t="str">
        <f>_xlfn.XLOOKUP(FactSales[[#This Row],[Product_ID]],DimProduct[Product_ID],DimProduct[Product_Name])</f>
        <v>Lentil 1kg</v>
      </c>
      <c r="N968" s="6" t="str">
        <f>_xlfn.XLOOKUP(FactSales[[#This Row],[Product_ID]],DimProduct[Product_ID],DimProduct[Category])</f>
        <v>Grocery</v>
      </c>
      <c r="O968" s="6">
        <f>_xlfn.XLOOKUP(FactSales[[#This Row],[Product_ID]],DimProduct[Product_ID],DimProduct[Unit_Price])</f>
        <v>1710</v>
      </c>
      <c r="P968" s="6">
        <f>_xlfn.XLOOKUP(FactSales[[#This Row],[Product_ID]],DimProduct[Product_ID],DimProduct[Unit_Cost])</f>
        <v>1330</v>
      </c>
      <c r="Q968" s="6">
        <f>FactSales[[#This Row],[Unit_Price]]*FactSales[[#This Row],[Quantity_Sold]]</f>
        <v>13680</v>
      </c>
      <c r="R968" s="6">
        <f>FactSales[[#This Row],[Unit_Cost]]*FactSales[[#This Row],[Quantity_Sold]]</f>
        <v>10640</v>
      </c>
      <c r="S968" s="6">
        <f>FactSales[[#This Row],[Sales_Amount]]-FactSales[[#This Row],[Total_Cost]]</f>
        <v>3040</v>
      </c>
      <c r="T968" s="6" t="str">
        <f>_xlfn.XLOOKUP(FactSales[[#This Row],[Customer_ID]],DimCustomer[Customer_ID],DimCustomer[Customer_Name])</f>
        <v>Mehedi Khan</v>
      </c>
      <c r="U968" s="6" t="str">
        <f>_xlfn.XLOOKUP(FactSales[[#This Row],[Salesperson_ID]],DimSalesman[Salesperson_ID],DimSalesman[Salesperson_Name])</f>
        <v>Farhana Rahman</v>
      </c>
      <c r="V968" s="6" t="str">
        <f>_xlfn.XLOOKUP(FactSales[[#This Row],[Region_ID]],DimRegion[Region_ID],DimRegion[Region_Name])</f>
        <v>Rajshahi</v>
      </c>
      <c r="W968" s="6" t="str">
        <f>_xlfn.XLOOKUP(FactSales[[#This Row],[Store_ID]],DimStore[Store_ID],DimStore[Store_Name])</f>
        <v>Rajshahi Lakshmipur Store</v>
      </c>
    </row>
    <row r="969" spans="1:23">
      <c r="A969" s="4" t="s">
        <v>1965</v>
      </c>
      <c r="B969" s="5">
        <v>45788</v>
      </c>
      <c r="C969" s="4" t="s">
        <v>156</v>
      </c>
      <c r="D969" s="4" t="s">
        <v>32</v>
      </c>
      <c r="E969" s="4" t="s">
        <v>647</v>
      </c>
      <c r="F969" s="4" t="s">
        <v>931</v>
      </c>
      <c r="G969" s="4" t="s">
        <v>755</v>
      </c>
      <c r="H969" s="4">
        <v>4</v>
      </c>
      <c r="I969" s="7">
        <v>0.1</v>
      </c>
      <c r="J969" s="6">
        <v>15230</v>
      </c>
      <c r="K969" s="4">
        <v>8</v>
      </c>
      <c r="L969" s="8">
        <f t="shared" si="15"/>
        <v>2.4</v>
      </c>
      <c r="M969" s="6" t="str">
        <f>_xlfn.XLOOKUP(FactSales[[#This Row],[Product_ID]],DimProduct[Product_ID],DimProduct[Product_Name])</f>
        <v>Wireless Mouse</v>
      </c>
      <c r="N969" s="6" t="str">
        <f>_xlfn.XLOOKUP(FactSales[[#This Row],[Product_ID]],DimProduct[Product_ID],DimProduct[Category])</f>
        <v>Electronics</v>
      </c>
      <c r="O969" s="6">
        <f>_xlfn.XLOOKUP(FactSales[[#This Row],[Product_ID]],DimProduct[Product_ID],DimProduct[Unit_Price])</f>
        <v>3340</v>
      </c>
      <c r="P969" s="6">
        <f>_xlfn.XLOOKUP(FactSales[[#This Row],[Product_ID]],DimProduct[Product_ID],DimProduct[Unit_Cost])</f>
        <v>2270</v>
      </c>
      <c r="Q969" s="6">
        <f>FactSales[[#This Row],[Unit_Price]]*FactSales[[#This Row],[Quantity_Sold]]</f>
        <v>13360</v>
      </c>
      <c r="R969" s="6">
        <f>FactSales[[#This Row],[Unit_Cost]]*FactSales[[#This Row],[Quantity_Sold]]</f>
        <v>9080</v>
      </c>
      <c r="S969" s="6">
        <f>FactSales[[#This Row],[Sales_Amount]]-FactSales[[#This Row],[Total_Cost]]</f>
        <v>4280</v>
      </c>
      <c r="T969" s="6" t="str">
        <f>_xlfn.XLOOKUP(FactSales[[#This Row],[Customer_ID]],DimCustomer[Customer_ID],DimCustomer[Customer_Name])</f>
        <v>Shaila Mia</v>
      </c>
      <c r="U969" s="6" t="str">
        <f>_xlfn.XLOOKUP(FactSales[[#This Row],[Salesperson_ID]],DimSalesman[Salesperson_ID],DimSalesman[Salesperson_Name])</f>
        <v>Sadia Islam</v>
      </c>
      <c r="V969" s="6" t="str">
        <f>_xlfn.XLOOKUP(FactSales[[#This Row],[Region_ID]],DimRegion[Region_ID],DimRegion[Region_Name])</f>
        <v>Chattogram</v>
      </c>
      <c r="W969" s="6" t="str">
        <f>_xlfn.XLOOKUP(FactSales[[#This Row],[Store_ID]],DimStore[Store_ID],DimStore[Store_Name])</f>
        <v>Chattogram Nasirabad Store</v>
      </c>
    </row>
    <row r="970" spans="1:23">
      <c r="A970" s="4" t="s">
        <v>1966</v>
      </c>
      <c r="B970" s="5">
        <v>45774</v>
      </c>
      <c r="C970" s="4" t="s">
        <v>162</v>
      </c>
      <c r="D970" s="4" t="s">
        <v>32</v>
      </c>
      <c r="E970" s="4" t="s">
        <v>641</v>
      </c>
      <c r="F970" s="4" t="s">
        <v>927</v>
      </c>
      <c r="G970" s="4" t="s">
        <v>878</v>
      </c>
      <c r="H970" s="4">
        <v>2</v>
      </c>
      <c r="I970" s="7">
        <v>0.1</v>
      </c>
      <c r="J970" s="6">
        <v>1915</v>
      </c>
      <c r="K970" s="4">
        <v>7</v>
      </c>
      <c r="L970" s="8">
        <f t="shared" si="15"/>
        <v>2.7</v>
      </c>
      <c r="M970" s="6" t="str">
        <f>_xlfn.XLOOKUP(FactSales[[#This Row],[Product_ID]],DimProduct[Product_ID],DimProduct[Product_Name])</f>
        <v>Building Blocks</v>
      </c>
      <c r="N970" s="6" t="str">
        <f>_xlfn.XLOOKUP(FactSales[[#This Row],[Product_ID]],DimProduct[Product_ID],DimProduct[Category])</f>
        <v>Kids &amp; Toys</v>
      </c>
      <c r="O970" s="6">
        <f>_xlfn.XLOOKUP(FactSales[[#This Row],[Product_ID]],DimProduct[Product_ID],DimProduct[Unit_Price])</f>
        <v>840</v>
      </c>
      <c r="P970" s="6">
        <f>_xlfn.XLOOKUP(FactSales[[#This Row],[Product_ID]],DimProduct[Product_ID],DimProduct[Unit_Cost])</f>
        <v>460</v>
      </c>
      <c r="Q970" s="6">
        <f>FactSales[[#This Row],[Unit_Price]]*FactSales[[#This Row],[Quantity_Sold]]</f>
        <v>1680</v>
      </c>
      <c r="R970" s="6">
        <f>FactSales[[#This Row],[Unit_Cost]]*FactSales[[#This Row],[Quantity_Sold]]</f>
        <v>920</v>
      </c>
      <c r="S970" s="6">
        <f>FactSales[[#This Row],[Sales_Amount]]-FactSales[[#This Row],[Total_Cost]]</f>
        <v>760</v>
      </c>
      <c r="T970" s="6" t="str">
        <f>_xlfn.XLOOKUP(FactSales[[#This Row],[Customer_ID]],DimCustomer[Customer_ID],DimCustomer[Customer_Name])</f>
        <v>Karim Rahman</v>
      </c>
      <c r="U970" s="6" t="str">
        <f>_xlfn.XLOOKUP(FactSales[[#This Row],[Salesperson_ID]],DimSalesman[Salesperson_ID],DimSalesman[Salesperson_Name])</f>
        <v>Shakib Ahmed</v>
      </c>
      <c r="V970" s="6" t="str">
        <f>_xlfn.XLOOKUP(FactSales[[#This Row],[Region_ID]],DimRegion[Region_ID],DimRegion[Region_Name])</f>
        <v>Chattogram</v>
      </c>
      <c r="W970" s="6" t="str">
        <f>_xlfn.XLOOKUP(FactSales[[#This Row],[Store_ID]],DimStore[Store_ID],DimStore[Store_Name])</f>
        <v>Chattogram GEC Store</v>
      </c>
    </row>
    <row r="971" spans="1:23">
      <c r="A971" s="4" t="s">
        <v>1967</v>
      </c>
      <c r="B971" s="5">
        <v>45961</v>
      </c>
      <c r="C971" s="4" t="s">
        <v>562</v>
      </c>
      <c r="D971" s="4" t="s">
        <v>62</v>
      </c>
      <c r="E971" s="4" t="s">
        <v>740</v>
      </c>
      <c r="F971" s="4" t="s">
        <v>983</v>
      </c>
      <c r="G971" s="4" t="s">
        <v>781</v>
      </c>
      <c r="H971" s="4">
        <v>1</v>
      </c>
      <c r="I971" s="7">
        <v>0.12</v>
      </c>
      <c r="J971" s="6">
        <v>3359</v>
      </c>
      <c r="K971" s="4">
        <v>9</v>
      </c>
      <c r="L971" s="8">
        <f t="shared" si="15"/>
        <v>2.1</v>
      </c>
      <c r="M971" s="6" t="str">
        <f>_xlfn.XLOOKUP(FactSales[[#This Row],[Product_ID]],DimProduct[Product_ID],DimProduct[Product_Name])</f>
        <v>Table Fan</v>
      </c>
      <c r="N971" s="6" t="str">
        <f>_xlfn.XLOOKUP(FactSales[[#This Row],[Product_ID]],DimProduct[Product_ID],DimProduct[Category])</f>
        <v>Home Appliance</v>
      </c>
      <c r="O971" s="6">
        <f>_xlfn.XLOOKUP(FactSales[[#This Row],[Product_ID]],DimProduct[Product_ID],DimProduct[Unit_Price])</f>
        <v>3110</v>
      </c>
      <c r="P971" s="6">
        <f>_xlfn.XLOOKUP(FactSales[[#This Row],[Product_ID]],DimProduct[Product_ID],DimProduct[Unit_Cost])</f>
        <v>2180</v>
      </c>
      <c r="Q971" s="6">
        <f>FactSales[[#This Row],[Unit_Price]]*FactSales[[#This Row],[Quantity_Sold]]</f>
        <v>3110</v>
      </c>
      <c r="R971" s="6">
        <f>FactSales[[#This Row],[Unit_Cost]]*FactSales[[#This Row],[Quantity_Sold]]</f>
        <v>2180</v>
      </c>
      <c r="S971" s="6">
        <f>FactSales[[#This Row],[Sales_Amount]]-FactSales[[#This Row],[Total_Cost]]</f>
        <v>930</v>
      </c>
      <c r="T971" s="6" t="str">
        <f>_xlfn.XLOOKUP(FactSales[[#This Row],[Customer_ID]],DimCustomer[Customer_ID],DimCustomer[Customer_Name])</f>
        <v>Shamim Hossain</v>
      </c>
      <c r="U971" s="6" t="str">
        <f>_xlfn.XLOOKUP(FactSales[[#This Row],[Salesperson_ID]],DimSalesman[Salesperson_ID],DimSalesman[Salesperson_Name])</f>
        <v>Fahim Hossain</v>
      </c>
      <c r="V971" s="6" t="str">
        <f>_xlfn.XLOOKUP(FactSales[[#This Row],[Region_ID]],DimRegion[Region_ID],DimRegion[Region_Name])</f>
        <v>Mymensingh</v>
      </c>
      <c r="W971" s="6" t="str">
        <f>_xlfn.XLOOKUP(FactSales[[#This Row],[Store_ID]],DimStore[Store_ID],DimStore[Store_Name])</f>
        <v>Mymensingh Maskanda Store</v>
      </c>
    </row>
    <row r="972" spans="1:23">
      <c r="A972" s="4" t="s">
        <v>1968</v>
      </c>
      <c r="B972" s="5">
        <v>45827</v>
      </c>
      <c r="C972" s="4" t="s">
        <v>401</v>
      </c>
      <c r="D972" s="4" t="s">
        <v>47</v>
      </c>
      <c r="E972" s="4" t="s">
        <v>689</v>
      </c>
      <c r="F972" s="4" t="s">
        <v>956</v>
      </c>
      <c r="G972" s="4" t="s">
        <v>885</v>
      </c>
      <c r="H972" s="4">
        <v>1</v>
      </c>
      <c r="I972" s="7">
        <v>0.12</v>
      </c>
      <c r="J972" s="6">
        <v>2398</v>
      </c>
      <c r="K972" s="4">
        <v>2</v>
      </c>
      <c r="L972" s="8">
        <f t="shared" si="15"/>
        <v>4.3</v>
      </c>
      <c r="M972" s="6" t="str">
        <f>_xlfn.XLOOKUP(FactSales[[#This Row],[Product_ID]],DimProduct[Product_ID],DimProduct[Product_Name])</f>
        <v>Puzzle Board</v>
      </c>
      <c r="N972" s="6" t="str">
        <f>_xlfn.XLOOKUP(FactSales[[#This Row],[Product_ID]],DimProduct[Product_ID],DimProduct[Category])</f>
        <v>Kids &amp; Toys</v>
      </c>
      <c r="O972" s="6">
        <f>_xlfn.XLOOKUP(FactSales[[#This Row],[Product_ID]],DimProduct[Product_ID],DimProduct[Unit_Price])</f>
        <v>2200</v>
      </c>
      <c r="P972" s="6">
        <f>_xlfn.XLOOKUP(FactSales[[#This Row],[Product_ID]],DimProduct[Product_ID],DimProduct[Unit_Cost])</f>
        <v>1210</v>
      </c>
      <c r="Q972" s="6">
        <f>FactSales[[#This Row],[Unit_Price]]*FactSales[[#This Row],[Quantity_Sold]]</f>
        <v>2200</v>
      </c>
      <c r="R972" s="6">
        <f>FactSales[[#This Row],[Unit_Cost]]*FactSales[[#This Row],[Quantity_Sold]]</f>
        <v>1210</v>
      </c>
      <c r="S972" s="6">
        <f>FactSales[[#This Row],[Sales_Amount]]-FactSales[[#This Row],[Total_Cost]]</f>
        <v>990</v>
      </c>
      <c r="T972" s="6" t="str">
        <f>_xlfn.XLOOKUP(FactSales[[#This Row],[Customer_ID]],DimCustomer[Customer_ID],DimCustomer[Customer_Name])</f>
        <v>Sajib Rahman</v>
      </c>
      <c r="U972" s="6" t="str">
        <f>_xlfn.XLOOKUP(FactSales[[#This Row],[Salesperson_ID]],DimSalesman[Salesperson_ID],DimSalesman[Salesperson_Name])</f>
        <v>Rafi Ahmed</v>
      </c>
      <c r="V972" s="6" t="str">
        <f>_xlfn.XLOOKUP(FactSales[[#This Row],[Region_ID]],DimRegion[Region_ID],DimRegion[Region_Name])</f>
        <v>Khulna</v>
      </c>
      <c r="W972" s="6" t="str">
        <f>_xlfn.XLOOKUP(FactSales[[#This Row],[Store_ID]],DimStore[Store_ID],DimStore[Store_Name])</f>
        <v>Khulna Daulatpur Store</v>
      </c>
    </row>
    <row r="973" spans="1:23">
      <c r="A973" s="4" t="s">
        <v>1969</v>
      </c>
      <c r="B973" s="5">
        <v>45873</v>
      </c>
      <c r="C973" s="4" t="s">
        <v>465</v>
      </c>
      <c r="D973" s="4" t="s">
        <v>52</v>
      </c>
      <c r="E973" s="4" t="s">
        <v>710</v>
      </c>
      <c r="F973" s="4" t="s">
        <v>963</v>
      </c>
      <c r="G973" s="4" t="s">
        <v>788</v>
      </c>
      <c r="H973" s="4">
        <v>6</v>
      </c>
      <c r="I973" s="7">
        <v>0.05</v>
      </c>
      <c r="J973" s="6">
        <v>12230</v>
      </c>
      <c r="K973" s="4">
        <v>2</v>
      </c>
      <c r="L973" s="8">
        <f t="shared" si="15"/>
        <v>4.5</v>
      </c>
      <c r="M973" s="6" t="str">
        <f>_xlfn.XLOOKUP(FactSales[[#This Row],[Product_ID]],DimProduct[Product_ID],DimProduct[Product_Name])</f>
        <v>Formal Shirt</v>
      </c>
      <c r="N973" s="6" t="str">
        <f>_xlfn.XLOOKUP(FactSales[[#This Row],[Product_ID]],DimProduct[Product_ID],DimProduct[Category])</f>
        <v>Fashion</v>
      </c>
      <c r="O973" s="6">
        <f>_xlfn.XLOOKUP(FactSales[[#This Row],[Product_ID]],DimProduct[Product_ID],DimProduct[Unit_Price])</f>
        <v>1820</v>
      </c>
      <c r="P973" s="6">
        <f>_xlfn.XLOOKUP(FactSales[[#This Row],[Product_ID]],DimProduct[Product_ID],DimProduct[Unit_Cost])</f>
        <v>1000</v>
      </c>
      <c r="Q973" s="6">
        <f>FactSales[[#This Row],[Unit_Price]]*FactSales[[#This Row],[Quantity_Sold]]</f>
        <v>10920</v>
      </c>
      <c r="R973" s="6">
        <f>FactSales[[#This Row],[Unit_Cost]]*FactSales[[#This Row],[Quantity_Sold]]</f>
        <v>6000</v>
      </c>
      <c r="S973" s="6">
        <f>FactSales[[#This Row],[Sales_Amount]]-FactSales[[#This Row],[Total_Cost]]</f>
        <v>4920</v>
      </c>
      <c r="T973" s="6" t="str">
        <f>_xlfn.XLOOKUP(FactSales[[#This Row],[Customer_ID]],DimCustomer[Customer_ID],DimCustomer[Customer_Name])</f>
        <v>Shuvo Chowdhury</v>
      </c>
      <c r="U973" s="6" t="str">
        <f>_xlfn.XLOOKUP(FactSales[[#This Row],[Salesperson_ID]],DimSalesman[Salesperson_ID],DimSalesman[Salesperson_Name])</f>
        <v>Rasel Uddin</v>
      </c>
      <c r="V973" s="6" t="str">
        <f>_xlfn.XLOOKUP(FactSales[[#This Row],[Region_ID]],DimRegion[Region_ID],DimRegion[Region_Name])</f>
        <v>Barishal</v>
      </c>
      <c r="W973" s="6" t="str">
        <f>_xlfn.XLOOKUP(FactSales[[#This Row],[Store_ID]],DimStore[Store_ID],DimStore[Store_Name])</f>
        <v>Barishal Kawnia Store</v>
      </c>
    </row>
    <row r="974" spans="1:23">
      <c r="A974" s="4" t="s">
        <v>1970</v>
      </c>
      <c r="B974" s="5">
        <v>45841</v>
      </c>
      <c r="C974" s="4" t="s">
        <v>261</v>
      </c>
      <c r="D974" s="4" t="s">
        <v>37</v>
      </c>
      <c r="E974" s="4" t="s">
        <v>662</v>
      </c>
      <c r="F974" s="4" t="s">
        <v>932</v>
      </c>
      <c r="G974" s="4" t="s">
        <v>773</v>
      </c>
      <c r="H974" s="4">
        <v>1</v>
      </c>
      <c r="I974" s="7">
        <v>0.08</v>
      </c>
      <c r="J974" s="6">
        <v>7950</v>
      </c>
      <c r="K974" s="4">
        <v>5</v>
      </c>
      <c r="L974" s="8">
        <f t="shared" si="15"/>
        <v>3.4</v>
      </c>
      <c r="M974" s="6" t="str">
        <f>_xlfn.XLOOKUP(FactSales[[#This Row],[Product_ID]],DimProduct[Product_ID],DimProduct[Product_Name])</f>
        <v>Rice Cooker</v>
      </c>
      <c r="N974" s="6" t="str">
        <f>_xlfn.XLOOKUP(FactSales[[#This Row],[Product_ID]],DimProduct[Product_ID],DimProduct[Category])</f>
        <v>Home Appliance</v>
      </c>
      <c r="O974" s="6">
        <f>_xlfn.XLOOKUP(FactSales[[#This Row],[Product_ID]],DimProduct[Product_ID],DimProduct[Unit_Price])</f>
        <v>7430</v>
      </c>
      <c r="P974" s="6">
        <f>_xlfn.XLOOKUP(FactSales[[#This Row],[Product_ID]],DimProduct[Product_ID],DimProduct[Unit_Cost])</f>
        <v>5200</v>
      </c>
      <c r="Q974" s="6">
        <f>FactSales[[#This Row],[Unit_Price]]*FactSales[[#This Row],[Quantity_Sold]]</f>
        <v>7430</v>
      </c>
      <c r="R974" s="6">
        <f>FactSales[[#This Row],[Unit_Cost]]*FactSales[[#This Row],[Quantity_Sold]]</f>
        <v>5200</v>
      </c>
      <c r="S974" s="6">
        <f>FactSales[[#This Row],[Sales_Amount]]-FactSales[[#This Row],[Total_Cost]]</f>
        <v>2230</v>
      </c>
      <c r="T974" s="6" t="str">
        <f>_xlfn.XLOOKUP(FactSales[[#This Row],[Customer_ID]],DimCustomer[Customer_ID],DimCustomer[Customer_Name])</f>
        <v>Tania Sultana</v>
      </c>
      <c r="U974" s="6" t="str">
        <f>_xlfn.XLOOKUP(FactSales[[#This Row],[Salesperson_ID]],DimSalesman[Salesperson_ID],DimSalesman[Salesperson_Name])</f>
        <v>Morshed Chowdhury</v>
      </c>
      <c r="V974" s="6" t="str">
        <f>_xlfn.XLOOKUP(FactSales[[#This Row],[Region_ID]],DimRegion[Region_ID],DimRegion[Region_Name])</f>
        <v>Sylhet</v>
      </c>
      <c r="W974" s="6" t="str">
        <f>_xlfn.XLOOKUP(FactSales[[#This Row],[Store_ID]],DimStore[Store_ID],DimStore[Store_Name])</f>
        <v>Sylhet Subidbazar Store</v>
      </c>
    </row>
    <row r="975" spans="1:23">
      <c r="A975" s="4" t="s">
        <v>1971</v>
      </c>
      <c r="B975" s="5">
        <v>45754</v>
      </c>
      <c r="C975" s="4" t="s">
        <v>301</v>
      </c>
      <c r="D975" s="4" t="s">
        <v>42</v>
      </c>
      <c r="E975" s="4" t="s">
        <v>668</v>
      </c>
      <c r="F975" s="4" t="s">
        <v>949</v>
      </c>
      <c r="G975" s="4" t="s">
        <v>788</v>
      </c>
      <c r="H975" s="4">
        <v>2</v>
      </c>
      <c r="I975" s="7">
        <v>0.12</v>
      </c>
      <c r="J975" s="6">
        <v>3931</v>
      </c>
      <c r="K975" s="4">
        <v>4</v>
      </c>
      <c r="L975" s="8">
        <f t="shared" si="15"/>
        <v>3.7</v>
      </c>
      <c r="M975" s="6" t="str">
        <f>_xlfn.XLOOKUP(FactSales[[#This Row],[Product_ID]],DimProduct[Product_ID],DimProduct[Product_Name])</f>
        <v>Formal Shirt</v>
      </c>
      <c r="N975" s="6" t="str">
        <f>_xlfn.XLOOKUP(FactSales[[#This Row],[Product_ID]],DimProduct[Product_ID],DimProduct[Category])</f>
        <v>Fashion</v>
      </c>
      <c r="O975" s="6">
        <f>_xlfn.XLOOKUP(FactSales[[#This Row],[Product_ID]],DimProduct[Product_ID],DimProduct[Unit_Price])</f>
        <v>1820</v>
      </c>
      <c r="P975" s="6">
        <f>_xlfn.XLOOKUP(FactSales[[#This Row],[Product_ID]],DimProduct[Product_ID],DimProduct[Unit_Cost])</f>
        <v>1000</v>
      </c>
      <c r="Q975" s="6">
        <f>FactSales[[#This Row],[Unit_Price]]*FactSales[[#This Row],[Quantity_Sold]]</f>
        <v>3640</v>
      </c>
      <c r="R975" s="6">
        <f>FactSales[[#This Row],[Unit_Cost]]*FactSales[[#This Row],[Quantity_Sold]]</f>
        <v>2000</v>
      </c>
      <c r="S975" s="6">
        <f>FactSales[[#This Row],[Sales_Amount]]-FactSales[[#This Row],[Total_Cost]]</f>
        <v>1640</v>
      </c>
      <c r="T975" s="6" t="str">
        <f>_xlfn.XLOOKUP(FactSales[[#This Row],[Customer_ID]],DimCustomer[Customer_ID],DimCustomer[Customer_Name])</f>
        <v>Nabila Khan</v>
      </c>
      <c r="U975" s="6" t="str">
        <f>_xlfn.XLOOKUP(FactSales[[#This Row],[Salesperson_ID]],DimSalesman[Salesperson_ID],DimSalesman[Salesperson_Name])</f>
        <v>Mahmud Chowdhury</v>
      </c>
      <c r="V975" s="6" t="str">
        <f>_xlfn.XLOOKUP(FactSales[[#This Row],[Region_ID]],DimRegion[Region_ID],DimRegion[Region_Name])</f>
        <v>Rajshahi</v>
      </c>
      <c r="W975" s="6" t="str">
        <f>_xlfn.XLOOKUP(FactSales[[#This Row],[Store_ID]],DimStore[Store_ID],DimStore[Store_Name])</f>
        <v>Rajshahi Shaheb Bazar Store</v>
      </c>
    </row>
    <row r="976" spans="1:23">
      <c r="A976" s="4" t="s">
        <v>1972</v>
      </c>
      <c r="B976" s="5">
        <v>45889</v>
      </c>
      <c r="C976" s="4" t="s">
        <v>222</v>
      </c>
      <c r="D976" s="4" t="s">
        <v>37</v>
      </c>
      <c r="E976" s="4" t="s">
        <v>659</v>
      </c>
      <c r="F976" s="4" t="s">
        <v>941</v>
      </c>
      <c r="G976" s="4" t="s">
        <v>810</v>
      </c>
      <c r="H976" s="4">
        <v>2</v>
      </c>
      <c r="I976" s="7">
        <v>0</v>
      </c>
      <c r="J976" s="6">
        <v>942</v>
      </c>
      <c r="K976" s="4">
        <v>4</v>
      </c>
      <c r="L976" s="8">
        <f t="shared" si="15"/>
        <v>3.9</v>
      </c>
      <c r="M976" s="6" t="str">
        <f>_xlfn.XLOOKUP(FactSales[[#This Row],[Product_ID]],DimProduct[Product_ID],DimProduct[Product_Name])</f>
        <v>Flour 2kg</v>
      </c>
      <c r="N976" s="6" t="str">
        <f>_xlfn.XLOOKUP(FactSales[[#This Row],[Product_ID]],DimProduct[Product_ID],DimProduct[Category])</f>
        <v>Grocery</v>
      </c>
      <c r="O976" s="6">
        <f>_xlfn.XLOOKUP(FactSales[[#This Row],[Product_ID]],DimProduct[Product_ID],DimProduct[Unit_Price])</f>
        <v>440</v>
      </c>
      <c r="P976" s="6">
        <f>_xlfn.XLOOKUP(FactSales[[#This Row],[Product_ID]],DimProduct[Product_ID],DimProduct[Unit_Cost])</f>
        <v>340</v>
      </c>
      <c r="Q976" s="6">
        <f>FactSales[[#This Row],[Unit_Price]]*FactSales[[#This Row],[Quantity_Sold]]</f>
        <v>880</v>
      </c>
      <c r="R976" s="6">
        <f>FactSales[[#This Row],[Unit_Cost]]*FactSales[[#This Row],[Quantity_Sold]]</f>
        <v>680</v>
      </c>
      <c r="S976" s="6">
        <f>FactSales[[#This Row],[Sales_Amount]]-FactSales[[#This Row],[Total_Cost]]</f>
        <v>200</v>
      </c>
      <c r="T976" s="6" t="str">
        <f>_xlfn.XLOOKUP(FactSales[[#This Row],[Customer_ID]],DimCustomer[Customer_ID],DimCustomer[Customer_Name])</f>
        <v>Farhana Khan</v>
      </c>
      <c r="U976" s="6" t="str">
        <f>_xlfn.XLOOKUP(FactSales[[#This Row],[Salesperson_ID]],DimSalesman[Salesperson_ID],DimSalesman[Salesperson_Name])</f>
        <v>Rumana Rahman</v>
      </c>
      <c r="V976" s="6" t="str">
        <f>_xlfn.XLOOKUP(FactSales[[#This Row],[Region_ID]],DimRegion[Region_ID],DimRegion[Region_Name])</f>
        <v>Sylhet</v>
      </c>
      <c r="W976" s="6" t="str">
        <f>_xlfn.XLOOKUP(FactSales[[#This Row],[Store_ID]],DimStore[Store_ID],DimStore[Store_Name])</f>
        <v>Sylhet South Surma Store</v>
      </c>
    </row>
    <row r="977" spans="1:23">
      <c r="A977" s="4" t="s">
        <v>1973</v>
      </c>
      <c r="B977" s="5">
        <v>46070</v>
      </c>
      <c r="C977" s="4" t="s">
        <v>533</v>
      </c>
      <c r="D977" s="4" t="s">
        <v>57</v>
      </c>
      <c r="E977" s="4" t="s">
        <v>719</v>
      </c>
      <c r="F977" s="4" t="s">
        <v>972</v>
      </c>
      <c r="G977" s="4" t="s">
        <v>825</v>
      </c>
      <c r="H977" s="4">
        <v>6</v>
      </c>
      <c r="I977" s="7">
        <v>0.12</v>
      </c>
      <c r="J977" s="6">
        <v>8004</v>
      </c>
      <c r="K977" s="4">
        <v>5</v>
      </c>
      <c r="L977" s="8">
        <f t="shared" si="15"/>
        <v>3.3</v>
      </c>
      <c r="M977" s="6" t="str">
        <f>_xlfn.XLOOKUP(FactSales[[#This Row],[Product_ID]],DimProduct[Product_ID],DimProduct[Product_Name])</f>
        <v>Body Lotion</v>
      </c>
      <c r="N977" s="6" t="str">
        <f>_xlfn.XLOOKUP(FactSales[[#This Row],[Product_ID]],DimProduct[Product_ID],DimProduct[Category])</f>
        <v>Beauty &amp; Personal Care</v>
      </c>
      <c r="O977" s="6">
        <f>_xlfn.XLOOKUP(FactSales[[#This Row],[Product_ID]],DimProduct[Product_ID],DimProduct[Unit_Price])</f>
        <v>1160</v>
      </c>
      <c r="P977" s="6">
        <f>_xlfn.XLOOKUP(FactSales[[#This Row],[Product_ID]],DimProduct[Product_ID],DimProduct[Unit_Cost])</f>
        <v>670</v>
      </c>
      <c r="Q977" s="6">
        <f>FactSales[[#This Row],[Unit_Price]]*FactSales[[#This Row],[Quantity_Sold]]</f>
        <v>6960</v>
      </c>
      <c r="R977" s="6">
        <f>FactSales[[#This Row],[Unit_Cost]]*FactSales[[#This Row],[Quantity_Sold]]</f>
        <v>4020</v>
      </c>
      <c r="S977" s="6">
        <f>FactSales[[#This Row],[Sales_Amount]]-FactSales[[#This Row],[Total_Cost]]</f>
        <v>2940</v>
      </c>
      <c r="T977" s="6" t="str">
        <f>_xlfn.XLOOKUP(FactSales[[#This Row],[Customer_ID]],DimCustomer[Customer_ID],DimCustomer[Customer_Name])</f>
        <v>Tania Mia</v>
      </c>
      <c r="U977" s="6" t="str">
        <f>_xlfn.XLOOKUP(FactSales[[#This Row],[Salesperson_ID]],DimSalesman[Salesperson_ID],DimSalesman[Salesperson_Name])</f>
        <v>Samiha Hossain</v>
      </c>
      <c r="V977" s="6" t="str">
        <f>_xlfn.XLOOKUP(FactSales[[#This Row],[Region_ID]],DimRegion[Region_ID],DimRegion[Region_Name])</f>
        <v>Rangpur</v>
      </c>
      <c r="W977" s="6" t="str">
        <f>_xlfn.XLOOKUP(FactSales[[#This Row],[Store_ID]],DimStore[Store_ID],DimStore[Store_Name])</f>
        <v>Rangpur Modern More Store</v>
      </c>
    </row>
    <row r="978" spans="1:23">
      <c r="A978" s="4" t="s">
        <v>1974</v>
      </c>
      <c r="B978" s="5">
        <v>45879</v>
      </c>
      <c r="C978" s="4" t="s">
        <v>292</v>
      </c>
      <c r="D978" s="4" t="s">
        <v>42</v>
      </c>
      <c r="E978" s="4" t="s">
        <v>680</v>
      </c>
      <c r="F978" s="4" t="s">
        <v>944</v>
      </c>
      <c r="G978" s="4" t="s">
        <v>755</v>
      </c>
      <c r="H978" s="4">
        <v>2</v>
      </c>
      <c r="I978" s="7">
        <v>0.12</v>
      </c>
      <c r="J978" s="6">
        <v>7214</v>
      </c>
      <c r="K978" s="4">
        <v>3</v>
      </c>
      <c r="L978" s="8">
        <f t="shared" si="15"/>
        <v>4</v>
      </c>
      <c r="M978" s="6" t="str">
        <f>_xlfn.XLOOKUP(FactSales[[#This Row],[Product_ID]],DimProduct[Product_ID],DimProduct[Product_Name])</f>
        <v>Wireless Mouse</v>
      </c>
      <c r="N978" s="6" t="str">
        <f>_xlfn.XLOOKUP(FactSales[[#This Row],[Product_ID]],DimProduct[Product_ID],DimProduct[Category])</f>
        <v>Electronics</v>
      </c>
      <c r="O978" s="6">
        <f>_xlfn.XLOOKUP(FactSales[[#This Row],[Product_ID]],DimProduct[Product_ID],DimProduct[Unit_Price])</f>
        <v>3340</v>
      </c>
      <c r="P978" s="6">
        <f>_xlfn.XLOOKUP(FactSales[[#This Row],[Product_ID]],DimProduct[Product_ID],DimProduct[Unit_Cost])</f>
        <v>2270</v>
      </c>
      <c r="Q978" s="6">
        <f>FactSales[[#This Row],[Unit_Price]]*FactSales[[#This Row],[Quantity_Sold]]</f>
        <v>6680</v>
      </c>
      <c r="R978" s="6">
        <f>FactSales[[#This Row],[Unit_Cost]]*FactSales[[#This Row],[Quantity_Sold]]</f>
        <v>4540</v>
      </c>
      <c r="S978" s="6">
        <f>FactSales[[#This Row],[Sales_Amount]]-FactSales[[#This Row],[Total_Cost]]</f>
        <v>2140</v>
      </c>
      <c r="T978" s="6" t="str">
        <f>_xlfn.XLOOKUP(FactSales[[#This Row],[Customer_ID]],DimCustomer[Customer_ID],DimCustomer[Customer_Name])</f>
        <v>Morshed Rahman</v>
      </c>
      <c r="U978" s="6" t="str">
        <f>_xlfn.XLOOKUP(FactSales[[#This Row],[Salesperson_ID]],DimSalesman[Salesperson_ID],DimSalesman[Salesperson_Name])</f>
        <v>Karim Khan</v>
      </c>
      <c r="V978" s="6" t="str">
        <f>_xlfn.XLOOKUP(FactSales[[#This Row],[Region_ID]],DimRegion[Region_ID],DimRegion[Region_Name])</f>
        <v>Rajshahi</v>
      </c>
      <c r="W978" s="6" t="str">
        <f>_xlfn.XLOOKUP(FactSales[[#This Row],[Store_ID]],DimStore[Store_ID],DimStore[Store_Name])</f>
        <v>Rajshahi Lakshmipur Store</v>
      </c>
    </row>
    <row r="979" spans="1:23">
      <c r="A979" s="4" t="s">
        <v>1975</v>
      </c>
      <c r="B979" s="5">
        <v>46142</v>
      </c>
      <c r="C979" s="4" t="s">
        <v>513</v>
      </c>
      <c r="D979" s="4" t="s">
        <v>57</v>
      </c>
      <c r="E979" s="4" t="s">
        <v>725</v>
      </c>
      <c r="F979" s="4" t="s">
        <v>976</v>
      </c>
      <c r="G979" s="4" t="s">
        <v>821</v>
      </c>
      <c r="H979" s="4">
        <v>1</v>
      </c>
      <c r="I979" s="7">
        <v>0.05</v>
      </c>
      <c r="J979" s="6">
        <v>1909</v>
      </c>
      <c r="K979" s="4">
        <v>6</v>
      </c>
      <c r="L979" s="8">
        <f t="shared" si="15"/>
        <v>3.2</v>
      </c>
      <c r="M979" s="6" t="str">
        <f>_xlfn.XLOOKUP(FactSales[[#This Row],[Product_ID]],DimProduct[Product_ID],DimProduct[Product_Name])</f>
        <v>Shampoo 375ml</v>
      </c>
      <c r="N979" s="6" t="str">
        <f>_xlfn.XLOOKUP(FactSales[[#This Row],[Product_ID]],DimProduct[Product_ID],DimProduct[Category])</f>
        <v>Beauty &amp; Personal Care</v>
      </c>
      <c r="O979" s="6">
        <f>_xlfn.XLOOKUP(FactSales[[#This Row],[Product_ID]],DimProduct[Product_ID],DimProduct[Unit_Price])</f>
        <v>1660</v>
      </c>
      <c r="P979" s="6">
        <f>_xlfn.XLOOKUP(FactSales[[#This Row],[Product_ID]],DimProduct[Product_ID],DimProduct[Unit_Cost])</f>
        <v>960</v>
      </c>
      <c r="Q979" s="6">
        <f>FactSales[[#This Row],[Unit_Price]]*FactSales[[#This Row],[Quantity_Sold]]</f>
        <v>1660</v>
      </c>
      <c r="R979" s="6">
        <f>FactSales[[#This Row],[Unit_Cost]]*FactSales[[#This Row],[Quantity_Sold]]</f>
        <v>960</v>
      </c>
      <c r="S979" s="6">
        <f>FactSales[[#This Row],[Sales_Amount]]-FactSales[[#This Row],[Total_Cost]]</f>
        <v>700</v>
      </c>
      <c r="T979" s="6" t="str">
        <f>_xlfn.XLOOKUP(FactSales[[#This Row],[Customer_ID]],DimCustomer[Customer_ID],DimCustomer[Customer_Name])</f>
        <v>Arif Akter</v>
      </c>
      <c r="U979" s="6" t="str">
        <f>_xlfn.XLOOKUP(FactSales[[#This Row],[Salesperson_ID]],DimSalesman[Salesperson_ID],DimSalesman[Salesperson_Name])</f>
        <v>Nayeem Rahman</v>
      </c>
      <c r="V979" s="6" t="str">
        <f>_xlfn.XLOOKUP(FactSales[[#This Row],[Region_ID]],DimRegion[Region_ID],DimRegion[Region_Name])</f>
        <v>Rangpur</v>
      </c>
      <c r="W979" s="6" t="str">
        <f>_xlfn.XLOOKUP(FactSales[[#This Row],[Store_ID]],DimStore[Store_ID],DimStore[Store_Name])</f>
        <v>Rangpur Central Road Store</v>
      </c>
    </row>
    <row r="980" spans="1:23">
      <c r="A980" s="4" t="s">
        <v>1976</v>
      </c>
      <c r="B980" s="5">
        <v>46144</v>
      </c>
      <c r="C980" s="4" t="s">
        <v>292</v>
      </c>
      <c r="D980" s="4" t="s">
        <v>42</v>
      </c>
      <c r="E980" s="4" t="s">
        <v>680</v>
      </c>
      <c r="F980" s="4" t="s">
        <v>944</v>
      </c>
      <c r="G980" s="4" t="s">
        <v>758</v>
      </c>
      <c r="H980" s="4">
        <v>5</v>
      </c>
      <c r="I980" s="7">
        <v>0.12</v>
      </c>
      <c r="J980" s="6">
        <v>15336</v>
      </c>
      <c r="K980" s="4">
        <v>8</v>
      </c>
      <c r="L980" s="8">
        <f t="shared" si="15"/>
        <v>2.4</v>
      </c>
      <c r="M980" s="6" t="str">
        <f>_xlfn.XLOOKUP(FactSales[[#This Row],[Product_ID]],DimProduct[Product_ID],DimProduct[Product_Name])</f>
        <v>Power Bank</v>
      </c>
      <c r="N980" s="6" t="str">
        <f>_xlfn.XLOOKUP(FactSales[[#This Row],[Product_ID]],DimProduct[Product_ID],DimProduct[Category])</f>
        <v>Electronics</v>
      </c>
      <c r="O980" s="6">
        <f>_xlfn.XLOOKUP(FactSales[[#This Row],[Product_ID]],DimProduct[Product_ID],DimProduct[Unit_Price])</f>
        <v>2840</v>
      </c>
      <c r="P980" s="6">
        <f>_xlfn.XLOOKUP(FactSales[[#This Row],[Product_ID]],DimProduct[Product_ID],DimProduct[Unit_Cost])</f>
        <v>1930</v>
      </c>
      <c r="Q980" s="6">
        <f>FactSales[[#This Row],[Unit_Price]]*FactSales[[#This Row],[Quantity_Sold]]</f>
        <v>14200</v>
      </c>
      <c r="R980" s="6">
        <f>FactSales[[#This Row],[Unit_Cost]]*FactSales[[#This Row],[Quantity_Sold]]</f>
        <v>9650</v>
      </c>
      <c r="S980" s="6">
        <f>FactSales[[#This Row],[Sales_Amount]]-FactSales[[#This Row],[Total_Cost]]</f>
        <v>4550</v>
      </c>
      <c r="T980" s="6" t="str">
        <f>_xlfn.XLOOKUP(FactSales[[#This Row],[Customer_ID]],DimCustomer[Customer_ID],DimCustomer[Customer_Name])</f>
        <v>Morshed Rahman</v>
      </c>
      <c r="U980" s="6" t="str">
        <f>_xlfn.XLOOKUP(FactSales[[#This Row],[Salesperson_ID]],DimSalesman[Salesperson_ID],DimSalesman[Salesperson_Name])</f>
        <v>Karim Khan</v>
      </c>
      <c r="V980" s="6" t="str">
        <f>_xlfn.XLOOKUP(FactSales[[#This Row],[Region_ID]],DimRegion[Region_ID],DimRegion[Region_Name])</f>
        <v>Rajshahi</v>
      </c>
      <c r="W980" s="6" t="str">
        <f>_xlfn.XLOOKUP(FactSales[[#This Row],[Store_ID]],DimStore[Store_ID],DimStore[Store_Name])</f>
        <v>Rajshahi Lakshmipur Store</v>
      </c>
    </row>
    <row r="981" spans="1:23">
      <c r="A981" s="4" t="s">
        <v>1977</v>
      </c>
      <c r="B981" s="5">
        <v>45992</v>
      </c>
      <c r="C981" s="4" t="s">
        <v>261</v>
      </c>
      <c r="D981" s="4" t="s">
        <v>37</v>
      </c>
      <c r="E981" s="4" t="s">
        <v>662</v>
      </c>
      <c r="F981" s="4" t="s">
        <v>938</v>
      </c>
      <c r="G981" s="4" t="s">
        <v>834</v>
      </c>
      <c r="H981" s="4">
        <v>2</v>
      </c>
      <c r="I981" s="7">
        <v>0.05</v>
      </c>
      <c r="J981" s="6">
        <v>7511</v>
      </c>
      <c r="K981" s="4">
        <v>5</v>
      </c>
      <c r="L981" s="8">
        <f t="shared" si="15"/>
        <v>3.5</v>
      </c>
      <c r="M981" s="6" t="str">
        <f>_xlfn.XLOOKUP(FactSales[[#This Row],[Product_ID]],DimProduct[Product_ID],DimProduct[Product_Name])</f>
        <v>Running Shoe</v>
      </c>
      <c r="N981" s="6" t="str">
        <f>_xlfn.XLOOKUP(FactSales[[#This Row],[Product_ID]],DimProduct[Product_ID],DimProduct[Category])</f>
        <v>Footwear</v>
      </c>
      <c r="O981" s="6">
        <f>_xlfn.XLOOKUP(FactSales[[#This Row],[Product_ID]],DimProduct[Product_ID],DimProduct[Unit_Price])</f>
        <v>3510</v>
      </c>
      <c r="P981" s="6">
        <f>_xlfn.XLOOKUP(FactSales[[#This Row],[Product_ID]],DimProduct[Product_ID],DimProduct[Unit_Cost])</f>
        <v>2110</v>
      </c>
      <c r="Q981" s="6">
        <f>FactSales[[#This Row],[Unit_Price]]*FactSales[[#This Row],[Quantity_Sold]]</f>
        <v>7020</v>
      </c>
      <c r="R981" s="6">
        <f>FactSales[[#This Row],[Unit_Cost]]*FactSales[[#This Row],[Quantity_Sold]]</f>
        <v>4220</v>
      </c>
      <c r="S981" s="6">
        <f>FactSales[[#This Row],[Sales_Amount]]-FactSales[[#This Row],[Total_Cost]]</f>
        <v>2800</v>
      </c>
      <c r="T981" s="6" t="str">
        <f>_xlfn.XLOOKUP(FactSales[[#This Row],[Customer_ID]],DimCustomer[Customer_ID],DimCustomer[Customer_Name])</f>
        <v>Tania Sultana</v>
      </c>
      <c r="U981" s="6" t="str">
        <f>_xlfn.XLOOKUP(FactSales[[#This Row],[Salesperson_ID]],DimSalesman[Salesperson_ID],DimSalesman[Salesperson_Name])</f>
        <v>Rasel Akter</v>
      </c>
      <c r="V981" s="6" t="str">
        <f>_xlfn.XLOOKUP(FactSales[[#This Row],[Region_ID]],DimRegion[Region_ID],DimRegion[Region_Name])</f>
        <v>Sylhet</v>
      </c>
      <c r="W981" s="6" t="str">
        <f>_xlfn.XLOOKUP(FactSales[[#This Row],[Store_ID]],DimStore[Store_ID],DimStore[Store_Name])</f>
        <v>Sylhet Subidbazar Store</v>
      </c>
    </row>
    <row r="982" spans="1:23">
      <c r="A982" s="4" t="s">
        <v>1978</v>
      </c>
      <c r="B982" s="5">
        <v>45977</v>
      </c>
      <c r="C982" s="4" t="s">
        <v>518</v>
      </c>
      <c r="D982" s="4" t="s">
        <v>57</v>
      </c>
      <c r="E982" s="4" t="s">
        <v>722</v>
      </c>
      <c r="F982" s="4" t="s">
        <v>977</v>
      </c>
      <c r="G982" s="4" t="s">
        <v>790</v>
      </c>
      <c r="H982" s="4">
        <v>5</v>
      </c>
      <c r="I982" s="7">
        <v>7.0000000000000007E-2</v>
      </c>
      <c r="J982" s="6">
        <v>11442</v>
      </c>
      <c r="K982" s="4">
        <v>2</v>
      </c>
      <c r="L982" s="8">
        <f t="shared" si="15"/>
        <v>4.4000000000000004</v>
      </c>
      <c r="M982" s="6" t="str">
        <f>_xlfn.XLOOKUP(FactSales[[#This Row],[Product_ID]],DimProduct[Product_ID],DimProduct[Product_Name])</f>
        <v>Women Kurti</v>
      </c>
      <c r="N982" s="6" t="str">
        <f>_xlfn.XLOOKUP(FactSales[[#This Row],[Product_ID]],DimProduct[Product_ID],DimProduct[Category])</f>
        <v>Fashion</v>
      </c>
      <c r="O982" s="6">
        <f>_xlfn.XLOOKUP(FactSales[[#This Row],[Product_ID]],DimProduct[Product_ID],DimProduct[Unit_Price])</f>
        <v>1990</v>
      </c>
      <c r="P982" s="6">
        <f>_xlfn.XLOOKUP(FactSales[[#This Row],[Product_ID]],DimProduct[Product_ID],DimProduct[Unit_Cost])</f>
        <v>1090</v>
      </c>
      <c r="Q982" s="6">
        <f>FactSales[[#This Row],[Unit_Price]]*FactSales[[#This Row],[Quantity_Sold]]</f>
        <v>9950</v>
      </c>
      <c r="R982" s="6">
        <f>FactSales[[#This Row],[Unit_Cost]]*FactSales[[#This Row],[Quantity_Sold]]</f>
        <v>5450</v>
      </c>
      <c r="S982" s="6">
        <f>FactSales[[#This Row],[Sales_Amount]]-FactSales[[#This Row],[Total_Cost]]</f>
        <v>4500</v>
      </c>
      <c r="T982" s="6" t="str">
        <f>_xlfn.XLOOKUP(FactSales[[#This Row],[Customer_ID]],DimCustomer[Customer_ID],DimCustomer[Customer_Name])</f>
        <v>Arif Rahman</v>
      </c>
      <c r="U982" s="6" t="str">
        <f>_xlfn.XLOOKUP(FactSales[[#This Row],[Salesperson_ID]],DimSalesman[Salesperson_ID],DimSalesman[Salesperson_Name])</f>
        <v>Tania Hossain</v>
      </c>
      <c r="V982" s="6" t="str">
        <f>_xlfn.XLOOKUP(FactSales[[#This Row],[Region_ID]],DimRegion[Region_ID],DimRegion[Region_Name])</f>
        <v>Rangpur</v>
      </c>
      <c r="W982" s="6" t="str">
        <f>_xlfn.XLOOKUP(FactSales[[#This Row],[Store_ID]],DimStore[Store_ID],DimStore[Store_Name])</f>
        <v>Rangpur Dhap Store</v>
      </c>
    </row>
    <row r="983" spans="1:23">
      <c r="A983" s="4" t="s">
        <v>1979</v>
      </c>
      <c r="B983" s="5">
        <v>46105</v>
      </c>
      <c r="C983" s="4" t="s">
        <v>299</v>
      </c>
      <c r="D983" s="4" t="s">
        <v>42</v>
      </c>
      <c r="E983" s="4" t="s">
        <v>674</v>
      </c>
      <c r="F983" s="4" t="s">
        <v>950</v>
      </c>
      <c r="G983" s="4" t="s">
        <v>758</v>
      </c>
      <c r="H983" s="4">
        <v>4</v>
      </c>
      <c r="I983" s="7">
        <v>0.12</v>
      </c>
      <c r="J983" s="6">
        <v>12269</v>
      </c>
      <c r="K983" s="4">
        <v>3</v>
      </c>
      <c r="L983" s="8">
        <f t="shared" si="15"/>
        <v>4</v>
      </c>
      <c r="M983" s="6" t="str">
        <f>_xlfn.XLOOKUP(FactSales[[#This Row],[Product_ID]],DimProduct[Product_ID],DimProduct[Product_Name])</f>
        <v>Power Bank</v>
      </c>
      <c r="N983" s="6" t="str">
        <f>_xlfn.XLOOKUP(FactSales[[#This Row],[Product_ID]],DimProduct[Product_ID],DimProduct[Category])</f>
        <v>Electronics</v>
      </c>
      <c r="O983" s="6">
        <f>_xlfn.XLOOKUP(FactSales[[#This Row],[Product_ID]],DimProduct[Product_ID],DimProduct[Unit_Price])</f>
        <v>2840</v>
      </c>
      <c r="P983" s="6">
        <f>_xlfn.XLOOKUP(FactSales[[#This Row],[Product_ID]],DimProduct[Product_ID],DimProduct[Unit_Cost])</f>
        <v>1930</v>
      </c>
      <c r="Q983" s="6">
        <f>FactSales[[#This Row],[Unit_Price]]*FactSales[[#This Row],[Quantity_Sold]]</f>
        <v>11360</v>
      </c>
      <c r="R983" s="6">
        <f>FactSales[[#This Row],[Unit_Cost]]*FactSales[[#This Row],[Quantity_Sold]]</f>
        <v>7720</v>
      </c>
      <c r="S983" s="6">
        <f>FactSales[[#This Row],[Sales_Amount]]-FactSales[[#This Row],[Total_Cost]]</f>
        <v>3640</v>
      </c>
      <c r="T983" s="6" t="str">
        <f>_xlfn.XLOOKUP(FactSales[[#This Row],[Customer_ID]],DimCustomer[Customer_ID],DimCustomer[Customer_Name])</f>
        <v>Samiha Ahmed</v>
      </c>
      <c r="U983" s="6" t="str">
        <f>_xlfn.XLOOKUP(FactSales[[#This Row],[Salesperson_ID]],DimSalesman[Salesperson_ID],DimSalesman[Salesperson_Name])</f>
        <v>Mim Rahman</v>
      </c>
      <c r="V983" s="6" t="str">
        <f>_xlfn.XLOOKUP(FactSales[[#This Row],[Region_ID]],DimRegion[Region_ID],DimRegion[Region_Name])</f>
        <v>Rajshahi</v>
      </c>
      <c r="W983" s="6" t="str">
        <f>_xlfn.XLOOKUP(FactSales[[#This Row],[Store_ID]],DimStore[Store_ID],DimStore[Store_Name])</f>
        <v>Rajshahi Uposhohor Store</v>
      </c>
    </row>
    <row r="984" spans="1:23">
      <c r="A984" s="4" t="s">
        <v>1980</v>
      </c>
      <c r="B984" s="5">
        <v>45683</v>
      </c>
      <c r="C984" s="4" t="s">
        <v>197</v>
      </c>
      <c r="D984" s="4" t="s">
        <v>32</v>
      </c>
      <c r="E984" s="4" t="s">
        <v>647</v>
      </c>
      <c r="F984" s="4" t="s">
        <v>931</v>
      </c>
      <c r="G984" s="4" t="s">
        <v>775</v>
      </c>
      <c r="H984" s="4">
        <v>5</v>
      </c>
      <c r="I984" s="7">
        <v>0.15</v>
      </c>
      <c r="J984" s="6">
        <v>13851</v>
      </c>
      <c r="K984" s="4">
        <v>7</v>
      </c>
      <c r="L984" s="8">
        <f t="shared" si="15"/>
        <v>2.6</v>
      </c>
      <c r="M984" s="6" t="str">
        <f>_xlfn.XLOOKUP(FactSales[[#This Row],[Product_ID]],DimProduct[Product_ID],DimProduct[Product_Name])</f>
        <v>Blender Machine</v>
      </c>
      <c r="N984" s="6" t="str">
        <f>_xlfn.XLOOKUP(FactSales[[#This Row],[Product_ID]],DimProduct[Product_ID],DimProduct[Category])</f>
        <v>Home Appliance</v>
      </c>
      <c r="O984" s="6">
        <f>_xlfn.XLOOKUP(FactSales[[#This Row],[Product_ID]],DimProduct[Product_ID],DimProduct[Unit_Price])</f>
        <v>2430</v>
      </c>
      <c r="P984" s="6">
        <f>_xlfn.XLOOKUP(FactSales[[#This Row],[Product_ID]],DimProduct[Product_ID],DimProduct[Unit_Cost])</f>
        <v>1700</v>
      </c>
      <c r="Q984" s="6">
        <f>FactSales[[#This Row],[Unit_Price]]*FactSales[[#This Row],[Quantity_Sold]]</f>
        <v>12150</v>
      </c>
      <c r="R984" s="6">
        <f>FactSales[[#This Row],[Unit_Cost]]*FactSales[[#This Row],[Quantity_Sold]]</f>
        <v>8500</v>
      </c>
      <c r="S984" s="6">
        <f>FactSales[[#This Row],[Sales_Amount]]-FactSales[[#This Row],[Total_Cost]]</f>
        <v>3650</v>
      </c>
      <c r="T984" s="6" t="str">
        <f>_xlfn.XLOOKUP(FactSales[[#This Row],[Customer_ID]],DimCustomer[Customer_ID],DimCustomer[Customer_Name])</f>
        <v>Arif Hossain</v>
      </c>
      <c r="U984" s="6" t="str">
        <f>_xlfn.XLOOKUP(FactSales[[#This Row],[Salesperson_ID]],DimSalesman[Salesperson_ID],DimSalesman[Salesperson_Name])</f>
        <v>Sadia Islam</v>
      </c>
      <c r="V984" s="6" t="str">
        <f>_xlfn.XLOOKUP(FactSales[[#This Row],[Region_ID]],DimRegion[Region_ID],DimRegion[Region_Name])</f>
        <v>Chattogram</v>
      </c>
      <c r="W984" s="6" t="str">
        <f>_xlfn.XLOOKUP(FactSales[[#This Row],[Store_ID]],DimStore[Store_ID],DimStore[Store_Name])</f>
        <v>Chattogram Nasirabad Store</v>
      </c>
    </row>
    <row r="985" spans="1:23">
      <c r="A985" s="4" t="s">
        <v>1981</v>
      </c>
      <c r="B985" s="5">
        <v>45853</v>
      </c>
      <c r="C985" s="4" t="s">
        <v>503</v>
      </c>
      <c r="D985" s="4" t="s">
        <v>57</v>
      </c>
      <c r="E985" s="4" t="s">
        <v>725</v>
      </c>
      <c r="F985" s="4" t="s">
        <v>976</v>
      </c>
      <c r="G985" s="4" t="s">
        <v>882</v>
      </c>
      <c r="H985" s="4">
        <v>2</v>
      </c>
      <c r="I985" s="7">
        <v>0.05</v>
      </c>
      <c r="J985" s="6">
        <v>4186</v>
      </c>
      <c r="K985" s="4">
        <v>4</v>
      </c>
      <c r="L985" s="8">
        <f t="shared" si="15"/>
        <v>3.8</v>
      </c>
      <c r="M985" s="6" t="str">
        <f>_xlfn.XLOOKUP(FactSales[[#This Row],[Product_ID]],DimProduct[Product_ID],DimProduct[Product_Name])</f>
        <v>Toy Car Set</v>
      </c>
      <c r="N985" s="6" t="str">
        <f>_xlfn.XLOOKUP(FactSales[[#This Row],[Product_ID]],DimProduct[Product_ID],DimProduct[Category])</f>
        <v>Kids &amp; Toys</v>
      </c>
      <c r="O985" s="6">
        <f>_xlfn.XLOOKUP(FactSales[[#This Row],[Product_ID]],DimProduct[Product_ID],DimProduct[Unit_Price])</f>
        <v>1820</v>
      </c>
      <c r="P985" s="6">
        <f>_xlfn.XLOOKUP(FactSales[[#This Row],[Product_ID]],DimProduct[Product_ID],DimProduct[Unit_Cost])</f>
        <v>1000</v>
      </c>
      <c r="Q985" s="6">
        <f>FactSales[[#This Row],[Unit_Price]]*FactSales[[#This Row],[Quantity_Sold]]</f>
        <v>3640</v>
      </c>
      <c r="R985" s="6">
        <f>FactSales[[#This Row],[Unit_Cost]]*FactSales[[#This Row],[Quantity_Sold]]</f>
        <v>2000</v>
      </c>
      <c r="S985" s="6">
        <f>FactSales[[#This Row],[Sales_Amount]]-FactSales[[#This Row],[Total_Cost]]</f>
        <v>1640</v>
      </c>
      <c r="T985" s="6" t="str">
        <f>_xlfn.XLOOKUP(FactSales[[#This Row],[Customer_ID]],DimCustomer[Customer_ID],DimCustomer[Customer_Name])</f>
        <v>Hasan Rahman</v>
      </c>
      <c r="U985" s="6" t="str">
        <f>_xlfn.XLOOKUP(FactSales[[#This Row],[Salesperson_ID]],DimSalesman[Salesperson_ID],DimSalesman[Salesperson_Name])</f>
        <v>Nayeem Rahman</v>
      </c>
      <c r="V985" s="6" t="str">
        <f>_xlfn.XLOOKUP(FactSales[[#This Row],[Region_ID]],DimRegion[Region_ID],DimRegion[Region_Name])</f>
        <v>Rangpur</v>
      </c>
      <c r="W985" s="6" t="str">
        <f>_xlfn.XLOOKUP(FactSales[[#This Row],[Store_ID]],DimStore[Store_ID],DimStore[Store_Name])</f>
        <v>Rangpur Central Road Store</v>
      </c>
    </row>
    <row r="986" spans="1:23">
      <c r="A986" s="4" t="s">
        <v>1982</v>
      </c>
      <c r="B986" s="5">
        <v>45663</v>
      </c>
      <c r="C986" s="4" t="s">
        <v>92</v>
      </c>
      <c r="D986" s="4" t="s">
        <v>27</v>
      </c>
      <c r="E986" s="4" t="s">
        <v>630</v>
      </c>
      <c r="F986" s="4" t="s">
        <v>916</v>
      </c>
      <c r="G986" s="4" t="s">
        <v>800</v>
      </c>
      <c r="H986" s="4">
        <v>3</v>
      </c>
      <c r="I986" s="7">
        <v>0.03</v>
      </c>
      <c r="J986" s="6">
        <v>3530</v>
      </c>
      <c r="K986" s="4">
        <v>3</v>
      </c>
      <c r="L986" s="8">
        <f t="shared" si="15"/>
        <v>4.2</v>
      </c>
      <c r="M986" s="6" t="str">
        <f>_xlfn.XLOOKUP(FactSales[[#This Row],[Product_ID]],DimProduct[Product_ID],DimProduct[Product_Name])</f>
        <v>Premium Rice 5kg</v>
      </c>
      <c r="N986" s="6" t="str">
        <f>_xlfn.XLOOKUP(FactSales[[#This Row],[Product_ID]],DimProduct[Product_ID],DimProduct[Category])</f>
        <v>Grocery</v>
      </c>
      <c r="O986" s="6">
        <f>_xlfn.XLOOKUP(FactSales[[#This Row],[Product_ID]],DimProduct[Product_ID],DimProduct[Unit_Price])</f>
        <v>1110</v>
      </c>
      <c r="P986" s="6">
        <f>_xlfn.XLOOKUP(FactSales[[#This Row],[Product_ID]],DimProduct[Product_ID],DimProduct[Unit_Cost])</f>
        <v>870</v>
      </c>
      <c r="Q986" s="6">
        <f>FactSales[[#This Row],[Unit_Price]]*FactSales[[#This Row],[Quantity_Sold]]</f>
        <v>3330</v>
      </c>
      <c r="R986" s="6">
        <f>FactSales[[#This Row],[Unit_Cost]]*FactSales[[#This Row],[Quantity_Sold]]</f>
        <v>2610</v>
      </c>
      <c r="S986" s="6">
        <f>FactSales[[#This Row],[Sales_Amount]]-FactSales[[#This Row],[Total_Cost]]</f>
        <v>720</v>
      </c>
      <c r="T986" s="6" t="str">
        <f>_xlfn.XLOOKUP(FactSales[[#This Row],[Customer_ID]],DimCustomer[Customer_ID],DimCustomer[Customer_Name])</f>
        <v>Shamim Hossain</v>
      </c>
      <c r="U986" s="6" t="str">
        <f>_xlfn.XLOOKUP(FactSales[[#This Row],[Salesperson_ID]],DimSalesman[Salesperson_ID],DimSalesman[Salesperson_Name])</f>
        <v>Rafi Islam</v>
      </c>
      <c r="V986" s="6" t="str">
        <f>_xlfn.XLOOKUP(FactSales[[#This Row],[Region_ID]],DimRegion[Region_ID],DimRegion[Region_Name])</f>
        <v>Dhaka</v>
      </c>
      <c r="W986" s="6" t="str">
        <f>_xlfn.XLOOKUP(FactSales[[#This Row],[Store_ID]],DimStore[Store_ID],DimStore[Store_Name])</f>
        <v>Dhaka Uttara Store</v>
      </c>
    </row>
    <row r="987" spans="1:23">
      <c r="A987" s="4" t="s">
        <v>1983</v>
      </c>
      <c r="B987" s="5">
        <v>45939</v>
      </c>
      <c r="C987" s="4" t="s">
        <v>401</v>
      </c>
      <c r="D987" s="4" t="s">
        <v>47</v>
      </c>
      <c r="E987" s="4" t="s">
        <v>683</v>
      </c>
      <c r="F987" s="4" t="s">
        <v>956</v>
      </c>
      <c r="G987" s="4" t="s">
        <v>765</v>
      </c>
      <c r="H987" s="4">
        <v>3</v>
      </c>
      <c r="I987" s="7">
        <v>0.15</v>
      </c>
      <c r="J987" s="6">
        <v>15990</v>
      </c>
      <c r="K987" s="4">
        <v>4</v>
      </c>
      <c r="L987" s="8">
        <f t="shared" si="15"/>
        <v>3.6</v>
      </c>
      <c r="M987" s="6" t="str">
        <f>_xlfn.XLOOKUP(FactSales[[#This Row],[Product_ID]],DimProduct[Product_ID],DimProduct[Product_Name])</f>
        <v>USB-C Hub</v>
      </c>
      <c r="N987" s="6" t="str">
        <f>_xlfn.XLOOKUP(FactSales[[#This Row],[Product_ID]],DimProduct[Product_ID],DimProduct[Category])</f>
        <v>Electronics</v>
      </c>
      <c r="O987" s="6">
        <f>_xlfn.XLOOKUP(FactSales[[#This Row],[Product_ID]],DimProduct[Product_ID],DimProduct[Unit_Price])</f>
        <v>4890</v>
      </c>
      <c r="P987" s="6">
        <f>_xlfn.XLOOKUP(FactSales[[#This Row],[Product_ID]],DimProduct[Product_ID],DimProduct[Unit_Cost])</f>
        <v>3330</v>
      </c>
      <c r="Q987" s="6">
        <f>FactSales[[#This Row],[Unit_Price]]*FactSales[[#This Row],[Quantity_Sold]]</f>
        <v>14670</v>
      </c>
      <c r="R987" s="6">
        <f>FactSales[[#This Row],[Unit_Cost]]*FactSales[[#This Row],[Quantity_Sold]]</f>
        <v>9990</v>
      </c>
      <c r="S987" s="6">
        <f>FactSales[[#This Row],[Sales_Amount]]-FactSales[[#This Row],[Total_Cost]]</f>
        <v>4680</v>
      </c>
      <c r="T987" s="6" t="str">
        <f>_xlfn.XLOOKUP(FactSales[[#This Row],[Customer_ID]],DimCustomer[Customer_ID],DimCustomer[Customer_Name])</f>
        <v>Sajib Rahman</v>
      </c>
      <c r="U987" s="6" t="str">
        <f>_xlfn.XLOOKUP(FactSales[[#This Row],[Salesperson_ID]],DimSalesman[Salesperson_ID],DimSalesman[Salesperson_Name])</f>
        <v>Rafi Ahmed</v>
      </c>
      <c r="V987" s="6" t="str">
        <f>_xlfn.XLOOKUP(FactSales[[#This Row],[Region_ID]],DimRegion[Region_ID],DimRegion[Region_Name])</f>
        <v>Khulna</v>
      </c>
      <c r="W987" s="6" t="str">
        <f>_xlfn.XLOOKUP(FactSales[[#This Row],[Store_ID]],DimStore[Store_ID],DimStore[Store_Name])</f>
        <v>Khulna Sonadanga Store</v>
      </c>
    </row>
    <row r="988" spans="1:23">
      <c r="A988" s="4" t="s">
        <v>1984</v>
      </c>
      <c r="B988" s="5">
        <v>45689</v>
      </c>
      <c r="C988" s="4" t="s">
        <v>139</v>
      </c>
      <c r="D988" s="4" t="s">
        <v>27</v>
      </c>
      <c r="E988" s="4" t="s">
        <v>626</v>
      </c>
      <c r="F988" s="4" t="s">
        <v>916</v>
      </c>
      <c r="G988" s="4" t="s">
        <v>828</v>
      </c>
      <c r="H988" s="4">
        <v>5</v>
      </c>
      <c r="I988" s="7">
        <v>0.1</v>
      </c>
      <c r="J988" s="6">
        <v>7473</v>
      </c>
      <c r="K988" s="4">
        <v>5</v>
      </c>
      <c r="L988" s="8">
        <f t="shared" si="15"/>
        <v>3.4</v>
      </c>
      <c r="M988" s="6" t="str">
        <f>_xlfn.XLOOKUP(FactSales[[#This Row],[Product_ID]],DimProduct[Product_ID],DimProduct[Product_Name])</f>
        <v>Toothpaste Twin Pack</v>
      </c>
      <c r="N988" s="6" t="str">
        <f>_xlfn.XLOOKUP(FactSales[[#This Row],[Product_ID]],DimProduct[Product_ID],DimProduct[Category])</f>
        <v>Beauty &amp; Personal Care</v>
      </c>
      <c r="O988" s="6">
        <f>_xlfn.XLOOKUP(FactSales[[#This Row],[Product_ID]],DimProduct[Product_ID],DimProduct[Unit_Price])</f>
        <v>1410</v>
      </c>
      <c r="P988" s="6">
        <f>_xlfn.XLOOKUP(FactSales[[#This Row],[Product_ID]],DimProduct[Product_ID],DimProduct[Unit_Cost])</f>
        <v>820</v>
      </c>
      <c r="Q988" s="6">
        <f>FactSales[[#This Row],[Unit_Price]]*FactSales[[#This Row],[Quantity_Sold]]</f>
        <v>7050</v>
      </c>
      <c r="R988" s="6">
        <f>FactSales[[#This Row],[Unit_Cost]]*FactSales[[#This Row],[Quantity_Sold]]</f>
        <v>4100</v>
      </c>
      <c r="S988" s="6">
        <f>FactSales[[#This Row],[Sales_Amount]]-FactSales[[#This Row],[Total_Cost]]</f>
        <v>2950</v>
      </c>
      <c r="T988" s="6" t="str">
        <f>_xlfn.XLOOKUP(FactSales[[#This Row],[Customer_ID]],DimCustomer[Customer_ID],DimCustomer[Customer_Name])</f>
        <v>Nayeem Uddin</v>
      </c>
      <c r="U988" s="6" t="str">
        <f>_xlfn.XLOOKUP(FactSales[[#This Row],[Salesperson_ID]],DimSalesman[Salesperson_ID],DimSalesman[Salesperson_Name])</f>
        <v>Rafi Islam</v>
      </c>
      <c r="V988" s="6" t="str">
        <f>_xlfn.XLOOKUP(FactSales[[#This Row],[Region_ID]],DimRegion[Region_ID],DimRegion[Region_Name])</f>
        <v>Dhaka</v>
      </c>
      <c r="W988" s="6" t="str">
        <f>_xlfn.XLOOKUP(FactSales[[#This Row],[Store_ID]],DimStore[Store_ID],DimStore[Store_Name])</f>
        <v>Dhaka Mirpur Store</v>
      </c>
    </row>
    <row r="989" spans="1:23">
      <c r="A989" s="4" t="s">
        <v>1985</v>
      </c>
      <c r="B989" s="5">
        <v>45764</v>
      </c>
      <c r="C989" s="4" t="s">
        <v>564</v>
      </c>
      <c r="D989" s="4" t="s">
        <v>62</v>
      </c>
      <c r="E989" s="4" t="s">
        <v>737</v>
      </c>
      <c r="F989" s="4" t="s">
        <v>987</v>
      </c>
      <c r="G989" s="4" t="s">
        <v>878</v>
      </c>
      <c r="H989" s="4">
        <v>1</v>
      </c>
      <c r="I989" s="7">
        <v>0.12</v>
      </c>
      <c r="J989" s="6">
        <v>907</v>
      </c>
      <c r="K989" s="4">
        <v>4</v>
      </c>
      <c r="L989" s="8">
        <f t="shared" si="15"/>
        <v>3.7</v>
      </c>
      <c r="M989" s="6" t="str">
        <f>_xlfn.XLOOKUP(FactSales[[#This Row],[Product_ID]],DimProduct[Product_ID],DimProduct[Product_Name])</f>
        <v>Building Blocks</v>
      </c>
      <c r="N989" s="6" t="str">
        <f>_xlfn.XLOOKUP(FactSales[[#This Row],[Product_ID]],DimProduct[Product_ID],DimProduct[Category])</f>
        <v>Kids &amp; Toys</v>
      </c>
      <c r="O989" s="6">
        <f>_xlfn.XLOOKUP(FactSales[[#This Row],[Product_ID]],DimProduct[Product_ID],DimProduct[Unit_Price])</f>
        <v>840</v>
      </c>
      <c r="P989" s="6">
        <f>_xlfn.XLOOKUP(FactSales[[#This Row],[Product_ID]],DimProduct[Product_ID],DimProduct[Unit_Cost])</f>
        <v>460</v>
      </c>
      <c r="Q989" s="6">
        <f>FactSales[[#This Row],[Unit_Price]]*FactSales[[#This Row],[Quantity_Sold]]</f>
        <v>840</v>
      </c>
      <c r="R989" s="6">
        <f>FactSales[[#This Row],[Unit_Cost]]*FactSales[[#This Row],[Quantity_Sold]]</f>
        <v>460</v>
      </c>
      <c r="S989" s="6">
        <f>FactSales[[#This Row],[Sales_Amount]]-FactSales[[#This Row],[Total_Cost]]</f>
        <v>380</v>
      </c>
      <c r="T989" s="6" t="str">
        <f>_xlfn.XLOOKUP(FactSales[[#This Row],[Customer_ID]],DimCustomer[Customer_ID],DimCustomer[Customer_Name])</f>
        <v>Mim Ahmed</v>
      </c>
      <c r="U989" s="6" t="str">
        <f>_xlfn.XLOOKUP(FactSales[[#This Row],[Salesperson_ID]],DimSalesman[Salesperson_ID],DimSalesman[Salesperson_Name])</f>
        <v>Tanvir Chowdhury</v>
      </c>
      <c r="V989" s="6" t="str">
        <f>_xlfn.XLOOKUP(FactSales[[#This Row],[Region_ID]],DimRegion[Region_ID],DimRegion[Region_Name])</f>
        <v>Mymensingh</v>
      </c>
      <c r="W989" s="6" t="str">
        <f>_xlfn.XLOOKUP(FactSales[[#This Row],[Store_ID]],DimStore[Store_ID],DimStore[Store_Name])</f>
        <v>Mymensingh Kewatkhali Store</v>
      </c>
    </row>
    <row r="990" spans="1:23">
      <c r="A990" s="4" t="s">
        <v>1986</v>
      </c>
      <c r="B990" s="5">
        <v>45780</v>
      </c>
      <c r="C990" s="4" t="s">
        <v>279</v>
      </c>
      <c r="D990" s="4" t="s">
        <v>37</v>
      </c>
      <c r="E990" s="4" t="s">
        <v>656</v>
      </c>
      <c r="F990" s="4" t="s">
        <v>934</v>
      </c>
      <c r="G990" s="4" t="s">
        <v>755</v>
      </c>
      <c r="H990" s="4">
        <v>1</v>
      </c>
      <c r="I990" s="7">
        <v>0.08</v>
      </c>
      <c r="J990" s="6">
        <v>3574</v>
      </c>
      <c r="K990" s="4">
        <v>2</v>
      </c>
      <c r="L990" s="8">
        <f t="shared" si="15"/>
        <v>4.4000000000000004</v>
      </c>
      <c r="M990" s="6" t="str">
        <f>_xlfn.XLOOKUP(FactSales[[#This Row],[Product_ID]],DimProduct[Product_ID],DimProduct[Product_Name])</f>
        <v>Wireless Mouse</v>
      </c>
      <c r="N990" s="6" t="str">
        <f>_xlfn.XLOOKUP(FactSales[[#This Row],[Product_ID]],DimProduct[Product_ID],DimProduct[Category])</f>
        <v>Electronics</v>
      </c>
      <c r="O990" s="6">
        <f>_xlfn.XLOOKUP(FactSales[[#This Row],[Product_ID]],DimProduct[Product_ID],DimProduct[Unit_Price])</f>
        <v>3340</v>
      </c>
      <c r="P990" s="6">
        <f>_xlfn.XLOOKUP(FactSales[[#This Row],[Product_ID]],DimProduct[Product_ID],DimProduct[Unit_Cost])</f>
        <v>2270</v>
      </c>
      <c r="Q990" s="6">
        <f>FactSales[[#This Row],[Unit_Price]]*FactSales[[#This Row],[Quantity_Sold]]</f>
        <v>3340</v>
      </c>
      <c r="R990" s="6">
        <f>FactSales[[#This Row],[Unit_Cost]]*FactSales[[#This Row],[Quantity_Sold]]</f>
        <v>2270</v>
      </c>
      <c r="S990" s="6">
        <f>FactSales[[#This Row],[Sales_Amount]]-FactSales[[#This Row],[Total_Cost]]</f>
        <v>1070</v>
      </c>
      <c r="T990" s="6" t="str">
        <f>_xlfn.XLOOKUP(FactSales[[#This Row],[Customer_ID]],DimCustomer[Customer_ID],DimCustomer[Customer_Name])</f>
        <v>Tanvir Hossain</v>
      </c>
      <c r="U990" s="6" t="str">
        <f>_xlfn.XLOOKUP(FactSales[[#This Row],[Salesperson_ID]],DimSalesman[Salesperson_ID],DimSalesman[Salesperson_Name])</f>
        <v>Hasan Mia</v>
      </c>
      <c r="V990" s="6" t="str">
        <f>_xlfn.XLOOKUP(FactSales[[#This Row],[Region_ID]],DimRegion[Region_ID],DimRegion[Region_Name])</f>
        <v>Sylhet</v>
      </c>
      <c r="W990" s="6" t="str">
        <f>_xlfn.XLOOKUP(FactSales[[#This Row],[Store_ID]],DimStore[Store_ID],DimStore[Store_Name])</f>
        <v>Sylhet Ambarkhana Store</v>
      </c>
    </row>
    <row r="991" spans="1:23">
      <c r="A991" s="4" t="s">
        <v>1987</v>
      </c>
      <c r="B991" s="5">
        <v>45982</v>
      </c>
      <c r="C991" s="4" t="s">
        <v>372</v>
      </c>
      <c r="D991" s="4" t="s">
        <v>47</v>
      </c>
      <c r="E991" s="4" t="s">
        <v>695</v>
      </c>
      <c r="F991" s="4" t="s">
        <v>958</v>
      </c>
      <c r="G991" s="4" t="s">
        <v>750</v>
      </c>
      <c r="H991" s="4">
        <v>6</v>
      </c>
      <c r="I991" s="7">
        <v>0.1</v>
      </c>
      <c r="J991" s="6">
        <v>21190</v>
      </c>
      <c r="K991" s="4">
        <v>6</v>
      </c>
      <c r="L991" s="8">
        <f t="shared" si="15"/>
        <v>3.1</v>
      </c>
      <c r="M991" s="6" t="str">
        <f>_xlfn.XLOOKUP(FactSales[[#This Row],[Product_ID]],DimProduct[Product_ID],DimProduct[Product_Name])</f>
        <v>Bluetooth Speaker</v>
      </c>
      <c r="N991" s="6" t="str">
        <f>_xlfn.XLOOKUP(FactSales[[#This Row],[Product_ID]],DimProduct[Product_ID],DimProduct[Category])</f>
        <v>Electronics</v>
      </c>
      <c r="O991" s="6">
        <f>_xlfn.XLOOKUP(FactSales[[#This Row],[Product_ID]],DimProduct[Product_ID],DimProduct[Unit_Price])</f>
        <v>3240</v>
      </c>
      <c r="P991" s="6">
        <f>_xlfn.XLOOKUP(FactSales[[#This Row],[Product_ID]],DimProduct[Product_ID],DimProduct[Unit_Cost])</f>
        <v>2200</v>
      </c>
      <c r="Q991" s="6">
        <f>FactSales[[#This Row],[Unit_Price]]*FactSales[[#This Row],[Quantity_Sold]]</f>
        <v>19440</v>
      </c>
      <c r="R991" s="6">
        <f>FactSales[[#This Row],[Unit_Cost]]*FactSales[[#This Row],[Quantity_Sold]]</f>
        <v>13200</v>
      </c>
      <c r="S991" s="6">
        <f>FactSales[[#This Row],[Sales_Amount]]-FactSales[[#This Row],[Total_Cost]]</f>
        <v>6240</v>
      </c>
      <c r="T991" s="6" t="str">
        <f>_xlfn.XLOOKUP(FactSales[[#This Row],[Customer_ID]],DimCustomer[Customer_ID],DimCustomer[Customer_Name])</f>
        <v>Mahmud Chowdhury</v>
      </c>
      <c r="U991" s="6" t="str">
        <f>_xlfn.XLOOKUP(FactSales[[#This Row],[Salesperson_ID]],DimSalesman[Salesperson_ID],DimSalesman[Salesperson_Name])</f>
        <v>Fahim Uddin</v>
      </c>
      <c r="V991" s="6" t="str">
        <f>_xlfn.XLOOKUP(FactSales[[#This Row],[Region_ID]],DimRegion[Region_ID],DimRegion[Region_Name])</f>
        <v>Khulna</v>
      </c>
      <c r="W991" s="6" t="str">
        <f>_xlfn.XLOOKUP(FactSales[[#This Row],[Store_ID]],DimStore[Store_ID],DimStore[Store_Name])</f>
        <v>Khulna Shibbari Store</v>
      </c>
    </row>
    <row r="992" spans="1:23">
      <c r="A992" s="4" t="s">
        <v>1988</v>
      </c>
      <c r="B992" s="5">
        <v>45720</v>
      </c>
      <c r="C992" s="4" t="s">
        <v>465</v>
      </c>
      <c r="D992" s="4" t="s">
        <v>52</v>
      </c>
      <c r="E992" s="4" t="s">
        <v>698</v>
      </c>
      <c r="F992" s="4" t="s">
        <v>966</v>
      </c>
      <c r="G992" s="4" t="s">
        <v>781</v>
      </c>
      <c r="H992" s="4">
        <v>3</v>
      </c>
      <c r="I992" s="7">
        <v>0.1</v>
      </c>
      <c r="J992" s="6">
        <v>10450</v>
      </c>
      <c r="K992" s="4">
        <v>7</v>
      </c>
      <c r="L992" s="8">
        <f t="shared" si="15"/>
        <v>2.7</v>
      </c>
      <c r="M992" s="6" t="str">
        <f>_xlfn.XLOOKUP(FactSales[[#This Row],[Product_ID]],DimProduct[Product_ID],DimProduct[Product_Name])</f>
        <v>Table Fan</v>
      </c>
      <c r="N992" s="6" t="str">
        <f>_xlfn.XLOOKUP(FactSales[[#This Row],[Product_ID]],DimProduct[Product_ID],DimProduct[Category])</f>
        <v>Home Appliance</v>
      </c>
      <c r="O992" s="6">
        <f>_xlfn.XLOOKUP(FactSales[[#This Row],[Product_ID]],DimProduct[Product_ID],DimProduct[Unit_Price])</f>
        <v>3110</v>
      </c>
      <c r="P992" s="6">
        <f>_xlfn.XLOOKUP(FactSales[[#This Row],[Product_ID]],DimProduct[Product_ID],DimProduct[Unit_Cost])</f>
        <v>2180</v>
      </c>
      <c r="Q992" s="6">
        <f>FactSales[[#This Row],[Unit_Price]]*FactSales[[#This Row],[Quantity_Sold]]</f>
        <v>9330</v>
      </c>
      <c r="R992" s="6">
        <f>FactSales[[#This Row],[Unit_Cost]]*FactSales[[#This Row],[Quantity_Sold]]</f>
        <v>6540</v>
      </c>
      <c r="S992" s="6">
        <f>FactSales[[#This Row],[Sales_Amount]]-FactSales[[#This Row],[Total_Cost]]</f>
        <v>2790</v>
      </c>
      <c r="T992" s="6" t="str">
        <f>_xlfn.XLOOKUP(FactSales[[#This Row],[Customer_ID]],DimCustomer[Customer_ID],DimCustomer[Customer_Name])</f>
        <v>Shuvo Chowdhury</v>
      </c>
      <c r="U992" s="6" t="str">
        <f>_xlfn.XLOOKUP(FactSales[[#This Row],[Salesperson_ID]],DimSalesman[Salesperson_ID],DimSalesman[Salesperson_Name])</f>
        <v>Nayeem Akter</v>
      </c>
      <c r="V992" s="6" t="str">
        <f>_xlfn.XLOOKUP(FactSales[[#This Row],[Region_ID]],DimRegion[Region_ID],DimRegion[Region_Name])</f>
        <v>Barishal</v>
      </c>
      <c r="W992" s="6" t="str">
        <f>_xlfn.XLOOKUP(FactSales[[#This Row],[Store_ID]],DimStore[Store_ID],DimStore[Store_Name])</f>
        <v>Barishal Nathullabad Store</v>
      </c>
    </row>
    <row r="993" spans="1:23">
      <c r="A993" s="4" t="s">
        <v>1989</v>
      </c>
      <c r="B993" s="5">
        <v>46175</v>
      </c>
      <c r="C993" s="4" t="s">
        <v>553</v>
      </c>
      <c r="D993" s="4" t="s">
        <v>62</v>
      </c>
      <c r="E993" s="4" t="s">
        <v>734</v>
      </c>
      <c r="F993" s="4" t="s">
        <v>985</v>
      </c>
      <c r="G993" s="4" t="s">
        <v>762</v>
      </c>
      <c r="H993" s="4">
        <v>2</v>
      </c>
      <c r="I993" s="7">
        <v>0.08</v>
      </c>
      <c r="J993" s="6">
        <v>8359</v>
      </c>
      <c r="K993" s="4">
        <v>3</v>
      </c>
      <c r="L993" s="8">
        <f t="shared" si="15"/>
        <v>4.0999999999999996</v>
      </c>
      <c r="M993" s="6" t="str">
        <f>_xlfn.XLOOKUP(FactSales[[#This Row],[Product_ID]],DimProduct[Product_ID],DimProduct[Product_Name])</f>
        <v>Smart Watch</v>
      </c>
      <c r="N993" s="6" t="str">
        <f>_xlfn.XLOOKUP(FactSales[[#This Row],[Product_ID]],DimProduct[Product_ID],DimProduct[Category])</f>
        <v>Electronics</v>
      </c>
      <c r="O993" s="6">
        <f>_xlfn.XLOOKUP(FactSales[[#This Row],[Product_ID]],DimProduct[Product_ID],DimProduct[Unit_Price])</f>
        <v>3870</v>
      </c>
      <c r="P993" s="6">
        <f>_xlfn.XLOOKUP(FactSales[[#This Row],[Product_ID]],DimProduct[Product_ID],DimProduct[Unit_Cost])</f>
        <v>2630</v>
      </c>
      <c r="Q993" s="6">
        <f>FactSales[[#This Row],[Unit_Price]]*FactSales[[#This Row],[Quantity_Sold]]</f>
        <v>7740</v>
      </c>
      <c r="R993" s="6">
        <f>FactSales[[#This Row],[Unit_Cost]]*FactSales[[#This Row],[Quantity_Sold]]</f>
        <v>5260</v>
      </c>
      <c r="S993" s="6">
        <f>FactSales[[#This Row],[Sales_Amount]]-FactSales[[#This Row],[Total_Cost]]</f>
        <v>2480</v>
      </c>
      <c r="T993" s="6" t="str">
        <f>_xlfn.XLOOKUP(FactSales[[#This Row],[Customer_ID]],DimCustomer[Customer_ID],DimCustomer[Customer_Name])</f>
        <v>Karim Chowdhury</v>
      </c>
      <c r="U993" s="6" t="str">
        <f>_xlfn.XLOOKUP(FactSales[[#This Row],[Salesperson_ID]],DimSalesman[Salesperson_ID],DimSalesman[Salesperson_Name])</f>
        <v>Tamanna Sultana</v>
      </c>
      <c r="V993" s="6" t="str">
        <f>_xlfn.XLOOKUP(FactSales[[#This Row],[Region_ID]],DimRegion[Region_ID],DimRegion[Region_Name])</f>
        <v>Mymensingh</v>
      </c>
      <c r="W993" s="6" t="str">
        <f>_xlfn.XLOOKUP(FactSales[[#This Row],[Store_ID]],DimStore[Store_ID],DimStore[Store_Name])</f>
        <v>Mymensingh Charpara Store</v>
      </c>
    </row>
    <row r="994" spans="1:23">
      <c r="A994" s="4" t="s">
        <v>1990</v>
      </c>
      <c r="B994" s="5">
        <v>46135</v>
      </c>
      <c r="C994" s="4" t="s">
        <v>378</v>
      </c>
      <c r="D994" s="4" t="s">
        <v>47</v>
      </c>
      <c r="E994" s="4" t="s">
        <v>695</v>
      </c>
      <c r="F994" s="4" t="s">
        <v>954</v>
      </c>
      <c r="G994" s="4" t="s">
        <v>758</v>
      </c>
      <c r="H994" s="4">
        <v>5</v>
      </c>
      <c r="I994" s="7">
        <v>0.08</v>
      </c>
      <c r="J994" s="6">
        <v>15478</v>
      </c>
      <c r="K994" s="4">
        <v>1</v>
      </c>
      <c r="L994" s="8">
        <f t="shared" si="15"/>
        <v>4.7</v>
      </c>
      <c r="M994" s="6" t="str">
        <f>_xlfn.XLOOKUP(FactSales[[#This Row],[Product_ID]],DimProduct[Product_ID],DimProduct[Product_Name])</f>
        <v>Power Bank</v>
      </c>
      <c r="N994" s="6" t="str">
        <f>_xlfn.XLOOKUP(FactSales[[#This Row],[Product_ID]],DimProduct[Product_ID],DimProduct[Category])</f>
        <v>Electronics</v>
      </c>
      <c r="O994" s="6">
        <f>_xlfn.XLOOKUP(FactSales[[#This Row],[Product_ID]],DimProduct[Product_ID],DimProduct[Unit_Price])</f>
        <v>2840</v>
      </c>
      <c r="P994" s="6">
        <f>_xlfn.XLOOKUP(FactSales[[#This Row],[Product_ID]],DimProduct[Product_ID],DimProduct[Unit_Cost])</f>
        <v>1930</v>
      </c>
      <c r="Q994" s="6">
        <f>FactSales[[#This Row],[Unit_Price]]*FactSales[[#This Row],[Quantity_Sold]]</f>
        <v>14200</v>
      </c>
      <c r="R994" s="6">
        <f>FactSales[[#This Row],[Unit_Cost]]*FactSales[[#This Row],[Quantity_Sold]]</f>
        <v>9650</v>
      </c>
      <c r="S994" s="6">
        <f>FactSales[[#This Row],[Sales_Amount]]-FactSales[[#This Row],[Total_Cost]]</f>
        <v>4550</v>
      </c>
      <c r="T994" s="6" t="str">
        <f>_xlfn.XLOOKUP(FactSales[[#This Row],[Customer_ID]],DimCustomer[Customer_ID],DimCustomer[Customer_Name])</f>
        <v>Arif Akter</v>
      </c>
      <c r="U994" s="6" t="str">
        <f>_xlfn.XLOOKUP(FactSales[[#This Row],[Salesperson_ID]],DimSalesman[Salesperson_ID],DimSalesman[Salesperson_Name])</f>
        <v>Sadia Sultana</v>
      </c>
      <c r="V994" s="6" t="str">
        <f>_xlfn.XLOOKUP(FactSales[[#This Row],[Region_ID]],DimRegion[Region_ID],DimRegion[Region_Name])</f>
        <v>Khulna</v>
      </c>
      <c r="W994" s="6" t="str">
        <f>_xlfn.XLOOKUP(FactSales[[#This Row],[Store_ID]],DimStore[Store_ID],DimStore[Store_Name])</f>
        <v>Khulna Shibbari Store</v>
      </c>
    </row>
    <row r="995" spans="1:23">
      <c r="A995" s="4" t="s">
        <v>1991</v>
      </c>
      <c r="B995" s="5">
        <v>45983</v>
      </c>
      <c r="C995" s="4" t="s">
        <v>153</v>
      </c>
      <c r="D995" s="4" t="s">
        <v>32</v>
      </c>
      <c r="E995" s="4" t="s">
        <v>641</v>
      </c>
      <c r="F995" s="4" t="s">
        <v>931</v>
      </c>
      <c r="G995" s="4" t="s">
        <v>755</v>
      </c>
      <c r="H995" s="4">
        <v>3</v>
      </c>
      <c r="I995" s="7">
        <v>0.08</v>
      </c>
      <c r="J995" s="6">
        <v>11423</v>
      </c>
      <c r="K995" s="4">
        <v>4</v>
      </c>
      <c r="L995" s="8">
        <f t="shared" si="15"/>
        <v>3.7</v>
      </c>
      <c r="M995" s="6" t="str">
        <f>_xlfn.XLOOKUP(FactSales[[#This Row],[Product_ID]],DimProduct[Product_ID],DimProduct[Product_Name])</f>
        <v>Wireless Mouse</v>
      </c>
      <c r="N995" s="6" t="str">
        <f>_xlfn.XLOOKUP(FactSales[[#This Row],[Product_ID]],DimProduct[Product_ID],DimProduct[Category])</f>
        <v>Electronics</v>
      </c>
      <c r="O995" s="6">
        <f>_xlfn.XLOOKUP(FactSales[[#This Row],[Product_ID]],DimProduct[Product_ID],DimProduct[Unit_Price])</f>
        <v>3340</v>
      </c>
      <c r="P995" s="6">
        <f>_xlfn.XLOOKUP(FactSales[[#This Row],[Product_ID]],DimProduct[Product_ID],DimProduct[Unit_Cost])</f>
        <v>2270</v>
      </c>
      <c r="Q995" s="6">
        <f>FactSales[[#This Row],[Unit_Price]]*FactSales[[#This Row],[Quantity_Sold]]</f>
        <v>10020</v>
      </c>
      <c r="R995" s="6">
        <f>FactSales[[#This Row],[Unit_Cost]]*FactSales[[#This Row],[Quantity_Sold]]</f>
        <v>6810</v>
      </c>
      <c r="S995" s="6">
        <f>FactSales[[#This Row],[Sales_Amount]]-FactSales[[#This Row],[Total_Cost]]</f>
        <v>3210</v>
      </c>
      <c r="T995" s="6" t="str">
        <f>_xlfn.XLOOKUP(FactSales[[#This Row],[Customer_ID]],DimCustomer[Customer_ID],DimCustomer[Customer_Name])</f>
        <v>Shuvo Mia</v>
      </c>
      <c r="U995" s="6" t="str">
        <f>_xlfn.XLOOKUP(FactSales[[#This Row],[Salesperson_ID]],DimSalesman[Salesperson_ID],DimSalesman[Salesperson_Name])</f>
        <v>Sadia Islam</v>
      </c>
      <c r="V995" s="6" t="str">
        <f>_xlfn.XLOOKUP(FactSales[[#This Row],[Region_ID]],DimRegion[Region_ID],DimRegion[Region_Name])</f>
        <v>Chattogram</v>
      </c>
      <c r="W995" s="6" t="str">
        <f>_xlfn.XLOOKUP(FactSales[[#This Row],[Store_ID]],DimStore[Store_ID],DimStore[Store_Name])</f>
        <v>Chattogram GEC Store</v>
      </c>
    </row>
    <row r="996" spans="1:23">
      <c r="A996" s="4" t="s">
        <v>1992</v>
      </c>
      <c r="B996" s="5">
        <v>45741</v>
      </c>
      <c r="C996" s="4" t="s">
        <v>217</v>
      </c>
      <c r="D996" s="4" t="s">
        <v>37</v>
      </c>
      <c r="E996" s="4" t="s">
        <v>656</v>
      </c>
      <c r="F996" s="4" t="s">
        <v>941</v>
      </c>
      <c r="G996" s="4" t="s">
        <v>778</v>
      </c>
      <c r="H996" s="4">
        <v>5</v>
      </c>
      <c r="I996" s="7">
        <v>0.12</v>
      </c>
      <c r="J996" s="6">
        <v>24396</v>
      </c>
      <c r="K996" s="4">
        <v>6</v>
      </c>
      <c r="L996" s="8">
        <f t="shared" si="15"/>
        <v>3</v>
      </c>
      <c r="M996" s="6" t="str">
        <f>_xlfn.XLOOKUP(FactSales[[#This Row],[Product_ID]],DimProduct[Product_ID],DimProduct[Product_Name])</f>
        <v>Steam Iron</v>
      </c>
      <c r="N996" s="6" t="str">
        <f>_xlfn.XLOOKUP(FactSales[[#This Row],[Product_ID]],DimProduct[Product_ID],DimProduct[Category])</f>
        <v>Home Appliance</v>
      </c>
      <c r="O996" s="6">
        <f>_xlfn.XLOOKUP(FactSales[[#This Row],[Product_ID]],DimProduct[Product_ID],DimProduct[Unit_Price])</f>
        <v>4560</v>
      </c>
      <c r="P996" s="6">
        <f>_xlfn.XLOOKUP(FactSales[[#This Row],[Product_ID]],DimProduct[Product_ID],DimProduct[Unit_Cost])</f>
        <v>3190</v>
      </c>
      <c r="Q996" s="6">
        <f>FactSales[[#This Row],[Unit_Price]]*FactSales[[#This Row],[Quantity_Sold]]</f>
        <v>22800</v>
      </c>
      <c r="R996" s="6">
        <f>FactSales[[#This Row],[Unit_Cost]]*FactSales[[#This Row],[Quantity_Sold]]</f>
        <v>15950</v>
      </c>
      <c r="S996" s="6">
        <f>FactSales[[#This Row],[Sales_Amount]]-FactSales[[#This Row],[Total_Cost]]</f>
        <v>6850</v>
      </c>
      <c r="T996" s="6" t="str">
        <f>_xlfn.XLOOKUP(FactSales[[#This Row],[Customer_ID]],DimCustomer[Customer_ID],DimCustomer[Customer_Name])</f>
        <v>Karim Khan</v>
      </c>
      <c r="U996" s="6" t="str">
        <f>_xlfn.XLOOKUP(FactSales[[#This Row],[Salesperson_ID]],DimSalesman[Salesperson_ID],DimSalesman[Salesperson_Name])</f>
        <v>Rumana Rahman</v>
      </c>
      <c r="V996" s="6" t="str">
        <f>_xlfn.XLOOKUP(FactSales[[#This Row],[Region_ID]],DimRegion[Region_ID],DimRegion[Region_Name])</f>
        <v>Sylhet</v>
      </c>
      <c r="W996" s="6" t="str">
        <f>_xlfn.XLOOKUP(FactSales[[#This Row],[Store_ID]],DimStore[Store_ID],DimStore[Store_Name])</f>
        <v>Sylhet Ambarkhana Store</v>
      </c>
    </row>
    <row r="997" spans="1:23">
      <c r="A997" s="4" t="s">
        <v>1993</v>
      </c>
      <c r="B997" s="5">
        <v>45951</v>
      </c>
      <c r="C997" s="4" t="s">
        <v>349</v>
      </c>
      <c r="D997" s="4" t="s">
        <v>42</v>
      </c>
      <c r="E997" s="4" t="s">
        <v>671</v>
      </c>
      <c r="F997" s="4" t="s">
        <v>945</v>
      </c>
      <c r="G997" s="4" t="s">
        <v>750</v>
      </c>
      <c r="H997" s="4">
        <v>1</v>
      </c>
      <c r="I997" s="7">
        <v>0.1</v>
      </c>
      <c r="J997" s="6">
        <v>3499</v>
      </c>
      <c r="K997" s="4">
        <v>2</v>
      </c>
      <c r="L997" s="8">
        <f t="shared" si="15"/>
        <v>4.3</v>
      </c>
      <c r="M997" s="6" t="str">
        <f>_xlfn.XLOOKUP(FactSales[[#This Row],[Product_ID]],DimProduct[Product_ID],DimProduct[Product_Name])</f>
        <v>Bluetooth Speaker</v>
      </c>
      <c r="N997" s="6" t="str">
        <f>_xlfn.XLOOKUP(FactSales[[#This Row],[Product_ID]],DimProduct[Product_ID],DimProduct[Category])</f>
        <v>Electronics</v>
      </c>
      <c r="O997" s="6">
        <f>_xlfn.XLOOKUP(FactSales[[#This Row],[Product_ID]],DimProduct[Product_ID],DimProduct[Unit_Price])</f>
        <v>3240</v>
      </c>
      <c r="P997" s="6">
        <f>_xlfn.XLOOKUP(FactSales[[#This Row],[Product_ID]],DimProduct[Product_ID],DimProduct[Unit_Cost])</f>
        <v>2200</v>
      </c>
      <c r="Q997" s="6">
        <f>FactSales[[#This Row],[Unit_Price]]*FactSales[[#This Row],[Quantity_Sold]]</f>
        <v>3240</v>
      </c>
      <c r="R997" s="6">
        <f>FactSales[[#This Row],[Unit_Cost]]*FactSales[[#This Row],[Quantity_Sold]]</f>
        <v>2200</v>
      </c>
      <c r="S997" s="6">
        <f>FactSales[[#This Row],[Sales_Amount]]-FactSales[[#This Row],[Total_Cost]]</f>
        <v>1040</v>
      </c>
      <c r="T997" s="6" t="str">
        <f>_xlfn.XLOOKUP(FactSales[[#This Row],[Customer_ID]],DimCustomer[Customer_ID],DimCustomer[Customer_Name])</f>
        <v>Mahmud Uddin</v>
      </c>
      <c r="U997" s="6" t="str">
        <f>_xlfn.XLOOKUP(FactSales[[#This Row],[Salesperson_ID]],DimSalesman[Salesperson_ID],DimSalesman[Salesperson_Name])</f>
        <v>Hasan Khan</v>
      </c>
      <c r="V997" s="6" t="str">
        <f>_xlfn.XLOOKUP(FactSales[[#This Row],[Region_ID]],DimRegion[Region_ID],DimRegion[Region_Name])</f>
        <v>Rajshahi</v>
      </c>
      <c r="W997" s="6" t="str">
        <f>_xlfn.XLOOKUP(FactSales[[#This Row],[Store_ID]],DimStore[Store_ID],DimStore[Store_Name])</f>
        <v>Rajshahi Kazla Store</v>
      </c>
    </row>
    <row r="998" spans="1:23">
      <c r="A998" s="4" t="s">
        <v>1994</v>
      </c>
      <c r="B998" s="5">
        <v>45862</v>
      </c>
      <c r="C998" s="4" t="s">
        <v>457</v>
      </c>
      <c r="D998" s="4" t="s">
        <v>52</v>
      </c>
      <c r="E998" s="4" t="s">
        <v>701</v>
      </c>
      <c r="F998" s="4" t="s">
        <v>961</v>
      </c>
      <c r="G998" s="4" t="s">
        <v>765</v>
      </c>
      <c r="H998" s="4">
        <v>1</v>
      </c>
      <c r="I998" s="7">
        <v>0.12</v>
      </c>
      <c r="J998" s="6">
        <v>5477</v>
      </c>
      <c r="K998" s="4">
        <v>5</v>
      </c>
      <c r="L998" s="8">
        <f t="shared" si="15"/>
        <v>3.3</v>
      </c>
      <c r="M998" s="6" t="str">
        <f>_xlfn.XLOOKUP(FactSales[[#This Row],[Product_ID]],DimProduct[Product_ID],DimProduct[Product_Name])</f>
        <v>USB-C Hub</v>
      </c>
      <c r="N998" s="6" t="str">
        <f>_xlfn.XLOOKUP(FactSales[[#This Row],[Product_ID]],DimProduct[Product_ID],DimProduct[Category])</f>
        <v>Electronics</v>
      </c>
      <c r="O998" s="6">
        <f>_xlfn.XLOOKUP(FactSales[[#This Row],[Product_ID]],DimProduct[Product_ID],DimProduct[Unit_Price])</f>
        <v>4890</v>
      </c>
      <c r="P998" s="6">
        <f>_xlfn.XLOOKUP(FactSales[[#This Row],[Product_ID]],DimProduct[Product_ID],DimProduct[Unit_Cost])</f>
        <v>3330</v>
      </c>
      <c r="Q998" s="6">
        <f>FactSales[[#This Row],[Unit_Price]]*FactSales[[#This Row],[Quantity_Sold]]</f>
        <v>4890</v>
      </c>
      <c r="R998" s="6">
        <f>FactSales[[#This Row],[Unit_Cost]]*FactSales[[#This Row],[Quantity_Sold]]</f>
        <v>3330</v>
      </c>
      <c r="S998" s="6">
        <f>FactSales[[#This Row],[Sales_Amount]]-FactSales[[#This Row],[Total_Cost]]</f>
        <v>1560</v>
      </c>
      <c r="T998" s="6" t="str">
        <f>_xlfn.XLOOKUP(FactSales[[#This Row],[Customer_ID]],DimCustomer[Customer_ID],DimCustomer[Customer_Name])</f>
        <v>Rasel Ahmed</v>
      </c>
      <c r="U998" s="6" t="str">
        <f>_xlfn.XLOOKUP(FactSales[[#This Row],[Salesperson_ID]],DimSalesman[Salesperson_ID],DimSalesman[Salesperson_Name])</f>
        <v>Shaila Akter</v>
      </c>
      <c r="V998" s="6" t="str">
        <f>_xlfn.XLOOKUP(FactSales[[#This Row],[Region_ID]],DimRegion[Region_ID],DimRegion[Region_Name])</f>
        <v>Barishal</v>
      </c>
      <c r="W998" s="6" t="str">
        <f>_xlfn.XLOOKUP(FactSales[[#This Row],[Store_ID]],DimStore[Store_ID],DimStore[Store_Name])</f>
        <v>Barishal Sadar Road Store</v>
      </c>
    </row>
    <row r="999" spans="1:23">
      <c r="A999" s="4" t="s">
        <v>1995</v>
      </c>
      <c r="B999" s="5">
        <v>46118</v>
      </c>
      <c r="C999" s="4" t="s">
        <v>192</v>
      </c>
      <c r="D999" s="4" t="s">
        <v>32</v>
      </c>
      <c r="E999" s="4" t="s">
        <v>644</v>
      </c>
      <c r="F999" s="4" t="s">
        <v>929</v>
      </c>
      <c r="G999" s="4" t="s">
        <v>778</v>
      </c>
      <c r="H999" s="4">
        <v>7</v>
      </c>
      <c r="I999" s="7">
        <v>0.1</v>
      </c>
      <c r="J999" s="6">
        <v>36389</v>
      </c>
      <c r="K999" s="4">
        <v>9</v>
      </c>
      <c r="L999" s="8">
        <f t="shared" si="15"/>
        <v>2.1</v>
      </c>
      <c r="M999" s="6" t="str">
        <f>_xlfn.XLOOKUP(FactSales[[#This Row],[Product_ID]],DimProduct[Product_ID],DimProduct[Product_Name])</f>
        <v>Steam Iron</v>
      </c>
      <c r="N999" s="6" t="str">
        <f>_xlfn.XLOOKUP(FactSales[[#This Row],[Product_ID]],DimProduct[Product_ID],DimProduct[Category])</f>
        <v>Home Appliance</v>
      </c>
      <c r="O999" s="6">
        <f>_xlfn.XLOOKUP(FactSales[[#This Row],[Product_ID]],DimProduct[Product_ID],DimProduct[Unit_Price])</f>
        <v>4560</v>
      </c>
      <c r="P999" s="6">
        <f>_xlfn.XLOOKUP(FactSales[[#This Row],[Product_ID]],DimProduct[Product_ID],DimProduct[Unit_Cost])</f>
        <v>3190</v>
      </c>
      <c r="Q999" s="6">
        <f>FactSales[[#This Row],[Unit_Price]]*FactSales[[#This Row],[Quantity_Sold]]</f>
        <v>31920</v>
      </c>
      <c r="R999" s="6">
        <f>FactSales[[#This Row],[Unit_Cost]]*FactSales[[#This Row],[Quantity_Sold]]</f>
        <v>22330</v>
      </c>
      <c r="S999" s="6">
        <f>FactSales[[#This Row],[Sales_Amount]]-FactSales[[#This Row],[Total_Cost]]</f>
        <v>9590</v>
      </c>
      <c r="T999" s="6" t="str">
        <f>_xlfn.XLOOKUP(FactSales[[#This Row],[Customer_ID]],DimCustomer[Customer_ID],DimCustomer[Customer_Name])</f>
        <v>Arif Ahmed</v>
      </c>
      <c r="U999" s="6" t="str">
        <f>_xlfn.XLOOKUP(FactSales[[#This Row],[Salesperson_ID]],DimSalesman[Salesperson_ID],DimSalesman[Salesperson_Name])</f>
        <v>Nabila Mia</v>
      </c>
      <c r="V999" s="6" t="str">
        <f>_xlfn.XLOOKUP(FactSales[[#This Row],[Region_ID]],DimRegion[Region_ID],DimRegion[Region_Name])</f>
        <v>Chattogram</v>
      </c>
      <c r="W999" s="6" t="str">
        <f>_xlfn.XLOOKUP(FactSales[[#This Row],[Store_ID]],DimStore[Store_ID],DimStore[Store_Name])</f>
        <v>Chattogram Panchlaish Store</v>
      </c>
    </row>
    <row r="1000" spans="1:23">
      <c r="A1000" s="4" t="s">
        <v>1996</v>
      </c>
      <c r="B1000" s="5">
        <v>45873</v>
      </c>
      <c r="C1000" s="4" t="s">
        <v>127</v>
      </c>
      <c r="D1000" s="4" t="s">
        <v>27</v>
      </c>
      <c r="E1000" s="4" t="s">
        <v>630</v>
      </c>
      <c r="F1000" s="4" t="s">
        <v>914</v>
      </c>
      <c r="G1000" s="4" t="s">
        <v>804</v>
      </c>
      <c r="H1000" s="4">
        <v>10</v>
      </c>
      <c r="I1000" s="7">
        <v>0.05</v>
      </c>
      <c r="J1000" s="6">
        <v>3922</v>
      </c>
      <c r="K1000" s="4">
        <v>1</v>
      </c>
      <c r="L1000" s="8">
        <f t="shared" si="15"/>
        <v>4.8</v>
      </c>
      <c r="M1000" s="6" t="str">
        <f>_xlfn.XLOOKUP(FactSales[[#This Row],[Product_ID]],DimProduct[Product_ID],DimProduct[Product_Name])</f>
        <v>Soybean Oil 5L</v>
      </c>
      <c r="N1000" s="6" t="str">
        <f>_xlfn.XLOOKUP(FactSales[[#This Row],[Product_ID]],DimProduct[Product_ID],DimProduct[Category])</f>
        <v>Grocery</v>
      </c>
      <c r="O1000" s="6">
        <f>_xlfn.XLOOKUP(FactSales[[#This Row],[Product_ID]],DimProduct[Product_ID],DimProduct[Unit_Price])</f>
        <v>370</v>
      </c>
      <c r="P1000" s="6">
        <f>_xlfn.XLOOKUP(FactSales[[#This Row],[Product_ID]],DimProduct[Product_ID],DimProduct[Unit_Cost])</f>
        <v>290</v>
      </c>
      <c r="Q1000" s="6">
        <f>FactSales[[#This Row],[Unit_Price]]*FactSales[[#This Row],[Quantity_Sold]]</f>
        <v>3700</v>
      </c>
      <c r="R1000" s="6">
        <f>FactSales[[#This Row],[Unit_Cost]]*FactSales[[#This Row],[Quantity_Sold]]</f>
        <v>2900</v>
      </c>
      <c r="S1000" s="6">
        <f>FactSales[[#This Row],[Sales_Amount]]-FactSales[[#This Row],[Total_Cost]]</f>
        <v>800</v>
      </c>
      <c r="T1000" s="6" t="str">
        <f>_xlfn.XLOOKUP(FactSales[[#This Row],[Customer_ID]],DimCustomer[Customer_ID],DimCustomer[Customer_Name])</f>
        <v>Sadia Islam</v>
      </c>
      <c r="U1000" s="6" t="str">
        <f>_xlfn.XLOOKUP(FactSales[[#This Row],[Salesperson_ID]],DimSalesman[Salesperson_ID],DimSalesman[Salesperson_Name])</f>
        <v>Rasel Rahman</v>
      </c>
      <c r="V1000" s="6" t="str">
        <f>_xlfn.XLOOKUP(FactSales[[#This Row],[Region_ID]],DimRegion[Region_ID],DimRegion[Region_Name])</f>
        <v>Dhaka</v>
      </c>
      <c r="W1000" s="6" t="str">
        <f>_xlfn.XLOOKUP(FactSales[[#This Row],[Store_ID]],DimStore[Store_ID],DimStore[Store_Name])</f>
        <v>Dhaka Uttara Store</v>
      </c>
    </row>
    <row r="1001" spans="1:23">
      <c r="A1001" s="4" t="s">
        <v>1997</v>
      </c>
      <c r="B1001" s="5">
        <v>45933</v>
      </c>
      <c r="C1001" s="4" t="s">
        <v>372</v>
      </c>
      <c r="D1001" s="4" t="s">
        <v>47</v>
      </c>
      <c r="E1001" s="4" t="s">
        <v>689</v>
      </c>
      <c r="F1001" s="4" t="s">
        <v>958</v>
      </c>
      <c r="G1001" s="4" t="s">
        <v>900</v>
      </c>
      <c r="H1001" s="4">
        <v>1</v>
      </c>
      <c r="I1001" s="7">
        <v>0.05</v>
      </c>
      <c r="J1001" s="6">
        <v>5799</v>
      </c>
      <c r="K1001" s="4">
        <v>8</v>
      </c>
      <c r="L1001" s="8">
        <f t="shared" si="15"/>
        <v>2.5</v>
      </c>
      <c r="M1001" s="6" t="str">
        <f>_xlfn.XLOOKUP(FactSales[[#This Row],[Product_ID]],DimProduct[Product_ID],DimProduct[Product_Name])</f>
        <v>Shoe Rack</v>
      </c>
      <c r="N1001" s="6" t="str">
        <f>_xlfn.XLOOKUP(FactSales[[#This Row],[Product_ID]],DimProduct[Product_ID],DimProduct[Category])</f>
        <v>Furniture</v>
      </c>
      <c r="O1001" s="6">
        <f>_xlfn.XLOOKUP(FactSales[[#This Row],[Product_ID]],DimProduct[Product_ID],DimProduct[Unit_Price])</f>
        <v>5320</v>
      </c>
      <c r="P1001" s="6">
        <f>_xlfn.XLOOKUP(FactSales[[#This Row],[Product_ID]],DimProduct[Product_ID],DimProduct[Unit_Cost])</f>
        <v>3830</v>
      </c>
      <c r="Q1001" s="6">
        <f>FactSales[[#This Row],[Unit_Price]]*FactSales[[#This Row],[Quantity_Sold]]</f>
        <v>5320</v>
      </c>
      <c r="R1001" s="6">
        <f>FactSales[[#This Row],[Unit_Cost]]*FactSales[[#This Row],[Quantity_Sold]]</f>
        <v>3830</v>
      </c>
      <c r="S1001" s="6">
        <f>FactSales[[#This Row],[Sales_Amount]]-FactSales[[#This Row],[Total_Cost]]</f>
        <v>1490</v>
      </c>
      <c r="T1001" s="6" t="str">
        <f>_xlfn.XLOOKUP(FactSales[[#This Row],[Customer_ID]],DimCustomer[Customer_ID],DimCustomer[Customer_Name])</f>
        <v>Mahmud Chowdhury</v>
      </c>
      <c r="U1001" s="6" t="str">
        <f>_xlfn.XLOOKUP(FactSales[[#This Row],[Salesperson_ID]],DimSalesman[Salesperson_ID],DimSalesman[Salesperson_Name])</f>
        <v>Fahim Uddin</v>
      </c>
      <c r="V1001" s="6" t="str">
        <f>_xlfn.XLOOKUP(FactSales[[#This Row],[Region_ID]],DimRegion[Region_ID],DimRegion[Region_Name])</f>
        <v>Khulna</v>
      </c>
      <c r="W1001" s="6" t="str">
        <f>_xlfn.XLOOKUP(FactSales[[#This Row],[Store_ID]],DimStore[Store_ID],DimStore[Store_Name])</f>
        <v>Khulna Daulatpur Store</v>
      </c>
    </row>
  </sheetData>
  <conditionalFormatting sqref="K2:K1001">
    <cfRule type="cellIs" dxfId="1" priority="1" operator="greaterThan">
      <formula>7</formula>
    </cfRule>
  </conditionalFormatting>
  <conditionalFormatting sqref="L2:R1001">
    <cfRule type="cellIs" dxfId="0" priority="2" operator="lessThan">
      <formula>3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3AA1-E171-4D46-9215-9353884CC936}">
  <sheetPr codeName="Sheet9"/>
  <dimension ref="D1:N73"/>
  <sheetViews>
    <sheetView showGridLines="0" tabSelected="1" zoomScale="60" zoomScaleNormal="60" workbookViewId="0"/>
  </sheetViews>
  <sheetFormatPr defaultRowHeight="13.8"/>
  <cols>
    <col min="1" max="1" width="16.59765625" customWidth="1"/>
    <col min="2" max="2" width="25.8984375" bestFit="1" customWidth="1"/>
    <col min="3" max="3" width="20.8984375" bestFit="1" customWidth="1"/>
    <col min="4" max="4" width="22.796875" bestFit="1" customWidth="1"/>
    <col min="5" max="5" width="15.8984375" bestFit="1" customWidth="1"/>
    <col min="6" max="6" width="25.8984375" bestFit="1" customWidth="1"/>
    <col min="7" max="7" width="19.09765625" bestFit="1" customWidth="1"/>
    <col min="8" max="8" width="24.69921875" bestFit="1" customWidth="1"/>
    <col min="9" max="9" width="13.19921875" customWidth="1"/>
    <col min="10" max="10" width="14.59765625" customWidth="1"/>
    <col min="11" max="11" width="9.8984375" customWidth="1"/>
    <col min="12" max="12" width="11.69921875" customWidth="1"/>
  </cols>
  <sheetData>
    <row r="1" spans="4:14">
      <c r="F1" s="78" t="s">
        <v>2081</v>
      </c>
      <c r="G1" s="78"/>
      <c r="H1" s="78"/>
      <c r="I1" s="78"/>
    </row>
    <row r="2" spans="4:14" ht="13.8" customHeight="1">
      <c r="F2" s="78"/>
      <c r="G2" s="78"/>
      <c r="H2" s="78"/>
      <c r="I2" s="78"/>
    </row>
    <row r="3" spans="4:14" ht="13.8" customHeight="1">
      <c r="F3" s="78"/>
      <c r="G3" s="78"/>
      <c r="H3" s="78"/>
      <c r="I3" s="78"/>
    </row>
    <row r="5" spans="4:14">
      <c r="D5" s="34" t="s">
        <v>2079</v>
      </c>
      <c r="E5" s="48" t="s">
        <v>2064</v>
      </c>
      <c r="F5" s="49" t="s">
        <v>2080</v>
      </c>
      <c r="G5" s="50" t="s">
        <v>2082</v>
      </c>
    </row>
    <row r="6" spans="4:14" ht="17.399999999999999">
      <c r="D6" s="73">
        <v>1000</v>
      </c>
      <c r="E6" s="74">
        <v>10372470</v>
      </c>
      <c r="F6" s="74">
        <v>11399649</v>
      </c>
      <c r="G6" s="75">
        <v>0.90989380462503711</v>
      </c>
    </row>
    <row r="10" spans="4:14" hidden="1">
      <c r="J10" s="25" t="s">
        <v>2090</v>
      </c>
      <c r="K10" s="25" t="s">
        <v>2086</v>
      </c>
      <c r="L10" s="22"/>
      <c r="M10" s="22"/>
      <c r="N10" s="22"/>
    </row>
    <row r="11" spans="4:14" ht="14.4" thickBot="1">
      <c r="D11" s="53" t="s">
        <v>2077</v>
      </c>
      <c r="E11" s="54" t="s">
        <v>2064</v>
      </c>
      <c r="F11" s="54" t="s">
        <v>2084</v>
      </c>
      <c r="G11" s="54" t="s">
        <v>2085</v>
      </c>
      <c r="H11" s="54" t="s">
        <v>2082</v>
      </c>
      <c r="J11" s="25" t="s">
        <v>2077</v>
      </c>
      <c r="K11" s="27" t="s">
        <v>2109</v>
      </c>
      <c r="L11" s="27" t="s">
        <v>2087</v>
      </c>
      <c r="M11" s="27" t="s">
        <v>2088</v>
      </c>
      <c r="N11" s="27" t="s">
        <v>2089</v>
      </c>
    </row>
    <row r="12" spans="4:14">
      <c r="D12" s="80" t="s">
        <v>28</v>
      </c>
      <c r="E12" s="81">
        <v>1490960</v>
      </c>
      <c r="F12" s="82">
        <v>2</v>
      </c>
      <c r="G12" s="81">
        <v>1580413</v>
      </c>
      <c r="H12" s="84">
        <v>0.94339897229395098</v>
      </c>
      <c r="J12" s="22" t="s">
        <v>28</v>
      </c>
      <c r="K12" s="85">
        <v>1</v>
      </c>
      <c r="L12" s="85">
        <v>2</v>
      </c>
      <c r="M12" s="85">
        <v>44</v>
      </c>
      <c r="N12" s="85">
        <v>81</v>
      </c>
    </row>
    <row r="13" spans="4:14">
      <c r="D13" s="80" t="s">
        <v>38</v>
      </c>
      <c r="E13" s="81">
        <v>1072720</v>
      </c>
      <c r="F13" s="82">
        <v>7</v>
      </c>
      <c r="G13" s="81">
        <v>1147816</v>
      </c>
      <c r="H13" s="84">
        <v>0.9345748795974268</v>
      </c>
      <c r="J13" s="22" t="s">
        <v>48</v>
      </c>
      <c r="K13" s="79"/>
      <c r="L13" s="79">
        <v>10</v>
      </c>
      <c r="M13" s="79">
        <v>65</v>
      </c>
      <c r="N13" s="85">
        <v>55</v>
      </c>
    </row>
    <row r="14" spans="4:14">
      <c r="D14" s="80" t="s">
        <v>43</v>
      </c>
      <c r="E14" s="81">
        <v>1330400</v>
      </c>
      <c r="F14" s="82">
        <v>4</v>
      </c>
      <c r="G14" s="81">
        <v>1436830</v>
      </c>
      <c r="H14" s="84">
        <v>0.92592721477140649</v>
      </c>
      <c r="J14" s="22" t="s">
        <v>43</v>
      </c>
      <c r="K14" s="79"/>
      <c r="L14" s="79">
        <v>17</v>
      </c>
      <c r="M14" s="79">
        <v>74</v>
      </c>
      <c r="N14" s="85">
        <v>47</v>
      </c>
    </row>
    <row r="15" spans="4:14">
      <c r="D15" s="80" t="s">
        <v>63</v>
      </c>
      <c r="E15" s="81">
        <v>1064080</v>
      </c>
      <c r="F15" s="82">
        <v>8</v>
      </c>
      <c r="G15" s="81">
        <v>1149207</v>
      </c>
      <c r="H15" s="84">
        <v>0.92592544250078535</v>
      </c>
      <c r="J15" s="22" t="s">
        <v>38</v>
      </c>
      <c r="K15" s="79"/>
      <c r="L15" s="79">
        <v>5</v>
      </c>
      <c r="M15" s="79">
        <v>58</v>
      </c>
      <c r="N15" s="85">
        <v>41</v>
      </c>
    </row>
    <row r="16" spans="4:14">
      <c r="D16" s="80" t="s">
        <v>48</v>
      </c>
      <c r="E16" s="81">
        <v>1383370</v>
      </c>
      <c r="F16" s="82">
        <v>3</v>
      </c>
      <c r="G16" s="81">
        <v>1507877</v>
      </c>
      <c r="H16" s="84">
        <v>0.91742894148528031</v>
      </c>
      <c r="J16" s="22" t="s">
        <v>63</v>
      </c>
      <c r="K16" s="79">
        <v>2</v>
      </c>
      <c r="L16" s="79">
        <v>20</v>
      </c>
      <c r="M16" s="79">
        <v>58</v>
      </c>
      <c r="N16" s="85">
        <v>37</v>
      </c>
    </row>
    <row r="17" spans="4:14">
      <c r="D17" s="80" t="s">
        <v>53</v>
      </c>
      <c r="E17" s="81">
        <v>1498090</v>
      </c>
      <c r="F17" s="82">
        <v>1</v>
      </c>
      <c r="G17" s="81">
        <v>1677860</v>
      </c>
      <c r="H17" s="84">
        <v>0.89285756856948728</v>
      </c>
      <c r="J17" s="22" t="s">
        <v>53</v>
      </c>
      <c r="K17" s="79">
        <v>2</v>
      </c>
      <c r="L17" s="79">
        <v>41</v>
      </c>
      <c r="M17" s="79">
        <v>66</v>
      </c>
      <c r="N17" s="85">
        <v>23</v>
      </c>
    </row>
    <row r="18" spans="4:14">
      <c r="D18" s="80" t="s">
        <v>33</v>
      </c>
      <c r="E18" s="81">
        <v>1311820</v>
      </c>
      <c r="F18" s="82">
        <v>5</v>
      </c>
      <c r="G18" s="81">
        <v>1495472</v>
      </c>
      <c r="H18" s="84">
        <v>0.87719462484085298</v>
      </c>
      <c r="J18" s="22" t="s">
        <v>33</v>
      </c>
      <c r="K18" s="79">
        <v>6</v>
      </c>
      <c r="L18" s="79">
        <v>39</v>
      </c>
      <c r="M18" s="79">
        <v>64</v>
      </c>
      <c r="N18" s="85">
        <v>18</v>
      </c>
    </row>
    <row r="19" spans="4:14">
      <c r="D19" s="80" t="s">
        <v>58</v>
      </c>
      <c r="E19" s="81">
        <v>1221030</v>
      </c>
      <c r="F19" s="82">
        <v>6</v>
      </c>
      <c r="G19" s="81">
        <v>1404174</v>
      </c>
      <c r="H19" s="84">
        <v>0.86957171974413427</v>
      </c>
      <c r="J19" s="22" t="s">
        <v>58</v>
      </c>
      <c r="K19" s="79">
        <v>9</v>
      </c>
      <c r="L19" s="79">
        <v>56</v>
      </c>
      <c r="M19" s="79">
        <v>47</v>
      </c>
      <c r="N19" s="85">
        <v>12</v>
      </c>
    </row>
    <row r="20" spans="4:14" ht="14.4" thickBot="1">
      <c r="D20" s="55" t="s">
        <v>2083</v>
      </c>
      <c r="E20" s="56">
        <v>10372470</v>
      </c>
      <c r="F20" s="83"/>
      <c r="G20" s="56">
        <v>11399649</v>
      </c>
      <c r="H20" s="57">
        <v>0.90989380462503711</v>
      </c>
      <c r="J20" s="22" t="s">
        <v>2083</v>
      </c>
      <c r="K20" s="79">
        <v>20</v>
      </c>
      <c r="L20" s="79">
        <v>190</v>
      </c>
      <c r="M20" s="79">
        <v>476</v>
      </c>
      <c r="N20" s="79">
        <v>314</v>
      </c>
    </row>
    <row r="21" spans="4:14" ht="14.4" thickTop="1"/>
    <row r="25" spans="4:14">
      <c r="D25" s="25" t="s">
        <v>2077</v>
      </c>
      <c r="E25" s="22" t="s">
        <v>2091</v>
      </c>
      <c r="K25" s="52"/>
      <c r="L25" s="52"/>
    </row>
    <row r="26" spans="4:14">
      <c r="D26" s="22" t="s">
        <v>28</v>
      </c>
      <c r="E26" s="26">
        <v>2.96875</v>
      </c>
      <c r="H26" s="72" t="s">
        <v>2077</v>
      </c>
      <c r="I26" s="68" t="s">
        <v>2064</v>
      </c>
      <c r="J26" s="63" t="s">
        <v>2106</v>
      </c>
      <c r="K26" s="52"/>
      <c r="L26" s="52"/>
    </row>
    <row r="27" spans="4:14">
      <c r="D27" s="22" t="s">
        <v>48</v>
      </c>
      <c r="E27" s="26">
        <v>3.7461538461538462</v>
      </c>
      <c r="H27" s="64" t="s">
        <v>53</v>
      </c>
      <c r="I27" s="69">
        <v>1498090</v>
      </c>
      <c r="J27" s="70">
        <v>1677860</v>
      </c>
      <c r="K27" s="52"/>
      <c r="L27" s="52"/>
    </row>
    <row r="28" spans="4:14">
      <c r="D28" s="22" t="s">
        <v>38</v>
      </c>
      <c r="E28" s="26">
        <v>3.7884615384615383</v>
      </c>
      <c r="H28" s="64" t="s">
        <v>33</v>
      </c>
      <c r="I28" s="71">
        <v>1311820</v>
      </c>
      <c r="J28" s="65">
        <v>1495472</v>
      </c>
      <c r="K28" s="52"/>
      <c r="L28" s="52"/>
    </row>
    <row r="29" spans="4:14">
      <c r="D29" s="22" t="s">
        <v>43</v>
      </c>
      <c r="E29" s="26">
        <v>4.2971014492753623</v>
      </c>
      <c r="H29" s="64" t="s">
        <v>28</v>
      </c>
      <c r="I29" s="71">
        <v>1490960</v>
      </c>
      <c r="J29" s="65">
        <v>1580413</v>
      </c>
      <c r="K29" s="52"/>
      <c r="L29" s="52"/>
    </row>
    <row r="30" spans="4:14">
      <c r="D30" s="22" t="s">
        <v>63</v>
      </c>
      <c r="E30" s="26">
        <v>4.5641025641025639</v>
      </c>
      <c r="H30" s="64" t="s">
        <v>48</v>
      </c>
      <c r="I30" s="71">
        <v>1383370</v>
      </c>
      <c r="J30" s="65">
        <v>1507877</v>
      </c>
      <c r="K30" s="52"/>
      <c r="L30" s="52"/>
    </row>
    <row r="31" spans="4:14">
      <c r="D31" s="22" t="s">
        <v>53</v>
      </c>
      <c r="E31" s="26">
        <v>5.3787878787878789</v>
      </c>
      <c r="H31" s="64" t="s">
        <v>63</v>
      </c>
      <c r="I31" s="71">
        <v>1064080</v>
      </c>
      <c r="J31" s="65">
        <v>1149207</v>
      </c>
      <c r="K31" s="52"/>
      <c r="L31" s="52"/>
    </row>
    <row r="32" spans="4:14">
      <c r="D32" s="22" t="s">
        <v>33</v>
      </c>
      <c r="E32" s="26">
        <v>5.4566929133858268</v>
      </c>
      <c r="H32" s="64" t="s">
        <v>43</v>
      </c>
      <c r="I32" s="71">
        <v>1330400</v>
      </c>
      <c r="J32" s="65">
        <v>1436830</v>
      </c>
      <c r="K32" s="52"/>
      <c r="L32" s="52"/>
    </row>
    <row r="33" spans="4:12">
      <c r="D33" s="22" t="s">
        <v>58</v>
      </c>
      <c r="E33" s="26">
        <v>6.42741935483871</v>
      </c>
      <c r="H33" s="64" t="s">
        <v>58</v>
      </c>
      <c r="I33" s="71">
        <v>1221030</v>
      </c>
      <c r="J33" s="65">
        <v>1404174</v>
      </c>
      <c r="L33" s="52"/>
    </row>
    <row r="34" spans="4:12">
      <c r="D34" s="22" t="s">
        <v>2083</v>
      </c>
      <c r="E34" s="79">
        <v>4.5880000000000001</v>
      </c>
      <c r="H34" s="66" t="s">
        <v>38</v>
      </c>
      <c r="I34" s="62">
        <v>1072720</v>
      </c>
      <c r="J34" s="67">
        <v>1147816</v>
      </c>
      <c r="L34" s="52"/>
    </row>
    <row r="38" spans="4:12">
      <c r="D38" s="25" t="s">
        <v>907</v>
      </c>
      <c r="E38" s="25" t="s">
        <v>2076</v>
      </c>
      <c r="F38" s="22" t="s">
        <v>2100</v>
      </c>
      <c r="H38" s="42" t="s">
        <v>2101</v>
      </c>
      <c r="I38" s="37"/>
      <c r="J38" s="37"/>
      <c r="K38" s="37"/>
      <c r="L38" s="38"/>
    </row>
    <row r="39" spans="4:12">
      <c r="D39" s="22" t="s">
        <v>961</v>
      </c>
      <c r="E39" s="22" t="s">
        <v>962</v>
      </c>
      <c r="F39" s="52">
        <v>300240</v>
      </c>
      <c r="H39" s="39"/>
      <c r="L39" s="40"/>
    </row>
    <row r="40" spans="4:12">
      <c r="D40" s="22" t="s">
        <v>963</v>
      </c>
      <c r="E40" s="22" t="s">
        <v>178</v>
      </c>
      <c r="F40" s="52">
        <v>358680</v>
      </c>
      <c r="H40" s="51">
        <f>SUM(F39:F48)</f>
        <v>3124060</v>
      </c>
      <c r="L40" s="40"/>
    </row>
    <row r="41" spans="4:12">
      <c r="D41" s="22" t="s">
        <v>927</v>
      </c>
      <c r="E41" s="22" t="s">
        <v>928</v>
      </c>
      <c r="F41" s="52">
        <v>323880</v>
      </c>
      <c r="H41" s="39"/>
      <c r="L41" s="40"/>
    </row>
    <row r="42" spans="4:12">
      <c r="D42" s="22" t="s">
        <v>929</v>
      </c>
      <c r="E42" s="22" t="s">
        <v>930</v>
      </c>
      <c r="F42" s="52">
        <v>290270</v>
      </c>
      <c r="H42" s="39" t="s">
        <v>2102</v>
      </c>
      <c r="L42" s="40"/>
    </row>
    <row r="43" spans="4:12">
      <c r="D43" s="22" t="s">
        <v>912</v>
      </c>
      <c r="E43" s="22" t="s">
        <v>913</v>
      </c>
      <c r="F43" s="52">
        <v>316400</v>
      </c>
      <c r="H43" s="51">
        <f>GETPIVOTDATA("Total Sales",$D$5)</f>
        <v>10372470</v>
      </c>
      <c r="L43" s="40"/>
    </row>
    <row r="44" spans="4:12">
      <c r="D44" s="22" t="s">
        <v>918</v>
      </c>
      <c r="E44" s="22" t="s">
        <v>262</v>
      </c>
      <c r="F44" s="52">
        <v>309150</v>
      </c>
      <c r="H44" s="39"/>
      <c r="L44" s="40"/>
    </row>
    <row r="45" spans="4:12">
      <c r="D45" s="22" t="s">
        <v>954</v>
      </c>
      <c r="E45" s="22" t="s">
        <v>208</v>
      </c>
      <c r="F45" s="52">
        <v>294550</v>
      </c>
      <c r="H45" s="39" t="s">
        <v>2103</v>
      </c>
      <c r="J45" t="s">
        <v>2104</v>
      </c>
      <c r="L45" s="40"/>
    </row>
    <row r="46" spans="4:12">
      <c r="D46" s="22" t="s">
        <v>958</v>
      </c>
      <c r="E46" s="22" t="s">
        <v>959</v>
      </c>
      <c r="F46" s="52">
        <v>299560</v>
      </c>
      <c r="H46" s="43">
        <f>H40/H43</f>
        <v>0.30118766311206491</v>
      </c>
      <c r="J46" s="44">
        <f>100%-H46</f>
        <v>0.69881233688793509</v>
      </c>
      <c r="L46" s="40"/>
    </row>
    <row r="47" spans="4:12">
      <c r="D47" s="22" t="s">
        <v>983</v>
      </c>
      <c r="E47" s="22" t="s">
        <v>984</v>
      </c>
      <c r="F47" s="52">
        <v>298350</v>
      </c>
      <c r="H47" s="39"/>
      <c r="L47" s="40"/>
    </row>
    <row r="48" spans="4:12">
      <c r="D48" s="22" t="s">
        <v>944</v>
      </c>
      <c r="E48" s="22" t="s">
        <v>218</v>
      </c>
      <c r="F48" s="52">
        <v>332980</v>
      </c>
      <c r="H48" s="39"/>
      <c r="L48" s="40"/>
    </row>
    <row r="49" spans="4:12">
      <c r="D49" s="22" t="s">
        <v>2083</v>
      </c>
      <c r="E49" s="22"/>
      <c r="F49" s="52">
        <v>3124060</v>
      </c>
      <c r="H49" s="45" t="str">
        <f>"Top 10 sales man contribute to "&amp;TEXT(H46,"0.00%")&amp; " sales and remaining sales man contribute to "&amp;TEXT(J46,"0.00%")&amp; " sales"</f>
        <v>Top 10 sales man contribute to 30.12% sales and remaining sales man contribute to 69.88% sales</v>
      </c>
      <c r="I49" s="46"/>
      <c r="J49" s="46"/>
      <c r="K49" s="46"/>
      <c r="L49" s="47"/>
    </row>
    <row r="52" spans="4:12">
      <c r="F52" s="35">
        <v>2</v>
      </c>
    </row>
    <row r="53" spans="4:12">
      <c r="D53" s="25" t="s">
        <v>2077</v>
      </c>
      <c r="E53" s="22" t="s">
        <v>2105</v>
      </c>
      <c r="F53" s="22" t="s">
        <v>2082</v>
      </c>
    </row>
    <row r="54" spans="4:12">
      <c r="D54" s="22" t="s">
        <v>711</v>
      </c>
      <c r="E54" s="52">
        <v>388430</v>
      </c>
      <c r="F54" s="24">
        <v>0.89285632191834352</v>
      </c>
      <c r="H54" s="58" t="s">
        <v>2107</v>
      </c>
      <c r="J54" s="36" t="str" cm="1">
        <f t="array" ref="J54:L59">IF(F52=1,$D$53:$F$58,$D$64:$F$69)</f>
        <v>Region</v>
      </c>
      <c r="K54" s="37" t="str">
        <v>Sales Amount</v>
      </c>
      <c r="L54" s="38" t="str">
        <v xml:space="preserve">Target Achieved </v>
      </c>
    </row>
    <row r="55" spans="4:12">
      <c r="D55" s="22" t="s">
        <v>648</v>
      </c>
      <c r="E55" s="52">
        <v>364560</v>
      </c>
      <c r="F55" s="24">
        <v>0.87720015880845537</v>
      </c>
      <c r="J55" s="39" t="str">
        <v>Chattogram Agrabad Store</v>
      </c>
      <c r="K55" s="51">
        <v>175790</v>
      </c>
      <c r="L55" s="24">
        <v>0.87719560878243508</v>
      </c>
    </row>
    <row r="56" spans="4:12">
      <c r="D56" s="22" t="s">
        <v>623</v>
      </c>
      <c r="E56" s="52">
        <v>374700</v>
      </c>
      <c r="F56" s="24">
        <v>0.94340097688705371</v>
      </c>
      <c r="H56" s="59" t="s">
        <v>2108</v>
      </c>
      <c r="J56" s="39" t="str">
        <v>Mymensingh Kewatkhali Store</v>
      </c>
      <c r="K56" s="51">
        <v>170090</v>
      </c>
      <c r="L56" s="24">
        <v>0.92592693402722959</v>
      </c>
    </row>
    <row r="57" spans="4:12">
      <c r="D57" s="22" t="s">
        <v>696</v>
      </c>
      <c r="E57" s="52">
        <v>350070</v>
      </c>
      <c r="F57" s="24">
        <v>0.91743431828605126</v>
      </c>
      <c r="J57" s="39" t="str">
        <v>Rajshahi Uposhohor Store</v>
      </c>
      <c r="K57" s="51">
        <v>126640</v>
      </c>
      <c r="L57" s="24">
        <v>0.92592727990582802</v>
      </c>
    </row>
    <row r="58" spans="4:12">
      <c r="D58" s="22" t="s">
        <v>672</v>
      </c>
      <c r="E58" s="52">
        <v>442120</v>
      </c>
      <c r="F58" s="24">
        <v>0.92592708941986102</v>
      </c>
      <c r="H58" t="str">
        <f>IF(F52=1,H54,H56)</f>
        <v>Bottom 5 Sales by Performance</v>
      </c>
      <c r="J58" s="39" t="str">
        <v>Sylhet Upashahar Store</v>
      </c>
      <c r="K58" s="51">
        <v>158070</v>
      </c>
      <c r="L58" s="24">
        <v>0.93457336108220601</v>
      </c>
    </row>
    <row r="59" spans="4:12">
      <c r="D59" s="22" t="s">
        <v>2083</v>
      </c>
      <c r="E59" s="52">
        <v>1919880</v>
      </c>
      <c r="F59" s="24">
        <v>0.91124273274095691</v>
      </c>
      <c r="J59" s="41" t="str">
        <v>Sylhet Zindabazar Store</v>
      </c>
      <c r="K59" s="51">
        <v>183710</v>
      </c>
      <c r="L59" s="24">
        <v>0.93457801292160558</v>
      </c>
    </row>
    <row r="63" spans="4:12">
      <c r="H63" t="s">
        <v>2076</v>
      </c>
      <c r="I63" t="s">
        <v>2100</v>
      </c>
    </row>
    <row r="64" spans="4:12">
      <c r="D64" s="25" t="s">
        <v>2077</v>
      </c>
      <c r="E64" s="22" t="s">
        <v>2105</v>
      </c>
      <c r="F64" s="22" t="s">
        <v>2082</v>
      </c>
      <c r="H64" t="str">
        <f t="shared" ref="H64:H73" si="0">E39</f>
        <v>Shaila Akter</v>
      </c>
      <c r="I64" s="61">
        <f t="shared" ref="I64:I73" si="1">F39</f>
        <v>300240</v>
      </c>
    </row>
    <row r="65" spans="4:9">
      <c r="D65" s="22" t="s">
        <v>639</v>
      </c>
      <c r="E65" s="52">
        <v>175790</v>
      </c>
      <c r="F65" s="24">
        <v>0.87719560878243508</v>
      </c>
      <c r="H65" t="str">
        <f t="shared" si="0"/>
        <v>Rasel Uddin</v>
      </c>
      <c r="I65" s="61">
        <f t="shared" si="1"/>
        <v>358680</v>
      </c>
    </row>
    <row r="66" spans="4:9">
      <c r="D66" s="22" t="s">
        <v>738</v>
      </c>
      <c r="E66" s="52">
        <v>170090</v>
      </c>
      <c r="F66" s="24">
        <v>0.92592693402722959</v>
      </c>
      <c r="H66" t="str">
        <f t="shared" si="0"/>
        <v>Shakib Ahmed</v>
      </c>
      <c r="I66" s="61">
        <f t="shared" si="1"/>
        <v>323880</v>
      </c>
    </row>
    <row r="67" spans="4:9">
      <c r="D67" s="22" t="s">
        <v>675</v>
      </c>
      <c r="E67" s="52">
        <v>126640</v>
      </c>
      <c r="F67" s="24">
        <v>0.92592727990582802</v>
      </c>
      <c r="H67" t="str">
        <f t="shared" si="0"/>
        <v>Nabila Mia</v>
      </c>
      <c r="I67" s="61">
        <f t="shared" si="1"/>
        <v>290270</v>
      </c>
    </row>
    <row r="68" spans="4:9">
      <c r="D68" s="22" t="s">
        <v>666</v>
      </c>
      <c r="E68" s="52">
        <v>158070</v>
      </c>
      <c r="F68" s="24">
        <v>0.93457336108220601</v>
      </c>
      <c r="H68" t="str">
        <f t="shared" si="0"/>
        <v>Mahmud Hossain</v>
      </c>
      <c r="I68" s="61">
        <f t="shared" si="1"/>
        <v>316400</v>
      </c>
    </row>
    <row r="69" spans="4:9">
      <c r="D69" s="22" t="s">
        <v>654</v>
      </c>
      <c r="E69" s="52">
        <v>183710</v>
      </c>
      <c r="F69" s="24">
        <v>0.93457801292160558</v>
      </c>
      <c r="H69" t="str">
        <f t="shared" si="0"/>
        <v>Tania Sultana</v>
      </c>
      <c r="I69" s="61">
        <f t="shared" si="1"/>
        <v>309150</v>
      </c>
    </row>
    <row r="70" spans="4:9">
      <c r="D70" s="22" t="s">
        <v>2083</v>
      </c>
      <c r="E70" s="52">
        <v>814300</v>
      </c>
      <c r="F70" s="24">
        <v>0.91847945010794363</v>
      </c>
      <c r="H70" t="str">
        <f t="shared" si="0"/>
        <v>Sadia Sultana</v>
      </c>
      <c r="I70" s="61">
        <f t="shared" si="1"/>
        <v>294550</v>
      </c>
    </row>
    <row r="71" spans="4:9">
      <c r="H71" t="str">
        <f t="shared" si="0"/>
        <v>Fahim Uddin</v>
      </c>
      <c r="I71" s="61">
        <f t="shared" si="1"/>
        <v>299560</v>
      </c>
    </row>
    <row r="72" spans="4:9">
      <c r="H72" t="str">
        <f t="shared" si="0"/>
        <v>Fahim Hossain</v>
      </c>
      <c r="I72" s="61">
        <f t="shared" si="1"/>
        <v>298350</v>
      </c>
    </row>
    <row r="73" spans="4:9">
      <c r="H73" t="str">
        <f t="shared" si="0"/>
        <v>Karim Khan</v>
      </c>
      <c r="I73" s="61">
        <f t="shared" si="1"/>
        <v>332980</v>
      </c>
    </row>
  </sheetData>
  <mergeCells count="1">
    <mergeCell ref="F1:I3"/>
  </mergeCells>
  <conditionalFormatting pivot="1" sqref="H12:H19">
    <cfRule type="colorScale" priority="22">
      <colorScale>
        <cfvo type="min"/>
        <cfvo type="max"/>
        <color rgb="FFFCFCFF"/>
        <color theme="4" tint="0.59999389629810485"/>
      </colorScale>
    </cfRule>
  </conditionalFormatting>
  <conditionalFormatting pivot="1" sqref="F12:F19">
    <cfRule type="colorScale" priority="21">
      <colorScale>
        <cfvo type="min"/>
        <cfvo type="max"/>
        <color theme="4" tint="0.59999389629810485"/>
        <color rgb="FFFCFCFF"/>
      </colorScale>
    </cfRule>
  </conditionalFormatting>
  <conditionalFormatting pivot="1" sqref="E26:E3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26:E33">
    <cfRule type="colorScale" priority="15">
      <colorScale>
        <cfvo type="min"/>
        <cfvo type="max"/>
        <color rgb="FF63BE7B"/>
        <color rgb="FFFCFCFF"/>
      </colorScale>
    </cfRule>
  </conditionalFormatting>
  <conditionalFormatting pivot="1" sqref="N12:N19">
    <cfRule type="dataBar" priority="12">
      <dataBar>
        <cfvo type="num" val="0"/>
        <cfvo type="formula" val="MAX($N$12:$N$19)*2"/>
        <color rgb="FF63C384"/>
      </dataBar>
      <extLst>
        <ext xmlns:x14="http://schemas.microsoft.com/office/spreadsheetml/2009/9/main" uri="{B025F937-C7B1-47D3-B67F-A62EFF666E3E}">
          <x14:id>{787CD6B8-B948-44EA-AD04-18DF8CD37305}</x14:id>
        </ext>
      </extLst>
    </cfRule>
  </conditionalFormatting>
  <conditionalFormatting pivot="1" sqref="M12:M19">
    <cfRule type="dataBar" priority="11">
      <dataBar>
        <cfvo type="num" val="0"/>
        <cfvo type="formula" val="MAX($N$12:$N$19)*2"/>
        <color rgb="FFF0F042"/>
      </dataBar>
      <extLst>
        <ext xmlns:x14="http://schemas.microsoft.com/office/spreadsheetml/2009/9/main" uri="{B025F937-C7B1-47D3-B67F-A62EFF666E3E}">
          <x14:id>{82D153F3-45D1-492A-AF75-2378D2EF1E69}</x14:id>
        </ext>
      </extLst>
    </cfRule>
  </conditionalFormatting>
  <conditionalFormatting pivot="1" sqref="L12:L19">
    <cfRule type="dataBar" priority="10">
      <dataBar>
        <cfvo type="num" val="0"/>
        <cfvo type="formula" val="MAX($N$12:$N$19)*2"/>
        <color rgb="FFDA6642"/>
      </dataBar>
      <extLst>
        <ext xmlns:x14="http://schemas.microsoft.com/office/spreadsheetml/2009/9/main" uri="{B025F937-C7B1-47D3-B67F-A62EFF666E3E}">
          <x14:id>{537E6852-BFBD-44C5-898E-2FD62CD03ADF}</x14:id>
        </ext>
      </extLst>
    </cfRule>
  </conditionalFormatting>
  <conditionalFormatting pivot="1" sqref="K12:K19">
    <cfRule type="dataBar" priority="9">
      <dataBar>
        <cfvo type="num" val="0"/>
        <cfvo type="formula" val="MAX($M$12:$M$19)*2"/>
        <color rgb="FFFF0000"/>
      </dataBar>
      <extLst>
        <ext xmlns:x14="http://schemas.microsoft.com/office/spreadsheetml/2009/9/main" uri="{B025F937-C7B1-47D3-B67F-A62EFF666E3E}">
          <x14:id>{5F08AE83-1ABD-4A17-85DF-122475383EA1}</x14:id>
        </ext>
      </extLst>
    </cfRule>
  </conditionalFormatting>
  <pageMargins left="0.7" right="0.7" top="0.75" bottom="0.75" header="0.3" footer="0.3"/>
  <drawing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87CD6B8-B948-44EA-AD04-18DF8CD37305}">
            <x14:dataBar minLength="0" maxLength="100" gradient="0">
              <x14:cfvo type="num">
                <xm:f>0</xm:f>
              </x14:cfvo>
              <x14:cfvo type="formula">
                <xm:f>MAX($N$12:$N$19)*2</xm:f>
              </x14:cfvo>
              <x14:negativeFillColor rgb="FFFF0000"/>
              <x14:axisColor rgb="FF000000"/>
            </x14:dataBar>
          </x14:cfRule>
          <xm:sqref>N12:N19</xm:sqref>
        </x14:conditionalFormatting>
        <x14:conditionalFormatting xmlns:xm="http://schemas.microsoft.com/office/excel/2006/main" pivot="1">
          <x14:cfRule type="dataBar" id="{82D153F3-45D1-492A-AF75-2378D2EF1E69}">
            <x14:dataBar minLength="0" maxLength="100" gradient="0">
              <x14:cfvo type="num">
                <xm:f>0</xm:f>
              </x14:cfvo>
              <x14:cfvo type="formula">
                <xm:f>MAX($N$12:$N$19)*2</xm:f>
              </x14:cfvo>
              <x14:negativeFillColor rgb="FFFF0000"/>
              <x14:axisColor rgb="FF000000"/>
            </x14:dataBar>
          </x14:cfRule>
          <xm:sqref>M12:M19</xm:sqref>
        </x14:conditionalFormatting>
        <x14:conditionalFormatting xmlns:xm="http://schemas.microsoft.com/office/excel/2006/main" pivot="1">
          <x14:cfRule type="dataBar" id="{537E6852-BFBD-44C5-898E-2FD62CD03ADF}">
            <x14:dataBar minLength="0" maxLength="100" gradient="0">
              <x14:cfvo type="num">
                <xm:f>0</xm:f>
              </x14:cfvo>
              <x14:cfvo type="formula">
                <xm:f>MAX($N$12:$N$19)*2</xm:f>
              </x14:cfvo>
              <x14:negativeFillColor rgb="FFFF0000"/>
              <x14:axisColor rgb="FF000000"/>
            </x14:dataBar>
          </x14:cfRule>
          <xm:sqref>L12:L19</xm:sqref>
        </x14:conditionalFormatting>
        <x14:conditionalFormatting xmlns:xm="http://schemas.microsoft.com/office/excel/2006/main" pivot="1">
          <x14:cfRule type="dataBar" id="{5F08AE83-1ABD-4A17-85DF-122475383EA1}">
            <x14:dataBar minLength="0" maxLength="100" gradient="0">
              <x14:cfvo type="num">
                <xm:f>0</xm:f>
              </x14:cfvo>
              <x14:cfvo type="formula">
                <xm:f>MAX($M$12:$M$19)*2</xm:f>
              </x14:cfvo>
              <x14:negativeFillColor rgb="FFFF0000"/>
              <x14:axisColor rgb="FF000000"/>
            </x14:dataBar>
          </x14:cfRule>
          <xm:sqref>K12:K19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E1E8-B3DE-400B-851B-5F7580EE4395}">
  <sheetPr codeName="Sheet11"/>
  <dimension ref="A1"/>
  <sheetViews>
    <sheetView showGridLines="0" zoomScale="70" zoomScaleNormal="70" workbookViewId="0">
      <selection activeCell="X15" sqref="X15"/>
    </sheetView>
  </sheetViews>
  <sheetFormatPr defaultRowHeight="13.8"/>
  <cols>
    <col min="1" max="16384" width="8.796875" style="60"/>
  </cols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46" r:id="rId3" name="Option Button 10">
              <controlPr defaultSize="0" autoFill="0" autoLine="0" autoPict="0">
                <anchor moveWithCells="1">
                  <from>
                    <xdr:col>10</xdr:col>
                    <xdr:colOff>30480</xdr:colOff>
                    <xdr:row>13</xdr:row>
                    <xdr:rowOff>30480</xdr:rowOff>
                  </from>
                  <to>
                    <xdr:col>10</xdr:col>
                    <xdr:colOff>312420</xdr:colOff>
                    <xdr:row>14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4" name="Option Button 11">
              <controlPr defaultSize="0" autoFill="0" autoLine="0" autoPict="0">
                <anchor moveWithCells="1">
                  <from>
                    <xdr:col>11</xdr:col>
                    <xdr:colOff>30480</xdr:colOff>
                    <xdr:row>13</xdr:row>
                    <xdr:rowOff>30480</xdr:rowOff>
                  </from>
                  <to>
                    <xdr:col>11</xdr:col>
                    <xdr:colOff>304800</xdr:colOff>
                    <xdr:row>14</xdr:row>
                    <xdr:rowOff>175260</xdr:rowOff>
                  </to>
                </anchor>
              </controlPr>
            </control>
          </mc:Choice>
        </mc:AlternateContent>
      </controls>
    </mc:Choice>
  </mc:AlternateContent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6068-5CBB-4690-A9A2-241A94253706}">
  <sheetPr codeName="Sheet12"/>
  <dimension ref="A1"/>
  <sheetViews>
    <sheetView showGridLines="0" zoomScale="80" zoomScaleNormal="80" workbookViewId="0"/>
  </sheetViews>
  <sheetFormatPr defaultRowHeight="13.8"/>
  <cols>
    <col min="1" max="16384" width="8.796875" style="60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6EFC-4F44-4F18-A703-5B2E792A90E0}">
  <sheetPr codeName="Sheet10"/>
  <dimension ref="A1:C50"/>
  <sheetViews>
    <sheetView showGridLines="0" workbookViewId="0"/>
  </sheetViews>
  <sheetFormatPr defaultRowHeight="13.8"/>
  <cols>
    <col min="1" max="1" width="21.19921875" style="23" customWidth="1"/>
    <col min="2" max="2" width="26.69921875" bestFit="1" customWidth="1"/>
    <col min="3" max="3" width="16.8984375" style="28" bestFit="1" customWidth="1"/>
  </cols>
  <sheetData>
    <row r="1" spans="1:3">
      <c r="A1" s="32" t="s">
        <v>2077</v>
      </c>
      <c r="B1" s="20" t="s">
        <v>2078</v>
      </c>
      <c r="C1" s="30" t="s">
        <v>2091</v>
      </c>
    </row>
    <row r="2" spans="1:3">
      <c r="A2" s="23" t="s">
        <v>28</v>
      </c>
      <c r="B2" s="23" t="s">
        <v>623</v>
      </c>
      <c r="C2" s="31">
        <v>2.875</v>
      </c>
    </row>
    <row r="3" spans="1:3">
      <c r="A3" s="23" t="s">
        <v>28</v>
      </c>
      <c r="B3" s="23" t="s">
        <v>619</v>
      </c>
      <c r="C3" s="31">
        <v>2.6666666666666665</v>
      </c>
    </row>
    <row r="4" spans="1:3">
      <c r="A4" s="23" t="s">
        <v>28</v>
      </c>
      <c r="B4" s="23" t="s">
        <v>627</v>
      </c>
      <c r="C4" s="31">
        <v>3.2142857142857144</v>
      </c>
    </row>
    <row r="5" spans="1:3">
      <c r="A5" s="23" t="s">
        <v>28</v>
      </c>
      <c r="B5" s="23" t="s">
        <v>635</v>
      </c>
      <c r="C5" s="31">
        <v>3.28</v>
      </c>
    </row>
    <row r="6" spans="1:3">
      <c r="A6" s="23" t="s">
        <v>28</v>
      </c>
      <c r="B6" s="23" t="s">
        <v>631</v>
      </c>
      <c r="C6" s="31">
        <v>2.7777777777777777</v>
      </c>
    </row>
    <row r="7" spans="1:3">
      <c r="A7" s="33" t="s">
        <v>2092</v>
      </c>
      <c r="B7" s="33"/>
      <c r="C7" s="29">
        <v>2.96875</v>
      </c>
    </row>
    <row r="8" spans="1:3">
      <c r="A8" s="23" t="s">
        <v>48</v>
      </c>
      <c r="B8" s="23" t="s">
        <v>693</v>
      </c>
      <c r="C8" s="85">
        <v>3.68</v>
      </c>
    </row>
    <row r="9" spans="1:3">
      <c r="A9" s="23" t="s">
        <v>48</v>
      </c>
      <c r="B9" s="23" t="s">
        <v>690</v>
      </c>
      <c r="C9" s="85">
        <v>3.4</v>
      </c>
    </row>
    <row r="10" spans="1:3">
      <c r="A10" s="23" t="s">
        <v>48</v>
      </c>
      <c r="B10" s="23" t="s">
        <v>687</v>
      </c>
      <c r="C10" s="85">
        <v>3.6363636363636362</v>
      </c>
    </row>
    <row r="11" spans="1:3">
      <c r="A11" s="23" t="s">
        <v>48</v>
      </c>
      <c r="B11" s="23" t="s">
        <v>696</v>
      </c>
      <c r="C11" s="85">
        <v>4.125</v>
      </c>
    </row>
    <row r="12" spans="1:3">
      <c r="A12" s="23" t="s">
        <v>48</v>
      </c>
      <c r="B12" s="23" t="s">
        <v>684</v>
      </c>
      <c r="C12" s="85">
        <v>3.7692307692307692</v>
      </c>
    </row>
    <row r="13" spans="1:3">
      <c r="A13" s="33" t="s">
        <v>2093</v>
      </c>
      <c r="B13" s="33"/>
      <c r="C13" s="29">
        <v>3.7461538461538462</v>
      </c>
    </row>
    <row r="14" spans="1:3">
      <c r="A14" s="23" t="s">
        <v>38</v>
      </c>
      <c r="B14" s="23" t="s">
        <v>657</v>
      </c>
      <c r="C14" s="85">
        <v>3.4090909090909092</v>
      </c>
    </row>
    <row r="15" spans="1:3">
      <c r="A15" s="23" t="s">
        <v>38</v>
      </c>
      <c r="B15" s="23" t="s">
        <v>660</v>
      </c>
      <c r="C15" s="85">
        <v>4.1739130434782608</v>
      </c>
    </row>
    <row r="16" spans="1:3">
      <c r="A16" s="23" t="s">
        <v>38</v>
      </c>
      <c r="B16" s="23" t="s">
        <v>663</v>
      </c>
      <c r="C16" s="85">
        <v>4.0555555555555554</v>
      </c>
    </row>
    <row r="17" spans="1:3">
      <c r="A17" s="23" t="s">
        <v>38</v>
      </c>
      <c r="B17" s="23" t="s">
        <v>666</v>
      </c>
      <c r="C17" s="85">
        <v>3.9090909090909092</v>
      </c>
    </row>
    <row r="18" spans="1:3">
      <c r="A18" s="23" t="s">
        <v>38</v>
      </c>
      <c r="B18" s="23" t="s">
        <v>654</v>
      </c>
      <c r="C18" s="85">
        <v>3.3684210526315788</v>
      </c>
    </row>
    <row r="19" spans="1:3">
      <c r="A19" s="33" t="s">
        <v>2094</v>
      </c>
      <c r="B19" s="33"/>
      <c r="C19" s="29">
        <v>3.7884615384615383</v>
      </c>
    </row>
    <row r="20" spans="1:3">
      <c r="A20" s="23" t="s">
        <v>43</v>
      </c>
      <c r="B20" s="23" t="s">
        <v>672</v>
      </c>
      <c r="C20" s="85">
        <v>4.2564102564102564</v>
      </c>
    </row>
    <row r="21" spans="1:3">
      <c r="A21" s="23" t="s">
        <v>43</v>
      </c>
      <c r="B21" s="23" t="s">
        <v>681</v>
      </c>
      <c r="C21" s="85">
        <v>4.5161290322580649</v>
      </c>
    </row>
    <row r="22" spans="1:3">
      <c r="A22" s="23" t="s">
        <v>43</v>
      </c>
      <c r="B22" s="23" t="s">
        <v>678</v>
      </c>
      <c r="C22" s="85">
        <v>4.1904761904761907</v>
      </c>
    </row>
    <row r="23" spans="1:3">
      <c r="A23" s="23" t="s">
        <v>43</v>
      </c>
      <c r="B23" s="23" t="s">
        <v>669</v>
      </c>
      <c r="C23" s="85">
        <v>4.083333333333333</v>
      </c>
    </row>
    <row r="24" spans="1:3">
      <c r="A24" s="23" t="s">
        <v>43</v>
      </c>
      <c r="B24" s="23" t="s">
        <v>675</v>
      </c>
      <c r="C24" s="85">
        <v>4.3913043478260869</v>
      </c>
    </row>
    <row r="25" spans="1:3">
      <c r="A25" s="33" t="s">
        <v>2095</v>
      </c>
      <c r="B25" s="33"/>
      <c r="C25" s="29">
        <v>4.2971014492753623</v>
      </c>
    </row>
    <row r="26" spans="1:3">
      <c r="A26" s="23" t="s">
        <v>63</v>
      </c>
      <c r="B26" s="23" t="s">
        <v>735</v>
      </c>
      <c r="C26" s="85">
        <v>5.1363636363636367</v>
      </c>
    </row>
    <row r="27" spans="1:3">
      <c r="A27" s="23" t="s">
        <v>63</v>
      </c>
      <c r="B27" s="23" t="s">
        <v>729</v>
      </c>
      <c r="C27" s="85">
        <v>4.125</v>
      </c>
    </row>
    <row r="28" spans="1:3">
      <c r="A28" s="23" t="s">
        <v>63</v>
      </c>
      <c r="B28" s="23" t="s">
        <v>738</v>
      </c>
      <c r="C28" s="85">
        <v>4.1111111111111107</v>
      </c>
    </row>
    <row r="29" spans="1:3">
      <c r="A29" s="23" t="s">
        <v>63</v>
      </c>
      <c r="B29" s="23" t="s">
        <v>741</v>
      </c>
      <c r="C29" s="85">
        <v>4.4642857142857144</v>
      </c>
    </row>
    <row r="30" spans="1:3">
      <c r="A30" s="23" t="s">
        <v>63</v>
      </c>
      <c r="B30" s="23" t="s">
        <v>732</v>
      </c>
      <c r="C30" s="85">
        <v>4.92</v>
      </c>
    </row>
    <row r="31" spans="1:3">
      <c r="A31" s="33" t="s">
        <v>2096</v>
      </c>
      <c r="B31" s="33"/>
      <c r="C31" s="29">
        <v>4.5641025641025639</v>
      </c>
    </row>
    <row r="32" spans="1:3">
      <c r="A32" s="23" t="s">
        <v>53</v>
      </c>
      <c r="B32" s="23" t="s">
        <v>708</v>
      </c>
      <c r="C32" s="85">
        <v>5.2222222222222223</v>
      </c>
    </row>
    <row r="33" spans="1:3">
      <c r="A33" s="23" t="s">
        <v>53</v>
      </c>
      <c r="B33" s="23" t="s">
        <v>711</v>
      </c>
      <c r="C33" s="85">
        <v>5.4444444444444446</v>
      </c>
    </row>
    <row r="34" spans="1:3">
      <c r="A34" s="23" t="s">
        <v>53</v>
      </c>
      <c r="B34" s="23" t="s">
        <v>699</v>
      </c>
      <c r="C34" s="85">
        <v>5.2666666666666666</v>
      </c>
    </row>
    <row r="35" spans="1:3">
      <c r="A35" s="23" t="s">
        <v>53</v>
      </c>
      <c r="B35" s="23" t="s">
        <v>705</v>
      </c>
      <c r="C35" s="85">
        <v>5.916666666666667</v>
      </c>
    </row>
    <row r="36" spans="1:3">
      <c r="A36" s="23" t="s">
        <v>53</v>
      </c>
      <c r="B36" s="23" t="s">
        <v>702</v>
      </c>
      <c r="C36" s="85">
        <v>5.083333333333333</v>
      </c>
    </row>
    <row r="37" spans="1:3">
      <c r="A37" s="33" t="s">
        <v>2097</v>
      </c>
      <c r="B37" s="33"/>
      <c r="C37" s="29">
        <v>5.3787878787878789</v>
      </c>
    </row>
    <row r="38" spans="1:3">
      <c r="A38" s="23" t="s">
        <v>33</v>
      </c>
      <c r="B38" s="23" t="s">
        <v>639</v>
      </c>
      <c r="C38" s="85">
        <v>5.05</v>
      </c>
    </row>
    <row r="39" spans="1:3">
      <c r="A39" s="23" t="s">
        <v>33</v>
      </c>
      <c r="B39" s="23" t="s">
        <v>642</v>
      </c>
      <c r="C39" s="85">
        <v>5.333333333333333</v>
      </c>
    </row>
    <row r="40" spans="1:3">
      <c r="A40" s="23" t="s">
        <v>33</v>
      </c>
      <c r="B40" s="23" t="s">
        <v>651</v>
      </c>
      <c r="C40" s="85">
        <v>5.76</v>
      </c>
    </row>
    <row r="41" spans="1:3">
      <c r="A41" s="23" t="s">
        <v>33</v>
      </c>
      <c r="B41" s="23" t="s">
        <v>648</v>
      </c>
      <c r="C41" s="85">
        <v>5.3030303030303028</v>
      </c>
    </row>
    <row r="42" spans="1:3">
      <c r="A42" s="23" t="s">
        <v>33</v>
      </c>
      <c r="B42" s="23" t="s">
        <v>645</v>
      </c>
      <c r="C42" s="85">
        <v>5.75</v>
      </c>
    </row>
    <row r="43" spans="1:3">
      <c r="A43" s="33" t="s">
        <v>2098</v>
      </c>
      <c r="B43" s="33"/>
      <c r="C43" s="29">
        <v>5.4566929133858268</v>
      </c>
    </row>
    <row r="44" spans="1:3">
      <c r="A44" s="23" t="s">
        <v>58</v>
      </c>
      <c r="B44" s="23" t="s">
        <v>726</v>
      </c>
      <c r="C44" s="31">
        <v>7.25</v>
      </c>
    </row>
    <row r="45" spans="1:3">
      <c r="A45" s="23" t="s">
        <v>58</v>
      </c>
      <c r="B45" s="23" t="s">
        <v>723</v>
      </c>
      <c r="C45" s="31">
        <v>5.8</v>
      </c>
    </row>
    <row r="46" spans="1:3">
      <c r="A46" s="23" t="s">
        <v>58</v>
      </c>
      <c r="B46" s="23" t="s">
        <v>714</v>
      </c>
      <c r="C46" s="31">
        <v>6.2333333333333334</v>
      </c>
    </row>
    <row r="47" spans="1:3">
      <c r="A47" s="23" t="s">
        <v>58</v>
      </c>
      <c r="B47" s="23" t="s">
        <v>720</v>
      </c>
      <c r="C47" s="31">
        <v>6.1428571428571432</v>
      </c>
    </row>
    <row r="48" spans="1:3">
      <c r="A48" s="23" t="s">
        <v>58</v>
      </c>
      <c r="B48" s="23" t="s">
        <v>717</v>
      </c>
      <c r="C48" s="31">
        <v>6.75</v>
      </c>
    </row>
    <row r="49" spans="1:3">
      <c r="A49" s="33" t="s">
        <v>2099</v>
      </c>
      <c r="B49" s="33"/>
      <c r="C49" s="29">
        <v>6.42741935483871</v>
      </c>
    </row>
    <row r="50" spans="1:3">
      <c r="A50" s="23" t="s">
        <v>2083</v>
      </c>
      <c r="B50" s="23"/>
      <c r="C50" s="85">
        <v>4.5880000000000001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E6"/>
  <sheetViews>
    <sheetView workbookViewId="0">
      <selection activeCell="B9" sqref="B9"/>
    </sheetView>
  </sheetViews>
  <sheetFormatPr defaultRowHeight="13.8"/>
  <cols>
    <col min="1" max="1" width="18" customWidth="1"/>
    <col min="2" max="2" width="16" customWidth="1"/>
    <col min="3" max="3" width="18" customWidth="1"/>
    <col min="4" max="5" width="50" customWidth="1"/>
  </cols>
  <sheetData>
    <row r="1" spans="1:5" ht="27.9" customHeight="1">
      <c r="A1" s="9" t="s">
        <v>1998</v>
      </c>
      <c r="B1" s="9" t="s">
        <v>1999</v>
      </c>
      <c r="C1" s="9" t="s">
        <v>2000</v>
      </c>
      <c r="D1" s="9" t="s">
        <v>2001</v>
      </c>
      <c r="E1" s="9" t="s">
        <v>2002</v>
      </c>
    </row>
    <row r="2" spans="1:5">
      <c r="A2" s="4" t="s">
        <v>2003</v>
      </c>
      <c r="B2" s="4" t="s">
        <v>67</v>
      </c>
      <c r="C2" s="4" t="s">
        <v>2004</v>
      </c>
      <c r="D2" s="4" t="s">
        <v>2005</v>
      </c>
      <c r="E2" s="4" t="s">
        <v>2006</v>
      </c>
    </row>
    <row r="3" spans="1:5">
      <c r="A3" s="4" t="s">
        <v>2003</v>
      </c>
      <c r="B3" s="4" t="s">
        <v>21</v>
      </c>
      <c r="C3" s="4" t="s">
        <v>2007</v>
      </c>
      <c r="D3" s="4" t="s">
        <v>2008</v>
      </c>
      <c r="E3" s="4" t="s">
        <v>2009</v>
      </c>
    </row>
    <row r="4" spans="1:5">
      <c r="A4" s="4" t="s">
        <v>2003</v>
      </c>
      <c r="B4" s="4" t="s">
        <v>614</v>
      </c>
      <c r="C4" s="4" t="s">
        <v>2010</v>
      </c>
      <c r="D4" s="4" t="s">
        <v>2011</v>
      </c>
      <c r="E4" s="4" t="s">
        <v>2012</v>
      </c>
    </row>
    <row r="5" spans="1:5">
      <c r="A5" s="4" t="s">
        <v>2003</v>
      </c>
      <c r="B5" s="4" t="s">
        <v>743</v>
      </c>
      <c r="C5" s="4" t="s">
        <v>2013</v>
      </c>
      <c r="D5" s="4" t="s">
        <v>2014</v>
      </c>
      <c r="E5" s="4" t="s">
        <v>2015</v>
      </c>
    </row>
    <row r="6" spans="1:5">
      <c r="A6" s="4" t="s">
        <v>2003</v>
      </c>
      <c r="B6" s="4" t="s">
        <v>907</v>
      </c>
      <c r="C6" s="4" t="s">
        <v>2016</v>
      </c>
      <c r="D6" s="4" t="s">
        <v>2017</v>
      </c>
      <c r="E6" s="4" t="s">
        <v>2018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/>
  <dimension ref="A1:B7"/>
  <sheetViews>
    <sheetView workbookViewId="0">
      <selection activeCell="H33" sqref="H33"/>
    </sheetView>
  </sheetViews>
  <sheetFormatPr defaultRowHeight="13.8"/>
  <cols>
    <col min="1" max="1" width="35" customWidth="1"/>
    <col min="2" max="2" width="31.5" bestFit="1" customWidth="1"/>
  </cols>
  <sheetData>
    <row r="1" spans="1:2" ht="27.9" customHeight="1">
      <c r="A1" s="3" t="s">
        <v>2019</v>
      </c>
      <c r="B1" s="3" t="s">
        <v>2020</v>
      </c>
    </row>
    <row r="2" spans="1:2">
      <c r="A2" s="4" t="s">
        <v>2021</v>
      </c>
      <c r="B2" s="4" t="s">
        <v>2022</v>
      </c>
    </row>
    <row r="3" spans="1:2">
      <c r="A3" s="4" t="s">
        <v>2023</v>
      </c>
      <c r="B3" s="4" t="s">
        <v>2024</v>
      </c>
    </row>
    <row r="4" spans="1:2">
      <c r="A4" s="4" t="s">
        <v>2025</v>
      </c>
      <c r="B4" s="4" t="s">
        <v>2026</v>
      </c>
    </row>
    <row r="5" spans="1:2">
      <c r="A5" s="4" t="s">
        <v>2027</v>
      </c>
      <c r="B5" s="4" t="s">
        <v>2028</v>
      </c>
    </row>
    <row r="6" spans="1:2">
      <c r="A6" s="4" t="s">
        <v>2029</v>
      </c>
      <c r="B6" s="4" t="s">
        <v>2030</v>
      </c>
    </row>
    <row r="7" spans="1:2">
      <c r="A7" s="4" t="s">
        <v>2031</v>
      </c>
      <c r="B7" s="4" t="s">
        <v>2032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5"/>
  <dimension ref="A1:E6"/>
  <sheetViews>
    <sheetView topLeftCell="B1" workbookViewId="0"/>
  </sheetViews>
  <sheetFormatPr defaultRowHeight="13.8"/>
  <cols>
    <col min="1" max="1" width="29.796875" customWidth="1"/>
    <col min="2" max="2" width="96.19921875" customWidth="1"/>
    <col min="3" max="3" width="59.8984375" customWidth="1"/>
    <col min="4" max="4" width="53.796875" bestFit="1" customWidth="1"/>
    <col min="5" max="5" width="64" bestFit="1" customWidth="1"/>
  </cols>
  <sheetData>
    <row r="1" spans="1:5" ht="27.9" customHeight="1">
      <c r="A1" s="9" t="s">
        <v>2033</v>
      </c>
      <c r="B1" s="9" t="s">
        <v>2034</v>
      </c>
      <c r="C1" s="9" t="s">
        <v>2035</v>
      </c>
      <c r="D1" s="9" t="s">
        <v>2036</v>
      </c>
      <c r="E1" s="9" t="s">
        <v>2037</v>
      </c>
    </row>
    <row r="2" spans="1:5">
      <c r="A2" s="4" t="s">
        <v>2038</v>
      </c>
      <c r="B2" s="4" t="s">
        <v>2039</v>
      </c>
      <c r="C2" s="4" t="s">
        <v>2040</v>
      </c>
      <c r="D2" s="4" t="s">
        <v>2041</v>
      </c>
      <c r="E2" s="4" t="s">
        <v>2042</v>
      </c>
    </row>
    <row r="3" spans="1:5">
      <c r="A3" s="4" t="s">
        <v>2043</v>
      </c>
      <c r="B3" s="4" t="s">
        <v>2044</v>
      </c>
      <c r="C3" s="4" t="s">
        <v>2045</v>
      </c>
      <c r="D3" s="4" t="s">
        <v>2046</v>
      </c>
      <c r="E3" s="4" t="s">
        <v>2047</v>
      </c>
    </row>
    <row r="4" spans="1:5">
      <c r="A4" s="4" t="s">
        <v>2048</v>
      </c>
      <c r="B4" s="4" t="s">
        <v>2049</v>
      </c>
      <c r="C4" s="4" t="s">
        <v>2050</v>
      </c>
      <c r="D4" s="4" t="s">
        <v>2051</v>
      </c>
      <c r="E4" s="4" t="s">
        <v>2052</v>
      </c>
    </row>
    <row r="5" spans="1:5">
      <c r="A5" s="4" t="s">
        <v>2053</v>
      </c>
      <c r="B5" s="4" t="s">
        <v>2054</v>
      </c>
      <c r="C5" s="4" t="s">
        <v>2055</v>
      </c>
      <c r="D5" s="4" t="s">
        <v>2056</v>
      </c>
      <c r="E5" s="4" t="s">
        <v>2057</v>
      </c>
    </row>
    <row r="6" spans="1:5">
      <c r="A6" s="4" t="s">
        <v>2058</v>
      </c>
      <c r="B6" s="4" t="s">
        <v>2059</v>
      </c>
      <c r="C6" s="4" t="s">
        <v>2060</v>
      </c>
      <c r="D6" s="4" t="s">
        <v>2061</v>
      </c>
      <c r="E6" s="4" t="s">
        <v>2062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/>
  <dimension ref="A1:N20"/>
  <sheetViews>
    <sheetView topLeftCell="A5" workbookViewId="0">
      <selection activeCell="F14" sqref="F14"/>
    </sheetView>
  </sheetViews>
  <sheetFormatPr defaultRowHeight="13.8"/>
  <cols>
    <col min="1" max="1" width="13" customWidth="1"/>
    <col min="2" max="2" width="20" customWidth="1"/>
    <col min="3" max="6" width="14" customWidth="1"/>
    <col min="7" max="7" width="12" customWidth="1"/>
    <col min="9" max="9" width="25" customWidth="1"/>
    <col min="10" max="13" width="14" customWidth="1"/>
    <col min="14" max="14" width="12" customWidth="1"/>
  </cols>
  <sheetData>
    <row r="1" spans="1:14" ht="33.9" customHeight="1">
      <c r="A1" s="76" t="s">
        <v>2063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3" spans="1:14">
      <c r="A3" s="10" t="s">
        <v>2064</v>
      </c>
      <c r="B3" s="11" t="e">
        <f>SUM(Fact_Sales!#REF!)</f>
        <v>#REF!</v>
      </c>
    </row>
    <row r="4" spans="1:14">
      <c r="A4" s="10" t="s">
        <v>2065</v>
      </c>
      <c r="B4" s="11">
        <f>SUM(Fact_Sales!S2:S1001)</f>
        <v>3442170</v>
      </c>
    </row>
    <row r="5" spans="1:14">
      <c r="A5" s="10" t="s">
        <v>2066</v>
      </c>
      <c r="B5" s="12" t="e">
        <f>SUM(Fact_Sales!#REF!)/SUM(Fact_Sales!J2:J1001)</f>
        <v>#REF!</v>
      </c>
    </row>
    <row r="6" spans="1:14">
      <c r="A6" s="10" t="s">
        <v>2067</v>
      </c>
      <c r="B6" s="13">
        <f>AVERAGE(Fact_Sales!K2:K1001)</f>
        <v>4.5880000000000001</v>
      </c>
    </row>
    <row r="7" spans="1:14">
      <c r="A7" s="10" t="s">
        <v>2068</v>
      </c>
      <c r="B7" s="13">
        <f>AVERAGE(Fact_Sales!L2:L1001)</f>
        <v>3.5360999999999971</v>
      </c>
    </row>
    <row r="10" spans="1:14">
      <c r="A10" s="14" t="s">
        <v>21</v>
      </c>
      <c r="B10" s="14" t="s">
        <v>22</v>
      </c>
      <c r="C10" s="14" t="s">
        <v>2069</v>
      </c>
      <c r="D10" s="14" t="s">
        <v>2070</v>
      </c>
      <c r="E10" s="14" t="s">
        <v>2066</v>
      </c>
      <c r="F10" s="14" t="s">
        <v>2071</v>
      </c>
      <c r="G10" s="14" t="s">
        <v>2068</v>
      </c>
      <c r="I10" s="14" t="s">
        <v>745</v>
      </c>
      <c r="J10" s="14" t="s">
        <v>2069</v>
      </c>
      <c r="K10" s="14" t="s">
        <v>995</v>
      </c>
      <c r="L10" s="14" t="s">
        <v>2048</v>
      </c>
      <c r="M10" s="14" t="s">
        <v>2072</v>
      </c>
      <c r="N10" s="14" t="s">
        <v>2073</v>
      </c>
    </row>
    <row r="11" spans="1:14">
      <c r="A11" t="s">
        <v>27</v>
      </c>
      <c r="B11" t="s">
        <v>28</v>
      </c>
      <c r="C11" s="15" t="e">
        <f>SUMIF(Fact_Sales!$D$2:$D$1001,A11,Fact_Sales!#REF!)</f>
        <v>#REF!</v>
      </c>
      <c r="D11" s="15">
        <f>SUMIF(Fact_Sales!$D$2:$D$1001,A11,Fact_Sales!$J$2:$J$1001)</f>
        <v>1580413</v>
      </c>
      <c r="E11" s="16">
        <f t="shared" ref="E11:E18" si="0">IFERROR(C11/D11,0)</f>
        <v>0</v>
      </c>
      <c r="F11" s="17">
        <f>AVERAGEIF(Fact_Sales!$D$2:$D$1001,A11,Fact_Sales!$K$2:$K$1001)</f>
        <v>2.96875</v>
      </c>
      <c r="G11" s="17">
        <f>AVERAGEIF(Fact_Sales!$D$2:$D$1001,A11,Fact_Sales!$L$2:$L$1001)</f>
        <v>4.0609374999999988</v>
      </c>
      <c r="I11" t="s">
        <v>752</v>
      </c>
      <c r="J11" s="15" t="e">
        <f>SUMIF(Fact_Sales!#REF!,I11,Fact_Sales!#REF!)</f>
        <v>#REF!</v>
      </c>
      <c r="K11" s="15" t="e">
        <f>SUMIF(Fact_Sales!#REF!,I11,Fact_Sales!$S$2:$S$1001)</f>
        <v>#REF!</v>
      </c>
      <c r="L11" s="16">
        <f t="shared" ref="L11:L20" si="1">IFERROR(K11/J11,0)</f>
        <v>0</v>
      </c>
      <c r="M11" s="16" t="e">
        <f>AVERAGEIF(Fact_Sales!#REF!,I11,Fact_Sales!$I$2:$I$1001)</f>
        <v>#REF!</v>
      </c>
      <c r="N11" s="15" t="e">
        <f>SUMIF(Fact_Sales!#REF!,I11,Fact_Sales!$H$2:$H$1001)</f>
        <v>#REF!</v>
      </c>
    </row>
    <row r="12" spans="1:14">
      <c r="A12" t="s">
        <v>32</v>
      </c>
      <c r="B12" t="s">
        <v>33</v>
      </c>
      <c r="C12" s="15" t="e">
        <f>SUMIF(Fact_Sales!$D$2:$D$1001,A12,Fact_Sales!#REF!)</f>
        <v>#REF!</v>
      </c>
      <c r="D12" s="15">
        <f>SUMIF(Fact_Sales!$D$2:$D$1001,A12,Fact_Sales!$J$2:$J$1001)</f>
        <v>1495472</v>
      </c>
      <c r="E12" s="16">
        <f t="shared" si="0"/>
        <v>0</v>
      </c>
      <c r="F12" s="17">
        <f>AVERAGEIF(Fact_Sales!$D$2:$D$1001,A12,Fact_Sales!$K$2:$K$1001)</f>
        <v>5.4566929133858268</v>
      </c>
      <c r="G12" s="17">
        <f>AVERAGEIF(Fact_Sales!$D$2:$D$1001,A12,Fact_Sales!$L$2:$L$1001)</f>
        <v>3.2433070866141742</v>
      </c>
      <c r="I12" t="s">
        <v>770</v>
      </c>
      <c r="J12" s="15" t="e">
        <f>SUMIF(Fact_Sales!#REF!,I12,Fact_Sales!#REF!)</f>
        <v>#REF!</v>
      </c>
      <c r="K12" s="15" t="e">
        <f>SUMIF(Fact_Sales!#REF!,I12,Fact_Sales!$S$2:$S$1001)</f>
        <v>#REF!</v>
      </c>
      <c r="L12" s="16">
        <f t="shared" si="1"/>
        <v>0</v>
      </c>
      <c r="M12" s="16" t="e">
        <f>AVERAGEIF(Fact_Sales!#REF!,I12,Fact_Sales!$I$2:$I$1001)</f>
        <v>#REF!</v>
      </c>
      <c r="N12" s="15" t="e">
        <f>SUMIF(Fact_Sales!#REF!,I12,Fact_Sales!$H$2:$H$1001)</f>
        <v>#REF!</v>
      </c>
    </row>
    <row r="13" spans="1:14">
      <c r="A13" t="s">
        <v>37</v>
      </c>
      <c r="B13" t="s">
        <v>38</v>
      </c>
      <c r="C13" s="15" t="e">
        <f>SUMIF(Fact_Sales!$D$2:$D$1001,A13,Fact_Sales!#REF!)</f>
        <v>#REF!</v>
      </c>
      <c r="D13" s="15">
        <f>SUMIF(Fact_Sales!$D$2:$D$1001,A13,Fact_Sales!$J$2:$J$1001)</f>
        <v>1147816</v>
      </c>
      <c r="E13" s="16">
        <f t="shared" si="0"/>
        <v>0</v>
      </c>
      <c r="F13" s="17">
        <f>AVERAGEIF(Fact_Sales!$D$2:$D$1001,A13,Fact_Sales!$K$2:$K$1001)</f>
        <v>3.7884615384615383</v>
      </c>
      <c r="G13" s="17">
        <f>AVERAGEIF(Fact_Sales!$D$2:$D$1001,A13,Fact_Sales!$L$2:$L$1001)</f>
        <v>3.7884615384615361</v>
      </c>
      <c r="I13" t="s">
        <v>786</v>
      </c>
      <c r="J13" s="15" t="e">
        <f>SUMIF(Fact_Sales!#REF!,I13,Fact_Sales!#REF!)</f>
        <v>#REF!</v>
      </c>
      <c r="K13" s="15" t="e">
        <f>SUMIF(Fact_Sales!#REF!,I13,Fact_Sales!$S$2:$S$1001)</f>
        <v>#REF!</v>
      </c>
      <c r="L13" s="16">
        <f t="shared" si="1"/>
        <v>0</v>
      </c>
      <c r="M13" s="16" t="e">
        <f>AVERAGEIF(Fact_Sales!#REF!,I13,Fact_Sales!$I$2:$I$1001)</f>
        <v>#REF!</v>
      </c>
      <c r="N13" s="15" t="e">
        <f>SUMIF(Fact_Sales!#REF!,I13,Fact_Sales!$H$2:$H$1001)</f>
        <v>#REF!</v>
      </c>
    </row>
    <row r="14" spans="1:14">
      <c r="A14" t="s">
        <v>42</v>
      </c>
      <c r="B14" t="s">
        <v>43</v>
      </c>
      <c r="C14" s="15" t="e">
        <f>SUMIF(Fact_Sales!$D$2:$D$1001,A14,Fact_Sales!#REF!)</f>
        <v>#REF!</v>
      </c>
      <c r="D14" s="15">
        <f>SUMIF(Fact_Sales!$D$2:$D$1001,A14,Fact_Sales!$J$2:$J$1001)</f>
        <v>1436830</v>
      </c>
      <c r="E14" s="16">
        <f t="shared" si="0"/>
        <v>0</v>
      </c>
      <c r="F14" s="17">
        <f>AVERAGEIF(Fact_Sales!$D$2:$D$1001,A14,Fact_Sales!$K$2:$K$1001)</f>
        <v>4.2971014492753623</v>
      </c>
      <c r="G14" s="17">
        <f>AVERAGEIF(Fact_Sales!$D$2:$D$1001,A14,Fact_Sales!$L$2:$L$1001)</f>
        <v>3.6369565217391289</v>
      </c>
      <c r="I14" t="s">
        <v>802</v>
      </c>
      <c r="J14" s="15" t="e">
        <f>SUMIF(Fact_Sales!#REF!,I14,Fact_Sales!#REF!)</f>
        <v>#REF!</v>
      </c>
      <c r="K14" s="15" t="e">
        <f>SUMIF(Fact_Sales!#REF!,I14,Fact_Sales!$S$2:$S$1001)</f>
        <v>#REF!</v>
      </c>
      <c r="L14" s="16">
        <f t="shared" si="1"/>
        <v>0</v>
      </c>
      <c r="M14" s="16" t="e">
        <f>AVERAGEIF(Fact_Sales!#REF!,I14,Fact_Sales!$I$2:$I$1001)</f>
        <v>#REF!</v>
      </c>
      <c r="N14" s="15" t="e">
        <f>SUMIF(Fact_Sales!#REF!,I14,Fact_Sales!$H$2:$H$1001)</f>
        <v>#REF!</v>
      </c>
    </row>
    <row r="15" spans="1:14">
      <c r="A15" t="s">
        <v>47</v>
      </c>
      <c r="B15" t="s">
        <v>48</v>
      </c>
      <c r="C15" s="15" t="e">
        <f>SUMIF(Fact_Sales!$D$2:$D$1001,A15,Fact_Sales!#REF!)</f>
        <v>#REF!</v>
      </c>
      <c r="D15" s="15">
        <f>SUMIF(Fact_Sales!$D$2:$D$1001,A15,Fact_Sales!$J$2:$J$1001)</f>
        <v>1507877</v>
      </c>
      <c r="E15" s="16">
        <f t="shared" si="0"/>
        <v>0</v>
      </c>
      <c r="F15" s="17">
        <f>AVERAGEIF(Fact_Sales!$D$2:$D$1001,A15,Fact_Sales!$K$2:$K$1001)</f>
        <v>3.7461538461538462</v>
      </c>
      <c r="G15" s="17">
        <f>AVERAGEIF(Fact_Sales!$D$2:$D$1001,A15,Fact_Sales!$L$2:$L$1001)</f>
        <v>3.8230769230769233</v>
      </c>
      <c r="I15" t="s">
        <v>818</v>
      </c>
      <c r="J15" s="15" t="e">
        <f>SUMIF(Fact_Sales!#REF!,I15,Fact_Sales!#REF!)</f>
        <v>#REF!</v>
      </c>
      <c r="K15" s="15" t="e">
        <f>SUMIF(Fact_Sales!#REF!,I15,Fact_Sales!$S$2:$S$1001)</f>
        <v>#REF!</v>
      </c>
      <c r="L15" s="16">
        <f t="shared" si="1"/>
        <v>0</v>
      </c>
      <c r="M15" s="16" t="e">
        <f>AVERAGEIF(Fact_Sales!#REF!,I15,Fact_Sales!$I$2:$I$1001)</f>
        <v>#REF!</v>
      </c>
      <c r="N15" s="15" t="e">
        <f>SUMIF(Fact_Sales!#REF!,I15,Fact_Sales!$H$2:$H$1001)</f>
        <v>#REF!</v>
      </c>
    </row>
    <row r="16" spans="1:14">
      <c r="A16" t="s">
        <v>52</v>
      </c>
      <c r="B16" t="s">
        <v>53</v>
      </c>
      <c r="C16" s="15" t="e">
        <f>SUMIF(Fact_Sales!$D$2:$D$1001,A16,Fact_Sales!#REF!)</f>
        <v>#REF!</v>
      </c>
      <c r="D16" s="15">
        <f>SUMIF(Fact_Sales!$D$2:$D$1001,A16,Fact_Sales!$J$2:$J$1001)</f>
        <v>1677860</v>
      </c>
      <c r="E16" s="16">
        <f t="shared" si="0"/>
        <v>0</v>
      </c>
      <c r="F16" s="17">
        <f>AVERAGEIF(Fact_Sales!$D$2:$D$1001,A16,Fact_Sales!$K$2:$K$1001)</f>
        <v>5.3787878787878789</v>
      </c>
      <c r="G16" s="17">
        <f>AVERAGEIF(Fact_Sales!$D$2:$D$1001,A16,Fact_Sales!$L$2:$L$1001)</f>
        <v>3.2772727272727269</v>
      </c>
      <c r="I16" t="s">
        <v>836</v>
      </c>
      <c r="J16" s="15" t="e">
        <f>SUMIF(Fact_Sales!#REF!,I16,Fact_Sales!#REF!)</f>
        <v>#REF!</v>
      </c>
      <c r="K16" s="15" t="e">
        <f>SUMIF(Fact_Sales!#REF!,I16,Fact_Sales!$S$2:$S$1001)</f>
        <v>#REF!</v>
      </c>
      <c r="L16" s="16">
        <f t="shared" si="1"/>
        <v>0</v>
      </c>
      <c r="M16" s="16" t="e">
        <f>AVERAGEIF(Fact_Sales!#REF!,I16,Fact_Sales!$I$2:$I$1001)</f>
        <v>#REF!</v>
      </c>
      <c r="N16" s="15" t="e">
        <f>SUMIF(Fact_Sales!#REF!,I16,Fact_Sales!$H$2:$H$1001)</f>
        <v>#REF!</v>
      </c>
    </row>
    <row r="17" spans="1:14">
      <c r="A17" t="s">
        <v>57</v>
      </c>
      <c r="B17" t="s">
        <v>58</v>
      </c>
      <c r="C17" s="15" t="e">
        <f>SUMIF(Fact_Sales!$D$2:$D$1001,A17,Fact_Sales!#REF!)</f>
        <v>#REF!</v>
      </c>
      <c r="D17" s="15">
        <f>SUMIF(Fact_Sales!$D$2:$D$1001,A17,Fact_Sales!$J$2:$J$1001)</f>
        <v>1404174</v>
      </c>
      <c r="E17" s="16">
        <f t="shared" si="0"/>
        <v>0</v>
      </c>
      <c r="F17" s="17">
        <f>AVERAGEIF(Fact_Sales!$D$2:$D$1001,A17,Fact_Sales!$K$2:$K$1001)</f>
        <v>6.42741935483871</v>
      </c>
      <c r="G17" s="17">
        <f>AVERAGEIF(Fact_Sales!$D$2:$D$1001,A17,Fact_Sales!$L$2:$L$1001)</f>
        <v>2.9483870967741925</v>
      </c>
      <c r="I17" t="s">
        <v>852</v>
      </c>
      <c r="J17" s="15" t="e">
        <f>SUMIF(Fact_Sales!#REF!,I17,Fact_Sales!#REF!)</f>
        <v>#REF!</v>
      </c>
      <c r="K17" s="15" t="e">
        <f>SUMIF(Fact_Sales!#REF!,I17,Fact_Sales!$S$2:$S$1001)</f>
        <v>#REF!</v>
      </c>
      <c r="L17" s="16">
        <f t="shared" si="1"/>
        <v>0</v>
      </c>
      <c r="M17" s="16" t="e">
        <f>AVERAGEIF(Fact_Sales!#REF!,I17,Fact_Sales!$I$2:$I$1001)</f>
        <v>#REF!</v>
      </c>
      <c r="N17" s="15" t="e">
        <f>SUMIF(Fact_Sales!#REF!,I17,Fact_Sales!$H$2:$H$1001)</f>
        <v>#REF!</v>
      </c>
    </row>
    <row r="18" spans="1:14">
      <c r="A18" t="s">
        <v>62</v>
      </c>
      <c r="B18" t="s">
        <v>63</v>
      </c>
      <c r="C18" s="15" t="e">
        <f>SUMIF(Fact_Sales!$D$2:$D$1001,A18,Fact_Sales!#REF!)</f>
        <v>#REF!</v>
      </c>
      <c r="D18" s="15">
        <f>SUMIF(Fact_Sales!$D$2:$D$1001,A18,Fact_Sales!$J$2:$J$1001)</f>
        <v>1149207</v>
      </c>
      <c r="E18" s="16">
        <f t="shared" si="0"/>
        <v>0</v>
      </c>
      <c r="F18" s="17">
        <f>AVERAGEIF(Fact_Sales!$D$2:$D$1001,A18,Fact_Sales!$K$2:$K$1001)</f>
        <v>4.5641025641025639</v>
      </c>
      <c r="G18" s="17">
        <f>AVERAGEIF(Fact_Sales!$D$2:$D$1001,A18,Fact_Sales!$L$2:$L$1001)</f>
        <v>3.5324786324786333</v>
      </c>
      <c r="I18" t="s">
        <v>866</v>
      </c>
      <c r="J18" s="15" t="e">
        <f>SUMIF(Fact_Sales!#REF!,I18,Fact_Sales!#REF!)</f>
        <v>#REF!</v>
      </c>
      <c r="K18" s="15" t="e">
        <f>SUMIF(Fact_Sales!#REF!,I18,Fact_Sales!$S$2:$S$1001)</f>
        <v>#REF!</v>
      </c>
      <c r="L18" s="16">
        <f t="shared" si="1"/>
        <v>0</v>
      </c>
      <c r="M18" s="16" t="e">
        <f>AVERAGEIF(Fact_Sales!#REF!,I18,Fact_Sales!$I$2:$I$1001)</f>
        <v>#REF!</v>
      </c>
      <c r="N18" s="15" t="e">
        <f>SUMIF(Fact_Sales!#REF!,I18,Fact_Sales!$H$2:$H$1001)</f>
        <v>#REF!</v>
      </c>
    </row>
    <row r="19" spans="1:14">
      <c r="I19" t="s">
        <v>880</v>
      </c>
      <c r="J19" s="15" t="e">
        <f>SUMIF(Fact_Sales!#REF!,I19,Fact_Sales!#REF!)</f>
        <v>#REF!</v>
      </c>
      <c r="K19" s="15" t="e">
        <f>SUMIF(Fact_Sales!#REF!,I19,Fact_Sales!$S$2:$S$1001)</f>
        <v>#REF!</v>
      </c>
      <c r="L19" s="16">
        <f t="shared" si="1"/>
        <v>0</v>
      </c>
      <c r="M19" s="16" t="e">
        <f>AVERAGEIF(Fact_Sales!#REF!,I19,Fact_Sales!$I$2:$I$1001)</f>
        <v>#REF!</v>
      </c>
      <c r="N19" s="15" t="e">
        <f>SUMIF(Fact_Sales!#REF!,I19,Fact_Sales!$H$2:$H$1001)</f>
        <v>#REF!</v>
      </c>
    </row>
    <row r="20" spans="1:14">
      <c r="I20" t="s">
        <v>895</v>
      </c>
      <c r="J20" s="15" t="e">
        <f>SUMIF(Fact_Sales!#REF!,I20,Fact_Sales!#REF!)</f>
        <v>#REF!</v>
      </c>
      <c r="K20" s="15" t="e">
        <f>SUMIF(Fact_Sales!#REF!,I20,Fact_Sales!$S$2:$S$1001)</f>
        <v>#REF!</v>
      </c>
      <c r="L20" s="16">
        <f t="shared" si="1"/>
        <v>0</v>
      </c>
      <c r="M20" s="16" t="e">
        <f>AVERAGEIF(Fact_Sales!#REF!,I20,Fact_Sales!$I$2:$I$1001)</f>
        <v>#REF!</v>
      </c>
      <c r="N20" s="15" t="e">
        <f>SUMIF(Fact_Sales!#REF!,I20,Fact_Sales!$H$2:$H$1001)</f>
        <v>#REF!</v>
      </c>
    </row>
  </sheetData>
  <mergeCells count="1">
    <mergeCell ref="A1:M1"/>
  </mergeCells>
  <conditionalFormatting sqref="E11:E18">
    <cfRule type="colorScale" priority="1">
      <colorScale>
        <cfvo type="min"/>
        <cfvo type="percentile" val="50"/>
        <cfvo type="max"/>
        <color rgb="FFFECACA"/>
        <color rgb="FFFEF3C7"/>
        <color rgb="FFBBF7D0"/>
      </colorScale>
    </cfRule>
  </conditionalFormatting>
  <conditionalFormatting sqref="G11:G18">
    <cfRule type="colorScale" priority="2">
      <colorScale>
        <cfvo type="min"/>
        <cfvo type="percentile" val="50"/>
        <cfvo type="max"/>
        <color rgb="FFFECACA"/>
        <color rgb="FFFEF3C7"/>
        <color rgb="FFBBF7D0"/>
      </colorScale>
    </cfRule>
  </conditionalFormatting>
  <conditionalFormatting sqref="L11:L20">
    <cfRule type="colorScale" priority="3">
      <colorScale>
        <cfvo type="min"/>
        <cfvo type="percentile" val="50"/>
        <cfvo type="max"/>
        <color rgb="FFFECACA"/>
        <color rgb="FFFEF3C7"/>
        <color rgb="FFBBF7D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Case_Study</vt:lpstr>
      <vt:lpstr>Dim_Region</vt:lpstr>
      <vt:lpstr>Dim_Customer</vt:lpstr>
      <vt:lpstr>Dim_Store</vt:lpstr>
      <vt:lpstr>Dim_Product</vt:lpstr>
      <vt:lpstr>Dim_Salesman</vt:lpstr>
      <vt:lpstr>Fact_Sales</vt:lpstr>
      <vt:lpstr>Analysis</vt:lpstr>
      <vt:lpstr>Dash 01</vt:lpstr>
      <vt:lpstr>Dash02</vt:lpstr>
      <vt:lpstr>Delivery Details</vt:lpstr>
      <vt:lpstr>Data_Model</vt:lpstr>
      <vt:lpstr>Dashboard_Plan</vt:lpstr>
      <vt:lpstr>Business_Findings</vt:lpstr>
      <vt:lpstr>Sample_Dashboard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 Nandi</dc:creator>
  <cp:lastModifiedBy>Dipan Nandi</cp:lastModifiedBy>
  <dcterms:created xsi:type="dcterms:W3CDTF">2026-07-01T07:47:03Z</dcterms:created>
  <dcterms:modified xsi:type="dcterms:W3CDTF">2026-08-13T05:53:08Z</dcterms:modified>
</cp:coreProperties>
</file>